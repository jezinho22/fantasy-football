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zjo\Documents\Data_science\Fantasy football\"/>
    </mc:Choice>
  </mc:AlternateContent>
  <xr:revisionPtr revIDLastSave="0" documentId="13_ncr:1_{0B530734-3FC8-40C0-AB9E-9EBD58191228}" xr6:coauthVersionLast="47" xr6:coauthVersionMax="47" xr10:uidLastSave="{00000000-0000-0000-0000-000000000000}"/>
  <bookViews>
    <workbookView xWindow="2688" yWindow="2688" windowWidth="17280" windowHeight="9420" activeTab="3" xr2:uid="{53A774C9-7476-4154-9AFC-455AE16191C6}"/>
  </bookViews>
  <sheets>
    <sheet name="Teams" sheetId="10" r:id="rId1"/>
    <sheet name="Results" sheetId="6" r:id="rId2"/>
    <sheet name="Fixture points" sheetId="9" r:id="rId3"/>
    <sheet name="Player points" sheetId="7" r:id="rId4"/>
    <sheet name="Sheet1 (2)" sheetId="5" r:id="rId5"/>
    <sheet name="Sheet3" sheetId="8" r:id="rId6"/>
    <sheet name="Team pages" sheetId="1" r:id="rId7"/>
    <sheet name="Sheet1" sheetId="4" r:id="rId8"/>
    <sheet name="Player list" sheetId="2" r:id="rId9"/>
  </sheets>
  <functionGroups builtInGroupCount="19"/>
  <externalReferences>
    <externalReference r:id="rId10"/>
    <externalReference r:id="rId11"/>
  </externalReferences>
  <definedNames>
    <definedName name="Argentina_Against" localSheetId="0">#REF!,#REF!,#REF!</definedName>
    <definedName name="Argentina_Against">#REF!,#REF!,#REF!</definedName>
    <definedName name="Argentina_Played" localSheetId="0">#REF!,#REF!,#REF!</definedName>
    <definedName name="Argentina_Played">#REF!,#REF!,#REF!</definedName>
    <definedName name="Belgium_Against" localSheetId="0">#REF!,#REF!,#REF!</definedName>
    <definedName name="Belgium_Against">#REF!,#REF!,#REF!</definedName>
    <definedName name="Belgium_Played" localSheetId="0">#REF!,#REF!,#REF!</definedName>
    <definedName name="Belgium_Played">#REF!,#REF!,#REF!</definedName>
    <definedName name="Brazil_Against" localSheetId="0">#REF!,#REF!,#REF!</definedName>
    <definedName name="Brazil_Against">#REF!,#REF!,#REF!</definedName>
    <definedName name="Brazil_Played" localSheetId="0">#REF!,#REF!,#REF!</definedName>
    <definedName name="Brazil_Played">#REF!,#REF!,#REF!</definedName>
    <definedName name="Cameroon_Against" localSheetId="0">#REF!,#REF!,#REF!</definedName>
    <definedName name="Cameroon_Against">#REF!,#REF!,#REF!</definedName>
    <definedName name="Cameroon_Played" localSheetId="0">#REF!,#REF!,#REF!</definedName>
    <definedName name="Cameroon_Played">#REF!,#REF!,#REF!</definedName>
    <definedName name="China_Against" localSheetId="0">#REF!,#REF!,#REF!</definedName>
    <definedName name="China_Against">#REF!,#REF!,#REF!</definedName>
    <definedName name="China_Played" localSheetId="0">#REF!,#REF!,#REF!</definedName>
    <definedName name="China_Played">#REF!,#REF!,#REF!</definedName>
    <definedName name="Costa_Rica_Against" localSheetId="0">#REF!,#REF!,#REF!</definedName>
    <definedName name="Costa_Rica_Against">#REF!,#REF!,#REF!</definedName>
    <definedName name="Costa_Rica_Played" localSheetId="0">#REF!,#REF!,#REF!</definedName>
    <definedName name="Costa_Rica_Played">#REF!,#REF!,#REF!</definedName>
    <definedName name="Croatia_Against" localSheetId="0">#REF!,#REF!,#REF!</definedName>
    <definedName name="Croatia_Against">#REF!,#REF!,#REF!</definedName>
    <definedName name="Croatia_Played" localSheetId="0">#REF!,#REF!,#REF!</definedName>
    <definedName name="Croatia_Played">#REF!,#REF!,#REF!</definedName>
    <definedName name="Denmark_Against" localSheetId="0">#REF!,#REF!,#REF!</definedName>
    <definedName name="Denmark_Against">#REF!,#REF!,#REF!</definedName>
    <definedName name="Denmark_Played" localSheetId="0">#REF!,#REF!,#REF!</definedName>
    <definedName name="Denmark_Played">#REF!,#REF!,#REF!</definedName>
    <definedName name="Drawpoints">'[1]Group Points'!$B$5</definedName>
    <definedName name="Ecuador_Against" localSheetId="0">#REF!,#REF!,#REF!</definedName>
    <definedName name="Ecuador_Against">#REF!,#REF!,#REF!</definedName>
    <definedName name="Ecuador_Played" localSheetId="0">#REF!,#REF!,#REF!</definedName>
    <definedName name="Ecuador_Played">#REF!,#REF!,#REF!</definedName>
    <definedName name="England_Against" localSheetId="0">#REF!,#REF!,#REF!</definedName>
    <definedName name="England_Against">#REF!,#REF!,#REF!</definedName>
    <definedName name="England_Played" localSheetId="0">#REF!,#REF!,#REF!</definedName>
    <definedName name="England_Played">#REF!,#REF!,#REF!</definedName>
    <definedName name="France_Against" localSheetId="0">#REF!,#REF!,#REF!</definedName>
    <definedName name="France_Against">#REF!,#REF!,#REF!</definedName>
    <definedName name="France_Played" localSheetId="0">#REF!,#REF!,#REF!</definedName>
    <definedName name="France_Played">#REF!,#REF!,#REF!</definedName>
    <definedName name="Germany_Against" localSheetId="0">#REF!,#REF!,#REF!</definedName>
    <definedName name="Germany_Against">#REF!,#REF!,#REF!</definedName>
    <definedName name="Germany_Played" localSheetId="0">#REF!,#REF!,#REF!</definedName>
    <definedName name="Germany_Played">#REF!,#REF!,#REF!</definedName>
    <definedName name="Groupstage_Losers" localSheetId="0">#REF!</definedName>
    <definedName name="Groupstage_Losers">#REF!</definedName>
    <definedName name="Groupstage_Winners" localSheetId="0">#REF!</definedName>
    <definedName name="Groupstage_Winners">#REF!</definedName>
    <definedName name="Ireland_Against" localSheetId="0">#REF!,#REF!,#REF!</definedName>
    <definedName name="Ireland_Against">#REF!,#REF!,#REF!</definedName>
    <definedName name="Ireland_Played" localSheetId="0">#REF!,#REF!,#REF!</definedName>
    <definedName name="Ireland_Played">#REF!,#REF!,#REF!</definedName>
    <definedName name="Italy_Against" localSheetId="0">#REF!,#REF!,#REF!</definedName>
    <definedName name="Italy_Against">#REF!,#REF!,#REF!</definedName>
    <definedName name="Italy_Played" localSheetId="0">#REF!,#REF!,#REF!</definedName>
    <definedName name="Italy_Played">#REF!,#REF!,#REF!</definedName>
    <definedName name="Japan_Against" localSheetId="0">#REF!,#REF!,#REF!</definedName>
    <definedName name="Japan_Against">#REF!,#REF!,#REF!</definedName>
    <definedName name="Japan_Played" localSheetId="0">#REF!,#REF!,#REF!</definedName>
    <definedName name="Japan_Played">#REF!,#REF!,#REF!</definedName>
    <definedName name="Mexico_Against" localSheetId="0">#REF!,#REF!,#REF!</definedName>
    <definedName name="Mexico_Against">#REF!,#REF!,#REF!</definedName>
    <definedName name="Mexico_Played" localSheetId="0">#REF!,#REF!,#REF!</definedName>
    <definedName name="Mexico_Played">#REF!,#REF!,#REF!</definedName>
    <definedName name="Nigeria_Against" localSheetId="0">#REF!,#REF!,#REF!</definedName>
    <definedName name="Nigeria_Against">#REF!,#REF!,#REF!</definedName>
    <definedName name="Nigeria_Played" localSheetId="0">#REF!,#REF!,#REF!</definedName>
    <definedName name="Nigeria_Played">#REF!,#REF!,#REF!</definedName>
    <definedName name="Paraguay_Against" localSheetId="0">#REF!,#REF!,#REF!</definedName>
    <definedName name="Paraguay_Against">#REF!,#REF!,#REF!</definedName>
    <definedName name="Paraguay_Played" localSheetId="0">#REF!,#REF!,#REF!</definedName>
    <definedName name="Paraguay_Played">#REF!,#REF!,#REF!</definedName>
    <definedName name="Poland_Against" localSheetId="0">#REF!,#REF!,#REF!</definedName>
    <definedName name="Poland_Against">#REF!,#REF!,#REF!</definedName>
    <definedName name="Poland_Played" localSheetId="0">#REF!,#REF!,#REF!</definedName>
    <definedName name="Poland_Played">#REF!,#REF!,#REF!</definedName>
    <definedName name="Portugal_Against" localSheetId="0">#REF!,#REF!,#REF!</definedName>
    <definedName name="Portugal_Against">#REF!,#REF!,#REF!</definedName>
    <definedName name="Portugal_Played" localSheetId="0">#REF!,#REF!,#REF!</definedName>
    <definedName name="Portugal_Played">#REF!,#REF!,#REF!</definedName>
    <definedName name="_xlnm.Print_Area" localSheetId="0">Teams!$B$1:$L$1407</definedName>
    <definedName name="Russia_Against" localSheetId="0">#REF!,#REF!,#REF!</definedName>
    <definedName name="Russia_Against">#REF!,#REF!,#REF!</definedName>
    <definedName name="Russia_Played" localSheetId="0">#REF!,#REF!,#REF!</definedName>
    <definedName name="Russia_Played">#REF!,#REF!,#REF!</definedName>
    <definedName name="Saudi_Arabia_Against" localSheetId="0">#REF!,#REF!,#REF!</definedName>
    <definedName name="Saudi_Arabia_Against">#REF!,#REF!,#REF!</definedName>
    <definedName name="Saudi_Arabia_Played" localSheetId="0">#REF!,#REF!,#REF!</definedName>
    <definedName name="Saudi_Arabia_Played">#REF!,#REF!,#REF!</definedName>
    <definedName name="Senegal_Against" localSheetId="0">#REF!,#REF!,#REF!</definedName>
    <definedName name="Senegal_Against">#REF!,#REF!,#REF!</definedName>
    <definedName name="Senegal_Played" localSheetId="0">#REF!,#REF!,#REF!</definedName>
    <definedName name="Senegal_Played">#REF!,#REF!,#REF!</definedName>
    <definedName name="Slovenia_Against" localSheetId="0">#REF!,#REF!,#REF!</definedName>
    <definedName name="Slovenia_Against">#REF!,#REF!,#REF!</definedName>
    <definedName name="Slovenia_Played" localSheetId="0">#REF!,#REF!,#REF!</definedName>
    <definedName name="Slovenia_Played">#REF!,#REF!,#REF!</definedName>
    <definedName name="South_Africa_Against" localSheetId="0">#REF!,#REF!,#REF!</definedName>
    <definedName name="South_Africa_Against">#REF!,#REF!,#REF!</definedName>
    <definedName name="South_Africa_Played" localSheetId="0">#REF!,#REF!,#REF!</definedName>
    <definedName name="South_Africa_Played">#REF!,#REF!,#REF!</definedName>
    <definedName name="South_Korea_Against" localSheetId="0">#REF!,#REF!,#REF!</definedName>
    <definedName name="South_Korea_Against">#REF!,#REF!,#REF!</definedName>
    <definedName name="South_Korea_Played" localSheetId="0">#REF!,#REF!,#REF!</definedName>
    <definedName name="South_Korea_Played">#REF!,#REF!,#REF!</definedName>
    <definedName name="Spain_Against" localSheetId="0">#REF!,#REF!,#REF!</definedName>
    <definedName name="Spain_Against">#REF!,#REF!,#REF!</definedName>
    <definedName name="Spain_Played" localSheetId="0">#REF!,#REF!,#REF!</definedName>
    <definedName name="Spain_Played">#REF!,#REF!,#REF!</definedName>
    <definedName name="Sweden_Against" localSheetId="0">#REF!,#REF!,#REF!</definedName>
    <definedName name="Sweden_Against">#REF!,#REF!,#REF!</definedName>
    <definedName name="Sweden_Played" localSheetId="0">#REF!,#REF!,#REF!</definedName>
    <definedName name="Sweden_Played">#REF!,#REF!,#REF!</definedName>
    <definedName name="Tunisia_Against" localSheetId="0">#REF!,#REF!,#REF!</definedName>
    <definedName name="Tunisia_Against">#REF!,#REF!,#REF!</definedName>
    <definedName name="Tunisia_Played" localSheetId="0">#REF!,#REF!,#REF!</definedName>
    <definedName name="Tunisia_Played">#REF!,#REF!,#REF!</definedName>
    <definedName name="Turkey_Against" localSheetId="0">#REF!,#REF!,#REF!</definedName>
    <definedName name="Turkey_Against">#REF!,#REF!,#REF!</definedName>
    <definedName name="Turkey_Played" localSheetId="0">#REF!,#REF!,#REF!</definedName>
    <definedName name="Turkey_Played">#REF!,#REF!,#REF!</definedName>
    <definedName name="Uruguay_Against" localSheetId="0">#REF!,#REF!,#REF!</definedName>
    <definedName name="Uruguay_Against">#REF!,#REF!,#REF!</definedName>
    <definedName name="Uruguay_Played" localSheetId="0">#REF!,#REF!,#REF!</definedName>
    <definedName name="Uruguay_Played">#REF!,#REF!,#REF!</definedName>
    <definedName name="USA_Against" localSheetId="0">#REF!,#REF!,#REF!</definedName>
    <definedName name="USA_Against">#REF!,#REF!,#REF!</definedName>
    <definedName name="USA_Played" localSheetId="0">#REF!,#REF!,#REF!</definedName>
    <definedName name="USA_Played">#REF!,#REF!,#REF!</definedName>
    <definedName name="Winpoints">'[1]Group Points'!$B$4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0" l="1"/>
  <c r="K15" i="10" s="1"/>
  <c r="B5" i="10"/>
  <c r="C5" i="10"/>
  <c r="D5" i="10"/>
  <c r="K5" i="10"/>
  <c r="L5" i="10"/>
  <c r="B6" i="10"/>
  <c r="C6" i="10"/>
  <c r="D6" i="10"/>
  <c r="K6" i="10"/>
  <c r="L6" i="10"/>
  <c r="B7" i="10"/>
  <c r="C7" i="10"/>
  <c r="D7" i="10"/>
  <c r="K7" i="10"/>
  <c r="L7" i="10"/>
  <c r="B8" i="10"/>
  <c r="C8" i="10"/>
  <c r="D8" i="10"/>
  <c r="K8" i="10"/>
  <c r="L8" i="10"/>
  <c r="B9" i="10"/>
  <c r="C9" i="10"/>
  <c r="D9" i="10"/>
  <c r="K9" i="10"/>
  <c r="L9" i="10"/>
  <c r="B10" i="10"/>
  <c r="C10" i="10"/>
  <c r="D10" i="10"/>
  <c r="K10" i="10"/>
  <c r="L10" i="10"/>
  <c r="B11" i="10"/>
  <c r="C11" i="10"/>
  <c r="D11" i="10"/>
  <c r="K11" i="10"/>
  <c r="L11" i="10"/>
  <c r="B12" i="10"/>
  <c r="C12" i="10"/>
  <c r="D12" i="10"/>
  <c r="K12" i="10"/>
  <c r="L12" i="10"/>
  <c r="B13" i="10"/>
  <c r="C13" i="10"/>
  <c r="D13" i="10"/>
  <c r="K13" i="10"/>
  <c r="L13" i="10"/>
  <c r="B14" i="10"/>
  <c r="C14" i="10"/>
  <c r="D14" i="10"/>
  <c r="K14" i="10"/>
  <c r="L14" i="10"/>
  <c r="C4" i="10"/>
  <c r="D4" i="10"/>
  <c r="L4" i="10"/>
  <c r="B4" i="10"/>
  <c r="L1806" i="10"/>
  <c r="K1806" i="10"/>
  <c r="J1806" i="10"/>
  <c r="I1806" i="10"/>
  <c r="H1806" i="10"/>
  <c r="G1806" i="10"/>
  <c r="F1806" i="10"/>
  <c r="E1806" i="10"/>
  <c r="D1806" i="10"/>
  <c r="C1806" i="10"/>
  <c r="B1806" i="10"/>
  <c r="L1805" i="10"/>
  <c r="K1805" i="10"/>
  <c r="J1805" i="10"/>
  <c r="I1805" i="10"/>
  <c r="H1805" i="10"/>
  <c r="G1805" i="10"/>
  <c r="F1805" i="10"/>
  <c r="E1805" i="10"/>
  <c r="D1805" i="10"/>
  <c r="C1805" i="10"/>
  <c r="B1805" i="10"/>
  <c r="L1804" i="10"/>
  <c r="K1804" i="10"/>
  <c r="J1804" i="10"/>
  <c r="I1804" i="10"/>
  <c r="H1804" i="10"/>
  <c r="G1804" i="10"/>
  <c r="F1804" i="10"/>
  <c r="E1804" i="10"/>
  <c r="D1804" i="10"/>
  <c r="C1804" i="10"/>
  <c r="B1804" i="10"/>
  <c r="L1803" i="10"/>
  <c r="K1803" i="10"/>
  <c r="J1803" i="10"/>
  <c r="I1803" i="10"/>
  <c r="H1803" i="10"/>
  <c r="G1803" i="10"/>
  <c r="F1803" i="10"/>
  <c r="E1803" i="10"/>
  <c r="D1803" i="10"/>
  <c r="C1803" i="10"/>
  <c r="B1803" i="10"/>
  <c r="L1802" i="10"/>
  <c r="K1802" i="10"/>
  <c r="J1802" i="10"/>
  <c r="I1802" i="10"/>
  <c r="H1802" i="10"/>
  <c r="G1802" i="10"/>
  <c r="F1802" i="10"/>
  <c r="E1802" i="10"/>
  <c r="D1802" i="10"/>
  <c r="C1802" i="10"/>
  <c r="B1802" i="10"/>
  <c r="L1801" i="10"/>
  <c r="K1801" i="10"/>
  <c r="J1801" i="10"/>
  <c r="I1801" i="10"/>
  <c r="H1801" i="10"/>
  <c r="G1801" i="10"/>
  <c r="F1801" i="10"/>
  <c r="E1801" i="10"/>
  <c r="D1801" i="10"/>
  <c r="C1801" i="10"/>
  <c r="B1801" i="10"/>
  <c r="L1800" i="10"/>
  <c r="K1800" i="10"/>
  <c r="J1800" i="10"/>
  <c r="I1800" i="10"/>
  <c r="H1800" i="10"/>
  <c r="G1800" i="10"/>
  <c r="F1800" i="10"/>
  <c r="E1800" i="10"/>
  <c r="D1800" i="10"/>
  <c r="C1800" i="10"/>
  <c r="B1800" i="10"/>
  <c r="L1799" i="10"/>
  <c r="K1799" i="10"/>
  <c r="J1799" i="10"/>
  <c r="I1799" i="10"/>
  <c r="H1799" i="10"/>
  <c r="G1799" i="10"/>
  <c r="F1799" i="10"/>
  <c r="E1799" i="10"/>
  <c r="D1799" i="10"/>
  <c r="C1799" i="10"/>
  <c r="B1799" i="10"/>
  <c r="L1798" i="10"/>
  <c r="K1798" i="10"/>
  <c r="J1798" i="10"/>
  <c r="I1798" i="10"/>
  <c r="H1798" i="10"/>
  <c r="G1798" i="10"/>
  <c r="F1798" i="10"/>
  <c r="E1798" i="10"/>
  <c r="D1798" i="10"/>
  <c r="C1798" i="10"/>
  <c r="B1798" i="10"/>
  <c r="L1797" i="10"/>
  <c r="K1797" i="10"/>
  <c r="J1797" i="10"/>
  <c r="I1797" i="10"/>
  <c r="H1797" i="10"/>
  <c r="G1797" i="10"/>
  <c r="F1797" i="10"/>
  <c r="E1797" i="10"/>
  <c r="D1797" i="10"/>
  <c r="C1797" i="10"/>
  <c r="B1797" i="10"/>
  <c r="L1796" i="10"/>
  <c r="L1807" i="10" s="1"/>
  <c r="K1796" i="10"/>
  <c r="K1807" i="10" s="1"/>
  <c r="J1796" i="10"/>
  <c r="J1807" i="10" s="1"/>
  <c r="I1796" i="10"/>
  <c r="I1807" i="10" s="1"/>
  <c r="H1796" i="10"/>
  <c r="H1807" i="10" s="1"/>
  <c r="G1796" i="10"/>
  <c r="G1807" i="10" s="1"/>
  <c r="F1796" i="10"/>
  <c r="F1807" i="10" s="1"/>
  <c r="K1794" i="10" s="1"/>
  <c r="E1796" i="10"/>
  <c r="E1807" i="10" s="1"/>
  <c r="D1796" i="10"/>
  <c r="C1796" i="10"/>
  <c r="B1796" i="10"/>
  <c r="M1794" i="10"/>
  <c r="M1793" i="10"/>
  <c r="H1791" i="10"/>
  <c r="L1790" i="10"/>
  <c r="K1790" i="10"/>
  <c r="J1790" i="10"/>
  <c r="I1790" i="10"/>
  <c r="H1790" i="10"/>
  <c r="G1790" i="10"/>
  <c r="F1790" i="10"/>
  <c r="E1790" i="10"/>
  <c r="D1790" i="10"/>
  <c r="C1790" i="10"/>
  <c r="B1790" i="10"/>
  <c r="L1789" i="10"/>
  <c r="K1789" i="10"/>
  <c r="J1789" i="10"/>
  <c r="I1789" i="10"/>
  <c r="H1789" i="10"/>
  <c r="G1789" i="10"/>
  <c r="F1789" i="10"/>
  <c r="E1789" i="10"/>
  <c r="D1789" i="10"/>
  <c r="C1789" i="10"/>
  <c r="B1789" i="10"/>
  <c r="L1788" i="10"/>
  <c r="K1788" i="10"/>
  <c r="J1788" i="10"/>
  <c r="I1788" i="10"/>
  <c r="H1788" i="10"/>
  <c r="G1788" i="10"/>
  <c r="F1788" i="10"/>
  <c r="E1788" i="10"/>
  <c r="D1788" i="10"/>
  <c r="C1788" i="10"/>
  <c r="B1788" i="10"/>
  <c r="L1787" i="10"/>
  <c r="K1787" i="10"/>
  <c r="J1787" i="10"/>
  <c r="I1787" i="10"/>
  <c r="H1787" i="10"/>
  <c r="G1787" i="10"/>
  <c r="F1787" i="10"/>
  <c r="E1787" i="10"/>
  <c r="D1787" i="10"/>
  <c r="C1787" i="10"/>
  <c r="B1787" i="10"/>
  <c r="L1786" i="10"/>
  <c r="K1786" i="10"/>
  <c r="J1786" i="10"/>
  <c r="I1786" i="10"/>
  <c r="H1786" i="10"/>
  <c r="G1786" i="10"/>
  <c r="F1786" i="10"/>
  <c r="E1786" i="10"/>
  <c r="D1786" i="10"/>
  <c r="C1786" i="10"/>
  <c r="B1786" i="10"/>
  <c r="L1785" i="10"/>
  <c r="K1785" i="10"/>
  <c r="J1785" i="10"/>
  <c r="I1785" i="10"/>
  <c r="H1785" i="10"/>
  <c r="G1785" i="10"/>
  <c r="F1785" i="10"/>
  <c r="E1785" i="10"/>
  <c r="D1785" i="10"/>
  <c r="C1785" i="10"/>
  <c r="B1785" i="10"/>
  <c r="L1784" i="10"/>
  <c r="K1784" i="10"/>
  <c r="J1784" i="10"/>
  <c r="I1784" i="10"/>
  <c r="H1784" i="10"/>
  <c r="G1784" i="10"/>
  <c r="F1784" i="10"/>
  <c r="E1784" i="10"/>
  <c r="D1784" i="10"/>
  <c r="C1784" i="10"/>
  <c r="B1784" i="10"/>
  <c r="L1783" i="10"/>
  <c r="K1783" i="10"/>
  <c r="J1783" i="10"/>
  <c r="I1783" i="10"/>
  <c r="H1783" i="10"/>
  <c r="G1783" i="10"/>
  <c r="F1783" i="10"/>
  <c r="E1783" i="10"/>
  <c r="D1783" i="10"/>
  <c r="C1783" i="10"/>
  <c r="B1783" i="10"/>
  <c r="L1782" i="10"/>
  <c r="K1782" i="10"/>
  <c r="J1782" i="10"/>
  <c r="I1782" i="10"/>
  <c r="H1782" i="10"/>
  <c r="G1782" i="10"/>
  <c r="F1782" i="10"/>
  <c r="E1782" i="10"/>
  <c r="D1782" i="10"/>
  <c r="C1782" i="10"/>
  <c r="B1782" i="10"/>
  <c r="L1781" i="10"/>
  <c r="K1781" i="10"/>
  <c r="J1781" i="10"/>
  <c r="I1781" i="10"/>
  <c r="H1781" i="10"/>
  <c r="G1781" i="10"/>
  <c r="F1781" i="10"/>
  <c r="E1781" i="10"/>
  <c r="D1781" i="10"/>
  <c r="C1781" i="10"/>
  <c r="B1781" i="10"/>
  <c r="L1780" i="10"/>
  <c r="L1791" i="10" s="1"/>
  <c r="K1780" i="10"/>
  <c r="K1791" i="10" s="1"/>
  <c r="J1780" i="10"/>
  <c r="J1791" i="10" s="1"/>
  <c r="I1780" i="10"/>
  <c r="I1791" i="10" s="1"/>
  <c r="H1780" i="10"/>
  <c r="G1780" i="10"/>
  <c r="G1791" i="10" s="1"/>
  <c r="F1780" i="10"/>
  <c r="F1791" i="10" s="1"/>
  <c r="K1778" i="10" s="1"/>
  <c r="E1780" i="10"/>
  <c r="E1791" i="10" s="1"/>
  <c r="D1780" i="10"/>
  <c r="C1780" i="10"/>
  <c r="B1780" i="10"/>
  <c r="M1778" i="10"/>
  <c r="M1777" i="10"/>
  <c r="H1775" i="10"/>
  <c r="L1774" i="10"/>
  <c r="K1774" i="10"/>
  <c r="J1774" i="10"/>
  <c r="I1774" i="10"/>
  <c r="H1774" i="10"/>
  <c r="G1774" i="10"/>
  <c r="F1774" i="10"/>
  <c r="E1774" i="10"/>
  <c r="D1774" i="10"/>
  <c r="C1774" i="10"/>
  <c r="B1774" i="10"/>
  <c r="L1773" i="10"/>
  <c r="K1773" i="10"/>
  <c r="J1773" i="10"/>
  <c r="I1773" i="10"/>
  <c r="H1773" i="10"/>
  <c r="G1773" i="10"/>
  <c r="F1773" i="10"/>
  <c r="E1773" i="10"/>
  <c r="D1773" i="10"/>
  <c r="C1773" i="10"/>
  <c r="B1773" i="10"/>
  <c r="L1772" i="10"/>
  <c r="K1772" i="10"/>
  <c r="J1772" i="10"/>
  <c r="I1772" i="10"/>
  <c r="H1772" i="10"/>
  <c r="G1772" i="10"/>
  <c r="F1772" i="10"/>
  <c r="E1772" i="10"/>
  <c r="D1772" i="10"/>
  <c r="C1772" i="10"/>
  <c r="B1772" i="10"/>
  <c r="L1771" i="10"/>
  <c r="K1771" i="10"/>
  <c r="J1771" i="10"/>
  <c r="I1771" i="10"/>
  <c r="H1771" i="10"/>
  <c r="G1771" i="10"/>
  <c r="F1771" i="10"/>
  <c r="E1771" i="10"/>
  <c r="D1771" i="10"/>
  <c r="C1771" i="10"/>
  <c r="B1771" i="10"/>
  <c r="L1770" i="10"/>
  <c r="K1770" i="10"/>
  <c r="J1770" i="10"/>
  <c r="I1770" i="10"/>
  <c r="H1770" i="10"/>
  <c r="G1770" i="10"/>
  <c r="F1770" i="10"/>
  <c r="E1770" i="10"/>
  <c r="D1770" i="10"/>
  <c r="C1770" i="10"/>
  <c r="B1770" i="10"/>
  <c r="L1769" i="10"/>
  <c r="K1769" i="10"/>
  <c r="J1769" i="10"/>
  <c r="I1769" i="10"/>
  <c r="H1769" i="10"/>
  <c r="G1769" i="10"/>
  <c r="F1769" i="10"/>
  <c r="E1769" i="10"/>
  <c r="D1769" i="10"/>
  <c r="C1769" i="10"/>
  <c r="B1769" i="10"/>
  <c r="L1768" i="10"/>
  <c r="K1768" i="10"/>
  <c r="J1768" i="10"/>
  <c r="I1768" i="10"/>
  <c r="H1768" i="10"/>
  <c r="G1768" i="10"/>
  <c r="F1768" i="10"/>
  <c r="E1768" i="10"/>
  <c r="D1768" i="10"/>
  <c r="C1768" i="10"/>
  <c r="B1768" i="10"/>
  <c r="L1767" i="10"/>
  <c r="K1767" i="10"/>
  <c r="J1767" i="10"/>
  <c r="I1767" i="10"/>
  <c r="H1767" i="10"/>
  <c r="G1767" i="10"/>
  <c r="F1767" i="10"/>
  <c r="E1767" i="10"/>
  <c r="D1767" i="10"/>
  <c r="C1767" i="10"/>
  <c r="B1767" i="10"/>
  <c r="L1766" i="10"/>
  <c r="K1766" i="10"/>
  <c r="J1766" i="10"/>
  <c r="I1766" i="10"/>
  <c r="H1766" i="10"/>
  <c r="G1766" i="10"/>
  <c r="F1766" i="10"/>
  <c r="E1766" i="10"/>
  <c r="D1766" i="10"/>
  <c r="C1766" i="10"/>
  <c r="B1766" i="10"/>
  <c r="L1765" i="10"/>
  <c r="K1765" i="10"/>
  <c r="J1765" i="10"/>
  <c r="I1765" i="10"/>
  <c r="H1765" i="10"/>
  <c r="G1765" i="10"/>
  <c r="F1765" i="10"/>
  <c r="E1765" i="10"/>
  <c r="D1765" i="10"/>
  <c r="C1765" i="10"/>
  <c r="B1765" i="10"/>
  <c r="L1764" i="10"/>
  <c r="L1775" i="10" s="1"/>
  <c r="K1764" i="10"/>
  <c r="K1775" i="10" s="1"/>
  <c r="J1764" i="10"/>
  <c r="J1775" i="10" s="1"/>
  <c r="I1764" i="10"/>
  <c r="I1775" i="10" s="1"/>
  <c r="H1764" i="10"/>
  <c r="G1764" i="10"/>
  <c r="G1775" i="10" s="1"/>
  <c r="F1764" i="10"/>
  <c r="F1775" i="10" s="1"/>
  <c r="K1762" i="10" s="1"/>
  <c r="E1764" i="10"/>
  <c r="E1775" i="10" s="1"/>
  <c r="D1764" i="10"/>
  <c r="C1764" i="10"/>
  <c r="B1764" i="10"/>
  <c r="M1762" i="10"/>
  <c r="M1761" i="10"/>
  <c r="L1758" i="10"/>
  <c r="K1758" i="10"/>
  <c r="J1758" i="10"/>
  <c r="I1758" i="10"/>
  <c r="H1758" i="10"/>
  <c r="G1758" i="10"/>
  <c r="F1758" i="10"/>
  <c r="E1758" i="10"/>
  <c r="D1758" i="10"/>
  <c r="C1758" i="10"/>
  <c r="B1758" i="10"/>
  <c r="L1757" i="10"/>
  <c r="K1757" i="10"/>
  <c r="J1757" i="10"/>
  <c r="I1757" i="10"/>
  <c r="H1757" i="10"/>
  <c r="G1757" i="10"/>
  <c r="F1757" i="10"/>
  <c r="E1757" i="10"/>
  <c r="D1757" i="10"/>
  <c r="C1757" i="10"/>
  <c r="B1757" i="10"/>
  <c r="L1756" i="10"/>
  <c r="K1756" i="10"/>
  <c r="J1756" i="10"/>
  <c r="I1756" i="10"/>
  <c r="H1756" i="10"/>
  <c r="G1756" i="10"/>
  <c r="F1756" i="10"/>
  <c r="E1756" i="10"/>
  <c r="D1756" i="10"/>
  <c r="C1756" i="10"/>
  <c r="B1756" i="10"/>
  <c r="L1755" i="10"/>
  <c r="K1755" i="10"/>
  <c r="J1755" i="10"/>
  <c r="I1755" i="10"/>
  <c r="H1755" i="10"/>
  <c r="G1755" i="10"/>
  <c r="F1755" i="10"/>
  <c r="E1755" i="10"/>
  <c r="D1755" i="10"/>
  <c r="C1755" i="10"/>
  <c r="B1755" i="10"/>
  <c r="L1754" i="10"/>
  <c r="K1754" i="10"/>
  <c r="J1754" i="10"/>
  <c r="I1754" i="10"/>
  <c r="H1754" i="10"/>
  <c r="G1754" i="10"/>
  <c r="F1754" i="10"/>
  <c r="E1754" i="10"/>
  <c r="D1754" i="10"/>
  <c r="C1754" i="10"/>
  <c r="B1754" i="10"/>
  <c r="L1753" i="10"/>
  <c r="K1753" i="10"/>
  <c r="J1753" i="10"/>
  <c r="I1753" i="10"/>
  <c r="H1753" i="10"/>
  <c r="G1753" i="10"/>
  <c r="F1753" i="10"/>
  <c r="E1753" i="10"/>
  <c r="D1753" i="10"/>
  <c r="C1753" i="10"/>
  <c r="B1753" i="10"/>
  <c r="L1752" i="10"/>
  <c r="K1752" i="10"/>
  <c r="J1752" i="10"/>
  <c r="I1752" i="10"/>
  <c r="H1752" i="10"/>
  <c r="G1752" i="10"/>
  <c r="F1752" i="10"/>
  <c r="E1752" i="10"/>
  <c r="D1752" i="10"/>
  <c r="C1752" i="10"/>
  <c r="B1752" i="10"/>
  <c r="L1751" i="10"/>
  <c r="K1751" i="10"/>
  <c r="J1751" i="10"/>
  <c r="I1751" i="10"/>
  <c r="H1751" i="10"/>
  <c r="G1751" i="10"/>
  <c r="F1751" i="10"/>
  <c r="E1751" i="10"/>
  <c r="D1751" i="10"/>
  <c r="C1751" i="10"/>
  <c r="B1751" i="10"/>
  <c r="L1750" i="10"/>
  <c r="K1750" i="10"/>
  <c r="J1750" i="10"/>
  <c r="I1750" i="10"/>
  <c r="H1750" i="10"/>
  <c r="G1750" i="10"/>
  <c r="F1750" i="10"/>
  <c r="E1750" i="10"/>
  <c r="D1750" i="10"/>
  <c r="C1750" i="10"/>
  <c r="B1750" i="10"/>
  <c r="L1749" i="10"/>
  <c r="K1749" i="10"/>
  <c r="J1749" i="10"/>
  <c r="I1749" i="10"/>
  <c r="H1749" i="10"/>
  <c r="G1749" i="10"/>
  <c r="F1749" i="10"/>
  <c r="E1749" i="10"/>
  <c r="D1749" i="10"/>
  <c r="C1749" i="10"/>
  <c r="B1749" i="10"/>
  <c r="L1748" i="10"/>
  <c r="L1759" i="10" s="1"/>
  <c r="K1748" i="10"/>
  <c r="K1759" i="10" s="1"/>
  <c r="J1748" i="10"/>
  <c r="J1759" i="10" s="1"/>
  <c r="I1748" i="10"/>
  <c r="I1759" i="10" s="1"/>
  <c r="H1748" i="10"/>
  <c r="H1759" i="10" s="1"/>
  <c r="G1748" i="10"/>
  <c r="G1759" i="10" s="1"/>
  <c r="F1748" i="10"/>
  <c r="F1759" i="10" s="1"/>
  <c r="K1746" i="10" s="1"/>
  <c r="E1748" i="10"/>
  <c r="E1759" i="10" s="1"/>
  <c r="D1748" i="10"/>
  <c r="C1748" i="10"/>
  <c r="B1748" i="10"/>
  <c r="M1746" i="10"/>
  <c r="M1745" i="10"/>
  <c r="L1742" i="10"/>
  <c r="K1742" i="10"/>
  <c r="J1742" i="10"/>
  <c r="I1742" i="10"/>
  <c r="H1742" i="10"/>
  <c r="G1742" i="10"/>
  <c r="F1742" i="10"/>
  <c r="E1742" i="10"/>
  <c r="D1742" i="10"/>
  <c r="C1742" i="10"/>
  <c r="B1742" i="10"/>
  <c r="L1741" i="10"/>
  <c r="K1741" i="10"/>
  <c r="J1741" i="10"/>
  <c r="I1741" i="10"/>
  <c r="H1741" i="10"/>
  <c r="G1741" i="10"/>
  <c r="F1741" i="10"/>
  <c r="E1741" i="10"/>
  <c r="D1741" i="10"/>
  <c r="C1741" i="10"/>
  <c r="B1741" i="10"/>
  <c r="L1740" i="10"/>
  <c r="K1740" i="10"/>
  <c r="J1740" i="10"/>
  <c r="I1740" i="10"/>
  <c r="H1740" i="10"/>
  <c r="G1740" i="10"/>
  <c r="F1740" i="10"/>
  <c r="E1740" i="10"/>
  <c r="D1740" i="10"/>
  <c r="C1740" i="10"/>
  <c r="B1740" i="10"/>
  <c r="L1739" i="10"/>
  <c r="K1739" i="10"/>
  <c r="J1739" i="10"/>
  <c r="I1739" i="10"/>
  <c r="H1739" i="10"/>
  <c r="G1739" i="10"/>
  <c r="F1739" i="10"/>
  <c r="E1739" i="10"/>
  <c r="D1739" i="10"/>
  <c r="C1739" i="10"/>
  <c r="B1739" i="10"/>
  <c r="L1738" i="10"/>
  <c r="K1738" i="10"/>
  <c r="J1738" i="10"/>
  <c r="I1738" i="10"/>
  <c r="H1738" i="10"/>
  <c r="G1738" i="10"/>
  <c r="F1738" i="10"/>
  <c r="E1738" i="10"/>
  <c r="D1738" i="10"/>
  <c r="C1738" i="10"/>
  <c r="B1738" i="10"/>
  <c r="L1737" i="10"/>
  <c r="K1737" i="10"/>
  <c r="J1737" i="10"/>
  <c r="I1737" i="10"/>
  <c r="H1737" i="10"/>
  <c r="G1737" i="10"/>
  <c r="F1737" i="10"/>
  <c r="E1737" i="10"/>
  <c r="D1737" i="10"/>
  <c r="C1737" i="10"/>
  <c r="B1737" i="10"/>
  <c r="L1736" i="10"/>
  <c r="K1736" i="10"/>
  <c r="J1736" i="10"/>
  <c r="I1736" i="10"/>
  <c r="H1736" i="10"/>
  <c r="G1736" i="10"/>
  <c r="F1736" i="10"/>
  <c r="E1736" i="10"/>
  <c r="D1736" i="10"/>
  <c r="C1736" i="10"/>
  <c r="B1736" i="10"/>
  <c r="L1735" i="10"/>
  <c r="K1735" i="10"/>
  <c r="J1735" i="10"/>
  <c r="I1735" i="10"/>
  <c r="H1735" i="10"/>
  <c r="G1735" i="10"/>
  <c r="F1735" i="10"/>
  <c r="E1735" i="10"/>
  <c r="D1735" i="10"/>
  <c r="C1735" i="10"/>
  <c r="B1735" i="10"/>
  <c r="L1734" i="10"/>
  <c r="K1734" i="10"/>
  <c r="J1734" i="10"/>
  <c r="I1734" i="10"/>
  <c r="H1734" i="10"/>
  <c r="G1734" i="10"/>
  <c r="F1734" i="10"/>
  <c r="E1734" i="10"/>
  <c r="D1734" i="10"/>
  <c r="C1734" i="10"/>
  <c r="B1734" i="10"/>
  <c r="L1733" i="10"/>
  <c r="K1733" i="10"/>
  <c r="J1733" i="10"/>
  <c r="I1733" i="10"/>
  <c r="H1733" i="10"/>
  <c r="G1733" i="10"/>
  <c r="F1733" i="10"/>
  <c r="E1733" i="10"/>
  <c r="D1733" i="10"/>
  <c r="C1733" i="10"/>
  <c r="B1733" i="10"/>
  <c r="L1732" i="10"/>
  <c r="L1743" i="10" s="1"/>
  <c r="K1732" i="10"/>
  <c r="K1743" i="10" s="1"/>
  <c r="J1732" i="10"/>
  <c r="J1743" i="10" s="1"/>
  <c r="I1732" i="10"/>
  <c r="I1743" i="10" s="1"/>
  <c r="H1732" i="10"/>
  <c r="H1743" i="10" s="1"/>
  <c r="G1732" i="10"/>
  <c r="G1743" i="10" s="1"/>
  <c r="F1732" i="10"/>
  <c r="F1743" i="10" s="1"/>
  <c r="K1730" i="10" s="1"/>
  <c r="E1732" i="10"/>
  <c r="E1743" i="10" s="1"/>
  <c r="D1732" i="10"/>
  <c r="C1732" i="10"/>
  <c r="B1732" i="10"/>
  <c r="M1730" i="10"/>
  <c r="M1729" i="10"/>
  <c r="H1727" i="10"/>
  <c r="L1726" i="10"/>
  <c r="K1726" i="10"/>
  <c r="J1726" i="10"/>
  <c r="I1726" i="10"/>
  <c r="H1726" i="10"/>
  <c r="G1726" i="10"/>
  <c r="F1726" i="10"/>
  <c r="E1726" i="10"/>
  <c r="D1726" i="10"/>
  <c r="C1726" i="10"/>
  <c r="B1726" i="10"/>
  <c r="L1725" i="10"/>
  <c r="K1725" i="10"/>
  <c r="J1725" i="10"/>
  <c r="I1725" i="10"/>
  <c r="H1725" i="10"/>
  <c r="G1725" i="10"/>
  <c r="F1725" i="10"/>
  <c r="E1725" i="10"/>
  <c r="D1725" i="10"/>
  <c r="C1725" i="10"/>
  <c r="B1725" i="10"/>
  <c r="L1724" i="10"/>
  <c r="K1724" i="10"/>
  <c r="J1724" i="10"/>
  <c r="I1724" i="10"/>
  <c r="H1724" i="10"/>
  <c r="G1724" i="10"/>
  <c r="F1724" i="10"/>
  <c r="E1724" i="10"/>
  <c r="D1724" i="10"/>
  <c r="C1724" i="10"/>
  <c r="B1724" i="10"/>
  <c r="L1723" i="10"/>
  <c r="K1723" i="10"/>
  <c r="J1723" i="10"/>
  <c r="I1723" i="10"/>
  <c r="H1723" i="10"/>
  <c r="G1723" i="10"/>
  <c r="F1723" i="10"/>
  <c r="E1723" i="10"/>
  <c r="D1723" i="10"/>
  <c r="C1723" i="10"/>
  <c r="B1723" i="10"/>
  <c r="L1722" i="10"/>
  <c r="K1722" i="10"/>
  <c r="J1722" i="10"/>
  <c r="I1722" i="10"/>
  <c r="H1722" i="10"/>
  <c r="G1722" i="10"/>
  <c r="F1722" i="10"/>
  <c r="E1722" i="10"/>
  <c r="D1722" i="10"/>
  <c r="C1722" i="10"/>
  <c r="B1722" i="10"/>
  <c r="L1721" i="10"/>
  <c r="K1721" i="10"/>
  <c r="J1721" i="10"/>
  <c r="I1721" i="10"/>
  <c r="H1721" i="10"/>
  <c r="G1721" i="10"/>
  <c r="F1721" i="10"/>
  <c r="E1721" i="10"/>
  <c r="D1721" i="10"/>
  <c r="C1721" i="10"/>
  <c r="B1721" i="10"/>
  <c r="L1720" i="10"/>
  <c r="K1720" i="10"/>
  <c r="J1720" i="10"/>
  <c r="I1720" i="10"/>
  <c r="H1720" i="10"/>
  <c r="G1720" i="10"/>
  <c r="F1720" i="10"/>
  <c r="E1720" i="10"/>
  <c r="D1720" i="10"/>
  <c r="C1720" i="10"/>
  <c r="B1720" i="10"/>
  <c r="L1719" i="10"/>
  <c r="K1719" i="10"/>
  <c r="J1719" i="10"/>
  <c r="I1719" i="10"/>
  <c r="H1719" i="10"/>
  <c r="G1719" i="10"/>
  <c r="F1719" i="10"/>
  <c r="E1719" i="10"/>
  <c r="D1719" i="10"/>
  <c r="C1719" i="10"/>
  <c r="B1719" i="10"/>
  <c r="L1718" i="10"/>
  <c r="K1718" i="10"/>
  <c r="J1718" i="10"/>
  <c r="I1718" i="10"/>
  <c r="H1718" i="10"/>
  <c r="G1718" i="10"/>
  <c r="F1718" i="10"/>
  <c r="E1718" i="10"/>
  <c r="D1718" i="10"/>
  <c r="C1718" i="10"/>
  <c r="B1718" i="10"/>
  <c r="L1717" i="10"/>
  <c r="K1717" i="10"/>
  <c r="J1717" i="10"/>
  <c r="I1717" i="10"/>
  <c r="H1717" i="10"/>
  <c r="G1717" i="10"/>
  <c r="F1717" i="10"/>
  <c r="E1717" i="10"/>
  <c r="D1717" i="10"/>
  <c r="C1717" i="10"/>
  <c r="B1717" i="10"/>
  <c r="L1716" i="10"/>
  <c r="L1727" i="10" s="1"/>
  <c r="K1716" i="10"/>
  <c r="K1727" i="10" s="1"/>
  <c r="J1716" i="10"/>
  <c r="J1727" i="10" s="1"/>
  <c r="I1716" i="10"/>
  <c r="I1727" i="10" s="1"/>
  <c r="H1716" i="10"/>
  <c r="G1716" i="10"/>
  <c r="G1727" i="10" s="1"/>
  <c r="F1716" i="10"/>
  <c r="F1727" i="10" s="1"/>
  <c r="K1714" i="10" s="1"/>
  <c r="E1716" i="10"/>
  <c r="E1727" i="10" s="1"/>
  <c r="D1716" i="10"/>
  <c r="C1716" i="10"/>
  <c r="B1716" i="10"/>
  <c r="M1714" i="10"/>
  <c r="M1713" i="10"/>
  <c r="H1711" i="10"/>
  <c r="L1710" i="10"/>
  <c r="K1710" i="10"/>
  <c r="J1710" i="10"/>
  <c r="I1710" i="10"/>
  <c r="H1710" i="10"/>
  <c r="G1710" i="10"/>
  <c r="F1710" i="10"/>
  <c r="E1710" i="10"/>
  <c r="D1710" i="10"/>
  <c r="C1710" i="10"/>
  <c r="B1710" i="10"/>
  <c r="L1709" i="10"/>
  <c r="K1709" i="10"/>
  <c r="J1709" i="10"/>
  <c r="I1709" i="10"/>
  <c r="H1709" i="10"/>
  <c r="G1709" i="10"/>
  <c r="F1709" i="10"/>
  <c r="E1709" i="10"/>
  <c r="D1709" i="10"/>
  <c r="C1709" i="10"/>
  <c r="B1709" i="10"/>
  <c r="L1708" i="10"/>
  <c r="K1708" i="10"/>
  <c r="J1708" i="10"/>
  <c r="I1708" i="10"/>
  <c r="H1708" i="10"/>
  <c r="G1708" i="10"/>
  <c r="F1708" i="10"/>
  <c r="E1708" i="10"/>
  <c r="D1708" i="10"/>
  <c r="C1708" i="10"/>
  <c r="B1708" i="10"/>
  <c r="L1707" i="10"/>
  <c r="K1707" i="10"/>
  <c r="J1707" i="10"/>
  <c r="I1707" i="10"/>
  <c r="H1707" i="10"/>
  <c r="G1707" i="10"/>
  <c r="F1707" i="10"/>
  <c r="E1707" i="10"/>
  <c r="D1707" i="10"/>
  <c r="C1707" i="10"/>
  <c r="B1707" i="10"/>
  <c r="L1706" i="10"/>
  <c r="K1706" i="10"/>
  <c r="J1706" i="10"/>
  <c r="I1706" i="10"/>
  <c r="H1706" i="10"/>
  <c r="G1706" i="10"/>
  <c r="F1706" i="10"/>
  <c r="E1706" i="10"/>
  <c r="D1706" i="10"/>
  <c r="C1706" i="10"/>
  <c r="B1706" i="10"/>
  <c r="L1705" i="10"/>
  <c r="K1705" i="10"/>
  <c r="J1705" i="10"/>
  <c r="I1705" i="10"/>
  <c r="H1705" i="10"/>
  <c r="G1705" i="10"/>
  <c r="F1705" i="10"/>
  <c r="E1705" i="10"/>
  <c r="D1705" i="10"/>
  <c r="C1705" i="10"/>
  <c r="B1705" i="10"/>
  <c r="L1704" i="10"/>
  <c r="K1704" i="10"/>
  <c r="J1704" i="10"/>
  <c r="I1704" i="10"/>
  <c r="H1704" i="10"/>
  <c r="G1704" i="10"/>
  <c r="F1704" i="10"/>
  <c r="E1704" i="10"/>
  <c r="D1704" i="10"/>
  <c r="C1704" i="10"/>
  <c r="B1704" i="10"/>
  <c r="L1703" i="10"/>
  <c r="K1703" i="10"/>
  <c r="J1703" i="10"/>
  <c r="I1703" i="10"/>
  <c r="H1703" i="10"/>
  <c r="G1703" i="10"/>
  <c r="F1703" i="10"/>
  <c r="E1703" i="10"/>
  <c r="D1703" i="10"/>
  <c r="C1703" i="10"/>
  <c r="B1703" i="10"/>
  <c r="L1702" i="10"/>
  <c r="K1702" i="10"/>
  <c r="J1702" i="10"/>
  <c r="I1702" i="10"/>
  <c r="H1702" i="10"/>
  <c r="G1702" i="10"/>
  <c r="F1702" i="10"/>
  <c r="E1702" i="10"/>
  <c r="D1702" i="10"/>
  <c r="C1702" i="10"/>
  <c r="B1702" i="10"/>
  <c r="L1701" i="10"/>
  <c r="K1701" i="10"/>
  <c r="J1701" i="10"/>
  <c r="I1701" i="10"/>
  <c r="H1701" i="10"/>
  <c r="G1701" i="10"/>
  <c r="F1701" i="10"/>
  <c r="E1701" i="10"/>
  <c r="D1701" i="10"/>
  <c r="C1701" i="10"/>
  <c r="B1701" i="10"/>
  <c r="L1700" i="10"/>
  <c r="L1711" i="10" s="1"/>
  <c r="K1700" i="10"/>
  <c r="K1711" i="10" s="1"/>
  <c r="J1700" i="10"/>
  <c r="J1711" i="10" s="1"/>
  <c r="I1700" i="10"/>
  <c r="I1711" i="10" s="1"/>
  <c r="H1700" i="10"/>
  <c r="G1700" i="10"/>
  <c r="G1711" i="10" s="1"/>
  <c r="F1700" i="10"/>
  <c r="F1711" i="10" s="1"/>
  <c r="K1698" i="10" s="1"/>
  <c r="E1700" i="10"/>
  <c r="E1711" i="10" s="1"/>
  <c r="D1700" i="10"/>
  <c r="C1700" i="10"/>
  <c r="B1700" i="10"/>
  <c r="M1698" i="10"/>
  <c r="M1697" i="10"/>
  <c r="L1694" i="10"/>
  <c r="K1694" i="10"/>
  <c r="J1694" i="10"/>
  <c r="I1694" i="10"/>
  <c r="H1694" i="10"/>
  <c r="G1694" i="10"/>
  <c r="F1694" i="10"/>
  <c r="E1694" i="10"/>
  <c r="D1694" i="10"/>
  <c r="C1694" i="10"/>
  <c r="B1694" i="10"/>
  <c r="L1693" i="10"/>
  <c r="K1693" i="10"/>
  <c r="J1693" i="10"/>
  <c r="I1693" i="10"/>
  <c r="H1693" i="10"/>
  <c r="G1693" i="10"/>
  <c r="F1693" i="10"/>
  <c r="E1693" i="10"/>
  <c r="D1693" i="10"/>
  <c r="C1693" i="10"/>
  <c r="B1693" i="10"/>
  <c r="L1692" i="10"/>
  <c r="K1692" i="10"/>
  <c r="J1692" i="10"/>
  <c r="I1692" i="10"/>
  <c r="H1692" i="10"/>
  <c r="G1692" i="10"/>
  <c r="F1692" i="10"/>
  <c r="E1692" i="10"/>
  <c r="D1692" i="10"/>
  <c r="C1692" i="10"/>
  <c r="B1692" i="10"/>
  <c r="L1691" i="10"/>
  <c r="K1691" i="10"/>
  <c r="J1691" i="10"/>
  <c r="I1691" i="10"/>
  <c r="H1691" i="10"/>
  <c r="G1691" i="10"/>
  <c r="F1691" i="10"/>
  <c r="E1691" i="10"/>
  <c r="D1691" i="10"/>
  <c r="C1691" i="10"/>
  <c r="B1691" i="10"/>
  <c r="L1690" i="10"/>
  <c r="K1690" i="10"/>
  <c r="J1690" i="10"/>
  <c r="I1690" i="10"/>
  <c r="H1690" i="10"/>
  <c r="G1690" i="10"/>
  <c r="F1690" i="10"/>
  <c r="E1690" i="10"/>
  <c r="D1690" i="10"/>
  <c r="C1690" i="10"/>
  <c r="B1690" i="10"/>
  <c r="L1689" i="10"/>
  <c r="K1689" i="10"/>
  <c r="J1689" i="10"/>
  <c r="I1689" i="10"/>
  <c r="H1689" i="10"/>
  <c r="G1689" i="10"/>
  <c r="F1689" i="10"/>
  <c r="E1689" i="10"/>
  <c r="D1689" i="10"/>
  <c r="C1689" i="10"/>
  <c r="B1689" i="10"/>
  <c r="L1688" i="10"/>
  <c r="K1688" i="10"/>
  <c r="J1688" i="10"/>
  <c r="I1688" i="10"/>
  <c r="H1688" i="10"/>
  <c r="G1688" i="10"/>
  <c r="F1688" i="10"/>
  <c r="E1688" i="10"/>
  <c r="D1688" i="10"/>
  <c r="C1688" i="10"/>
  <c r="B1688" i="10"/>
  <c r="L1687" i="10"/>
  <c r="K1687" i="10"/>
  <c r="J1687" i="10"/>
  <c r="I1687" i="10"/>
  <c r="H1687" i="10"/>
  <c r="G1687" i="10"/>
  <c r="F1687" i="10"/>
  <c r="E1687" i="10"/>
  <c r="D1687" i="10"/>
  <c r="C1687" i="10"/>
  <c r="B1687" i="10"/>
  <c r="L1686" i="10"/>
  <c r="K1686" i="10"/>
  <c r="J1686" i="10"/>
  <c r="I1686" i="10"/>
  <c r="H1686" i="10"/>
  <c r="G1686" i="10"/>
  <c r="F1686" i="10"/>
  <c r="E1686" i="10"/>
  <c r="D1686" i="10"/>
  <c r="C1686" i="10"/>
  <c r="B1686" i="10"/>
  <c r="L1685" i="10"/>
  <c r="K1685" i="10"/>
  <c r="J1685" i="10"/>
  <c r="I1685" i="10"/>
  <c r="H1685" i="10"/>
  <c r="G1685" i="10"/>
  <c r="F1685" i="10"/>
  <c r="E1685" i="10"/>
  <c r="D1685" i="10"/>
  <c r="C1685" i="10"/>
  <c r="B1685" i="10"/>
  <c r="L1684" i="10"/>
  <c r="L1695" i="10" s="1"/>
  <c r="K1684" i="10"/>
  <c r="K1695" i="10" s="1"/>
  <c r="J1684" i="10"/>
  <c r="J1695" i="10" s="1"/>
  <c r="I1684" i="10"/>
  <c r="I1695" i="10" s="1"/>
  <c r="H1684" i="10"/>
  <c r="H1695" i="10" s="1"/>
  <c r="G1684" i="10"/>
  <c r="G1695" i="10" s="1"/>
  <c r="F1684" i="10"/>
  <c r="F1695" i="10" s="1"/>
  <c r="K1682" i="10" s="1"/>
  <c r="E1684" i="10"/>
  <c r="E1695" i="10" s="1"/>
  <c r="D1684" i="10"/>
  <c r="C1684" i="10"/>
  <c r="B1684" i="10"/>
  <c r="M1682" i="10"/>
  <c r="M1681" i="10"/>
  <c r="L1678" i="10"/>
  <c r="K1678" i="10"/>
  <c r="J1678" i="10"/>
  <c r="I1678" i="10"/>
  <c r="H1678" i="10"/>
  <c r="G1678" i="10"/>
  <c r="F1678" i="10"/>
  <c r="E1678" i="10"/>
  <c r="D1678" i="10"/>
  <c r="C1678" i="10"/>
  <c r="B1678" i="10"/>
  <c r="L1677" i="10"/>
  <c r="K1677" i="10"/>
  <c r="J1677" i="10"/>
  <c r="I1677" i="10"/>
  <c r="H1677" i="10"/>
  <c r="G1677" i="10"/>
  <c r="F1677" i="10"/>
  <c r="E1677" i="10"/>
  <c r="D1677" i="10"/>
  <c r="C1677" i="10"/>
  <c r="B1677" i="10"/>
  <c r="L1676" i="10"/>
  <c r="K1676" i="10"/>
  <c r="J1676" i="10"/>
  <c r="I1676" i="10"/>
  <c r="H1676" i="10"/>
  <c r="G1676" i="10"/>
  <c r="F1676" i="10"/>
  <c r="E1676" i="10"/>
  <c r="D1676" i="10"/>
  <c r="C1676" i="10"/>
  <c r="B1676" i="10"/>
  <c r="L1675" i="10"/>
  <c r="K1675" i="10"/>
  <c r="J1675" i="10"/>
  <c r="I1675" i="10"/>
  <c r="H1675" i="10"/>
  <c r="G1675" i="10"/>
  <c r="F1675" i="10"/>
  <c r="E1675" i="10"/>
  <c r="D1675" i="10"/>
  <c r="C1675" i="10"/>
  <c r="B1675" i="10"/>
  <c r="L1674" i="10"/>
  <c r="K1674" i="10"/>
  <c r="J1674" i="10"/>
  <c r="I1674" i="10"/>
  <c r="H1674" i="10"/>
  <c r="G1674" i="10"/>
  <c r="F1674" i="10"/>
  <c r="E1674" i="10"/>
  <c r="D1674" i="10"/>
  <c r="C1674" i="10"/>
  <c r="B1674" i="10"/>
  <c r="L1673" i="10"/>
  <c r="K1673" i="10"/>
  <c r="J1673" i="10"/>
  <c r="I1673" i="10"/>
  <c r="H1673" i="10"/>
  <c r="G1673" i="10"/>
  <c r="F1673" i="10"/>
  <c r="E1673" i="10"/>
  <c r="D1673" i="10"/>
  <c r="C1673" i="10"/>
  <c r="B1673" i="10"/>
  <c r="L1672" i="10"/>
  <c r="K1672" i="10"/>
  <c r="J1672" i="10"/>
  <c r="I1672" i="10"/>
  <c r="H1672" i="10"/>
  <c r="G1672" i="10"/>
  <c r="F1672" i="10"/>
  <c r="E1672" i="10"/>
  <c r="D1672" i="10"/>
  <c r="C1672" i="10"/>
  <c r="B1672" i="10"/>
  <c r="L1671" i="10"/>
  <c r="K1671" i="10"/>
  <c r="J1671" i="10"/>
  <c r="I1671" i="10"/>
  <c r="H1671" i="10"/>
  <c r="G1671" i="10"/>
  <c r="F1671" i="10"/>
  <c r="E1671" i="10"/>
  <c r="D1671" i="10"/>
  <c r="C1671" i="10"/>
  <c r="B1671" i="10"/>
  <c r="L1670" i="10"/>
  <c r="K1670" i="10"/>
  <c r="J1670" i="10"/>
  <c r="I1670" i="10"/>
  <c r="H1670" i="10"/>
  <c r="G1670" i="10"/>
  <c r="F1670" i="10"/>
  <c r="E1670" i="10"/>
  <c r="D1670" i="10"/>
  <c r="C1670" i="10"/>
  <c r="B1670" i="10"/>
  <c r="L1669" i="10"/>
  <c r="K1669" i="10"/>
  <c r="J1669" i="10"/>
  <c r="I1669" i="10"/>
  <c r="H1669" i="10"/>
  <c r="G1669" i="10"/>
  <c r="F1669" i="10"/>
  <c r="E1669" i="10"/>
  <c r="D1669" i="10"/>
  <c r="C1669" i="10"/>
  <c r="B1669" i="10"/>
  <c r="L1668" i="10"/>
  <c r="L1679" i="10" s="1"/>
  <c r="K1668" i="10"/>
  <c r="K1679" i="10" s="1"/>
  <c r="J1668" i="10"/>
  <c r="J1679" i="10" s="1"/>
  <c r="I1668" i="10"/>
  <c r="I1679" i="10" s="1"/>
  <c r="H1668" i="10"/>
  <c r="H1679" i="10" s="1"/>
  <c r="G1668" i="10"/>
  <c r="G1679" i="10" s="1"/>
  <c r="F1668" i="10"/>
  <c r="F1679" i="10" s="1"/>
  <c r="K1666" i="10" s="1"/>
  <c r="E1668" i="10"/>
  <c r="E1679" i="10" s="1"/>
  <c r="D1668" i="10"/>
  <c r="C1668" i="10"/>
  <c r="B1668" i="10"/>
  <c r="M1666" i="10"/>
  <c r="M1665" i="10"/>
  <c r="H1663" i="10"/>
  <c r="L1662" i="10"/>
  <c r="K1662" i="10"/>
  <c r="J1662" i="10"/>
  <c r="I1662" i="10"/>
  <c r="H1662" i="10"/>
  <c r="G1662" i="10"/>
  <c r="F1662" i="10"/>
  <c r="E1662" i="10"/>
  <c r="D1662" i="10"/>
  <c r="C1662" i="10"/>
  <c r="B1662" i="10"/>
  <c r="L1661" i="10"/>
  <c r="K1661" i="10"/>
  <c r="J1661" i="10"/>
  <c r="I1661" i="10"/>
  <c r="H1661" i="10"/>
  <c r="G1661" i="10"/>
  <c r="F1661" i="10"/>
  <c r="E1661" i="10"/>
  <c r="D1661" i="10"/>
  <c r="C1661" i="10"/>
  <c r="B1661" i="10"/>
  <c r="L1660" i="10"/>
  <c r="K1660" i="10"/>
  <c r="J1660" i="10"/>
  <c r="I1660" i="10"/>
  <c r="H1660" i="10"/>
  <c r="G1660" i="10"/>
  <c r="F1660" i="10"/>
  <c r="E1660" i="10"/>
  <c r="D1660" i="10"/>
  <c r="C1660" i="10"/>
  <c r="B1660" i="10"/>
  <c r="L1659" i="10"/>
  <c r="K1659" i="10"/>
  <c r="J1659" i="10"/>
  <c r="I1659" i="10"/>
  <c r="H1659" i="10"/>
  <c r="G1659" i="10"/>
  <c r="F1659" i="10"/>
  <c r="E1659" i="10"/>
  <c r="D1659" i="10"/>
  <c r="C1659" i="10"/>
  <c r="B1659" i="10"/>
  <c r="L1658" i="10"/>
  <c r="K1658" i="10"/>
  <c r="J1658" i="10"/>
  <c r="I1658" i="10"/>
  <c r="H1658" i="10"/>
  <c r="G1658" i="10"/>
  <c r="F1658" i="10"/>
  <c r="E1658" i="10"/>
  <c r="D1658" i="10"/>
  <c r="C1658" i="10"/>
  <c r="B1658" i="10"/>
  <c r="L1657" i="10"/>
  <c r="K1657" i="10"/>
  <c r="J1657" i="10"/>
  <c r="I1657" i="10"/>
  <c r="H1657" i="10"/>
  <c r="G1657" i="10"/>
  <c r="F1657" i="10"/>
  <c r="E1657" i="10"/>
  <c r="D1657" i="10"/>
  <c r="C1657" i="10"/>
  <c r="B1657" i="10"/>
  <c r="L1656" i="10"/>
  <c r="K1656" i="10"/>
  <c r="J1656" i="10"/>
  <c r="I1656" i="10"/>
  <c r="H1656" i="10"/>
  <c r="G1656" i="10"/>
  <c r="F1656" i="10"/>
  <c r="E1656" i="10"/>
  <c r="D1656" i="10"/>
  <c r="C1656" i="10"/>
  <c r="B1656" i="10"/>
  <c r="L1655" i="10"/>
  <c r="K1655" i="10"/>
  <c r="J1655" i="10"/>
  <c r="I1655" i="10"/>
  <c r="H1655" i="10"/>
  <c r="G1655" i="10"/>
  <c r="F1655" i="10"/>
  <c r="E1655" i="10"/>
  <c r="D1655" i="10"/>
  <c r="C1655" i="10"/>
  <c r="B1655" i="10"/>
  <c r="L1654" i="10"/>
  <c r="K1654" i="10"/>
  <c r="J1654" i="10"/>
  <c r="I1654" i="10"/>
  <c r="H1654" i="10"/>
  <c r="G1654" i="10"/>
  <c r="F1654" i="10"/>
  <c r="E1654" i="10"/>
  <c r="D1654" i="10"/>
  <c r="C1654" i="10"/>
  <c r="B1654" i="10"/>
  <c r="L1653" i="10"/>
  <c r="K1653" i="10"/>
  <c r="J1653" i="10"/>
  <c r="I1653" i="10"/>
  <c r="H1653" i="10"/>
  <c r="G1653" i="10"/>
  <c r="F1653" i="10"/>
  <c r="E1653" i="10"/>
  <c r="D1653" i="10"/>
  <c r="C1653" i="10"/>
  <c r="B1653" i="10"/>
  <c r="L1652" i="10"/>
  <c r="L1663" i="10" s="1"/>
  <c r="K1652" i="10"/>
  <c r="K1663" i="10" s="1"/>
  <c r="J1652" i="10"/>
  <c r="J1663" i="10" s="1"/>
  <c r="I1652" i="10"/>
  <c r="I1663" i="10" s="1"/>
  <c r="H1652" i="10"/>
  <c r="G1652" i="10"/>
  <c r="G1663" i="10" s="1"/>
  <c r="F1652" i="10"/>
  <c r="F1663" i="10" s="1"/>
  <c r="K1650" i="10" s="1"/>
  <c r="E1652" i="10"/>
  <c r="E1663" i="10" s="1"/>
  <c r="D1652" i="10"/>
  <c r="C1652" i="10"/>
  <c r="B1652" i="10"/>
  <c r="M1650" i="10"/>
  <c r="M1649" i="10"/>
  <c r="H1647" i="10"/>
  <c r="L1646" i="10"/>
  <c r="K1646" i="10"/>
  <c r="J1646" i="10"/>
  <c r="I1646" i="10"/>
  <c r="H1646" i="10"/>
  <c r="G1646" i="10"/>
  <c r="F1646" i="10"/>
  <c r="E1646" i="10"/>
  <c r="D1646" i="10"/>
  <c r="C1646" i="10"/>
  <c r="B1646" i="10"/>
  <c r="L1645" i="10"/>
  <c r="K1645" i="10"/>
  <c r="J1645" i="10"/>
  <c r="I1645" i="10"/>
  <c r="H1645" i="10"/>
  <c r="G1645" i="10"/>
  <c r="F1645" i="10"/>
  <c r="E1645" i="10"/>
  <c r="D1645" i="10"/>
  <c r="C1645" i="10"/>
  <c r="B1645" i="10"/>
  <c r="L1644" i="10"/>
  <c r="K1644" i="10"/>
  <c r="J1644" i="10"/>
  <c r="I1644" i="10"/>
  <c r="H1644" i="10"/>
  <c r="G1644" i="10"/>
  <c r="F1644" i="10"/>
  <c r="E1644" i="10"/>
  <c r="D1644" i="10"/>
  <c r="C1644" i="10"/>
  <c r="B1644" i="10"/>
  <c r="L1643" i="10"/>
  <c r="K1643" i="10"/>
  <c r="J1643" i="10"/>
  <c r="I1643" i="10"/>
  <c r="H1643" i="10"/>
  <c r="G1643" i="10"/>
  <c r="F1643" i="10"/>
  <c r="E1643" i="10"/>
  <c r="D1643" i="10"/>
  <c r="C1643" i="10"/>
  <c r="B1643" i="10"/>
  <c r="L1642" i="10"/>
  <c r="K1642" i="10"/>
  <c r="J1642" i="10"/>
  <c r="I1642" i="10"/>
  <c r="H1642" i="10"/>
  <c r="G1642" i="10"/>
  <c r="F1642" i="10"/>
  <c r="E1642" i="10"/>
  <c r="D1642" i="10"/>
  <c r="C1642" i="10"/>
  <c r="B1642" i="10"/>
  <c r="L1641" i="10"/>
  <c r="K1641" i="10"/>
  <c r="J1641" i="10"/>
  <c r="I1641" i="10"/>
  <c r="H1641" i="10"/>
  <c r="G1641" i="10"/>
  <c r="F1641" i="10"/>
  <c r="E1641" i="10"/>
  <c r="D1641" i="10"/>
  <c r="C1641" i="10"/>
  <c r="B1641" i="10"/>
  <c r="L1640" i="10"/>
  <c r="K1640" i="10"/>
  <c r="J1640" i="10"/>
  <c r="I1640" i="10"/>
  <c r="H1640" i="10"/>
  <c r="G1640" i="10"/>
  <c r="F1640" i="10"/>
  <c r="E1640" i="10"/>
  <c r="D1640" i="10"/>
  <c r="C1640" i="10"/>
  <c r="B1640" i="10"/>
  <c r="L1639" i="10"/>
  <c r="K1639" i="10"/>
  <c r="J1639" i="10"/>
  <c r="I1639" i="10"/>
  <c r="H1639" i="10"/>
  <c r="G1639" i="10"/>
  <c r="F1639" i="10"/>
  <c r="E1639" i="10"/>
  <c r="D1639" i="10"/>
  <c r="C1639" i="10"/>
  <c r="B1639" i="10"/>
  <c r="L1638" i="10"/>
  <c r="K1638" i="10"/>
  <c r="J1638" i="10"/>
  <c r="I1638" i="10"/>
  <c r="H1638" i="10"/>
  <c r="G1638" i="10"/>
  <c r="F1638" i="10"/>
  <c r="E1638" i="10"/>
  <c r="D1638" i="10"/>
  <c r="C1638" i="10"/>
  <c r="B1638" i="10"/>
  <c r="L1637" i="10"/>
  <c r="K1637" i="10"/>
  <c r="J1637" i="10"/>
  <c r="I1637" i="10"/>
  <c r="H1637" i="10"/>
  <c r="G1637" i="10"/>
  <c r="F1637" i="10"/>
  <c r="E1637" i="10"/>
  <c r="D1637" i="10"/>
  <c r="C1637" i="10"/>
  <c r="B1637" i="10"/>
  <c r="L1636" i="10"/>
  <c r="L1647" i="10" s="1"/>
  <c r="K1636" i="10"/>
  <c r="K1647" i="10" s="1"/>
  <c r="J1636" i="10"/>
  <c r="J1647" i="10" s="1"/>
  <c r="I1636" i="10"/>
  <c r="I1647" i="10" s="1"/>
  <c r="H1636" i="10"/>
  <c r="G1636" i="10"/>
  <c r="G1647" i="10" s="1"/>
  <c r="F1636" i="10"/>
  <c r="F1647" i="10" s="1"/>
  <c r="K1634" i="10" s="1"/>
  <c r="E1636" i="10"/>
  <c r="E1647" i="10" s="1"/>
  <c r="D1636" i="10"/>
  <c r="C1636" i="10"/>
  <c r="B1636" i="10"/>
  <c r="M1634" i="10"/>
  <c r="M1633" i="10"/>
  <c r="L1630" i="10"/>
  <c r="K1630" i="10"/>
  <c r="J1630" i="10"/>
  <c r="I1630" i="10"/>
  <c r="H1630" i="10"/>
  <c r="G1630" i="10"/>
  <c r="F1630" i="10"/>
  <c r="E1630" i="10"/>
  <c r="D1630" i="10"/>
  <c r="C1630" i="10"/>
  <c r="B1630" i="10"/>
  <c r="L1629" i="10"/>
  <c r="K1629" i="10"/>
  <c r="J1629" i="10"/>
  <c r="I1629" i="10"/>
  <c r="H1629" i="10"/>
  <c r="G1629" i="10"/>
  <c r="F1629" i="10"/>
  <c r="E1629" i="10"/>
  <c r="D1629" i="10"/>
  <c r="C1629" i="10"/>
  <c r="B1629" i="10"/>
  <c r="L1628" i="10"/>
  <c r="K1628" i="10"/>
  <c r="J1628" i="10"/>
  <c r="I1628" i="10"/>
  <c r="H1628" i="10"/>
  <c r="G1628" i="10"/>
  <c r="F1628" i="10"/>
  <c r="E1628" i="10"/>
  <c r="D1628" i="10"/>
  <c r="C1628" i="10"/>
  <c r="B1628" i="10"/>
  <c r="L1627" i="10"/>
  <c r="K1627" i="10"/>
  <c r="J1627" i="10"/>
  <c r="I1627" i="10"/>
  <c r="H1627" i="10"/>
  <c r="G1627" i="10"/>
  <c r="F1627" i="10"/>
  <c r="E1627" i="10"/>
  <c r="D1627" i="10"/>
  <c r="C1627" i="10"/>
  <c r="B1627" i="10"/>
  <c r="L1626" i="10"/>
  <c r="K1626" i="10"/>
  <c r="J1626" i="10"/>
  <c r="I1626" i="10"/>
  <c r="H1626" i="10"/>
  <c r="G1626" i="10"/>
  <c r="F1626" i="10"/>
  <c r="E1626" i="10"/>
  <c r="D1626" i="10"/>
  <c r="C1626" i="10"/>
  <c r="B1626" i="10"/>
  <c r="L1625" i="10"/>
  <c r="K1625" i="10"/>
  <c r="J1625" i="10"/>
  <c r="I1625" i="10"/>
  <c r="H1625" i="10"/>
  <c r="G1625" i="10"/>
  <c r="F1625" i="10"/>
  <c r="E1625" i="10"/>
  <c r="D1625" i="10"/>
  <c r="C1625" i="10"/>
  <c r="B1625" i="10"/>
  <c r="L1624" i="10"/>
  <c r="K1624" i="10"/>
  <c r="J1624" i="10"/>
  <c r="I1624" i="10"/>
  <c r="H1624" i="10"/>
  <c r="G1624" i="10"/>
  <c r="F1624" i="10"/>
  <c r="E1624" i="10"/>
  <c r="D1624" i="10"/>
  <c r="C1624" i="10"/>
  <c r="B1624" i="10"/>
  <c r="L1623" i="10"/>
  <c r="K1623" i="10"/>
  <c r="J1623" i="10"/>
  <c r="I1623" i="10"/>
  <c r="H1623" i="10"/>
  <c r="G1623" i="10"/>
  <c r="F1623" i="10"/>
  <c r="E1623" i="10"/>
  <c r="D1623" i="10"/>
  <c r="C1623" i="10"/>
  <c r="B1623" i="10"/>
  <c r="L1622" i="10"/>
  <c r="K1622" i="10"/>
  <c r="J1622" i="10"/>
  <c r="I1622" i="10"/>
  <c r="H1622" i="10"/>
  <c r="G1622" i="10"/>
  <c r="F1622" i="10"/>
  <c r="E1622" i="10"/>
  <c r="D1622" i="10"/>
  <c r="C1622" i="10"/>
  <c r="B1622" i="10"/>
  <c r="L1621" i="10"/>
  <c r="K1621" i="10"/>
  <c r="J1621" i="10"/>
  <c r="I1621" i="10"/>
  <c r="H1621" i="10"/>
  <c r="G1621" i="10"/>
  <c r="F1621" i="10"/>
  <c r="E1621" i="10"/>
  <c r="D1621" i="10"/>
  <c r="C1621" i="10"/>
  <c r="B1621" i="10"/>
  <c r="L1620" i="10"/>
  <c r="L1631" i="10" s="1"/>
  <c r="K1620" i="10"/>
  <c r="K1631" i="10" s="1"/>
  <c r="J1620" i="10"/>
  <c r="J1631" i="10" s="1"/>
  <c r="I1620" i="10"/>
  <c r="I1631" i="10" s="1"/>
  <c r="H1620" i="10"/>
  <c r="H1631" i="10" s="1"/>
  <c r="G1620" i="10"/>
  <c r="G1631" i="10" s="1"/>
  <c r="F1620" i="10"/>
  <c r="F1631" i="10" s="1"/>
  <c r="K1618" i="10" s="1"/>
  <c r="E1620" i="10"/>
  <c r="E1631" i="10" s="1"/>
  <c r="D1620" i="10"/>
  <c r="C1620" i="10"/>
  <c r="B1620" i="10"/>
  <c r="M1618" i="10"/>
  <c r="M1617" i="10"/>
  <c r="L1614" i="10"/>
  <c r="K1614" i="10"/>
  <c r="J1614" i="10"/>
  <c r="I1614" i="10"/>
  <c r="H1614" i="10"/>
  <c r="G1614" i="10"/>
  <c r="F1614" i="10"/>
  <c r="E1614" i="10"/>
  <c r="D1614" i="10"/>
  <c r="C1614" i="10"/>
  <c r="B1614" i="10"/>
  <c r="L1613" i="10"/>
  <c r="K1613" i="10"/>
  <c r="J1613" i="10"/>
  <c r="I1613" i="10"/>
  <c r="H1613" i="10"/>
  <c r="G1613" i="10"/>
  <c r="F1613" i="10"/>
  <c r="E1613" i="10"/>
  <c r="D1613" i="10"/>
  <c r="C1613" i="10"/>
  <c r="B1613" i="10"/>
  <c r="L1612" i="10"/>
  <c r="K1612" i="10"/>
  <c r="J1612" i="10"/>
  <c r="I1612" i="10"/>
  <c r="H1612" i="10"/>
  <c r="G1612" i="10"/>
  <c r="F1612" i="10"/>
  <c r="E1612" i="10"/>
  <c r="D1612" i="10"/>
  <c r="C1612" i="10"/>
  <c r="B1612" i="10"/>
  <c r="L1611" i="10"/>
  <c r="K1611" i="10"/>
  <c r="J1611" i="10"/>
  <c r="I1611" i="10"/>
  <c r="H1611" i="10"/>
  <c r="G1611" i="10"/>
  <c r="F1611" i="10"/>
  <c r="E1611" i="10"/>
  <c r="D1611" i="10"/>
  <c r="C1611" i="10"/>
  <c r="B1611" i="10"/>
  <c r="L1610" i="10"/>
  <c r="K1610" i="10"/>
  <c r="J1610" i="10"/>
  <c r="I1610" i="10"/>
  <c r="H1610" i="10"/>
  <c r="G1610" i="10"/>
  <c r="F1610" i="10"/>
  <c r="E1610" i="10"/>
  <c r="D1610" i="10"/>
  <c r="C1610" i="10"/>
  <c r="B1610" i="10"/>
  <c r="L1609" i="10"/>
  <c r="K1609" i="10"/>
  <c r="J1609" i="10"/>
  <c r="I1609" i="10"/>
  <c r="H1609" i="10"/>
  <c r="G1609" i="10"/>
  <c r="F1609" i="10"/>
  <c r="E1609" i="10"/>
  <c r="D1609" i="10"/>
  <c r="C1609" i="10"/>
  <c r="B1609" i="10"/>
  <c r="L1608" i="10"/>
  <c r="K1608" i="10"/>
  <c r="J1608" i="10"/>
  <c r="I1608" i="10"/>
  <c r="H1608" i="10"/>
  <c r="G1608" i="10"/>
  <c r="F1608" i="10"/>
  <c r="E1608" i="10"/>
  <c r="D1608" i="10"/>
  <c r="C1608" i="10"/>
  <c r="B1608" i="10"/>
  <c r="L1607" i="10"/>
  <c r="K1607" i="10"/>
  <c r="J1607" i="10"/>
  <c r="I1607" i="10"/>
  <c r="H1607" i="10"/>
  <c r="G1607" i="10"/>
  <c r="F1607" i="10"/>
  <c r="E1607" i="10"/>
  <c r="D1607" i="10"/>
  <c r="C1607" i="10"/>
  <c r="B1607" i="10"/>
  <c r="L1606" i="10"/>
  <c r="K1606" i="10"/>
  <c r="J1606" i="10"/>
  <c r="I1606" i="10"/>
  <c r="H1606" i="10"/>
  <c r="G1606" i="10"/>
  <c r="F1606" i="10"/>
  <c r="E1606" i="10"/>
  <c r="D1606" i="10"/>
  <c r="C1606" i="10"/>
  <c r="B1606" i="10"/>
  <c r="L1605" i="10"/>
  <c r="K1605" i="10"/>
  <c r="J1605" i="10"/>
  <c r="I1605" i="10"/>
  <c r="H1605" i="10"/>
  <c r="G1605" i="10"/>
  <c r="F1605" i="10"/>
  <c r="E1605" i="10"/>
  <c r="D1605" i="10"/>
  <c r="C1605" i="10"/>
  <c r="B1605" i="10"/>
  <c r="L1604" i="10"/>
  <c r="L1615" i="10" s="1"/>
  <c r="K1604" i="10"/>
  <c r="K1615" i="10" s="1"/>
  <c r="J1604" i="10"/>
  <c r="J1615" i="10" s="1"/>
  <c r="I1604" i="10"/>
  <c r="I1615" i="10" s="1"/>
  <c r="H1604" i="10"/>
  <c r="H1615" i="10" s="1"/>
  <c r="G1604" i="10"/>
  <c r="G1615" i="10" s="1"/>
  <c r="F1604" i="10"/>
  <c r="F1615" i="10" s="1"/>
  <c r="K1602" i="10" s="1"/>
  <c r="E1604" i="10"/>
  <c r="E1615" i="10" s="1"/>
  <c r="D1604" i="10"/>
  <c r="C1604" i="10"/>
  <c r="B1604" i="10"/>
  <c r="M1602" i="10"/>
  <c r="M1601" i="10"/>
  <c r="H1599" i="10"/>
  <c r="L1598" i="10"/>
  <c r="K1598" i="10"/>
  <c r="J1598" i="10"/>
  <c r="I1598" i="10"/>
  <c r="H1598" i="10"/>
  <c r="G1598" i="10"/>
  <c r="F1598" i="10"/>
  <c r="E1598" i="10"/>
  <c r="D1598" i="10"/>
  <c r="C1598" i="10"/>
  <c r="B1598" i="10"/>
  <c r="L1597" i="10"/>
  <c r="K1597" i="10"/>
  <c r="J1597" i="10"/>
  <c r="I1597" i="10"/>
  <c r="H1597" i="10"/>
  <c r="G1597" i="10"/>
  <c r="F1597" i="10"/>
  <c r="E1597" i="10"/>
  <c r="D1597" i="10"/>
  <c r="C1597" i="10"/>
  <c r="B1597" i="10"/>
  <c r="L1596" i="10"/>
  <c r="K1596" i="10"/>
  <c r="J1596" i="10"/>
  <c r="I1596" i="10"/>
  <c r="H1596" i="10"/>
  <c r="G1596" i="10"/>
  <c r="F1596" i="10"/>
  <c r="E1596" i="10"/>
  <c r="D1596" i="10"/>
  <c r="C1596" i="10"/>
  <c r="B1596" i="10"/>
  <c r="L1595" i="10"/>
  <c r="K1595" i="10"/>
  <c r="J1595" i="10"/>
  <c r="I1595" i="10"/>
  <c r="H1595" i="10"/>
  <c r="G1595" i="10"/>
  <c r="F1595" i="10"/>
  <c r="E1595" i="10"/>
  <c r="D1595" i="10"/>
  <c r="C1595" i="10"/>
  <c r="B1595" i="10"/>
  <c r="L1594" i="10"/>
  <c r="K1594" i="10"/>
  <c r="J1594" i="10"/>
  <c r="I1594" i="10"/>
  <c r="H1594" i="10"/>
  <c r="G1594" i="10"/>
  <c r="F1594" i="10"/>
  <c r="E1594" i="10"/>
  <c r="D1594" i="10"/>
  <c r="C1594" i="10"/>
  <c r="B1594" i="10"/>
  <c r="L1593" i="10"/>
  <c r="K1593" i="10"/>
  <c r="J1593" i="10"/>
  <c r="I1593" i="10"/>
  <c r="H1593" i="10"/>
  <c r="G1593" i="10"/>
  <c r="F1593" i="10"/>
  <c r="E1593" i="10"/>
  <c r="D1593" i="10"/>
  <c r="C1593" i="10"/>
  <c r="B1593" i="10"/>
  <c r="L1592" i="10"/>
  <c r="K1592" i="10"/>
  <c r="J1592" i="10"/>
  <c r="I1592" i="10"/>
  <c r="H1592" i="10"/>
  <c r="G1592" i="10"/>
  <c r="F1592" i="10"/>
  <c r="E1592" i="10"/>
  <c r="D1592" i="10"/>
  <c r="C1592" i="10"/>
  <c r="B1592" i="10"/>
  <c r="L1591" i="10"/>
  <c r="K1591" i="10"/>
  <c r="J1591" i="10"/>
  <c r="I1591" i="10"/>
  <c r="H1591" i="10"/>
  <c r="G1591" i="10"/>
  <c r="F1591" i="10"/>
  <c r="E1591" i="10"/>
  <c r="D1591" i="10"/>
  <c r="C1591" i="10"/>
  <c r="B1591" i="10"/>
  <c r="L1590" i="10"/>
  <c r="K1590" i="10"/>
  <c r="J1590" i="10"/>
  <c r="I1590" i="10"/>
  <c r="H1590" i="10"/>
  <c r="G1590" i="10"/>
  <c r="F1590" i="10"/>
  <c r="E1590" i="10"/>
  <c r="D1590" i="10"/>
  <c r="C1590" i="10"/>
  <c r="B1590" i="10"/>
  <c r="L1589" i="10"/>
  <c r="K1589" i="10"/>
  <c r="J1589" i="10"/>
  <c r="I1589" i="10"/>
  <c r="H1589" i="10"/>
  <c r="G1589" i="10"/>
  <c r="F1589" i="10"/>
  <c r="E1589" i="10"/>
  <c r="D1589" i="10"/>
  <c r="C1589" i="10"/>
  <c r="B1589" i="10"/>
  <c r="L1588" i="10"/>
  <c r="L1599" i="10" s="1"/>
  <c r="K1588" i="10"/>
  <c r="K1599" i="10" s="1"/>
  <c r="J1588" i="10"/>
  <c r="J1599" i="10" s="1"/>
  <c r="I1588" i="10"/>
  <c r="I1599" i="10" s="1"/>
  <c r="H1588" i="10"/>
  <c r="G1588" i="10"/>
  <c r="G1599" i="10" s="1"/>
  <c r="F1588" i="10"/>
  <c r="F1599" i="10" s="1"/>
  <c r="K1586" i="10" s="1"/>
  <c r="E1588" i="10"/>
  <c r="E1599" i="10" s="1"/>
  <c r="D1588" i="10"/>
  <c r="C1588" i="10"/>
  <c r="B1588" i="10"/>
  <c r="M1586" i="10"/>
  <c r="M1585" i="10"/>
  <c r="H1583" i="10"/>
  <c r="L1582" i="10"/>
  <c r="K1582" i="10"/>
  <c r="J1582" i="10"/>
  <c r="I1582" i="10"/>
  <c r="H1582" i="10"/>
  <c r="G1582" i="10"/>
  <c r="F1582" i="10"/>
  <c r="E1582" i="10"/>
  <c r="D1582" i="10"/>
  <c r="C1582" i="10"/>
  <c r="B1582" i="10"/>
  <c r="L1581" i="10"/>
  <c r="K1581" i="10"/>
  <c r="J1581" i="10"/>
  <c r="I1581" i="10"/>
  <c r="H1581" i="10"/>
  <c r="G1581" i="10"/>
  <c r="F1581" i="10"/>
  <c r="E1581" i="10"/>
  <c r="D1581" i="10"/>
  <c r="C1581" i="10"/>
  <c r="B1581" i="10"/>
  <c r="L1580" i="10"/>
  <c r="K1580" i="10"/>
  <c r="J1580" i="10"/>
  <c r="I1580" i="10"/>
  <c r="H1580" i="10"/>
  <c r="G1580" i="10"/>
  <c r="F1580" i="10"/>
  <c r="E1580" i="10"/>
  <c r="D1580" i="10"/>
  <c r="C1580" i="10"/>
  <c r="B1580" i="10"/>
  <c r="L1579" i="10"/>
  <c r="K1579" i="10"/>
  <c r="J1579" i="10"/>
  <c r="I1579" i="10"/>
  <c r="H1579" i="10"/>
  <c r="G1579" i="10"/>
  <c r="F1579" i="10"/>
  <c r="E1579" i="10"/>
  <c r="D1579" i="10"/>
  <c r="C1579" i="10"/>
  <c r="B1579" i="10"/>
  <c r="L1578" i="10"/>
  <c r="K1578" i="10"/>
  <c r="J1578" i="10"/>
  <c r="I1578" i="10"/>
  <c r="H1578" i="10"/>
  <c r="G1578" i="10"/>
  <c r="F1578" i="10"/>
  <c r="E1578" i="10"/>
  <c r="D1578" i="10"/>
  <c r="C1578" i="10"/>
  <c r="B1578" i="10"/>
  <c r="L1577" i="10"/>
  <c r="K1577" i="10"/>
  <c r="J1577" i="10"/>
  <c r="I1577" i="10"/>
  <c r="H1577" i="10"/>
  <c r="G1577" i="10"/>
  <c r="F1577" i="10"/>
  <c r="E1577" i="10"/>
  <c r="D1577" i="10"/>
  <c r="C1577" i="10"/>
  <c r="B1577" i="10"/>
  <c r="L1576" i="10"/>
  <c r="K1576" i="10"/>
  <c r="J1576" i="10"/>
  <c r="I1576" i="10"/>
  <c r="H1576" i="10"/>
  <c r="G1576" i="10"/>
  <c r="F1576" i="10"/>
  <c r="E1576" i="10"/>
  <c r="D1576" i="10"/>
  <c r="C1576" i="10"/>
  <c r="B1576" i="10"/>
  <c r="L1575" i="10"/>
  <c r="K1575" i="10"/>
  <c r="J1575" i="10"/>
  <c r="I1575" i="10"/>
  <c r="H1575" i="10"/>
  <c r="G1575" i="10"/>
  <c r="F1575" i="10"/>
  <c r="E1575" i="10"/>
  <c r="D1575" i="10"/>
  <c r="C1575" i="10"/>
  <c r="B1575" i="10"/>
  <c r="L1574" i="10"/>
  <c r="K1574" i="10"/>
  <c r="J1574" i="10"/>
  <c r="I1574" i="10"/>
  <c r="H1574" i="10"/>
  <c r="G1574" i="10"/>
  <c r="F1574" i="10"/>
  <c r="E1574" i="10"/>
  <c r="D1574" i="10"/>
  <c r="C1574" i="10"/>
  <c r="B1574" i="10"/>
  <c r="L1573" i="10"/>
  <c r="K1573" i="10"/>
  <c r="J1573" i="10"/>
  <c r="I1573" i="10"/>
  <c r="H1573" i="10"/>
  <c r="G1573" i="10"/>
  <c r="F1573" i="10"/>
  <c r="E1573" i="10"/>
  <c r="D1573" i="10"/>
  <c r="C1573" i="10"/>
  <c r="B1573" i="10"/>
  <c r="L1572" i="10"/>
  <c r="L1583" i="10" s="1"/>
  <c r="K1572" i="10"/>
  <c r="K1583" i="10" s="1"/>
  <c r="J1572" i="10"/>
  <c r="J1583" i="10" s="1"/>
  <c r="I1572" i="10"/>
  <c r="I1583" i="10" s="1"/>
  <c r="H1572" i="10"/>
  <c r="G1572" i="10"/>
  <c r="G1583" i="10" s="1"/>
  <c r="F1572" i="10"/>
  <c r="F1583" i="10" s="1"/>
  <c r="K1570" i="10" s="1"/>
  <c r="E1572" i="10"/>
  <c r="E1583" i="10" s="1"/>
  <c r="D1572" i="10"/>
  <c r="C1572" i="10"/>
  <c r="B1572" i="10"/>
  <c r="M1570" i="10"/>
  <c r="M1569" i="10"/>
  <c r="L1566" i="10"/>
  <c r="K1566" i="10"/>
  <c r="J1566" i="10"/>
  <c r="I1566" i="10"/>
  <c r="H1566" i="10"/>
  <c r="G1566" i="10"/>
  <c r="F1566" i="10"/>
  <c r="E1566" i="10"/>
  <c r="D1566" i="10"/>
  <c r="C1566" i="10"/>
  <c r="B1566" i="10"/>
  <c r="L1565" i="10"/>
  <c r="K1565" i="10"/>
  <c r="J1565" i="10"/>
  <c r="I1565" i="10"/>
  <c r="H1565" i="10"/>
  <c r="G1565" i="10"/>
  <c r="F1565" i="10"/>
  <c r="E1565" i="10"/>
  <c r="D1565" i="10"/>
  <c r="C1565" i="10"/>
  <c r="B1565" i="10"/>
  <c r="L1564" i="10"/>
  <c r="K1564" i="10"/>
  <c r="J1564" i="10"/>
  <c r="I1564" i="10"/>
  <c r="H1564" i="10"/>
  <c r="G1564" i="10"/>
  <c r="F1564" i="10"/>
  <c r="E1564" i="10"/>
  <c r="D1564" i="10"/>
  <c r="C1564" i="10"/>
  <c r="B1564" i="10"/>
  <c r="L1563" i="10"/>
  <c r="K1563" i="10"/>
  <c r="J1563" i="10"/>
  <c r="I1563" i="10"/>
  <c r="H1563" i="10"/>
  <c r="G1563" i="10"/>
  <c r="F1563" i="10"/>
  <c r="E1563" i="10"/>
  <c r="D1563" i="10"/>
  <c r="C1563" i="10"/>
  <c r="B1563" i="10"/>
  <c r="L1562" i="10"/>
  <c r="K1562" i="10"/>
  <c r="J1562" i="10"/>
  <c r="I1562" i="10"/>
  <c r="H1562" i="10"/>
  <c r="G1562" i="10"/>
  <c r="F1562" i="10"/>
  <c r="E1562" i="10"/>
  <c r="D1562" i="10"/>
  <c r="C1562" i="10"/>
  <c r="B1562" i="10"/>
  <c r="L1561" i="10"/>
  <c r="K1561" i="10"/>
  <c r="J1561" i="10"/>
  <c r="I1561" i="10"/>
  <c r="H1561" i="10"/>
  <c r="G1561" i="10"/>
  <c r="F1561" i="10"/>
  <c r="E1561" i="10"/>
  <c r="D1561" i="10"/>
  <c r="C1561" i="10"/>
  <c r="B1561" i="10"/>
  <c r="L1560" i="10"/>
  <c r="K1560" i="10"/>
  <c r="J1560" i="10"/>
  <c r="I1560" i="10"/>
  <c r="H1560" i="10"/>
  <c r="G1560" i="10"/>
  <c r="F1560" i="10"/>
  <c r="E1560" i="10"/>
  <c r="D1560" i="10"/>
  <c r="C1560" i="10"/>
  <c r="B1560" i="10"/>
  <c r="L1559" i="10"/>
  <c r="K1559" i="10"/>
  <c r="J1559" i="10"/>
  <c r="I1559" i="10"/>
  <c r="H1559" i="10"/>
  <c r="G1559" i="10"/>
  <c r="F1559" i="10"/>
  <c r="E1559" i="10"/>
  <c r="D1559" i="10"/>
  <c r="C1559" i="10"/>
  <c r="B1559" i="10"/>
  <c r="L1558" i="10"/>
  <c r="K1558" i="10"/>
  <c r="J1558" i="10"/>
  <c r="I1558" i="10"/>
  <c r="H1558" i="10"/>
  <c r="G1558" i="10"/>
  <c r="F1558" i="10"/>
  <c r="E1558" i="10"/>
  <c r="D1558" i="10"/>
  <c r="C1558" i="10"/>
  <c r="B1558" i="10"/>
  <c r="L1557" i="10"/>
  <c r="K1557" i="10"/>
  <c r="J1557" i="10"/>
  <c r="I1557" i="10"/>
  <c r="H1557" i="10"/>
  <c r="G1557" i="10"/>
  <c r="F1557" i="10"/>
  <c r="E1557" i="10"/>
  <c r="D1557" i="10"/>
  <c r="C1557" i="10"/>
  <c r="B1557" i="10"/>
  <c r="L1556" i="10"/>
  <c r="L1567" i="10" s="1"/>
  <c r="K1556" i="10"/>
  <c r="K1567" i="10" s="1"/>
  <c r="J1556" i="10"/>
  <c r="J1567" i="10" s="1"/>
  <c r="I1556" i="10"/>
  <c r="I1567" i="10" s="1"/>
  <c r="H1556" i="10"/>
  <c r="H1567" i="10" s="1"/>
  <c r="G1556" i="10"/>
  <c r="G1567" i="10" s="1"/>
  <c r="F1556" i="10"/>
  <c r="F1567" i="10" s="1"/>
  <c r="K1554" i="10" s="1"/>
  <c r="E1556" i="10"/>
  <c r="E1567" i="10" s="1"/>
  <c r="D1556" i="10"/>
  <c r="C1556" i="10"/>
  <c r="B1556" i="10"/>
  <c r="M1554" i="10"/>
  <c r="M1553" i="10"/>
  <c r="L1550" i="10"/>
  <c r="K1550" i="10"/>
  <c r="J1550" i="10"/>
  <c r="I1550" i="10"/>
  <c r="H1550" i="10"/>
  <c r="G1550" i="10"/>
  <c r="F1550" i="10"/>
  <c r="E1550" i="10"/>
  <c r="D1550" i="10"/>
  <c r="C1550" i="10"/>
  <c r="B1550" i="10"/>
  <c r="L1549" i="10"/>
  <c r="K1549" i="10"/>
  <c r="J1549" i="10"/>
  <c r="I1549" i="10"/>
  <c r="H1549" i="10"/>
  <c r="G1549" i="10"/>
  <c r="F1549" i="10"/>
  <c r="E1549" i="10"/>
  <c r="D1549" i="10"/>
  <c r="C1549" i="10"/>
  <c r="B1549" i="10"/>
  <c r="L1548" i="10"/>
  <c r="K1548" i="10"/>
  <c r="J1548" i="10"/>
  <c r="I1548" i="10"/>
  <c r="H1548" i="10"/>
  <c r="G1548" i="10"/>
  <c r="F1548" i="10"/>
  <c r="E1548" i="10"/>
  <c r="D1548" i="10"/>
  <c r="C1548" i="10"/>
  <c r="B1548" i="10"/>
  <c r="L1547" i="10"/>
  <c r="K1547" i="10"/>
  <c r="J1547" i="10"/>
  <c r="I1547" i="10"/>
  <c r="H1547" i="10"/>
  <c r="G1547" i="10"/>
  <c r="F1547" i="10"/>
  <c r="E1547" i="10"/>
  <c r="D1547" i="10"/>
  <c r="C1547" i="10"/>
  <c r="B1547" i="10"/>
  <c r="L1546" i="10"/>
  <c r="K1546" i="10"/>
  <c r="J1546" i="10"/>
  <c r="I1546" i="10"/>
  <c r="H1546" i="10"/>
  <c r="G1546" i="10"/>
  <c r="F1546" i="10"/>
  <c r="E1546" i="10"/>
  <c r="D1546" i="10"/>
  <c r="C1546" i="10"/>
  <c r="B1546" i="10"/>
  <c r="L1545" i="10"/>
  <c r="K1545" i="10"/>
  <c r="J1545" i="10"/>
  <c r="I1545" i="10"/>
  <c r="H1545" i="10"/>
  <c r="G1545" i="10"/>
  <c r="F1545" i="10"/>
  <c r="E1545" i="10"/>
  <c r="D1545" i="10"/>
  <c r="C1545" i="10"/>
  <c r="B1545" i="10"/>
  <c r="L1544" i="10"/>
  <c r="K1544" i="10"/>
  <c r="J1544" i="10"/>
  <c r="I1544" i="10"/>
  <c r="H1544" i="10"/>
  <c r="G1544" i="10"/>
  <c r="F1544" i="10"/>
  <c r="E1544" i="10"/>
  <c r="D1544" i="10"/>
  <c r="C1544" i="10"/>
  <c r="B1544" i="10"/>
  <c r="L1543" i="10"/>
  <c r="K1543" i="10"/>
  <c r="J1543" i="10"/>
  <c r="I1543" i="10"/>
  <c r="H1543" i="10"/>
  <c r="G1543" i="10"/>
  <c r="F1543" i="10"/>
  <c r="E1543" i="10"/>
  <c r="D1543" i="10"/>
  <c r="C1543" i="10"/>
  <c r="B1543" i="10"/>
  <c r="L1542" i="10"/>
  <c r="K1542" i="10"/>
  <c r="J1542" i="10"/>
  <c r="I1542" i="10"/>
  <c r="H1542" i="10"/>
  <c r="G1542" i="10"/>
  <c r="F1542" i="10"/>
  <c r="E1542" i="10"/>
  <c r="D1542" i="10"/>
  <c r="C1542" i="10"/>
  <c r="B1542" i="10"/>
  <c r="L1541" i="10"/>
  <c r="K1541" i="10"/>
  <c r="J1541" i="10"/>
  <c r="I1541" i="10"/>
  <c r="H1541" i="10"/>
  <c r="G1541" i="10"/>
  <c r="F1541" i="10"/>
  <c r="E1541" i="10"/>
  <c r="D1541" i="10"/>
  <c r="C1541" i="10"/>
  <c r="B1541" i="10"/>
  <c r="L1540" i="10"/>
  <c r="L1551" i="10" s="1"/>
  <c r="K1540" i="10"/>
  <c r="K1551" i="10" s="1"/>
  <c r="J1540" i="10"/>
  <c r="J1551" i="10" s="1"/>
  <c r="I1540" i="10"/>
  <c r="I1551" i="10" s="1"/>
  <c r="H1540" i="10"/>
  <c r="H1551" i="10" s="1"/>
  <c r="G1540" i="10"/>
  <c r="G1551" i="10" s="1"/>
  <c r="F1540" i="10"/>
  <c r="F1551" i="10" s="1"/>
  <c r="K1538" i="10" s="1"/>
  <c r="E1540" i="10"/>
  <c r="E1551" i="10" s="1"/>
  <c r="D1540" i="10"/>
  <c r="C1540" i="10"/>
  <c r="B1540" i="10"/>
  <c r="M1538" i="10"/>
  <c r="M1537" i="10"/>
  <c r="H1535" i="10"/>
  <c r="L1534" i="10"/>
  <c r="K1534" i="10"/>
  <c r="J1534" i="10"/>
  <c r="I1534" i="10"/>
  <c r="H1534" i="10"/>
  <c r="G1534" i="10"/>
  <c r="F1534" i="10"/>
  <c r="E1534" i="10"/>
  <c r="D1534" i="10"/>
  <c r="C1534" i="10"/>
  <c r="B1534" i="10"/>
  <c r="L1533" i="10"/>
  <c r="K1533" i="10"/>
  <c r="J1533" i="10"/>
  <c r="I1533" i="10"/>
  <c r="H1533" i="10"/>
  <c r="G1533" i="10"/>
  <c r="F1533" i="10"/>
  <c r="E1533" i="10"/>
  <c r="D1533" i="10"/>
  <c r="C1533" i="10"/>
  <c r="B1533" i="10"/>
  <c r="L1532" i="10"/>
  <c r="K1532" i="10"/>
  <c r="J1532" i="10"/>
  <c r="I1532" i="10"/>
  <c r="H1532" i="10"/>
  <c r="G1532" i="10"/>
  <c r="F1532" i="10"/>
  <c r="E1532" i="10"/>
  <c r="D1532" i="10"/>
  <c r="C1532" i="10"/>
  <c r="B1532" i="10"/>
  <c r="L1531" i="10"/>
  <c r="K1531" i="10"/>
  <c r="J1531" i="10"/>
  <c r="I1531" i="10"/>
  <c r="H1531" i="10"/>
  <c r="G1531" i="10"/>
  <c r="F1531" i="10"/>
  <c r="E1531" i="10"/>
  <c r="D1531" i="10"/>
  <c r="C1531" i="10"/>
  <c r="B1531" i="10"/>
  <c r="L1530" i="10"/>
  <c r="K1530" i="10"/>
  <c r="J1530" i="10"/>
  <c r="I1530" i="10"/>
  <c r="H1530" i="10"/>
  <c r="G1530" i="10"/>
  <c r="F1530" i="10"/>
  <c r="E1530" i="10"/>
  <c r="D1530" i="10"/>
  <c r="C1530" i="10"/>
  <c r="B1530" i="10"/>
  <c r="L1529" i="10"/>
  <c r="K1529" i="10"/>
  <c r="J1529" i="10"/>
  <c r="I1529" i="10"/>
  <c r="H1529" i="10"/>
  <c r="G1529" i="10"/>
  <c r="F1529" i="10"/>
  <c r="E1529" i="10"/>
  <c r="D1529" i="10"/>
  <c r="C1529" i="10"/>
  <c r="B1529" i="10"/>
  <c r="L1528" i="10"/>
  <c r="K1528" i="10"/>
  <c r="J1528" i="10"/>
  <c r="I1528" i="10"/>
  <c r="H1528" i="10"/>
  <c r="G1528" i="10"/>
  <c r="F1528" i="10"/>
  <c r="E1528" i="10"/>
  <c r="D1528" i="10"/>
  <c r="C1528" i="10"/>
  <c r="B1528" i="10"/>
  <c r="L1527" i="10"/>
  <c r="K1527" i="10"/>
  <c r="J1527" i="10"/>
  <c r="I1527" i="10"/>
  <c r="H1527" i="10"/>
  <c r="G1527" i="10"/>
  <c r="F1527" i="10"/>
  <c r="E1527" i="10"/>
  <c r="D1527" i="10"/>
  <c r="C1527" i="10"/>
  <c r="B1527" i="10"/>
  <c r="L1526" i="10"/>
  <c r="K1526" i="10"/>
  <c r="J1526" i="10"/>
  <c r="I1526" i="10"/>
  <c r="H1526" i="10"/>
  <c r="G1526" i="10"/>
  <c r="F1526" i="10"/>
  <c r="E1526" i="10"/>
  <c r="D1526" i="10"/>
  <c r="C1526" i="10"/>
  <c r="B1526" i="10"/>
  <c r="L1525" i="10"/>
  <c r="K1525" i="10"/>
  <c r="J1525" i="10"/>
  <c r="I1525" i="10"/>
  <c r="H1525" i="10"/>
  <c r="G1525" i="10"/>
  <c r="F1525" i="10"/>
  <c r="E1525" i="10"/>
  <c r="D1525" i="10"/>
  <c r="C1525" i="10"/>
  <c r="B1525" i="10"/>
  <c r="L1524" i="10"/>
  <c r="L1535" i="10" s="1"/>
  <c r="K1524" i="10"/>
  <c r="K1535" i="10" s="1"/>
  <c r="J1524" i="10"/>
  <c r="J1535" i="10" s="1"/>
  <c r="I1524" i="10"/>
  <c r="I1535" i="10" s="1"/>
  <c r="H1524" i="10"/>
  <c r="G1524" i="10"/>
  <c r="G1535" i="10" s="1"/>
  <c r="F1524" i="10"/>
  <c r="F1535" i="10" s="1"/>
  <c r="K1522" i="10" s="1"/>
  <c r="E1524" i="10"/>
  <c r="E1535" i="10" s="1"/>
  <c r="D1524" i="10"/>
  <c r="C1524" i="10"/>
  <c r="B1524" i="10"/>
  <c r="M1522" i="10"/>
  <c r="M1521" i="10"/>
  <c r="H1519" i="10"/>
  <c r="L1518" i="10"/>
  <c r="K1518" i="10"/>
  <c r="J1518" i="10"/>
  <c r="I1518" i="10"/>
  <c r="H1518" i="10"/>
  <c r="G1518" i="10"/>
  <c r="F1518" i="10"/>
  <c r="E1518" i="10"/>
  <c r="D1518" i="10"/>
  <c r="C1518" i="10"/>
  <c r="B1518" i="10"/>
  <c r="L1517" i="10"/>
  <c r="K1517" i="10"/>
  <c r="J1517" i="10"/>
  <c r="I1517" i="10"/>
  <c r="H1517" i="10"/>
  <c r="G1517" i="10"/>
  <c r="F1517" i="10"/>
  <c r="E1517" i="10"/>
  <c r="D1517" i="10"/>
  <c r="C1517" i="10"/>
  <c r="B1517" i="10"/>
  <c r="L1516" i="10"/>
  <c r="K1516" i="10"/>
  <c r="J1516" i="10"/>
  <c r="I1516" i="10"/>
  <c r="H1516" i="10"/>
  <c r="G1516" i="10"/>
  <c r="F1516" i="10"/>
  <c r="E1516" i="10"/>
  <c r="D1516" i="10"/>
  <c r="C1516" i="10"/>
  <c r="B1516" i="10"/>
  <c r="L1515" i="10"/>
  <c r="K1515" i="10"/>
  <c r="J1515" i="10"/>
  <c r="I1515" i="10"/>
  <c r="H1515" i="10"/>
  <c r="G1515" i="10"/>
  <c r="F1515" i="10"/>
  <c r="E1515" i="10"/>
  <c r="D1515" i="10"/>
  <c r="C1515" i="10"/>
  <c r="B1515" i="10"/>
  <c r="L1514" i="10"/>
  <c r="K1514" i="10"/>
  <c r="J1514" i="10"/>
  <c r="I1514" i="10"/>
  <c r="H1514" i="10"/>
  <c r="G1514" i="10"/>
  <c r="F1514" i="10"/>
  <c r="E1514" i="10"/>
  <c r="D1514" i="10"/>
  <c r="C1514" i="10"/>
  <c r="B1514" i="10"/>
  <c r="L1513" i="10"/>
  <c r="K1513" i="10"/>
  <c r="J1513" i="10"/>
  <c r="I1513" i="10"/>
  <c r="H1513" i="10"/>
  <c r="G1513" i="10"/>
  <c r="F1513" i="10"/>
  <c r="E1513" i="10"/>
  <c r="D1513" i="10"/>
  <c r="C1513" i="10"/>
  <c r="B1513" i="10"/>
  <c r="L1512" i="10"/>
  <c r="K1512" i="10"/>
  <c r="J1512" i="10"/>
  <c r="I1512" i="10"/>
  <c r="H1512" i="10"/>
  <c r="G1512" i="10"/>
  <c r="F1512" i="10"/>
  <c r="E1512" i="10"/>
  <c r="D1512" i="10"/>
  <c r="C1512" i="10"/>
  <c r="B1512" i="10"/>
  <c r="L1511" i="10"/>
  <c r="K1511" i="10"/>
  <c r="J1511" i="10"/>
  <c r="I1511" i="10"/>
  <c r="H1511" i="10"/>
  <c r="G1511" i="10"/>
  <c r="F1511" i="10"/>
  <c r="E1511" i="10"/>
  <c r="D1511" i="10"/>
  <c r="C1511" i="10"/>
  <c r="B1511" i="10"/>
  <c r="L1510" i="10"/>
  <c r="K1510" i="10"/>
  <c r="J1510" i="10"/>
  <c r="I1510" i="10"/>
  <c r="H1510" i="10"/>
  <c r="G1510" i="10"/>
  <c r="F1510" i="10"/>
  <c r="E1510" i="10"/>
  <c r="D1510" i="10"/>
  <c r="C1510" i="10"/>
  <c r="B1510" i="10"/>
  <c r="L1509" i="10"/>
  <c r="K1509" i="10"/>
  <c r="J1509" i="10"/>
  <c r="I1509" i="10"/>
  <c r="H1509" i="10"/>
  <c r="G1509" i="10"/>
  <c r="F1509" i="10"/>
  <c r="E1509" i="10"/>
  <c r="D1509" i="10"/>
  <c r="C1509" i="10"/>
  <c r="B1509" i="10"/>
  <c r="L1508" i="10"/>
  <c r="L1519" i="10" s="1"/>
  <c r="K1508" i="10"/>
  <c r="K1519" i="10" s="1"/>
  <c r="J1508" i="10"/>
  <c r="J1519" i="10" s="1"/>
  <c r="I1508" i="10"/>
  <c r="I1519" i="10" s="1"/>
  <c r="H1508" i="10"/>
  <c r="G1508" i="10"/>
  <c r="G1519" i="10" s="1"/>
  <c r="F1508" i="10"/>
  <c r="F1519" i="10" s="1"/>
  <c r="K1506" i="10" s="1"/>
  <c r="E1508" i="10"/>
  <c r="E1519" i="10" s="1"/>
  <c r="D1508" i="10"/>
  <c r="C1508" i="10"/>
  <c r="B1508" i="10"/>
  <c r="M1506" i="10"/>
  <c r="M1505" i="10"/>
  <c r="L1502" i="10"/>
  <c r="K1502" i="10"/>
  <c r="J1502" i="10"/>
  <c r="I1502" i="10"/>
  <c r="H1502" i="10"/>
  <c r="G1502" i="10"/>
  <c r="F1502" i="10"/>
  <c r="E1502" i="10"/>
  <c r="D1502" i="10"/>
  <c r="C1502" i="10"/>
  <c r="B1502" i="10"/>
  <c r="L1501" i="10"/>
  <c r="K1501" i="10"/>
  <c r="J1501" i="10"/>
  <c r="I1501" i="10"/>
  <c r="H1501" i="10"/>
  <c r="G1501" i="10"/>
  <c r="F1501" i="10"/>
  <c r="E1501" i="10"/>
  <c r="D1501" i="10"/>
  <c r="C1501" i="10"/>
  <c r="B1501" i="10"/>
  <c r="L1500" i="10"/>
  <c r="K1500" i="10"/>
  <c r="J1500" i="10"/>
  <c r="I1500" i="10"/>
  <c r="H1500" i="10"/>
  <c r="G1500" i="10"/>
  <c r="F1500" i="10"/>
  <c r="E1500" i="10"/>
  <c r="D1500" i="10"/>
  <c r="C1500" i="10"/>
  <c r="B1500" i="10"/>
  <c r="L1499" i="10"/>
  <c r="K1499" i="10"/>
  <c r="J1499" i="10"/>
  <c r="I1499" i="10"/>
  <c r="H1499" i="10"/>
  <c r="G1499" i="10"/>
  <c r="F1499" i="10"/>
  <c r="E1499" i="10"/>
  <c r="D1499" i="10"/>
  <c r="C1499" i="10"/>
  <c r="B1499" i="10"/>
  <c r="L1498" i="10"/>
  <c r="K1498" i="10"/>
  <c r="J1498" i="10"/>
  <c r="I1498" i="10"/>
  <c r="H1498" i="10"/>
  <c r="G1498" i="10"/>
  <c r="F1498" i="10"/>
  <c r="E1498" i="10"/>
  <c r="D1498" i="10"/>
  <c r="C1498" i="10"/>
  <c r="B1498" i="10"/>
  <c r="L1497" i="10"/>
  <c r="K1497" i="10"/>
  <c r="J1497" i="10"/>
  <c r="I1497" i="10"/>
  <c r="H1497" i="10"/>
  <c r="G1497" i="10"/>
  <c r="F1497" i="10"/>
  <c r="E1497" i="10"/>
  <c r="D1497" i="10"/>
  <c r="C1497" i="10"/>
  <c r="B1497" i="10"/>
  <c r="L1496" i="10"/>
  <c r="K1496" i="10"/>
  <c r="J1496" i="10"/>
  <c r="I1496" i="10"/>
  <c r="H1496" i="10"/>
  <c r="G1496" i="10"/>
  <c r="F1496" i="10"/>
  <c r="E1496" i="10"/>
  <c r="D1496" i="10"/>
  <c r="C1496" i="10"/>
  <c r="B1496" i="10"/>
  <c r="L1495" i="10"/>
  <c r="K1495" i="10"/>
  <c r="J1495" i="10"/>
  <c r="I1495" i="10"/>
  <c r="H1495" i="10"/>
  <c r="G1495" i="10"/>
  <c r="F1495" i="10"/>
  <c r="E1495" i="10"/>
  <c r="D1495" i="10"/>
  <c r="C1495" i="10"/>
  <c r="B1495" i="10"/>
  <c r="L1494" i="10"/>
  <c r="K1494" i="10"/>
  <c r="J1494" i="10"/>
  <c r="I1494" i="10"/>
  <c r="H1494" i="10"/>
  <c r="G1494" i="10"/>
  <c r="F1494" i="10"/>
  <c r="E1494" i="10"/>
  <c r="D1494" i="10"/>
  <c r="C1494" i="10"/>
  <c r="B1494" i="10"/>
  <c r="L1493" i="10"/>
  <c r="K1493" i="10"/>
  <c r="J1493" i="10"/>
  <c r="I1493" i="10"/>
  <c r="H1493" i="10"/>
  <c r="G1493" i="10"/>
  <c r="F1493" i="10"/>
  <c r="E1493" i="10"/>
  <c r="D1493" i="10"/>
  <c r="C1493" i="10"/>
  <c r="B1493" i="10"/>
  <c r="L1492" i="10"/>
  <c r="L1503" i="10" s="1"/>
  <c r="K1492" i="10"/>
  <c r="K1503" i="10" s="1"/>
  <c r="J1492" i="10"/>
  <c r="J1503" i="10" s="1"/>
  <c r="I1492" i="10"/>
  <c r="I1503" i="10" s="1"/>
  <c r="H1492" i="10"/>
  <c r="H1503" i="10" s="1"/>
  <c r="G1492" i="10"/>
  <c r="G1503" i="10" s="1"/>
  <c r="F1492" i="10"/>
  <c r="F1503" i="10" s="1"/>
  <c r="K1490" i="10" s="1"/>
  <c r="E1492" i="10"/>
  <c r="E1503" i="10" s="1"/>
  <c r="D1492" i="10"/>
  <c r="C1492" i="10"/>
  <c r="B1492" i="10"/>
  <c r="M1490" i="10"/>
  <c r="M1489" i="10"/>
  <c r="L1486" i="10"/>
  <c r="K1486" i="10"/>
  <c r="J1486" i="10"/>
  <c r="I1486" i="10"/>
  <c r="H1486" i="10"/>
  <c r="G1486" i="10"/>
  <c r="F1486" i="10"/>
  <c r="E1486" i="10"/>
  <c r="D1486" i="10"/>
  <c r="C1486" i="10"/>
  <c r="B1486" i="10"/>
  <c r="L1485" i="10"/>
  <c r="K1485" i="10"/>
  <c r="J1485" i="10"/>
  <c r="I1485" i="10"/>
  <c r="H1485" i="10"/>
  <c r="G1485" i="10"/>
  <c r="F1485" i="10"/>
  <c r="E1485" i="10"/>
  <c r="D1485" i="10"/>
  <c r="C1485" i="10"/>
  <c r="B1485" i="10"/>
  <c r="L1484" i="10"/>
  <c r="K1484" i="10"/>
  <c r="J1484" i="10"/>
  <c r="I1484" i="10"/>
  <c r="H1484" i="10"/>
  <c r="G1484" i="10"/>
  <c r="F1484" i="10"/>
  <c r="E1484" i="10"/>
  <c r="D1484" i="10"/>
  <c r="C1484" i="10"/>
  <c r="B1484" i="10"/>
  <c r="L1483" i="10"/>
  <c r="K1483" i="10"/>
  <c r="J1483" i="10"/>
  <c r="I1483" i="10"/>
  <c r="H1483" i="10"/>
  <c r="G1483" i="10"/>
  <c r="F1483" i="10"/>
  <c r="E1483" i="10"/>
  <c r="D1483" i="10"/>
  <c r="C1483" i="10"/>
  <c r="B1483" i="10"/>
  <c r="L1482" i="10"/>
  <c r="K1482" i="10"/>
  <c r="J1482" i="10"/>
  <c r="I1482" i="10"/>
  <c r="H1482" i="10"/>
  <c r="G1482" i="10"/>
  <c r="F1482" i="10"/>
  <c r="E1482" i="10"/>
  <c r="D1482" i="10"/>
  <c r="C1482" i="10"/>
  <c r="B1482" i="10"/>
  <c r="L1481" i="10"/>
  <c r="K1481" i="10"/>
  <c r="J1481" i="10"/>
  <c r="I1481" i="10"/>
  <c r="H1481" i="10"/>
  <c r="G1481" i="10"/>
  <c r="F1481" i="10"/>
  <c r="E1481" i="10"/>
  <c r="D1481" i="10"/>
  <c r="C1481" i="10"/>
  <c r="B1481" i="10"/>
  <c r="L1480" i="10"/>
  <c r="K1480" i="10"/>
  <c r="J1480" i="10"/>
  <c r="I1480" i="10"/>
  <c r="H1480" i="10"/>
  <c r="G1480" i="10"/>
  <c r="F1480" i="10"/>
  <c r="E1480" i="10"/>
  <c r="D1480" i="10"/>
  <c r="C1480" i="10"/>
  <c r="B1480" i="10"/>
  <c r="L1479" i="10"/>
  <c r="K1479" i="10"/>
  <c r="J1479" i="10"/>
  <c r="I1479" i="10"/>
  <c r="H1479" i="10"/>
  <c r="G1479" i="10"/>
  <c r="F1479" i="10"/>
  <c r="E1479" i="10"/>
  <c r="D1479" i="10"/>
  <c r="C1479" i="10"/>
  <c r="B1479" i="10"/>
  <c r="L1478" i="10"/>
  <c r="K1478" i="10"/>
  <c r="J1478" i="10"/>
  <c r="I1478" i="10"/>
  <c r="H1478" i="10"/>
  <c r="G1478" i="10"/>
  <c r="F1478" i="10"/>
  <c r="E1478" i="10"/>
  <c r="D1478" i="10"/>
  <c r="C1478" i="10"/>
  <c r="B1478" i="10"/>
  <c r="L1477" i="10"/>
  <c r="K1477" i="10"/>
  <c r="J1477" i="10"/>
  <c r="I1477" i="10"/>
  <c r="H1477" i="10"/>
  <c r="G1477" i="10"/>
  <c r="F1477" i="10"/>
  <c r="E1477" i="10"/>
  <c r="D1477" i="10"/>
  <c r="C1477" i="10"/>
  <c r="B1477" i="10"/>
  <c r="L1476" i="10"/>
  <c r="L1487" i="10" s="1"/>
  <c r="K1476" i="10"/>
  <c r="K1487" i="10" s="1"/>
  <c r="J1476" i="10"/>
  <c r="J1487" i="10" s="1"/>
  <c r="I1476" i="10"/>
  <c r="I1487" i="10" s="1"/>
  <c r="H1476" i="10"/>
  <c r="H1487" i="10" s="1"/>
  <c r="G1476" i="10"/>
  <c r="G1487" i="10" s="1"/>
  <c r="F1476" i="10"/>
  <c r="F1487" i="10" s="1"/>
  <c r="K1474" i="10" s="1"/>
  <c r="E1476" i="10"/>
  <c r="E1487" i="10" s="1"/>
  <c r="D1476" i="10"/>
  <c r="C1476" i="10"/>
  <c r="B1476" i="10"/>
  <c r="M1474" i="10"/>
  <c r="M1473" i="10"/>
  <c r="H1471" i="10"/>
  <c r="L1470" i="10"/>
  <c r="K1470" i="10"/>
  <c r="J1470" i="10"/>
  <c r="I1470" i="10"/>
  <c r="H1470" i="10"/>
  <c r="G1470" i="10"/>
  <c r="F1470" i="10"/>
  <c r="E1470" i="10"/>
  <c r="D1470" i="10"/>
  <c r="C1470" i="10"/>
  <c r="B1470" i="10"/>
  <c r="L1469" i="10"/>
  <c r="K1469" i="10"/>
  <c r="J1469" i="10"/>
  <c r="I1469" i="10"/>
  <c r="H1469" i="10"/>
  <c r="G1469" i="10"/>
  <c r="F1469" i="10"/>
  <c r="E1469" i="10"/>
  <c r="D1469" i="10"/>
  <c r="C1469" i="10"/>
  <c r="B1469" i="10"/>
  <c r="L1468" i="10"/>
  <c r="K1468" i="10"/>
  <c r="J1468" i="10"/>
  <c r="I1468" i="10"/>
  <c r="H1468" i="10"/>
  <c r="G1468" i="10"/>
  <c r="F1468" i="10"/>
  <c r="E1468" i="10"/>
  <c r="D1468" i="10"/>
  <c r="C1468" i="10"/>
  <c r="B1468" i="10"/>
  <c r="L1467" i="10"/>
  <c r="K1467" i="10"/>
  <c r="J1467" i="10"/>
  <c r="I1467" i="10"/>
  <c r="H1467" i="10"/>
  <c r="G1467" i="10"/>
  <c r="F1467" i="10"/>
  <c r="E1467" i="10"/>
  <c r="D1467" i="10"/>
  <c r="C1467" i="10"/>
  <c r="B1467" i="10"/>
  <c r="L1466" i="10"/>
  <c r="K1466" i="10"/>
  <c r="J1466" i="10"/>
  <c r="I1466" i="10"/>
  <c r="H1466" i="10"/>
  <c r="G1466" i="10"/>
  <c r="F1466" i="10"/>
  <c r="E1466" i="10"/>
  <c r="D1466" i="10"/>
  <c r="C1466" i="10"/>
  <c r="B1466" i="10"/>
  <c r="L1465" i="10"/>
  <c r="K1465" i="10"/>
  <c r="J1465" i="10"/>
  <c r="I1465" i="10"/>
  <c r="H1465" i="10"/>
  <c r="G1465" i="10"/>
  <c r="F1465" i="10"/>
  <c r="E1465" i="10"/>
  <c r="D1465" i="10"/>
  <c r="C1465" i="10"/>
  <c r="B1465" i="10"/>
  <c r="L1464" i="10"/>
  <c r="K1464" i="10"/>
  <c r="J1464" i="10"/>
  <c r="I1464" i="10"/>
  <c r="H1464" i="10"/>
  <c r="G1464" i="10"/>
  <c r="F1464" i="10"/>
  <c r="E1464" i="10"/>
  <c r="D1464" i="10"/>
  <c r="C1464" i="10"/>
  <c r="B1464" i="10"/>
  <c r="L1463" i="10"/>
  <c r="K1463" i="10"/>
  <c r="J1463" i="10"/>
  <c r="I1463" i="10"/>
  <c r="H1463" i="10"/>
  <c r="G1463" i="10"/>
  <c r="F1463" i="10"/>
  <c r="E1463" i="10"/>
  <c r="D1463" i="10"/>
  <c r="C1463" i="10"/>
  <c r="B1463" i="10"/>
  <c r="L1462" i="10"/>
  <c r="K1462" i="10"/>
  <c r="J1462" i="10"/>
  <c r="I1462" i="10"/>
  <c r="H1462" i="10"/>
  <c r="G1462" i="10"/>
  <c r="F1462" i="10"/>
  <c r="E1462" i="10"/>
  <c r="D1462" i="10"/>
  <c r="C1462" i="10"/>
  <c r="B1462" i="10"/>
  <c r="L1461" i="10"/>
  <c r="K1461" i="10"/>
  <c r="J1461" i="10"/>
  <c r="I1461" i="10"/>
  <c r="H1461" i="10"/>
  <c r="G1461" i="10"/>
  <c r="F1461" i="10"/>
  <c r="E1461" i="10"/>
  <c r="D1461" i="10"/>
  <c r="C1461" i="10"/>
  <c r="B1461" i="10"/>
  <c r="L1460" i="10"/>
  <c r="L1471" i="10" s="1"/>
  <c r="K1460" i="10"/>
  <c r="K1471" i="10" s="1"/>
  <c r="J1460" i="10"/>
  <c r="J1471" i="10" s="1"/>
  <c r="I1460" i="10"/>
  <c r="I1471" i="10" s="1"/>
  <c r="H1460" i="10"/>
  <c r="G1460" i="10"/>
  <c r="G1471" i="10" s="1"/>
  <c r="F1460" i="10"/>
  <c r="F1471" i="10" s="1"/>
  <c r="K1458" i="10" s="1"/>
  <c r="E1460" i="10"/>
  <c r="E1471" i="10" s="1"/>
  <c r="D1460" i="10"/>
  <c r="C1460" i="10"/>
  <c r="B1460" i="10"/>
  <c r="M1458" i="10"/>
  <c r="M1457" i="10"/>
  <c r="H1455" i="10"/>
  <c r="L1454" i="10"/>
  <c r="K1454" i="10"/>
  <c r="J1454" i="10"/>
  <c r="I1454" i="10"/>
  <c r="H1454" i="10"/>
  <c r="G1454" i="10"/>
  <c r="F1454" i="10"/>
  <c r="E1454" i="10"/>
  <c r="D1454" i="10"/>
  <c r="C1454" i="10"/>
  <c r="B1454" i="10"/>
  <c r="L1453" i="10"/>
  <c r="K1453" i="10"/>
  <c r="J1453" i="10"/>
  <c r="I1453" i="10"/>
  <c r="H1453" i="10"/>
  <c r="G1453" i="10"/>
  <c r="F1453" i="10"/>
  <c r="E1453" i="10"/>
  <c r="D1453" i="10"/>
  <c r="C1453" i="10"/>
  <c r="B1453" i="10"/>
  <c r="L1452" i="10"/>
  <c r="K1452" i="10"/>
  <c r="J1452" i="10"/>
  <c r="I1452" i="10"/>
  <c r="H1452" i="10"/>
  <c r="G1452" i="10"/>
  <c r="F1452" i="10"/>
  <c r="E1452" i="10"/>
  <c r="D1452" i="10"/>
  <c r="C1452" i="10"/>
  <c r="B1452" i="10"/>
  <c r="L1451" i="10"/>
  <c r="K1451" i="10"/>
  <c r="J1451" i="10"/>
  <c r="I1451" i="10"/>
  <c r="H1451" i="10"/>
  <c r="G1451" i="10"/>
  <c r="F1451" i="10"/>
  <c r="E1451" i="10"/>
  <c r="D1451" i="10"/>
  <c r="C1451" i="10"/>
  <c r="B1451" i="10"/>
  <c r="L1450" i="10"/>
  <c r="K1450" i="10"/>
  <c r="J1450" i="10"/>
  <c r="I1450" i="10"/>
  <c r="H1450" i="10"/>
  <c r="G1450" i="10"/>
  <c r="F1450" i="10"/>
  <c r="E1450" i="10"/>
  <c r="D1450" i="10"/>
  <c r="C1450" i="10"/>
  <c r="B1450" i="10"/>
  <c r="L1449" i="10"/>
  <c r="K1449" i="10"/>
  <c r="J1449" i="10"/>
  <c r="I1449" i="10"/>
  <c r="H1449" i="10"/>
  <c r="G1449" i="10"/>
  <c r="F1449" i="10"/>
  <c r="E1449" i="10"/>
  <c r="D1449" i="10"/>
  <c r="C1449" i="10"/>
  <c r="B1449" i="10"/>
  <c r="L1448" i="10"/>
  <c r="K1448" i="10"/>
  <c r="J1448" i="10"/>
  <c r="I1448" i="10"/>
  <c r="H1448" i="10"/>
  <c r="G1448" i="10"/>
  <c r="F1448" i="10"/>
  <c r="E1448" i="10"/>
  <c r="D1448" i="10"/>
  <c r="C1448" i="10"/>
  <c r="B1448" i="10"/>
  <c r="L1447" i="10"/>
  <c r="K1447" i="10"/>
  <c r="J1447" i="10"/>
  <c r="I1447" i="10"/>
  <c r="H1447" i="10"/>
  <c r="G1447" i="10"/>
  <c r="F1447" i="10"/>
  <c r="E1447" i="10"/>
  <c r="D1447" i="10"/>
  <c r="C1447" i="10"/>
  <c r="B1447" i="10"/>
  <c r="L1446" i="10"/>
  <c r="K1446" i="10"/>
  <c r="J1446" i="10"/>
  <c r="I1446" i="10"/>
  <c r="H1446" i="10"/>
  <c r="G1446" i="10"/>
  <c r="F1446" i="10"/>
  <c r="E1446" i="10"/>
  <c r="D1446" i="10"/>
  <c r="C1446" i="10"/>
  <c r="B1446" i="10"/>
  <c r="L1445" i="10"/>
  <c r="K1445" i="10"/>
  <c r="J1445" i="10"/>
  <c r="I1445" i="10"/>
  <c r="H1445" i="10"/>
  <c r="G1445" i="10"/>
  <c r="F1445" i="10"/>
  <c r="E1445" i="10"/>
  <c r="D1445" i="10"/>
  <c r="C1445" i="10"/>
  <c r="B1445" i="10"/>
  <c r="L1444" i="10"/>
  <c r="L1455" i="10" s="1"/>
  <c r="K1444" i="10"/>
  <c r="K1455" i="10" s="1"/>
  <c r="J1444" i="10"/>
  <c r="J1455" i="10" s="1"/>
  <c r="I1444" i="10"/>
  <c r="I1455" i="10" s="1"/>
  <c r="H1444" i="10"/>
  <c r="G1444" i="10"/>
  <c r="G1455" i="10" s="1"/>
  <c r="F1444" i="10"/>
  <c r="F1455" i="10" s="1"/>
  <c r="K1442" i="10" s="1"/>
  <c r="E1444" i="10"/>
  <c r="E1455" i="10" s="1"/>
  <c r="D1444" i="10"/>
  <c r="C1444" i="10"/>
  <c r="B1444" i="10"/>
  <c r="M1442" i="10"/>
  <c r="M1441" i="10"/>
  <c r="L1438" i="10"/>
  <c r="K1438" i="10"/>
  <c r="J1438" i="10"/>
  <c r="I1438" i="10"/>
  <c r="H1438" i="10"/>
  <c r="G1438" i="10"/>
  <c r="F1438" i="10"/>
  <c r="E1438" i="10"/>
  <c r="D1438" i="10"/>
  <c r="C1438" i="10"/>
  <c r="B1438" i="10"/>
  <c r="L1437" i="10"/>
  <c r="K1437" i="10"/>
  <c r="J1437" i="10"/>
  <c r="I1437" i="10"/>
  <c r="H1437" i="10"/>
  <c r="G1437" i="10"/>
  <c r="F1437" i="10"/>
  <c r="E1437" i="10"/>
  <c r="D1437" i="10"/>
  <c r="C1437" i="10"/>
  <c r="B1437" i="10"/>
  <c r="L1436" i="10"/>
  <c r="K1436" i="10"/>
  <c r="J1436" i="10"/>
  <c r="I1436" i="10"/>
  <c r="H1436" i="10"/>
  <c r="G1436" i="10"/>
  <c r="F1436" i="10"/>
  <c r="E1436" i="10"/>
  <c r="D1436" i="10"/>
  <c r="C1436" i="10"/>
  <c r="B1436" i="10"/>
  <c r="L1435" i="10"/>
  <c r="K1435" i="10"/>
  <c r="J1435" i="10"/>
  <c r="I1435" i="10"/>
  <c r="H1435" i="10"/>
  <c r="G1435" i="10"/>
  <c r="F1435" i="10"/>
  <c r="E1435" i="10"/>
  <c r="D1435" i="10"/>
  <c r="C1435" i="10"/>
  <c r="B1435" i="10"/>
  <c r="L1434" i="10"/>
  <c r="K1434" i="10"/>
  <c r="J1434" i="10"/>
  <c r="I1434" i="10"/>
  <c r="H1434" i="10"/>
  <c r="G1434" i="10"/>
  <c r="F1434" i="10"/>
  <c r="E1434" i="10"/>
  <c r="D1434" i="10"/>
  <c r="C1434" i="10"/>
  <c r="B1434" i="10"/>
  <c r="L1433" i="10"/>
  <c r="K1433" i="10"/>
  <c r="J1433" i="10"/>
  <c r="I1433" i="10"/>
  <c r="H1433" i="10"/>
  <c r="G1433" i="10"/>
  <c r="F1433" i="10"/>
  <c r="E1433" i="10"/>
  <c r="D1433" i="10"/>
  <c r="C1433" i="10"/>
  <c r="B1433" i="10"/>
  <c r="L1432" i="10"/>
  <c r="K1432" i="10"/>
  <c r="J1432" i="10"/>
  <c r="I1432" i="10"/>
  <c r="H1432" i="10"/>
  <c r="G1432" i="10"/>
  <c r="F1432" i="10"/>
  <c r="E1432" i="10"/>
  <c r="D1432" i="10"/>
  <c r="C1432" i="10"/>
  <c r="B1432" i="10"/>
  <c r="L1431" i="10"/>
  <c r="K1431" i="10"/>
  <c r="J1431" i="10"/>
  <c r="I1431" i="10"/>
  <c r="H1431" i="10"/>
  <c r="G1431" i="10"/>
  <c r="F1431" i="10"/>
  <c r="E1431" i="10"/>
  <c r="D1431" i="10"/>
  <c r="C1431" i="10"/>
  <c r="B1431" i="10"/>
  <c r="L1430" i="10"/>
  <c r="K1430" i="10"/>
  <c r="J1430" i="10"/>
  <c r="I1430" i="10"/>
  <c r="H1430" i="10"/>
  <c r="G1430" i="10"/>
  <c r="F1430" i="10"/>
  <c r="E1430" i="10"/>
  <c r="D1430" i="10"/>
  <c r="C1430" i="10"/>
  <c r="B1430" i="10"/>
  <c r="L1429" i="10"/>
  <c r="K1429" i="10"/>
  <c r="J1429" i="10"/>
  <c r="I1429" i="10"/>
  <c r="H1429" i="10"/>
  <c r="G1429" i="10"/>
  <c r="F1429" i="10"/>
  <c r="E1429" i="10"/>
  <c r="D1429" i="10"/>
  <c r="C1429" i="10"/>
  <c r="B1429" i="10"/>
  <c r="L1428" i="10"/>
  <c r="L1439" i="10" s="1"/>
  <c r="K1428" i="10"/>
  <c r="K1439" i="10" s="1"/>
  <c r="J1428" i="10"/>
  <c r="J1439" i="10" s="1"/>
  <c r="I1428" i="10"/>
  <c r="I1439" i="10" s="1"/>
  <c r="H1428" i="10"/>
  <c r="H1439" i="10" s="1"/>
  <c r="G1428" i="10"/>
  <c r="G1439" i="10" s="1"/>
  <c r="F1428" i="10"/>
  <c r="F1439" i="10" s="1"/>
  <c r="K1426" i="10" s="1"/>
  <c r="E1428" i="10"/>
  <c r="E1439" i="10" s="1"/>
  <c r="D1428" i="10"/>
  <c r="C1428" i="10"/>
  <c r="B1428" i="10"/>
  <c r="M1426" i="10"/>
  <c r="M1425" i="10"/>
  <c r="L1422" i="10"/>
  <c r="K1422" i="10"/>
  <c r="J1422" i="10"/>
  <c r="I1422" i="10"/>
  <c r="H1422" i="10"/>
  <c r="G1422" i="10"/>
  <c r="F1422" i="10"/>
  <c r="E1422" i="10"/>
  <c r="D1422" i="10"/>
  <c r="C1422" i="10"/>
  <c r="B1422" i="10"/>
  <c r="L1421" i="10"/>
  <c r="K1421" i="10"/>
  <c r="J1421" i="10"/>
  <c r="I1421" i="10"/>
  <c r="H1421" i="10"/>
  <c r="G1421" i="10"/>
  <c r="F1421" i="10"/>
  <c r="E1421" i="10"/>
  <c r="D1421" i="10"/>
  <c r="C1421" i="10"/>
  <c r="B1421" i="10"/>
  <c r="L1420" i="10"/>
  <c r="K1420" i="10"/>
  <c r="J1420" i="10"/>
  <c r="I1420" i="10"/>
  <c r="H1420" i="10"/>
  <c r="G1420" i="10"/>
  <c r="F1420" i="10"/>
  <c r="E1420" i="10"/>
  <c r="D1420" i="10"/>
  <c r="C1420" i="10"/>
  <c r="B1420" i="10"/>
  <c r="L1419" i="10"/>
  <c r="K1419" i="10"/>
  <c r="J1419" i="10"/>
  <c r="I1419" i="10"/>
  <c r="H1419" i="10"/>
  <c r="G1419" i="10"/>
  <c r="F1419" i="10"/>
  <c r="E1419" i="10"/>
  <c r="D1419" i="10"/>
  <c r="C1419" i="10"/>
  <c r="B1419" i="10"/>
  <c r="L1418" i="10"/>
  <c r="K1418" i="10"/>
  <c r="J1418" i="10"/>
  <c r="I1418" i="10"/>
  <c r="H1418" i="10"/>
  <c r="G1418" i="10"/>
  <c r="F1418" i="10"/>
  <c r="E1418" i="10"/>
  <c r="D1418" i="10"/>
  <c r="C1418" i="10"/>
  <c r="B1418" i="10"/>
  <c r="L1417" i="10"/>
  <c r="K1417" i="10"/>
  <c r="J1417" i="10"/>
  <c r="I1417" i="10"/>
  <c r="H1417" i="10"/>
  <c r="G1417" i="10"/>
  <c r="F1417" i="10"/>
  <c r="E1417" i="10"/>
  <c r="D1417" i="10"/>
  <c r="C1417" i="10"/>
  <c r="B1417" i="10"/>
  <c r="L1416" i="10"/>
  <c r="K1416" i="10"/>
  <c r="J1416" i="10"/>
  <c r="I1416" i="10"/>
  <c r="H1416" i="10"/>
  <c r="G1416" i="10"/>
  <c r="F1416" i="10"/>
  <c r="E1416" i="10"/>
  <c r="D1416" i="10"/>
  <c r="C1416" i="10"/>
  <c r="B1416" i="10"/>
  <c r="L1415" i="10"/>
  <c r="K1415" i="10"/>
  <c r="J1415" i="10"/>
  <c r="I1415" i="10"/>
  <c r="H1415" i="10"/>
  <c r="G1415" i="10"/>
  <c r="F1415" i="10"/>
  <c r="E1415" i="10"/>
  <c r="D1415" i="10"/>
  <c r="C1415" i="10"/>
  <c r="B1415" i="10"/>
  <c r="L1414" i="10"/>
  <c r="K1414" i="10"/>
  <c r="J1414" i="10"/>
  <c r="I1414" i="10"/>
  <c r="H1414" i="10"/>
  <c r="G1414" i="10"/>
  <c r="F1414" i="10"/>
  <c r="E1414" i="10"/>
  <c r="D1414" i="10"/>
  <c r="C1414" i="10"/>
  <c r="B1414" i="10"/>
  <c r="L1413" i="10"/>
  <c r="K1413" i="10"/>
  <c r="J1413" i="10"/>
  <c r="I1413" i="10"/>
  <c r="H1413" i="10"/>
  <c r="G1413" i="10"/>
  <c r="F1413" i="10"/>
  <c r="E1413" i="10"/>
  <c r="D1413" i="10"/>
  <c r="C1413" i="10"/>
  <c r="B1413" i="10"/>
  <c r="L1412" i="10"/>
  <c r="L1423" i="10" s="1"/>
  <c r="K1412" i="10"/>
  <c r="K1423" i="10" s="1"/>
  <c r="J1412" i="10"/>
  <c r="J1423" i="10" s="1"/>
  <c r="I1412" i="10"/>
  <c r="I1423" i="10" s="1"/>
  <c r="H1412" i="10"/>
  <c r="H1423" i="10" s="1"/>
  <c r="G1412" i="10"/>
  <c r="G1423" i="10" s="1"/>
  <c r="F1412" i="10"/>
  <c r="F1423" i="10" s="1"/>
  <c r="K1410" i="10" s="1"/>
  <c r="E1412" i="10"/>
  <c r="E1423" i="10" s="1"/>
  <c r="D1412" i="10"/>
  <c r="C1412" i="10"/>
  <c r="B1412" i="10"/>
  <c r="M1410" i="10"/>
  <c r="M1409" i="10"/>
  <c r="H1407" i="10"/>
  <c r="L1406" i="10"/>
  <c r="K1406" i="10"/>
  <c r="J1406" i="10"/>
  <c r="I1406" i="10"/>
  <c r="H1406" i="10"/>
  <c r="G1406" i="10"/>
  <c r="F1406" i="10"/>
  <c r="E1406" i="10"/>
  <c r="D1406" i="10"/>
  <c r="C1406" i="10"/>
  <c r="B1406" i="10"/>
  <c r="L1405" i="10"/>
  <c r="K1405" i="10"/>
  <c r="J1405" i="10"/>
  <c r="I1405" i="10"/>
  <c r="H1405" i="10"/>
  <c r="G1405" i="10"/>
  <c r="F1405" i="10"/>
  <c r="E1405" i="10"/>
  <c r="D1405" i="10"/>
  <c r="C1405" i="10"/>
  <c r="B1405" i="10"/>
  <c r="L1404" i="10"/>
  <c r="K1404" i="10"/>
  <c r="J1404" i="10"/>
  <c r="I1404" i="10"/>
  <c r="H1404" i="10"/>
  <c r="G1404" i="10"/>
  <c r="F1404" i="10"/>
  <c r="E1404" i="10"/>
  <c r="D1404" i="10"/>
  <c r="C1404" i="10"/>
  <c r="B1404" i="10"/>
  <c r="L1403" i="10"/>
  <c r="K1403" i="10"/>
  <c r="J1403" i="10"/>
  <c r="I1403" i="10"/>
  <c r="H1403" i="10"/>
  <c r="G1403" i="10"/>
  <c r="F1403" i="10"/>
  <c r="E1403" i="10"/>
  <c r="D1403" i="10"/>
  <c r="C1403" i="10"/>
  <c r="B1403" i="10"/>
  <c r="L1402" i="10"/>
  <c r="K1402" i="10"/>
  <c r="J1402" i="10"/>
  <c r="I1402" i="10"/>
  <c r="H1402" i="10"/>
  <c r="G1402" i="10"/>
  <c r="F1402" i="10"/>
  <c r="E1402" i="10"/>
  <c r="D1402" i="10"/>
  <c r="C1402" i="10"/>
  <c r="B1402" i="10"/>
  <c r="L1401" i="10"/>
  <c r="K1401" i="10"/>
  <c r="J1401" i="10"/>
  <c r="I1401" i="10"/>
  <c r="H1401" i="10"/>
  <c r="G1401" i="10"/>
  <c r="F1401" i="10"/>
  <c r="E1401" i="10"/>
  <c r="D1401" i="10"/>
  <c r="C1401" i="10"/>
  <c r="B1401" i="10"/>
  <c r="L1400" i="10"/>
  <c r="K1400" i="10"/>
  <c r="J1400" i="10"/>
  <c r="I1400" i="10"/>
  <c r="H1400" i="10"/>
  <c r="G1400" i="10"/>
  <c r="F1400" i="10"/>
  <c r="E1400" i="10"/>
  <c r="D1400" i="10"/>
  <c r="C1400" i="10"/>
  <c r="B1400" i="10"/>
  <c r="L1399" i="10"/>
  <c r="K1399" i="10"/>
  <c r="J1399" i="10"/>
  <c r="I1399" i="10"/>
  <c r="H1399" i="10"/>
  <c r="G1399" i="10"/>
  <c r="F1399" i="10"/>
  <c r="E1399" i="10"/>
  <c r="D1399" i="10"/>
  <c r="C1399" i="10"/>
  <c r="B1399" i="10"/>
  <c r="L1398" i="10"/>
  <c r="K1398" i="10"/>
  <c r="J1398" i="10"/>
  <c r="I1398" i="10"/>
  <c r="H1398" i="10"/>
  <c r="G1398" i="10"/>
  <c r="F1398" i="10"/>
  <c r="E1398" i="10"/>
  <c r="D1398" i="10"/>
  <c r="C1398" i="10"/>
  <c r="B1398" i="10"/>
  <c r="L1397" i="10"/>
  <c r="K1397" i="10"/>
  <c r="J1397" i="10"/>
  <c r="I1397" i="10"/>
  <c r="H1397" i="10"/>
  <c r="G1397" i="10"/>
  <c r="F1397" i="10"/>
  <c r="E1397" i="10"/>
  <c r="D1397" i="10"/>
  <c r="C1397" i="10"/>
  <c r="B1397" i="10"/>
  <c r="L1396" i="10"/>
  <c r="L1407" i="10" s="1"/>
  <c r="K1396" i="10"/>
  <c r="K1407" i="10" s="1"/>
  <c r="J1396" i="10"/>
  <c r="J1407" i="10" s="1"/>
  <c r="I1396" i="10"/>
  <c r="I1407" i="10" s="1"/>
  <c r="H1396" i="10"/>
  <c r="G1396" i="10"/>
  <c r="G1407" i="10" s="1"/>
  <c r="F1396" i="10"/>
  <c r="F1407" i="10" s="1"/>
  <c r="K1394" i="10" s="1"/>
  <c r="E1396" i="10"/>
  <c r="E1407" i="10" s="1"/>
  <c r="D1396" i="10"/>
  <c r="C1396" i="10"/>
  <c r="B1396" i="10"/>
  <c r="M1394" i="10"/>
  <c r="M1393" i="10"/>
  <c r="H1391" i="10"/>
  <c r="L1390" i="10"/>
  <c r="K1390" i="10"/>
  <c r="J1390" i="10"/>
  <c r="I1390" i="10"/>
  <c r="H1390" i="10"/>
  <c r="G1390" i="10"/>
  <c r="F1390" i="10"/>
  <c r="E1390" i="10"/>
  <c r="D1390" i="10"/>
  <c r="C1390" i="10"/>
  <c r="B1390" i="10"/>
  <c r="L1389" i="10"/>
  <c r="K1389" i="10"/>
  <c r="J1389" i="10"/>
  <c r="I1389" i="10"/>
  <c r="H1389" i="10"/>
  <c r="G1389" i="10"/>
  <c r="F1389" i="10"/>
  <c r="E1389" i="10"/>
  <c r="D1389" i="10"/>
  <c r="C1389" i="10"/>
  <c r="B1389" i="10"/>
  <c r="L1388" i="10"/>
  <c r="K1388" i="10"/>
  <c r="J1388" i="10"/>
  <c r="I1388" i="10"/>
  <c r="H1388" i="10"/>
  <c r="G1388" i="10"/>
  <c r="F1388" i="10"/>
  <c r="E1388" i="10"/>
  <c r="D1388" i="10"/>
  <c r="C1388" i="10"/>
  <c r="B1388" i="10"/>
  <c r="L1387" i="10"/>
  <c r="K1387" i="10"/>
  <c r="J1387" i="10"/>
  <c r="I1387" i="10"/>
  <c r="H1387" i="10"/>
  <c r="G1387" i="10"/>
  <c r="F1387" i="10"/>
  <c r="E1387" i="10"/>
  <c r="D1387" i="10"/>
  <c r="C1387" i="10"/>
  <c r="B1387" i="10"/>
  <c r="L1386" i="10"/>
  <c r="K1386" i="10"/>
  <c r="J1386" i="10"/>
  <c r="I1386" i="10"/>
  <c r="H1386" i="10"/>
  <c r="G1386" i="10"/>
  <c r="F1386" i="10"/>
  <c r="E1386" i="10"/>
  <c r="D1386" i="10"/>
  <c r="C1386" i="10"/>
  <c r="B1386" i="10"/>
  <c r="L1385" i="10"/>
  <c r="K1385" i="10"/>
  <c r="J1385" i="10"/>
  <c r="I1385" i="10"/>
  <c r="H1385" i="10"/>
  <c r="G1385" i="10"/>
  <c r="F1385" i="10"/>
  <c r="E1385" i="10"/>
  <c r="D1385" i="10"/>
  <c r="C1385" i="10"/>
  <c r="B1385" i="10"/>
  <c r="L1384" i="10"/>
  <c r="K1384" i="10"/>
  <c r="J1384" i="10"/>
  <c r="I1384" i="10"/>
  <c r="H1384" i="10"/>
  <c r="G1384" i="10"/>
  <c r="F1384" i="10"/>
  <c r="E1384" i="10"/>
  <c r="D1384" i="10"/>
  <c r="C1384" i="10"/>
  <c r="B1384" i="10"/>
  <c r="L1383" i="10"/>
  <c r="K1383" i="10"/>
  <c r="J1383" i="10"/>
  <c r="I1383" i="10"/>
  <c r="H1383" i="10"/>
  <c r="G1383" i="10"/>
  <c r="F1383" i="10"/>
  <c r="E1383" i="10"/>
  <c r="D1383" i="10"/>
  <c r="C1383" i="10"/>
  <c r="B1383" i="10"/>
  <c r="L1382" i="10"/>
  <c r="K1382" i="10"/>
  <c r="J1382" i="10"/>
  <c r="I1382" i="10"/>
  <c r="H1382" i="10"/>
  <c r="G1382" i="10"/>
  <c r="F1382" i="10"/>
  <c r="E1382" i="10"/>
  <c r="D1382" i="10"/>
  <c r="C1382" i="10"/>
  <c r="B1382" i="10"/>
  <c r="L1381" i="10"/>
  <c r="K1381" i="10"/>
  <c r="J1381" i="10"/>
  <c r="I1381" i="10"/>
  <c r="H1381" i="10"/>
  <c r="G1381" i="10"/>
  <c r="F1381" i="10"/>
  <c r="E1381" i="10"/>
  <c r="D1381" i="10"/>
  <c r="C1381" i="10"/>
  <c r="B1381" i="10"/>
  <c r="L1380" i="10"/>
  <c r="L1391" i="10" s="1"/>
  <c r="K1380" i="10"/>
  <c r="K1391" i="10" s="1"/>
  <c r="J1380" i="10"/>
  <c r="J1391" i="10" s="1"/>
  <c r="I1380" i="10"/>
  <c r="I1391" i="10" s="1"/>
  <c r="H1380" i="10"/>
  <c r="G1380" i="10"/>
  <c r="G1391" i="10" s="1"/>
  <c r="F1380" i="10"/>
  <c r="F1391" i="10" s="1"/>
  <c r="K1378" i="10" s="1"/>
  <c r="E1380" i="10"/>
  <c r="E1391" i="10" s="1"/>
  <c r="D1380" i="10"/>
  <c r="C1380" i="10"/>
  <c r="B1380" i="10"/>
  <c r="M1378" i="10"/>
  <c r="M1377" i="10"/>
  <c r="L1374" i="10"/>
  <c r="K1374" i="10"/>
  <c r="J1374" i="10"/>
  <c r="I1374" i="10"/>
  <c r="H1374" i="10"/>
  <c r="G1374" i="10"/>
  <c r="F1374" i="10"/>
  <c r="E1374" i="10"/>
  <c r="D1374" i="10"/>
  <c r="C1374" i="10"/>
  <c r="B1374" i="10"/>
  <c r="L1373" i="10"/>
  <c r="K1373" i="10"/>
  <c r="J1373" i="10"/>
  <c r="I1373" i="10"/>
  <c r="H1373" i="10"/>
  <c r="G1373" i="10"/>
  <c r="F1373" i="10"/>
  <c r="E1373" i="10"/>
  <c r="D1373" i="10"/>
  <c r="C1373" i="10"/>
  <c r="B1373" i="10"/>
  <c r="L1372" i="10"/>
  <c r="K1372" i="10"/>
  <c r="J1372" i="10"/>
  <c r="I1372" i="10"/>
  <c r="H1372" i="10"/>
  <c r="G1372" i="10"/>
  <c r="F1372" i="10"/>
  <c r="E1372" i="10"/>
  <c r="D1372" i="10"/>
  <c r="C1372" i="10"/>
  <c r="B1372" i="10"/>
  <c r="L1371" i="10"/>
  <c r="K1371" i="10"/>
  <c r="J1371" i="10"/>
  <c r="I1371" i="10"/>
  <c r="H1371" i="10"/>
  <c r="G1371" i="10"/>
  <c r="F1371" i="10"/>
  <c r="E1371" i="10"/>
  <c r="D1371" i="10"/>
  <c r="C1371" i="10"/>
  <c r="B1371" i="10"/>
  <c r="L1370" i="10"/>
  <c r="K1370" i="10"/>
  <c r="J1370" i="10"/>
  <c r="I1370" i="10"/>
  <c r="H1370" i="10"/>
  <c r="G1370" i="10"/>
  <c r="F1370" i="10"/>
  <c r="E1370" i="10"/>
  <c r="D1370" i="10"/>
  <c r="C1370" i="10"/>
  <c r="B1370" i="10"/>
  <c r="L1369" i="10"/>
  <c r="K1369" i="10"/>
  <c r="J1369" i="10"/>
  <c r="I1369" i="10"/>
  <c r="H1369" i="10"/>
  <c r="G1369" i="10"/>
  <c r="F1369" i="10"/>
  <c r="E1369" i="10"/>
  <c r="D1369" i="10"/>
  <c r="C1369" i="10"/>
  <c r="B1369" i="10"/>
  <c r="L1368" i="10"/>
  <c r="K1368" i="10"/>
  <c r="J1368" i="10"/>
  <c r="I1368" i="10"/>
  <c r="H1368" i="10"/>
  <c r="G1368" i="10"/>
  <c r="F1368" i="10"/>
  <c r="E1368" i="10"/>
  <c r="D1368" i="10"/>
  <c r="C1368" i="10"/>
  <c r="B1368" i="10"/>
  <c r="L1367" i="10"/>
  <c r="K1367" i="10"/>
  <c r="J1367" i="10"/>
  <c r="I1367" i="10"/>
  <c r="H1367" i="10"/>
  <c r="G1367" i="10"/>
  <c r="F1367" i="10"/>
  <c r="E1367" i="10"/>
  <c r="D1367" i="10"/>
  <c r="C1367" i="10"/>
  <c r="B1367" i="10"/>
  <c r="L1366" i="10"/>
  <c r="K1366" i="10"/>
  <c r="J1366" i="10"/>
  <c r="I1366" i="10"/>
  <c r="H1366" i="10"/>
  <c r="G1366" i="10"/>
  <c r="F1366" i="10"/>
  <c r="E1366" i="10"/>
  <c r="D1366" i="10"/>
  <c r="C1366" i="10"/>
  <c r="B1366" i="10"/>
  <c r="L1365" i="10"/>
  <c r="K1365" i="10"/>
  <c r="J1365" i="10"/>
  <c r="I1365" i="10"/>
  <c r="H1365" i="10"/>
  <c r="G1365" i="10"/>
  <c r="F1365" i="10"/>
  <c r="E1365" i="10"/>
  <c r="D1365" i="10"/>
  <c r="C1365" i="10"/>
  <c r="B1365" i="10"/>
  <c r="L1364" i="10"/>
  <c r="L1375" i="10" s="1"/>
  <c r="K1364" i="10"/>
  <c r="K1375" i="10" s="1"/>
  <c r="J1364" i="10"/>
  <c r="J1375" i="10" s="1"/>
  <c r="I1364" i="10"/>
  <c r="I1375" i="10" s="1"/>
  <c r="H1364" i="10"/>
  <c r="H1375" i="10" s="1"/>
  <c r="G1364" i="10"/>
  <c r="G1375" i="10" s="1"/>
  <c r="F1364" i="10"/>
  <c r="F1375" i="10" s="1"/>
  <c r="K1362" i="10" s="1"/>
  <c r="E1364" i="10"/>
  <c r="E1375" i="10" s="1"/>
  <c r="D1364" i="10"/>
  <c r="C1364" i="10"/>
  <c r="B1364" i="10"/>
  <c r="M1362" i="10"/>
  <c r="M1361" i="10"/>
  <c r="L1358" i="10"/>
  <c r="K1358" i="10"/>
  <c r="J1358" i="10"/>
  <c r="I1358" i="10"/>
  <c r="H1358" i="10"/>
  <c r="G1358" i="10"/>
  <c r="F1358" i="10"/>
  <c r="E1358" i="10"/>
  <c r="D1358" i="10"/>
  <c r="C1358" i="10"/>
  <c r="B1358" i="10"/>
  <c r="L1357" i="10"/>
  <c r="K1357" i="10"/>
  <c r="J1357" i="10"/>
  <c r="I1357" i="10"/>
  <c r="H1357" i="10"/>
  <c r="G1357" i="10"/>
  <c r="F1357" i="10"/>
  <c r="E1357" i="10"/>
  <c r="D1357" i="10"/>
  <c r="C1357" i="10"/>
  <c r="B1357" i="10"/>
  <c r="L1356" i="10"/>
  <c r="K1356" i="10"/>
  <c r="J1356" i="10"/>
  <c r="I1356" i="10"/>
  <c r="H1356" i="10"/>
  <c r="G1356" i="10"/>
  <c r="F1356" i="10"/>
  <c r="E1356" i="10"/>
  <c r="D1356" i="10"/>
  <c r="C1356" i="10"/>
  <c r="B1356" i="10"/>
  <c r="L1355" i="10"/>
  <c r="K1355" i="10"/>
  <c r="J1355" i="10"/>
  <c r="I1355" i="10"/>
  <c r="H1355" i="10"/>
  <c r="G1355" i="10"/>
  <c r="F1355" i="10"/>
  <c r="E1355" i="10"/>
  <c r="D1355" i="10"/>
  <c r="C1355" i="10"/>
  <c r="B1355" i="10"/>
  <c r="L1354" i="10"/>
  <c r="K1354" i="10"/>
  <c r="J1354" i="10"/>
  <c r="I1354" i="10"/>
  <c r="H1354" i="10"/>
  <c r="G1354" i="10"/>
  <c r="F1354" i="10"/>
  <c r="E1354" i="10"/>
  <c r="D1354" i="10"/>
  <c r="C1354" i="10"/>
  <c r="B1354" i="10"/>
  <c r="L1353" i="10"/>
  <c r="K1353" i="10"/>
  <c r="J1353" i="10"/>
  <c r="I1353" i="10"/>
  <c r="H1353" i="10"/>
  <c r="G1353" i="10"/>
  <c r="F1353" i="10"/>
  <c r="E1353" i="10"/>
  <c r="D1353" i="10"/>
  <c r="C1353" i="10"/>
  <c r="B1353" i="10"/>
  <c r="L1352" i="10"/>
  <c r="K1352" i="10"/>
  <c r="J1352" i="10"/>
  <c r="I1352" i="10"/>
  <c r="H1352" i="10"/>
  <c r="G1352" i="10"/>
  <c r="F1352" i="10"/>
  <c r="E1352" i="10"/>
  <c r="D1352" i="10"/>
  <c r="C1352" i="10"/>
  <c r="B1352" i="10"/>
  <c r="L1351" i="10"/>
  <c r="K1351" i="10"/>
  <c r="J1351" i="10"/>
  <c r="I1351" i="10"/>
  <c r="H1351" i="10"/>
  <c r="G1351" i="10"/>
  <c r="F1351" i="10"/>
  <c r="E1351" i="10"/>
  <c r="D1351" i="10"/>
  <c r="C1351" i="10"/>
  <c r="B1351" i="10"/>
  <c r="L1350" i="10"/>
  <c r="K1350" i="10"/>
  <c r="J1350" i="10"/>
  <c r="I1350" i="10"/>
  <c r="H1350" i="10"/>
  <c r="G1350" i="10"/>
  <c r="F1350" i="10"/>
  <c r="E1350" i="10"/>
  <c r="D1350" i="10"/>
  <c r="C1350" i="10"/>
  <c r="B1350" i="10"/>
  <c r="L1349" i="10"/>
  <c r="K1349" i="10"/>
  <c r="J1349" i="10"/>
  <c r="I1349" i="10"/>
  <c r="H1349" i="10"/>
  <c r="G1349" i="10"/>
  <c r="F1349" i="10"/>
  <c r="E1349" i="10"/>
  <c r="D1349" i="10"/>
  <c r="C1349" i="10"/>
  <c r="B1349" i="10"/>
  <c r="L1348" i="10"/>
  <c r="L1359" i="10" s="1"/>
  <c r="K1348" i="10"/>
  <c r="K1359" i="10" s="1"/>
  <c r="J1348" i="10"/>
  <c r="J1359" i="10" s="1"/>
  <c r="I1348" i="10"/>
  <c r="I1359" i="10" s="1"/>
  <c r="H1348" i="10"/>
  <c r="H1359" i="10" s="1"/>
  <c r="G1348" i="10"/>
  <c r="G1359" i="10" s="1"/>
  <c r="F1348" i="10"/>
  <c r="F1359" i="10" s="1"/>
  <c r="K1346" i="10" s="1"/>
  <c r="E1348" i="10"/>
  <c r="E1359" i="10" s="1"/>
  <c r="D1348" i="10"/>
  <c r="C1348" i="10"/>
  <c r="B1348" i="10"/>
  <c r="M1346" i="10"/>
  <c r="M1345" i="10"/>
  <c r="L1342" i="10"/>
  <c r="K1342" i="10"/>
  <c r="J1342" i="10"/>
  <c r="I1342" i="10"/>
  <c r="H1342" i="10"/>
  <c r="G1342" i="10"/>
  <c r="F1342" i="10"/>
  <c r="E1342" i="10"/>
  <c r="D1342" i="10"/>
  <c r="C1342" i="10"/>
  <c r="B1342" i="10"/>
  <c r="L1341" i="10"/>
  <c r="K1341" i="10"/>
  <c r="J1341" i="10"/>
  <c r="I1341" i="10"/>
  <c r="H1341" i="10"/>
  <c r="G1341" i="10"/>
  <c r="F1341" i="10"/>
  <c r="E1341" i="10"/>
  <c r="D1341" i="10"/>
  <c r="C1341" i="10"/>
  <c r="B1341" i="10"/>
  <c r="L1340" i="10"/>
  <c r="K1340" i="10"/>
  <c r="J1340" i="10"/>
  <c r="I1340" i="10"/>
  <c r="H1340" i="10"/>
  <c r="G1340" i="10"/>
  <c r="F1340" i="10"/>
  <c r="E1340" i="10"/>
  <c r="D1340" i="10"/>
  <c r="C1340" i="10"/>
  <c r="B1340" i="10"/>
  <c r="L1339" i="10"/>
  <c r="K1339" i="10"/>
  <c r="J1339" i="10"/>
  <c r="I1339" i="10"/>
  <c r="H1339" i="10"/>
  <c r="G1339" i="10"/>
  <c r="F1339" i="10"/>
  <c r="E1339" i="10"/>
  <c r="D1339" i="10"/>
  <c r="C1339" i="10"/>
  <c r="B1339" i="10"/>
  <c r="L1338" i="10"/>
  <c r="K1338" i="10"/>
  <c r="J1338" i="10"/>
  <c r="I1338" i="10"/>
  <c r="H1338" i="10"/>
  <c r="G1338" i="10"/>
  <c r="F1338" i="10"/>
  <c r="E1338" i="10"/>
  <c r="D1338" i="10"/>
  <c r="C1338" i="10"/>
  <c r="B1338" i="10"/>
  <c r="L1337" i="10"/>
  <c r="K1337" i="10"/>
  <c r="J1337" i="10"/>
  <c r="I1337" i="10"/>
  <c r="H1337" i="10"/>
  <c r="G1337" i="10"/>
  <c r="F1337" i="10"/>
  <c r="E1337" i="10"/>
  <c r="D1337" i="10"/>
  <c r="C1337" i="10"/>
  <c r="B1337" i="10"/>
  <c r="L1336" i="10"/>
  <c r="K1336" i="10"/>
  <c r="J1336" i="10"/>
  <c r="I1336" i="10"/>
  <c r="H1336" i="10"/>
  <c r="G1336" i="10"/>
  <c r="F1336" i="10"/>
  <c r="E1336" i="10"/>
  <c r="D1336" i="10"/>
  <c r="C1336" i="10"/>
  <c r="B1336" i="10"/>
  <c r="L1335" i="10"/>
  <c r="K1335" i="10"/>
  <c r="J1335" i="10"/>
  <c r="I1335" i="10"/>
  <c r="H1335" i="10"/>
  <c r="G1335" i="10"/>
  <c r="F1335" i="10"/>
  <c r="E1335" i="10"/>
  <c r="D1335" i="10"/>
  <c r="C1335" i="10"/>
  <c r="B1335" i="10"/>
  <c r="L1334" i="10"/>
  <c r="K1334" i="10"/>
  <c r="J1334" i="10"/>
  <c r="I1334" i="10"/>
  <c r="H1334" i="10"/>
  <c r="G1334" i="10"/>
  <c r="F1334" i="10"/>
  <c r="E1334" i="10"/>
  <c r="D1334" i="10"/>
  <c r="C1334" i="10"/>
  <c r="B1334" i="10"/>
  <c r="L1333" i="10"/>
  <c r="K1333" i="10"/>
  <c r="J1333" i="10"/>
  <c r="I1333" i="10"/>
  <c r="H1333" i="10"/>
  <c r="G1333" i="10"/>
  <c r="F1333" i="10"/>
  <c r="E1333" i="10"/>
  <c r="D1333" i="10"/>
  <c r="C1333" i="10"/>
  <c r="B1333" i="10"/>
  <c r="L1332" i="10"/>
  <c r="L1343" i="10" s="1"/>
  <c r="K1332" i="10"/>
  <c r="K1343" i="10" s="1"/>
  <c r="J1332" i="10"/>
  <c r="J1343" i="10" s="1"/>
  <c r="I1332" i="10"/>
  <c r="I1343" i="10" s="1"/>
  <c r="H1332" i="10"/>
  <c r="H1343" i="10" s="1"/>
  <c r="G1332" i="10"/>
  <c r="G1343" i="10" s="1"/>
  <c r="F1332" i="10"/>
  <c r="F1343" i="10" s="1"/>
  <c r="K1330" i="10" s="1"/>
  <c r="E1332" i="10"/>
  <c r="E1343" i="10" s="1"/>
  <c r="D1332" i="10"/>
  <c r="C1332" i="10"/>
  <c r="B1332" i="10"/>
  <c r="M1330" i="10"/>
  <c r="M1329" i="10"/>
  <c r="L1326" i="10"/>
  <c r="K1326" i="10"/>
  <c r="J1326" i="10"/>
  <c r="I1326" i="10"/>
  <c r="H1326" i="10"/>
  <c r="G1326" i="10"/>
  <c r="F1326" i="10"/>
  <c r="E1326" i="10"/>
  <c r="D1326" i="10"/>
  <c r="C1326" i="10"/>
  <c r="B1326" i="10"/>
  <c r="L1325" i="10"/>
  <c r="K1325" i="10"/>
  <c r="J1325" i="10"/>
  <c r="I1325" i="10"/>
  <c r="H1325" i="10"/>
  <c r="G1325" i="10"/>
  <c r="F1325" i="10"/>
  <c r="E1325" i="10"/>
  <c r="D1325" i="10"/>
  <c r="C1325" i="10"/>
  <c r="B1325" i="10"/>
  <c r="L1324" i="10"/>
  <c r="K1324" i="10"/>
  <c r="J1324" i="10"/>
  <c r="I1324" i="10"/>
  <c r="H1324" i="10"/>
  <c r="G1324" i="10"/>
  <c r="F1324" i="10"/>
  <c r="E1324" i="10"/>
  <c r="D1324" i="10"/>
  <c r="C1324" i="10"/>
  <c r="B1324" i="10"/>
  <c r="L1323" i="10"/>
  <c r="K1323" i="10"/>
  <c r="J1323" i="10"/>
  <c r="I1323" i="10"/>
  <c r="H1323" i="10"/>
  <c r="G1323" i="10"/>
  <c r="F1323" i="10"/>
  <c r="E1323" i="10"/>
  <c r="D1323" i="10"/>
  <c r="C1323" i="10"/>
  <c r="B1323" i="10"/>
  <c r="L1322" i="10"/>
  <c r="K1322" i="10"/>
  <c r="J1322" i="10"/>
  <c r="I1322" i="10"/>
  <c r="H1322" i="10"/>
  <c r="G1322" i="10"/>
  <c r="F1322" i="10"/>
  <c r="E1322" i="10"/>
  <c r="D1322" i="10"/>
  <c r="C1322" i="10"/>
  <c r="B1322" i="10"/>
  <c r="L1321" i="10"/>
  <c r="K1321" i="10"/>
  <c r="J1321" i="10"/>
  <c r="I1321" i="10"/>
  <c r="H1321" i="10"/>
  <c r="G1321" i="10"/>
  <c r="F1321" i="10"/>
  <c r="E1321" i="10"/>
  <c r="D1321" i="10"/>
  <c r="C1321" i="10"/>
  <c r="B1321" i="10"/>
  <c r="L1320" i="10"/>
  <c r="K1320" i="10"/>
  <c r="J1320" i="10"/>
  <c r="I1320" i="10"/>
  <c r="H1320" i="10"/>
  <c r="G1320" i="10"/>
  <c r="F1320" i="10"/>
  <c r="E1320" i="10"/>
  <c r="D1320" i="10"/>
  <c r="C1320" i="10"/>
  <c r="B1320" i="10"/>
  <c r="L1319" i="10"/>
  <c r="K1319" i="10"/>
  <c r="J1319" i="10"/>
  <c r="I1319" i="10"/>
  <c r="H1319" i="10"/>
  <c r="G1319" i="10"/>
  <c r="F1319" i="10"/>
  <c r="E1319" i="10"/>
  <c r="D1319" i="10"/>
  <c r="C1319" i="10"/>
  <c r="B1319" i="10"/>
  <c r="L1318" i="10"/>
  <c r="K1318" i="10"/>
  <c r="J1318" i="10"/>
  <c r="I1318" i="10"/>
  <c r="H1318" i="10"/>
  <c r="G1318" i="10"/>
  <c r="F1318" i="10"/>
  <c r="E1318" i="10"/>
  <c r="D1318" i="10"/>
  <c r="C1318" i="10"/>
  <c r="B1318" i="10"/>
  <c r="L1317" i="10"/>
  <c r="K1317" i="10"/>
  <c r="J1317" i="10"/>
  <c r="I1317" i="10"/>
  <c r="H1317" i="10"/>
  <c r="G1317" i="10"/>
  <c r="F1317" i="10"/>
  <c r="E1317" i="10"/>
  <c r="D1317" i="10"/>
  <c r="C1317" i="10"/>
  <c r="B1317" i="10"/>
  <c r="L1316" i="10"/>
  <c r="L1327" i="10" s="1"/>
  <c r="K1316" i="10"/>
  <c r="K1327" i="10" s="1"/>
  <c r="J1316" i="10"/>
  <c r="J1327" i="10" s="1"/>
  <c r="I1316" i="10"/>
  <c r="I1327" i="10" s="1"/>
  <c r="H1316" i="10"/>
  <c r="H1327" i="10" s="1"/>
  <c r="G1316" i="10"/>
  <c r="G1327" i="10" s="1"/>
  <c r="F1316" i="10"/>
  <c r="F1327" i="10" s="1"/>
  <c r="K1314" i="10" s="1"/>
  <c r="E1316" i="10"/>
  <c r="E1327" i="10" s="1"/>
  <c r="D1316" i="10"/>
  <c r="C1316" i="10"/>
  <c r="B1316" i="10"/>
  <c r="M1314" i="10"/>
  <c r="M1313" i="10"/>
  <c r="L1310" i="10"/>
  <c r="K1310" i="10"/>
  <c r="J1310" i="10"/>
  <c r="I1310" i="10"/>
  <c r="H1310" i="10"/>
  <c r="G1310" i="10"/>
  <c r="F1310" i="10"/>
  <c r="E1310" i="10"/>
  <c r="D1310" i="10"/>
  <c r="C1310" i="10"/>
  <c r="B1310" i="10"/>
  <c r="L1309" i="10"/>
  <c r="K1309" i="10"/>
  <c r="J1309" i="10"/>
  <c r="I1309" i="10"/>
  <c r="H1309" i="10"/>
  <c r="G1309" i="10"/>
  <c r="F1309" i="10"/>
  <c r="E1309" i="10"/>
  <c r="D1309" i="10"/>
  <c r="C1309" i="10"/>
  <c r="B1309" i="10"/>
  <c r="L1308" i="10"/>
  <c r="K1308" i="10"/>
  <c r="J1308" i="10"/>
  <c r="I1308" i="10"/>
  <c r="H1308" i="10"/>
  <c r="G1308" i="10"/>
  <c r="F1308" i="10"/>
  <c r="E1308" i="10"/>
  <c r="D1308" i="10"/>
  <c r="C1308" i="10"/>
  <c r="B1308" i="10"/>
  <c r="L1307" i="10"/>
  <c r="K1307" i="10"/>
  <c r="J1307" i="10"/>
  <c r="I1307" i="10"/>
  <c r="H1307" i="10"/>
  <c r="G1307" i="10"/>
  <c r="F1307" i="10"/>
  <c r="E1307" i="10"/>
  <c r="D1307" i="10"/>
  <c r="C1307" i="10"/>
  <c r="B1307" i="10"/>
  <c r="L1306" i="10"/>
  <c r="K1306" i="10"/>
  <c r="J1306" i="10"/>
  <c r="I1306" i="10"/>
  <c r="H1306" i="10"/>
  <c r="G1306" i="10"/>
  <c r="F1306" i="10"/>
  <c r="E1306" i="10"/>
  <c r="D1306" i="10"/>
  <c r="C1306" i="10"/>
  <c r="B1306" i="10"/>
  <c r="L1305" i="10"/>
  <c r="K1305" i="10"/>
  <c r="J1305" i="10"/>
  <c r="I1305" i="10"/>
  <c r="H1305" i="10"/>
  <c r="G1305" i="10"/>
  <c r="F1305" i="10"/>
  <c r="E1305" i="10"/>
  <c r="D1305" i="10"/>
  <c r="C1305" i="10"/>
  <c r="B1305" i="10"/>
  <c r="L1304" i="10"/>
  <c r="K1304" i="10"/>
  <c r="J1304" i="10"/>
  <c r="I1304" i="10"/>
  <c r="H1304" i="10"/>
  <c r="G1304" i="10"/>
  <c r="F1304" i="10"/>
  <c r="E1304" i="10"/>
  <c r="D1304" i="10"/>
  <c r="C1304" i="10"/>
  <c r="B1304" i="10"/>
  <c r="L1303" i="10"/>
  <c r="K1303" i="10"/>
  <c r="J1303" i="10"/>
  <c r="I1303" i="10"/>
  <c r="H1303" i="10"/>
  <c r="G1303" i="10"/>
  <c r="F1303" i="10"/>
  <c r="E1303" i="10"/>
  <c r="D1303" i="10"/>
  <c r="C1303" i="10"/>
  <c r="B1303" i="10"/>
  <c r="L1302" i="10"/>
  <c r="K1302" i="10"/>
  <c r="J1302" i="10"/>
  <c r="I1302" i="10"/>
  <c r="H1302" i="10"/>
  <c r="G1302" i="10"/>
  <c r="F1302" i="10"/>
  <c r="E1302" i="10"/>
  <c r="D1302" i="10"/>
  <c r="C1302" i="10"/>
  <c r="B1302" i="10"/>
  <c r="L1301" i="10"/>
  <c r="K1301" i="10"/>
  <c r="J1301" i="10"/>
  <c r="I1301" i="10"/>
  <c r="H1301" i="10"/>
  <c r="G1301" i="10"/>
  <c r="F1301" i="10"/>
  <c r="E1301" i="10"/>
  <c r="D1301" i="10"/>
  <c r="C1301" i="10"/>
  <c r="B1301" i="10"/>
  <c r="L1300" i="10"/>
  <c r="L1311" i="10" s="1"/>
  <c r="K1300" i="10"/>
  <c r="K1311" i="10" s="1"/>
  <c r="J1300" i="10"/>
  <c r="J1311" i="10" s="1"/>
  <c r="I1300" i="10"/>
  <c r="I1311" i="10" s="1"/>
  <c r="H1300" i="10"/>
  <c r="H1311" i="10" s="1"/>
  <c r="G1300" i="10"/>
  <c r="G1311" i="10" s="1"/>
  <c r="F1300" i="10"/>
  <c r="F1311" i="10" s="1"/>
  <c r="K1298" i="10" s="1"/>
  <c r="E1300" i="10"/>
  <c r="E1311" i="10" s="1"/>
  <c r="D1300" i="10"/>
  <c r="C1300" i="10"/>
  <c r="B1300" i="10"/>
  <c r="M1298" i="10"/>
  <c r="M1297" i="10"/>
  <c r="L1294" i="10"/>
  <c r="K1294" i="10"/>
  <c r="J1294" i="10"/>
  <c r="I1294" i="10"/>
  <c r="H1294" i="10"/>
  <c r="G1294" i="10"/>
  <c r="F1294" i="10"/>
  <c r="E1294" i="10"/>
  <c r="D1294" i="10"/>
  <c r="C1294" i="10"/>
  <c r="B1294" i="10"/>
  <c r="L1293" i="10"/>
  <c r="K1293" i="10"/>
  <c r="J1293" i="10"/>
  <c r="I1293" i="10"/>
  <c r="H1293" i="10"/>
  <c r="G1293" i="10"/>
  <c r="F1293" i="10"/>
  <c r="E1293" i="10"/>
  <c r="D1293" i="10"/>
  <c r="C1293" i="10"/>
  <c r="B1293" i="10"/>
  <c r="L1292" i="10"/>
  <c r="K1292" i="10"/>
  <c r="J1292" i="10"/>
  <c r="I1292" i="10"/>
  <c r="H1292" i="10"/>
  <c r="G1292" i="10"/>
  <c r="F1292" i="10"/>
  <c r="E1292" i="10"/>
  <c r="D1292" i="10"/>
  <c r="C1292" i="10"/>
  <c r="B1292" i="10"/>
  <c r="L1291" i="10"/>
  <c r="K1291" i="10"/>
  <c r="J1291" i="10"/>
  <c r="I1291" i="10"/>
  <c r="H1291" i="10"/>
  <c r="G1291" i="10"/>
  <c r="F1291" i="10"/>
  <c r="E1291" i="10"/>
  <c r="D1291" i="10"/>
  <c r="C1291" i="10"/>
  <c r="B1291" i="10"/>
  <c r="L1290" i="10"/>
  <c r="K1290" i="10"/>
  <c r="J1290" i="10"/>
  <c r="I1290" i="10"/>
  <c r="H1290" i="10"/>
  <c r="G1290" i="10"/>
  <c r="F1290" i="10"/>
  <c r="E1290" i="10"/>
  <c r="D1290" i="10"/>
  <c r="C1290" i="10"/>
  <c r="B1290" i="10"/>
  <c r="L1289" i="10"/>
  <c r="K1289" i="10"/>
  <c r="J1289" i="10"/>
  <c r="I1289" i="10"/>
  <c r="H1289" i="10"/>
  <c r="G1289" i="10"/>
  <c r="F1289" i="10"/>
  <c r="E1289" i="10"/>
  <c r="D1289" i="10"/>
  <c r="C1289" i="10"/>
  <c r="B1289" i="10"/>
  <c r="L1288" i="10"/>
  <c r="K1288" i="10"/>
  <c r="J1288" i="10"/>
  <c r="I1288" i="10"/>
  <c r="H1288" i="10"/>
  <c r="G1288" i="10"/>
  <c r="F1288" i="10"/>
  <c r="E1288" i="10"/>
  <c r="D1288" i="10"/>
  <c r="C1288" i="10"/>
  <c r="B1288" i="10"/>
  <c r="L1287" i="10"/>
  <c r="K1287" i="10"/>
  <c r="J1287" i="10"/>
  <c r="I1287" i="10"/>
  <c r="H1287" i="10"/>
  <c r="G1287" i="10"/>
  <c r="F1287" i="10"/>
  <c r="E1287" i="10"/>
  <c r="D1287" i="10"/>
  <c r="C1287" i="10"/>
  <c r="B1287" i="10"/>
  <c r="L1286" i="10"/>
  <c r="K1286" i="10"/>
  <c r="J1286" i="10"/>
  <c r="I1286" i="10"/>
  <c r="H1286" i="10"/>
  <c r="G1286" i="10"/>
  <c r="F1286" i="10"/>
  <c r="E1286" i="10"/>
  <c r="D1286" i="10"/>
  <c r="C1286" i="10"/>
  <c r="B1286" i="10"/>
  <c r="L1285" i="10"/>
  <c r="K1285" i="10"/>
  <c r="J1285" i="10"/>
  <c r="I1285" i="10"/>
  <c r="H1285" i="10"/>
  <c r="G1285" i="10"/>
  <c r="F1285" i="10"/>
  <c r="E1285" i="10"/>
  <c r="D1285" i="10"/>
  <c r="C1285" i="10"/>
  <c r="B1285" i="10"/>
  <c r="L1284" i="10"/>
  <c r="L1295" i="10" s="1"/>
  <c r="K1284" i="10"/>
  <c r="K1295" i="10" s="1"/>
  <c r="J1284" i="10"/>
  <c r="J1295" i="10" s="1"/>
  <c r="I1284" i="10"/>
  <c r="I1295" i="10" s="1"/>
  <c r="H1284" i="10"/>
  <c r="H1295" i="10" s="1"/>
  <c r="G1284" i="10"/>
  <c r="G1295" i="10" s="1"/>
  <c r="F1284" i="10"/>
  <c r="F1295" i="10" s="1"/>
  <c r="K1282" i="10" s="1"/>
  <c r="E1284" i="10"/>
  <c r="E1295" i="10" s="1"/>
  <c r="D1284" i="10"/>
  <c r="C1284" i="10"/>
  <c r="B1284" i="10"/>
  <c r="M1282" i="10"/>
  <c r="M1281" i="10"/>
  <c r="L1278" i="10"/>
  <c r="K1278" i="10"/>
  <c r="J1278" i="10"/>
  <c r="I1278" i="10"/>
  <c r="H1278" i="10"/>
  <c r="G1278" i="10"/>
  <c r="F1278" i="10"/>
  <c r="E1278" i="10"/>
  <c r="D1278" i="10"/>
  <c r="C1278" i="10"/>
  <c r="B1278" i="10"/>
  <c r="L1277" i="10"/>
  <c r="K1277" i="10"/>
  <c r="J1277" i="10"/>
  <c r="I1277" i="10"/>
  <c r="H1277" i="10"/>
  <c r="G1277" i="10"/>
  <c r="F1277" i="10"/>
  <c r="E1277" i="10"/>
  <c r="D1277" i="10"/>
  <c r="C1277" i="10"/>
  <c r="B1277" i="10"/>
  <c r="L1276" i="10"/>
  <c r="K1276" i="10"/>
  <c r="J1276" i="10"/>
  <c r="I1276" i="10"/>
  <c r="H1276" i="10"/>
  <c r="G1276" i="10"/>
  <c r="F1276" i="10"/>
  <c r="E1276" i="10"/>
  <c r="D1276" i="10"/>
  <c r="C1276" i="10"/>
  <c r="B1276" i="10"/>
  <c r="L1275" i="10"/>
  <c r="K1275" i="10"/>
  <c r="J1275" i="10"/>
  <c r="I1275" i="10"/>
  <c r="H1275" i="10"/>
  <c r="G1275" i="10"/>
  <c r="F1275" i="10"/>
  <c r="E1275" i="10"/>
  <c r="D1275" i="10"/>
  <c r="C1275" i="10"/>
  <c r="B1275" i="10"/>
  <c r="L1274" i="10"/>
  <c r="K1274" i="10"/>
  <c r="J1274" i="10"/>
  <c r="I1274" i="10"/>
  <c r="H1274" i="10"/>
  <c r="G1274" i="10"/>
  <c r="F1274" i="10"/>
  <c r="E1274" i="10"/>
  <c r="D1274" i="10"/>
  <c r="C1274" i="10"/>
  <c r="B1274" i="10"/>
  <c r="L1273" i="10"/>
  <c r="K1273" i="10"/>
  <c r="J1273" i="10"/>
  <c r="I1273" i="10"/>
  <c r="H1273" i="10"/>
  <c r="G1273" i="10"/>
  <c r="F1273" i="10"/>
  <c r="E1273" i="10"/>
  <c r="D1273" i="10"/>
  <c r="C1273" i="10"/>
  <c r="B1273" i="10"/>
  <c r="L1272" i="10"/>
  <c r="K1272" i="10"/>
  <c r="J1272" i="10"/>
  <c r="I1272" i="10"/>
  <c r="H1272" i="10"/>
  <c r="G1272" i="10"/>
  <c r="F1272" i="10"/>
  <c r="E1272" i="10"/>
  <c r="D1272" i="10"/>
  <c r="C1272" i="10"/>
  <c r="B1272" i="10"/>
  <c r="L1271" i="10"/>
  <c r="K1271" i="10"/>
  <c r="J1271" i="10"/>
  <c r="I1271" i="10"/>
  <c r="H1271" i="10"/>
  <c r="G1271" i="10"/>
  <c r="F1271" i="10"/>
  <c r="E1271" i="10"/>
  <c r="D1271" i="10"/>
  <c r="C1271" i="10"/>
  <c r="B1271" i="10"/>
  <c r="L1270" i="10"/>
  <c r="K1270" i="10"/>
  <c r="J1270" i="10"/>
  <c r="I1270" i="10"/>
  <c r="H1270" i="10"/>
  <c r="G1270" i="10"/>
  <c r="F1270" i="10"/>
  <c r="E1270" i="10"/>
  <c r="D1270" i="10"/>
  <c r="C1270" i="10"/>
  <c r="B1270" i="10"/>
  <c r="L1269" i="10"/>
  <c r="K1269" i="10"/>
  <c r="J1269" i="10"/>
  <c r="I1269" i="10"/>
  <c r="H1269" i="10"/>
  <c r="G1269" i="10"/>
  <c r="F1269" i="10"/>
  <c r="E1269" i="10"/>
  <c r="D1269" i="10"/>
  <c r="C1269" i="10"/>
  <c r="B1269" i="10"/>
  <c r="L1268" i="10"/>
  <c r="L1279" i="10" s="1"/>
  <c r="K1268" i="10"/>
  <c r="K1279" i="10" s="1"/>
  <c r="J1268" i="10"/>
  <c r="J1279" i="10" s="1"/>
  <c r="I1268" i="10"/>
  <c r="I1279" i="10" s="1"/>
  <c r="H1268" i="10"/>
  <c r="H1279" i="10" s="1"/>
  <c r="G1268" i="10"/>
  <c r="G1279" i="10" s="1"/>
  <c r="F1268" i="10"/>
  <c r="F1279" i="10" s="1"/>
  <c r="K1266" i="10" s="1"/>
  <c r="E1268" i="10"/>
  <c r="E1279" i="10" s="1"/>
  <c r="D1268" i="10"/>
  <c r="C1268" i="10"/>
  <c r="B1268" i="10"/>
  <c r="M1266" i="10"/>
  <c r="M1265" i="10"/>
  <c r="L1262" i="10"/>
  <c r="K1262" i="10"/>
  <c r="J1262" i="10"/>
  <c r="I1262" i="10"/>
  <c r="H1262" i="10"/>
  <c r="G1262" i="10"/>
  <c r="F1262" i="10"/>
  <c r="E1262" i="10"/>
  <c r="D1262" i="10"/>
  <c r="C1262" i="10"/>
  <c r="B1262" i="10"/>
  <c r="L1261" i="10"/>
  <c r="K1261" i="10"/>
  <c r="J1261" i="10"/>
  <c r="I1261" i="10"/>
  <c r="H1261" i="10"/>
  <c r="G1261" i="10"/>
  <c r="F1261" i="10"/>
  <c r="E1261" i="10"/>
  <c r="D1261" i="10"/>
  <c r="C1261" i="10"/>
  <c r="B1261" i="10"/>
  <c r="L1260" i="10"/>
  <c r="K1260" i="10"/>
  <c r="J1260" i="10"/>
  <c r="I1260" i="10"/>
  <c r="H1260" i="10"/>
  <c r="G1260" i="10"/>
  <c r="F1260" i="10"/>
  <c r="E1260" i="10"/>
  <c r="D1260" i="10"/>
  <c r="C1260" i="10"/>
  <c r="B1260" i="10"/>
  <c r="L1259" i="10"/>
  <c r="K1259" i="10"/>
  <c r="J1259" i="10"/>
  <c r="I1259" i="10"/>
  <c r="H1259" i="10"/>
  <c r="G1259" i="10"/>
  <c r="F1259" i="10"/>
  <c r="E1259" i="10"/>
  <c r="D1259" i="10"/>
  <c r="C1259" i="10"/>
  <c r="B1259" i="10"/>
  <c r="L1258" i="10"/>
  <c r="K1258" i="10"/>
  <c r="J1258" i="10"/>
  <c r="I1258" i="10"/>
  <c r="H1258" i="10"/>
  <c r="G1258" i="10"/>
  <c r="F1258" i="10"/>
  <c r="E1258" i="10"/>
  <c r="D1258" i="10"/>
  <c r="C1258" i="10"/>
  <c r="B1258" i="10"/>
  <c r="L1257" i="10"/>
  <c r="K1257" i="10"/>
  <c r="J1257" i="10"/>
  <c r="I1257" i="10"/>
  <c r="H1257" i="10"/>
  <c r="G1257" i="10"/>
  <c r="F1257" i="10"/>
  <c r="E1257" i="10"/>
  <c r="D1257" i="10"/>
  <c r="C1257" i="10"/>
  <c r="B1257" i="10"/>
  <c r="L1256" i="10"/>
  <c r="K1256" i="10"/>
  <c r="J1256" i="10"/>
  <c r="I1256" i="10"/>
  <c r="H1256" i="10"/>
  <c r="G1256" i="10"/>
  <c r="F1256" i="10"/>
  <c r="E1256" i="10"/>
  <c r="D1256" i="10"/>
  <c r="C1256" i="10"/>
  <c r="B1256" i="10"/>
  <c r="L1255" i="10"/>
  <c r="K1255" i="10"/>
  <c r="J1255" i="10"/>
  <c r="I1255" i="10"/>
  <c r="H1255" i="10"/>
  <c r="G1255" i="10"/>
  <c r="F1255" i="10"/>
  <c r="E1255" i="10"/>
  <c r="D1255" i="10"/>
  <c r="C1255" i="10"/>
  <c r="B1255" i="10"/>
  <c r="L1254" i="10"/>
  <c r="K1254" i="10"/>
  <c r="J1254" i="10"/>
  <c r="I1254" i="10"/>
  <c r="H1254" i="10"/>
  <c r="G1254" i="10"/>
  <c r="F1254" i="10"/>
  <c r="E1254" i="10"/>
  <c r="D1254" i="10"/>
  <c r="C1254" i="10"/>
  <c r="B1254" i="10"/>
  <c r="L1253" i="10"/>
  <c r="K1253" i="10"/>
  <c r="J1253" i="10"/>
  <c r="I1253" i="10"/>
  <c r="H1253" i="10"/>
  <c r="G1253" i="10"/>
  <c r="F1253" i="10"/>
  <c r="E1253" i="10"/>
  <c r="D1253" i="10"/>
  <c r="C1253" i="10"/>
  <c r="B1253" i="10"/>
  <c r="L1252" i="10"/>
  <c r="L1263" i="10" s="1"/>
  <c r="K1252" i="10"/>
  <c r="K1263" i="10" s="1"/>
  <c r="J1252" i="10"/>
  <c r="J1263" i="10" s="1"/>
  <c r="I1252" i="10"/>
  <c r="I1263" i="10" s="1"/>
  <c r="H1252" i="10"/>
  <c r="H1263" i="10" s="1"/>
  <c r="G1252" i="10"/>
  <c r="G1263" i="10" s="1"/>
  <c r="F1252" i="10"/>
  <c r="F1263" i="10" s="1"/>
  <c r="K1250" i="10" s="1"/>
  <c r="E1252" i="10"/>
  <c r="E1263" i="10" s="1"/>
  <c r="D1252" i="10"/>
  <c r="C1252" i="10"/>
  <c r="B1252" i="10"/>
  <c r="M1250" i="10"/>
  <c r="M1249" i="10"/>
  <c r="L1246" i="10"/>
  <c r="K1246" i="10"/>
  <c r="J1246" i="10"/>
  <c r="I1246" i="10"/>
  <c r="H1246" i="10"/>
  <c r="G1246" i="10"/>
  <c r="F1246" i="10"/>
  <c r="E1246" i="10"/>
  <c r="D1246" i="10"/>
  <c r="C1246" i="10"/>
  <c r="B1246" i="10"/>
  <c r="L1245" i="10"/>
  <c r="K1245" i="10"/>
  <c r="J1245" i="10"/>
  <c r="I1245" i="10"/>
  <c r="H1245" i="10"/>
  <c r="G1245" i="10"/>
  <c r="F1245" i="10"/>
  <c r="E1245" i="10"/>
  <c r="D1245" i="10"/>
  <c r="C1245" i="10"/>
  <c r="B1245" i="10"/>
  <c r="L1244" i="10"/>
  <c r="K1244" i="10"/>
  <c r="J1244" i="10"/>
  <c r="I1244" i="10"/>
  <c r="H1244" i="10"/>
  <c r="G1244" i="10"/>
  <c r="F1244" i="10"/>
  <c r="E1244" i="10"/>
  <c r="D1244" i="10"/>
  <c r="C1244" i="10"/>
  <c r="B1244" i="10"/>
  <c r="L1243" i="10"/>
  <c r="K1243" i="10"/>
  <c r="J1243" i="10"/>
  <c r="I1243" i="10"/>
  <c r="H1243" i="10"/>
  <c r="G1243" i="10"/>
  <c r="F1243" i="10"/>
  <c r="E1243" i="10"/>
  <c r="D1243" i="10"/>
  <c r="C1243" i="10"/>
  <c r="B1243" i="10"/>
  <c r="L1242" i="10"/>
  <c r="K1242" i="10"/>
  <c r="J1242" i="10"/>
  <c r="I1242" i="10"/>
  <c r="H1242" i="10"/>
  <c r="G1242" i="10"/>
  <c r="F1242" i="10"/>
  <c r="E1242" i="10"/>
  <c r="D1242" i="10"/>
  <c r="C1242" i="10"/>
  <c r="B1242" i="10"/>
  <c r="L1241" i="10"/>
  <c r="K1241" i="10"/>
  <c r="J1241" i="10"/>
  <c r="I1241" i="10"/>
  <c r="H1241" i="10"/>
  <c r="G1241" i="10"/>
  <c r="F1241" i="10"/>
  <c r="E1241" i="10"/>
  <c r="D1241" i="10"/>
  <c r="C1241" i="10"/>
  <c r="B1241" i="10"/>
  <c r="L1240" i="10"/>
  <c r="K1240" i="10"/>
  <c r="J1240" i="10"/>
  <c r="I1240" i="10"/>
  <c r="H1240" i="10"/>
  <c r="G1240" i="10"/>
  <c r="F1240" i="10"/>
  <c r="E1240" i="10"/>
  <c r="D1240" i="10"/>
  <c r="C1240" i="10"/>
  <c r="B1240" i="10"/>
  <c r="L1239" i="10"/>
  <c r="K1239" i="10"/>
  <c r="J1239" i="10"/>
  <c r="I1239" i="10"/>
  <c r="H1239" i="10"/>
  <c r="G1239" i="10"/>
  <c r="F1239" i="10"/>
  <c r="E1239" i="10"/>
  <c r="D1239" i="10"/>
  <c r="C1239" i="10"/>
  <c r="B1239" i="10"/>
  <c r="L1238" i="10"/>
  <c r="K1238" i="10"/>
  <c r="J1238" i="10"/>
  <c r="I1238" i="10"/>
  <c r="H1238" i="10"/>
  <c r="G1238" i="10"/>
  <c r="F1238" i="10"/>
  <c r="E1238" i="10"/>
  <c r="D1238" i="10"/>
  <c r="C1238" i="10"/>
  <c r="B1238" i="10"/>
  <c r="L1237" i="10"/>
  <c r="K1237" i="10"/>
  <c r="J1237" i="10"/>
  <c r="I1237" i="10"/>
  <c r="H1237" i="10"/>
  <c r="G1237" i="10"/>
  <c r="F1237" i="10"/>
  <c r="E1237" i="10"/>
  <c r="D1237" i="10"/>
  <c r="C1237" i="10"/>
  <c r="B1237" i="10"/>
  <c r="L1236" i="10"/>
  <c r="L1247" i="10" s="1"/>
  <c r="K1236" i="10"/>
  <c r="K1247" i="10" s="1"/>
  <c r="J1236" i="10"/>
  <c r="J1247" i="10" s="1"/>
  <c r="I1236" i="10"/>
  <c r="I1247" i="10" s="1"/>
  <c r="H1236" i="10"/>
  <c r="H1247" i="10" s="1"/>
  <c r="G1236" i="10"/>
  <c r="G1247" i="10" s="1"/>
  <c r="F1236" i="10"/>
  <c r="F1247" i="10" s="1"/>
  <c r="K1234" i="10" s="1"/>
  <c r="E1236" i="10"/>
  <c r="E1247" i="10" s="1"/>
  <c r="D1236" i="10"/>
  <c r="C1236" i="10"/>
  <c r="B1236" i="10"/>
  <c r="M1234" i="10"/>
  <c r="M1233" i="10"/>
  <c r="L1230" i="10"/>
  <c r="K1230" i="10"/>
  <c r="J1230" i="10"/>
  <c r="I1230" i="10"/>
  <c r="H1230" i="10"/>
  <c r="G1230" i="10"/>
  <c r="F1230" i="10"/>
  <c r="E1230" i="10"/>
  <c r="D1230" i="10"/>
  <c r="C1230" i="10"/>
  <c r="B1230" i="10"/>
  <c r="L1229" i="10"/>
  <c r="K1229" i="10"/>
  <c r="J1229" i="10"/>
  <c r="I1229" i="10"/>
  <c r="H1229" i="10"/>
  <c r="G1229" i="10"/>
  <c r="F1229" i="10"/>
  <c r="E1229" i="10"/>
  <c r="D1229" i="10"/>
  <c r="C1229" i="10"/>
  <c r="B1229" i="10"/>
  <c r="L1228" i="10"/>
  <c r="K1228" i="10"/>
  <c r="J1228" i="10"/>
  <c r="I1228" i="10"/>
  <c r="H1228" i="10"/>
  <c r="G1228" i="10"/>
  <c r="F1228" i="10"/>
  <c r="E1228" i="10"/>
  <c r="D1228" i="10"/>
  <c r="C1228" i="10"/>
  <c r="B1228" i="10"/>
  <c r="L1227" i="10"/>
  <c r="K1227" i="10"/>
  <c r="J1227" i="10"/>
  <c r="I1227" i="10"/>
  <c r="H1227" i="10"/>
  <c r="G1227" i="10"/>
  <c r="F1227" i="10"/>
  <c r="E1227" i="10"/>
  <c r="D1227" i="10"/>
  <c r="C1227" i="10"/>
  <c r="B1227" i="10"/>
  <c r="L1226" i="10"/>
  <c r="K1226" i="10"/>
  <c r="J1226" i="10"/>
  <c r="I1226" i="10"/>
  <c r="H1226" i="10"/>
  <c r="G1226" i="10"/>
  <c r="F1226" i="10"/>
  <c r="E1226" i="10"/>
  <c r="D1226" i="10"/>
  <c r="C1226" i="10"/>
  <c r="B1226" i="10"/>
  <c r="L1225" i="10"/>
  <c r="K1225" i="10"/>
  <c r="J1225" i="10"/>
  <c r="I1225" i="10"/>
  <c r="H1225" i="10"/>
  <c r="G1225" i="10"/>
  <c r="F1225" i="10"/>
  <c r="E1225" i="10"/>
  <c r="D1225" i="10"/>
  <c r="C1225" i="10"/>
  <c r="B1225" i="10"/>
  <c r="L1224" i="10"/>
  <c r="K1224" i="10"/>
  <c r="J1224" i="10"/>
  <c r="I1224" i="10"/>
  <c r="H1224" i="10"/>
  <c r="G1224" i="10"/>
  <c r="F1224" i="10"/>
  <c r="E1224" i="10"/>
  <c r="D1224" i="10"/>
  <c r="C1224" i="10"/>
  <c r="B1224" i="10"/>
  <c r="L1223" i="10"/>
  <c r="K1223" i="10"/>
  <c r="J1223" i="10"/>
  <c r="I1223" i="10"/>
  <c r="H1223" i="10"/>
  <c r="G1223" i="10"/>
  <c r="F1223" i="10"/>
  <c r="E1223" i="10"/>
  <c r="D1223" i="10"/>
  <c r="C1223" i="10"/>
  <c r="B1223" i="10"/>
  <c r="L1222" i="10"/>
  <c r="K1222" i="10"/>
  <c r="J1222" i="10"/>
  <c r="I1222" i="10"/>
  <c r="H1222" i="10"/>
  <c r="G1222" i="10"/>
  <c r="F1222" i="10"/>
  <c r="E1222" i="10"/>
  <c r="D1222" i="10"/>
  <c r="C1222" i="10"/>
  <c r="B1222" i="10"/>
  <c r="L1221" i="10"/>
  <c r="K1221" i="10"/>
  <c r="J1221" i="10"/>
  <c r="I1221" i="10"/>
  <c r="H1221" i="10"/>
  <c r="G1221" i="10"/>
  <c r="F1221" i="10"/>
  <c r="E1221" i="10"/>
  <c r="D1221" i="10"/>
  <c r="C1221" i="10"/>
  <c r="B1221" i="10"/>
  <c r="L1220" i="10"/>
  <c r="L1231" i="10" s="1"/>
  <c r="K1220" i="10"/>
  <c r="K1231" i="10" s="1"/>
  <c r="J1220" i="10"/>
  <c r="J1231" i="10" s="1"/>
  <c r="I1220" i="10"/>
  <c r="I1231" i="10" s="1"/>
  <c r="H1220" i="10"/>
  <c r="H1231" i="10" s="1"/>
  <c r="G1220" i="10"/>
  <c r="G1231" i="10" s="1"/>
  <c r="F1220" i="10"/>
  <c r="F1231" i="10" s="1"/>
  <c r="K1218" i="10" s="1"/>
  <c r="E1220" i="10"/>
  <c r="E1231" i="10" s="1"/>
  <c r="D1220" i="10"/>
  <c r="C1220" i="10"/>
  <c r="B1220" i="10"/>
  <c r="M1218" i="10"/>
  <c r="M1217" i="10"/>
  <c r="L1214" i="10"/>
  <c r="K1214" i="10"/>
  <c r="J1214" i="10"/>
  <c r="I1214" i="10"/>
  <c r="H1214" i="10"/>
  <c r="G1214" i="10"/>
  <c r="F1214" i="10"/>
  <c r="E1214" i="10"/>
  <c r="D1214" i="10"/>
  <c r="C1214" i="10"/>
  <c r="B1214" i="10"/>
  <c r="L1213" i="10"/>
  <c r="K1213" i="10"/>
  <c r="J1213" i="10"/>
  <c r="I1213" i="10"/>
  <c r="H1213" i="10"/>
  <c r="G1213" i="10"/>
  <c r="F1213" i="10"/>
  <c r="E1213" i="10"/>
  <c r="D1213" i="10"/>
  <c r="C1213" i="10"/>
  <c r="B1213" i="10"/>
  <c r="L1212" i="10"/>
  <c r="K1212" i="10"/>
  <c r="J1212" i="10"/>
  <c r="I1212" i="10"/>
  <c r="H1212" i="10"/>
  <c r="G1212" i="10"/>
  <c r="F1212" i="10"/>
  <c r="E1212" i="10"/>
  <c r="D1212" i="10"/>
  <c r="C1212" i="10"/>
  <c r="B1212" i="10"/>
  <c r="L1211" i="10"/>
  <c r="K1211" i="10"/>
  <c r="J1211" i="10"/>
  <c r="I1211" i="10"/>
  <c r="H1211" i="10"/>
  <c r="G1211" i="10"/>
  <c r="F1211" i="10"/>
  <c r="E1211" i="10"/>
  <c r="D1211" i="10"/>
  <c r="C1211" i="10"/>
  <c r="B1211" i="10"/>
  <c r="L1210" i="10"/>
  <c r="K1210" i="10"/>
  <c r="J1210" i="10"/>
  <c r="I1210" i="10"/>
  <c r="H1210" i="10"/>
  <c r="G1210" i="10"/>
  <c r="F1210" i="10"/>
  <c r="E1210" i="10"/>
  <c r="D1210" i="10"/>
  <c r="C1210" i="10"/>
  <c r="B1210" i="10"/>
  <c r="L1209" i="10"/>
  <c r="K1209" i="10"/>
  <c r="J1209" i="10"/>
  <c r="I1209" i="10"/>
  <c r="H1209" i="10"/>
  <c r="G1209" i="10"/>
  <c r="F1209" i="10"/>
  <c r="E1209" i="10"/>
  <c r="D1209" i="10"/>
  <c r="C1209" i="10"/>
  <c r="B1209" i="10"/>
  <c r="L1208" i="10"/>
  <c r="K1208" i="10"/>
  <c r="J1208" i="10"/>
  <c r="I1208" i="10"/>
  <c r="H1208" i="10"/>
  <c r="G1208" i="10"/>
  <c r="F1208" i="10"/>
  <c r="E1208" i="10"/>
  <c r="D1208" i="10"/>
  <c r="C1208" i="10"/>
  <c r="B1208" i="10"/>
  <c r="L1207" i="10"/>
  <c r="K1207" i="10"/>
  <c r="J1207" i="10"/>
  <c r="I1207" i="10"/>
  <c r="H1207" i="10"/>
  <c r="G1207" i="10"/>
  <c r="F1207" i="10"/>
  <c r="E1207" i="10"/>
  <c r="D1207" i="10"/>
  <c r="C1207" i="10"/>
  <c r="B1207" i="10"/>
  <c r="L1206" i="10"/>
  <c r="K1206" i="10"/>
  <c r="J1206" i="10"/>
  <c r="I1206" i="10"/>
  <c r="H1206" i="10"/>
  <c r="G1206" i="10"/>
  <c r="F1206" i="10"/>
  <c r="E1206" i="10"/>
  <c r="D1206" i="10"/>
  <c r="C1206" i="10"/>
  <c r="B1206" i="10"/>
  <c r="L1205" i="10"/>
  <c r="K1205" i="10"/>
  <c r="J1205" i="10"/>
  <c r="I1205" i="10"/>
  <c r="H1205" i="10"/>
  <c r="G1205" i="10"/>
  <c r="F1205" i="10"/>
  <c r="E1205" i="10"/>
  <c r="D1205" i="10"/>
  <c r="C1205" i="10"/>
  <c r="B1205" i="10"/>
  <c r="L1204" i="10"/>
  <c r="L1215" i="10" s="1"/>
  <c r="K1204" i="10"/>
  <c r="K1215" i="10" s="1"/>
  <c r="J1204" i="10"/>
  <c r="J1215" i="10" s="1"/>
  <c r="I1204" i="10"/>
  <c r="I1215" i="10" s="1"/>
  <c r="H1204" i="10"/>
  <c r="H1215" i="10" s="1"/>
  <c r="G1204" i="10"/>
  <c r="G1215" i="10" s="1"/>
  <c r="F1204" i="10"/>
  <c r="F1215" i="10" s="1"/>
  <c r="K1202" i="10" s="1"/>
  <c r="E1204" i="10"/>
  <c r="E1215" i="10" s="1"/>
  <c r="D1204" i="10"/>
  <c r="C1204" i="10"/>
  <c r="B1204" i="10"/>
  <c r="M1202" i="10"/>
  <c r="M1201" i="10"/>
  <c r="L1198" i="10"/>
  <c r="K1198" i="10"/>
  <c r="J1198" i="10"/>
  <c r="I1198" i="10"/>
  <c r="H1198" i="10"/>
  <c r="G1198" i="10"/>
  <c r="F1198" i="10"/>
  <c r="E1198" i="10"/>
  <c r="D1198" i="10"/>
  <c r="C1198" i="10"/>
  <c r="B1198" i="10"/>
  <c r="L1197" i="10"/>
  <c r="K1197" i="10"/>
  <c r="J1197" i="10"/>
  <c r="I1197" i="10"/>
  <c r="H1197" i="10"/>
  <c r="G1197" i="10"/>
  <c r="F1197" i="10"/>
  <c r="E1197" i="10"/>
  <c r="D1197" i="10"/>
  <c r="C1197" i="10"/>
  <c r="B1197" i="10"/>
  <c r="L1196" i="10"/>
  <c r="K1196" i="10"/>
  <c r="J1196" i="10"/>
  <c r="I1196" i="10"/>
  <c r="H1196" i="10"/>
  <c r="G1196" i="10"/>
  <c r="F1196" i="10"/>
  <c r="E1196" i="10"/>
  <c r="D1196" i="10"/>
  <c r="C1196" i="10"/>
  <c r="B1196" i="10"/>
  <c r="L1195" i="10"/>
  <c r="K1195" i="10"/>
  <c r="J1195" i="10"/>
  <c r="I1195" i="10"/>
  <c r="H1195" i="10"/>
  <c r="G1195" i="10"/>
  <c r="F1195" i="10"/>
  <c r="E1195" i="10"/>
  <c r="D1195" i="10"/>
  <c r="C1195" i="10"/>
  <c r="B1195" i="10"/>
  <c r="L1194" i="10"/>
  <c r="K1194" i="10"/>
  <c r="J1194" i="10"/>
  <c r="I1194" i="10"/>
  <c r="H1194" i="10"/>
  <c r="G1194" i="10"/>
  <c r="F1194" i="10"/>
  <c r="E1194" i="10"/>
  <c r="D1194" i="10"/>
  <c r="C1194" i="10"/>
  <c r="B1194" i="10"/>
  <c r="L1193" i="10"/>
  <c r="K1193" i="10"/>
  <c r="J1193" i="10"/>
  <c r="I1193" i="10"/>
  <c r="H1193" i="10"/>
  <c r="G1193" i="10"/>
  <c r="F1193" i="10"/>
  <c r="E1193" i="10"/>
  <c r="D1193" i="10"/>
  <c r="C1193" i="10"/>
  <c r="B1193" i="10"/>
  <c r="L1192" i="10"/>
  <c r="K1192" i="10"/>
  <c r="J1192" i="10"/>
  <c r="I1192" i="10"/>
  <c r="H1192" i="10"/>
  <c r="G1192" i="10"/>
  <c r="F1192" i="10"/>
  <c r="E1192" i="10"/>
  <c r="D1192" i="10"/>
  <c r="C1192" i="10"/>
  <c r="B1192" i="10"/>
  <c r="L1191" i="10"/>
  <c r="K1191" i="10"/>
  <c r="J1191" i="10"/>
  <c r="I1191" i="10"/>
  <c r="H1191" i="10"/>
  <c r="G1191" i="10"/>
  <c r="F1191" i="10"/>
  <c r="E1191" i="10"/>
  <c r="D1191" i="10"/>
  <c r="C1191" i="10"/>
  <c r="B1191" i="10"/>
  <c r="L1190" i="10"/>
  <c r="K1190" i="10"/>
  <c r="J1190" i="10"/>
  <c r="I1190" i="10"/>
  <c r="H1190" i="10"/>
  <c r="G1190" i="10"/>
  <c r="F1190" i="10"/>
  <c r="E1190" i="10"/>
  <c r="D1190" i="10"/>
  <c r="C1190" i="10"/>
  <c r="B1190" i="10"/>
  <c r="L1189" i="10"/>
  <c r="K1189" i="10"/>
  <c r="J1189" i="10"/>
  <c r="I1189" i="10"/>
  <c r="H1189" i="10"/>
  <c r="G1189" i="10"/>
  <c r="F1189" i="10"/>
  <c r="E1189" i="10"/>
  <c r="D1189" i="10"/>
  <c r="C1189" i="10"/>
  <c r="B1189" i="10"/>
  <c r="L1188" i="10"/>
  <c r="L1199" i="10" s="1"/>
  <c r="K1188" i="10"/>
  <c r="K1199" i="10" s="1"/>
  <c r="J1188" i="10"/>
  <c r="J1199" i="10" s="1"/>
  <c r="I1188" i="10"/>
  <c r="I1199" i="10" s="1"/>
  <c r="H1188" i="10"/>
  <c r="H1199" i="10" s="1"/>
  <c r="G1188" i="10"/>
  <c r="G1199" i="10" s="1"/>
  <c r="F1188" i="10"/>
  <c r="F1199" i="10" s="1"/>
  <c r="K1186" i="10" s="1"/>
  <c r="E1188" i="10"/>
  <c r="E1199" i="10" s="1"/>
  <c r="D1188" i="10"/>
  <c r="C1188" i="10"/>
  <c r="B1188" i="10"/>
  <c r="M1186" i="10"/>
  <c r="M1185" i="10"/>
  <c r="L1182" i="10"/>
  <c r="K1182" i="10"/>
  <c r="J1182" i="10"/>
  <c r="I1182" i="10"/>
  <c r="H1182" i="10"/>
  <c r="G1182" i="10"/>
  <c r="F1182" i="10"/>
  <c r="E1182" i="10"/>
  <c r="D1182" i="10"/>
  <c r="C1182" i="10"/>
  <c r="B1182" i="10"/>
  <c r="L1181" i="10"/>
  <c r="K1181" i="10"/>
  <c r="J1181" i="10"/>
  <c r="I1181" i="10"/>
  <c r="H1181" i="10"/>
  <c r="G1181" i="10"/>
  <c r="F1181" i="10"/>
  <c r="E1181" i="10"/>
  <c r="D1181" i="10"/>
  <c r="C1181" i="10"/>
  <c r="B1181" i="10"/>
  <c r="L1180" i="10"/>
  <c r="K1180" i="10"/>
  <c r="J1180" i="10"/>
  <c r="I1180" i="10"/>
  <c r="H1180" i="10"/>
  <c r="G1180" i="10"/>
  <c r="F1180" i="10"/>
  <c r="E1180" i="10"/>
  <c r="D1180" i="10"/>
  <c r="C1180" i="10"/>
  <c r="B1180" i="10"/>
  <c r="L1179" i="10"/>
  <c r="K1179" i="10"/>
  <c r="J1179" i="10"/>
  <c r="I1179" i="10"/>
  <c r="H1179" i="10"/>
  <c r="G1179" i="10"/>
  <c r="F1179" i="10"/>
  <c r="E1179" i="10"/>
  <c r="D1179" i="10"/>
  <c r="C1179" i="10"/>
  <c r="B1179" i="10"/>
  <c r="L1178" i="10"/>
  <c r="K1178" i="10"/>
  <c r="J1178" i="10"/>
  <c r="I1178" i="10"/>
  <c r="H1178" i="10"/>
  <c r="G1178" i="10"/>
  <c r="F1178" i="10"/>
  <c r="E1178" i="10"/>
  <c r="D1178" i="10"/>
  <c r="C1178" i="10"/>
  <c r="B1178" i="10"/>
  <c r="L1177" i="10"/>
  <c r="K1177" i="10"/>
  <c r="J1177" i="10"/>
  <c r="I1177" i="10"/>
  <c r="H1177" i="10"/>
  <c r="G1177" i="10"/>
  <c r="F1177" i="10"/>
  <c r="E1177" i="10"/>
  <c r="D1177" i="10"/>
  <c r="C1177" i="10"/>
  <c r="B1177" i="10"/>
  <c r="L1176" i="10"/>
  <c r="K1176" i="10"/>
  <c r="J1176" i="10"/>
  <c r="I1176" i="10"/>
  <c r="H1176" i="10"/>
  <c r="G1176" i="10"/>
  <c r="F1176" i="10"/>
  <c r="E1176" i="10"/>
  <c r="D1176" i="10"/>
  <c r="C1176" i="10"/>
  <c r="B1176" i="10"/>
  <c r="L1175" i="10"/>
  <c r="K1175" i="10"/>
  <c r="J1175" i="10"/>
  <c r="I1175" i="10"/>
  <c r="H1175" i="10"/>
  <c r="G1175" i="10"/>
  <c r="F1175" i="10"/>
  <c r="E1175" i="10"/>
  <c r="D1175" i="10"/>
  <c r="C1175" i="10"/>
  <c r="B1175" i="10"/>
  <c r="L1174" i="10"/>
  <c r="K1174" i="10"/>
  <c r="J1174" i="10"/>
  <c r="I1174" i="10"/>
  <c r="H1174" i="10"/>
  <c r="G1174" i="10"/>
  <c r="F1174" i="10"/>
  <c r="E1174" i="10"/>
  <c r="D1174" i="10"/>
  <c r="C1174" i="10"/>
  <c r="B1174" i="10"/>
  <c r="L1173" i="10"/>
  <c r="K1173" i="10"/>
  <c r="J1173" i="10"/>
  <c r="I1173" i="10"/>
  <c r="H1173" i="10"/>
  <c r="G1173" i="10"/>
  <c r="F1173" i="10"/>
  <c r="E1173" i="10"/>
  <c r="D1173" i="10"/>
  <c r="C1173" i="10"/>
  <c r="B1173" i="10"/>
  <c r="L1172" i="10"/>
  <c r="L1183" i="10" s="1"/>
  <c r="K1172" i="10"/>
  <c r="K1183" i="10" s="1"/>
  <c r="J1172" i="10"/>
  <c r="J1183" i="10" s="1"/>
  <c r="I1172" i="10"/>
  <c r="I1183" i="10" s="1"/>
  <c r="H1172" i="10"/>
  <c r="H1183" i="10" s="1"/>
  <c r="G1172" i="10"/>
  <c r="G1183" i="10" s="1"/>
  <c r="F1172" i="10"/>
  <c r="F1183" i="10" s="1"/>
  <c r="K1170" i="10" s="1"/>
  <c r="E1172" i="10"/>
  <c r="E1183" i="10" s="1"/>
  <c r="D1172" i="10"/>
  <c r="C1172" i="10"/>
  <c r="B1172" i="10"/>
  <c r="M1170" i="10"/>
  <c r="M1169" i="10"/>
  <c r="L1166" i="10"/>
  <c r="K1166" i="10"/>
  <c r="J1166" i="10"/>
  <c r="I1166" i="10"/>
  <c r="H1166" i="10"/>
  <c r="G1166" i="10"/>
  <c r="F1166" i="10"/>
  <c r="E1166" i="10"/>
  <c r="D1166" i="10"/>
  <c r="C1166" i="10"/>
  <c r="B1166" i="10"/>
  <c r="L1165" i="10"/>
  <c r="K1165" i="10"/>
  <c r="J1165" i="10"/>
  <c r="I1165" i="10"/>
  <c r="H1165" i="10"/>
  <c r="G1165" i="10"/>
  <c r="F1165" i="10"/>
  <c r="E1165" i="10"/>
  <c r="D1165" i="10"/>
  <c r="C1165" i="10"/>
  <c r="B1165" i="10"/>
  <c r="L1164" i="10"/>
  <c r="K1164" i="10"/>
  <c r="J1164" i="10"/>
  <c r="I1164" i="10"/>
  <c r="H1164" i="10"/>
  <c r="G1164" i="10"/>
  <c r="F1164" i="10"/>
  <c r="E1164" i="10"/>
  <c r="D1164" i="10"/>
  <c r="C1164" i="10"/>
  <c r="B1164" i="10"/>
  <c r="L1163" i="10"/>
  <c r="K1163" i="10"/>
  <c r="J1163" i="10"/>
  <c r="I1163" i="10"/>
  <c r="H1163" i="10"/>
  <c r="G1163" i="10"/>
  <c r="F1163" i="10"/>
  <c r="E1163" i="10"/>
  <c r="D1163" i="10"/>
  <c r="C1163" i="10"/>
  <c r="B1163" i="10"/>
  <c r="L1162" i="10"/>
  <c r="K1162" i="10"/>
  <c r="J1162" i="10"/>
  <c r="I1162" i="10"/>
  <c r="H1162" i="10"/>
  <c r="G1162" i="10"/>
  <c r="F1162" i="10"/>
  <c r="E1162" i="10"/>
  <c r="D1162" i="10"/>
  <c r="C1162" i="10"/>
  <c r="B1162" i="10"/>
  <c r="L1161" i="10"/>
  <c r="K1161" i="10"/>
  <c r="J1161" i="10"/>
  <c r="I1161" i="10"/>
  <c r="H1161" i="10"/>
  <c r="G1161" i="10"/>
  <c r="F1161" i="10"/>
  <c r="E1161" i="10"/>
  <c r="D1161" i="10"/>
  <c r="C1161" i="10"/>
  <c r="B1161" i="10"/>
  <c r="L1160" i="10"/>
  <c r="K1160" i="10"/>
  <c r="J1160" i="10"/>
  <c r="I1160" i="10"/>
  <c r="H1160" i="10"/>
  <c r="G1160" i="10"/>
  <c r="F1160" i="10"/>
  <c r="E1160" i="10"/>
  <c r="D1160" i="10"/>
  <c r="C1160" i="10"/>
  <c r="B1160" i="10"/>
  <c r="L1159" i="10"/>
  <c r="K1159" i="10"/>
  <c r="J1159" i="10"/>
  <c r="I1159" i="10"/>
  <c r="H1159" i="10"/>
  <c r="G1159" i="10"/>
  <c r="F1159" i="10"/>
  <c r="E1159" i="10"/>
  <c r="D1159" i="10"/>
  <c r="C1159" i="10"/>
  <c r="B1159" i="10"/>
  <c r="L1158" i="10"/>
  <c r="K1158" i="10"/>
  <c r="J1158" i="10"/>
  <c r="I1158" i="10"/>
  <c r="H1158" i="10"/>
  <c r="G1158" i="10"/>
  <c r="F1158" i="10"/>
  <c r="E1158" i="10"/>
  <c r="D1158" i="10"/>
  <c r="C1158" i="10"/>
  <c r="B1158" i="10"/>
  <c r="L1157" i="10"/>
  <c r="K1157" i="10"/>
  <c r="J1157" i="10"/>
  <c r="I1157" i="10"/>
  <c r="H1157" i="10"/>
  <c r="G1157" i="10"/>
  <c r="F1157" i="10"/>
  <c r="E1157" i="10"/>
  <c r="D1157" i="10"/>
  <c r="C1157" i="10"/>
  <c r="B1157" i="10"/>
  <c r="L1156" i="10"/>
  <c r="L1167" i="10" s="1"/>
  <c r="K1156" i="10"/>
  <c r="K1167" i="10" s="1"/>
  <c r="J1156" i="10"/>
  <c r="J1167" i="10" s="1"/>
  <c r="I1156" i="10"/>
  <c r="I1167" i="10" s="1"/>
  <c r="H1156" i="10"/>
  <c r="H1167" i="10" s="1"/>
  <c r="G1156" i="10"/>
  <c r="G1167" i="10" s="1"/>
  <c r="F1156" i="10"/>
  <c r="F1167" i="10" s="1"/>
  <c r="K1154" i="10" s="1"/>
  <c r="E1156" i="10"/>
  <c r="E1167" i="10" s="1"/>
  <c r="D1156" i="10"/>
  <c r="C1156" i="10"/>
  <c r="B1156" i="10"/>
  <c r="M1154" i="10"/>
  <c r="M1153" i="10"/>
  <c r="L1150" i="10"/>
  <c r="K1150" i="10"/>
  <c r="J1150" i="10"/>
  <c r="I1150" i="10"/>
  <c r="H1150" i="10"/>
  <c r="G1150" i="10"/>
  <c r="F1150" i="10"/>
  <c r="E1150" i="10"/>
  <c r="D1150" i="10"/>
  <c r="C1150" i="10"/>
  <c r="B1150" i="10"/>
  <c r="L1149" i="10"/>
  <c r="K1149" i="10"/>
  <c r="J1149" i="10"/>
  <c r="I1149" i="10"/>
  <c r="H1149" i="10"/>
  <c r="G1149" i="10"/>
  <c r="F1149" i="10"/>
  <c r="E1149" i="10"/>
  <c r="D1149" i="10"/>
  <c r="C1149" i="10"/>
  <c r="B1149" i="10"/>
  <c r="L1148" i="10"/>
  <c r="K1148" i="10"/>
  <c r="J1148" i="10"/>
  <c r="I1148" i="10"/>
  <c r="H1148" i="10"/>
  <c r="G1148" i="10"/>
  <c r="F1148" i="10"/>
  <c r="E1148" i="10"/>
  <c r="D1148" i="10"/>
  <c r="C1148" i="10"/>
  <c r="B1148" i="10"/>
  <c r="L1147" i="10"/>
  <c r="K1147" i="10"/>
  <c r="J1147" i="10"/>
  <c r="I1147" i="10"/>
  <c r="H1147" i="10"/>
  <c r="G1147" i="10"/>
  <c r="F1147" i="10"/>
  <c r="E1147" i="10"/>
  <c r="D1147" i="10"/>
  <c r="C1147" i="10"/>
  <c r="B1147" i="10"/>
  <c r="L1146" i="10"/>
  <c r="K1146" i="10"/>
  <c r="J1146" i="10"/>
  <c r="I1146" i="10"/>
  <c r="H1146" i="10"/>
  <c r="G1146" i="10"/>
  <c r="F1146" i="10"/>
  <c r="E1146" i="10"/>
  <c r="D1146" i="10"/>
  <c r="C1146" i="10"/>
  <c r="B1146" i="10"/>
  <c r="L1145" i="10"/>
  <c r="K1145" i="10"/>
  <c r="J1145" i="10"/>
  <c r="I1145" i="10"/>
  <c r="H1145" i="10"/>
  <c r="G1145" i="10"/>
  <c r="F1145" i="10"/>
  <c r="E1145" i="10"/>
  <c r="D1145" i="10"/>
  <c r="C1145" i="10"/>
  <c r="B1145" i="10"/>
  <c r="L1144" i="10"/>
  <c r="K1144" i="10"/>
  <c r="J1144" i="10"/>
  <c r="I1144" i="10"/>
  <c r="H1144" i="10"/>
  <c r="G1144" i="10"/>
  <c r="F1144" i="10"/>
  <c r="E1144" i="10"/>
  <c r="D1144" i="10"/>
  <c r="C1144" i="10"/>
  <c r="B1144" i="10"/>
  <c r="L1143" i="10"/>
  <c r="K1143" i="10"/>
  <c r="J1143" i="10"/>
  <c r="I1143" i="10"/>
  <c r="H1143" i="10"/>
  <c r="G1143" i="10"/>
  <c r="F1143" i="10"/>
  <c r="E1143" i="10"/>
  <c r="D1143" i="10"/>
  <c r="C1143" i="10"/>
  <c r="B1143" i="10"/>
  <c r="L1142" i="10"/>
  <c r="K1142" i="10"/>
  <c r="J1142" i="10"/>
  <c r="I1142" i="10"/>
  <c r="H1142" i="10"/>
  <c r="G1142" i="10"/>
  <c r="F1142" i="10"/>
  <c r="E1142" i="10"/>
  <c r="D1142" i="10"/>
  <c r="C1142" i="10"/>
  <c r="B1142" i="10"/>
  <c r="L1141" i="10"/>
  <c r="K1141" i="10"/>
  <c r="J1141" i="10"/>
  <c r="I1141" i="10"/>
  <c r="H1141" i="10"/>
  <c r="G1141" i="10"/>
  <c r="F1141" i="10"/>
  <c r="E1141" i="10"/>
  <c r="D1141" i="10"/>
  <c r="C1141" i="10"/>
  <c r="B1141" i="10"/>
  <c r="L1140" i="10"/>
  <c r="L1151" i="10" s="1"/>
  <c r="K1140" i="10"/>
  <c r="K1151" i="10" s="1"/>
  <c r="J1140" i="10"/>
  <c r="J1151" i="10" s="1"/>
  <c r="I1140" i="10"/>
  <c r="I1151" i="10" s="1"/>
  <c r="H1140" i="10"/>
  <c r="H1151" i="10" s="1"/>
  <c r="G1140" i="10"/>
  <c r="G1151" i="10" s="1"/>
  <c r="F1140" i="10"/>
  <c r="F1151" i="10" s="1"/>
  <c r="K1138" i="10" s="1"/>
  <c r="E1140" i="10"/>
  <c r="E1151" i="10" s="1"/>
  <c r="D1140" i="10"/>
  <c r="C1140" i="10"/>
  <c r="B1140" i="10"/>
  <c r="M1138" i="10"/>
  <c r="M1137" i="10"/>
  <c r="L1134" i="10"/>
  <c r="K1134" i="10"/>
  <c r="J1134" i="10"/>
  <c r="I1134" i="10"/>
  <c r="H1134" i="10"/>
  <c r="G1134" i="10"/>
  <c r="F1134" i="10"/>
  <c r="E1134" i="10"/>
  <c r="D1134" i="10"/>
  <c r="C1134" i="10"/>
  <c r="B1134" i="10"/>
  <c r="L1133" i="10"/>
  <c r="K1133" i="10"/>
  <c r="J1133" i="10"/>
  <c r="I1133" i="10"/>
  <c r="H1133" i="10"/>
  <c r="G1133" i="10"/>
  <c r="F1133" i="10"/>
  <c r="E1133" i="10"/>
  <c r="D1133" i="10"/>
  <c r="C1133" i="10"/>
  <c r="B1133" i="10"/>
  <c r="L1132" i="10"/>
  <c r="K1132" i="10"/>
  <c r="J1132" i="10"/>
  <c r="I1132" i="10"/>
  <c r="H1132" i="10"/>
  <c r="G1132" i="10"/>
  <c r="F1132" i="10"/>
  <c r="E1132" i="10"/>
  <c r="D1132" i="10"/>
  <c r="C1132" i="10"/>
  <c r="B1132" i="10"/>
  <c r="L1131" i="10"/>
  <c r="K1131" i="10"/>
  <c r="J1131" i="10"/>
  <c r="I1131" i="10"/>
  <c r="H1131" i="10"/>
  <c r="G1131" i="10"/>
  <c r="F1131" i="10"/>
  <c r="E1131" i="10"/>
  <c r="D1131" i="10"/>
  <c r="C1131" i="10"/>
  <c r="B1131" i="10"/>
  <c r="L1130" i="10"/>
  <c r="K1130" i="10"/>
  <c r="J1130" i="10"/>
  <c r="I1130" i="10"/>
  <c r="H1130" i="10"/>
  <c r="G1130" i="10"/>
  <c r="F1130" i="10"/>
  <c r="E1130" i="10"/>
  <c r="D1130" i="10"/>
  <c r="C1130" i="10"/>
  <c r="B1130" i="10"/>
  <c r="L1129" i="10"/>
  <c r="K1129" i="10"/>
  <c r="J1129" i="10"/>
  <c r="I1129" i="10"/>
  <c r="H1129" i="10"/>
  <c r="G1129" i="10"/>
  <c r="F1129" i="10"/>
  <c r="E1129" i="10"/>
  <c r="D1129" i="10"/>
  <c r="C1129" i="10"/>
  <c r="B1129" i="10"/>
  <c r="L1128" i="10"/>
  <c r="K1128" i="10"/>
  <c r="J1128" i="10"/>
  <c r="I1128" i="10"/>
  <c r="H1128" i="10"/>
  <c r="G1128" i="10"/>
  <c r="F1128" i="10"/>
  <c r="E1128" i="10"/>
  <c r="D1128" i="10"/>
  <c r="C1128" i="10"/>
  <c r="B1128" i="10"/>
  <c r="L1127" i="10"/>
  <c r="K1127" i="10"/>
  <c r="J1127" i="10"/>
  <c r="I1127" i="10"/>
  <c r="H1127" i="10"/>
  <c r="G1127" i="10"/>
  <c r="F1127" i="10"/>
  <c r="E1127" i="10"/>
  <c r="D1127" i="10"/>
  <c r="C1127" i="10"/>
  <c r="B1127" i="10"/>
  <c r="L1126" i="10"/>
  <c r="K1126" i="10"/>
  <c r="J1126" i="10"/>
  <c r="I1126" i="10"/>
  <c r="H1126" i="10"/>
  <c r="G1126" i="10"/>
  <c r="F1126" i="10"/>
  <c r="E1126" i="10"/>
  <c r="D1126" i="10"/>
  <c r="C1126" i="10"/>
  <c r="B1126" i="10"/>
  <c r="L1125" i="10"/>
  <c r="K1125" i="10"/>
  <c r="J1125" i="10"/>
  <c r="I1125" i="10"/>
  <c r="H1125" i="10"/>
  <c r="G1125" i="10"/>
  <c r="F1125" i="10"/>
  <c r="E1125" i="10"/>
  <c r="D1125" i="10"/>
  <c r="C1125" i="10"/>
  <c r="B1125" i="10"/>
  <c r="L1124" i="10"/>
  <c r="L1135" i="10" s="1"/>
  <c r="K1124" i="10"/>
  <c r="K1135" i="10" s="1"/>
  <c r="J1124" i="10"/>
  <c r="J1135" i="10" s="1"/>
  <c r="I1124" i="10"/>
  <c r="I1135" i="10" s="1"/>
  <c r="H1124" i="10"/>
  <c r="H1135" i="10" s="1"/>
  <c r="G1124" i="10"/>
  <c r="G1135" i="10" s="1"/>
  <c r="F1124" i="10"/>
  <c r="F1135" i="10" s="1"/>
  <c r="K1122" i="10" s="1"/>
  <c r="E1124" i="10"/>
  <c r="E1135" i="10" s="1"/>
  <c r="D1124" i="10"/>
  <c r="C1124" i="10"/>
  <c r="B1124" i="10"/>
  <c r="M1122" i="10"/>
  <c r="M1121" i="10"/>
  <c r="L1118" i="10"/>
  <c r="K1118" i="10"/>
  <c r="J1118" i="10"/>
  <c r="I1118" i="10"/>
  <c r="H1118" i="10"/>
  <c r="G1118" i="10"/>
  <c r="F1118" i="10"/>
  <c r="E1118" i="10"/>
  <c r="D1118" i="10"/>
  <c r="C1118" i="10"/>
  <c r="B1118" i="10"/>
  <c r="L1117" i="10"/>
  <c r="K1117" i="10"/>
  <c r="J1117" i="10"/>
  <c r="I1117" i="10"/>
  <c r="H1117" i="10"/>
  <c r="G1117" i="10"/>
  <c r="F1117" i="10"/>
  <c r="E1117" i="10"/>
  <c r="D1117" i="10"/>
  <c r="C1117" i="10"/>
  <c r="B1117" i="10"/>
  <c r="L1116" i="10"/>
  <c r="K1116" i="10"/>
  <c r="J1116" i="10"/>
  <c r="I1116" i="10"/>
  <c r="H1116" i="10"/>
  <c r="G1116" i="10"/>
  <c r="F1116" i="10"/>
  <c r="E1116" i="10"/>
  <c r="D1116" i="10"/>
  <c r="C1116" i="10"/>
  <c r="B1116" i="10"/>
  <c r="L1115" i="10"/>
  <c r="K1115" i="10"/>
  <c r="J1115" i="10"/>
  <c r="I1115" i="10"/>
  <c r="H1115" i="10"/>
  <c r="G1115" i="10"/>
  <c r="F1115" i="10"/>
  <c r="E1115" i="10"/>
  <c r="D1115" i="10"/>
  <c r="C1115" i="10"/>
  <c r="B1115" i="10"/>
  <c r="L1114" i="10"/>
  <c r="K1114" i="10"/>
  <c r="J1114" i="10"/>
  <c r="I1114" i="10"/>
  <c r="H1114" i="10"/>
  <c r="G1114" i="10"/>
  <c r="F1114" i="10"/>
  <c r="E1114" i="10"/>
  <c r="D1114" i="10"/>
  <c r="C1114" i="10"/>
  <c r="B1114" i="10"/>
  <c r="L1113" i="10"/>
  <c r="K1113" i="10"/>
  <c r="J1113" i="10"/>
  <c r="I1113" i="10"/>
  <c r="H1113" i="10"/>
  <c r="G1113" i="10"/>
  <c r="F1113" i="10"/>
  <c r="E1113" i="10"/>
  <c r="D1113" i="10"/>
  <c r="C1113" i="10"/>
  <c r="B1113" i="10"/>
  <c r="L1112" i="10"/>
  <c r="K1112" i="10"/>
  <c r="J1112" i="10"/>
  <c r="I1112" i="10"/>
  <c r="H1112" i="10"/>
  <c r="G1112" i="10"/>
  <c r="F1112" i="10"/>
  <c r="E1112" i="10"/>
  <c r="D1112" i="10"/>
  <c r="C1112" i="10"/>
  <c r="B1112" i="10"/>
  <c r="L1111" i="10"/>
  <c r="K1111" i="10"/>
  <c r="J1111" i="10"/>
  <c r="I1111" i="10"/>
  <c r="H1111" i="10"/>
  <c r="G1111" i="10"/>
  <c r="F1111" i="10"/>
  <c r="E1111" i="10"/>
  <c r="D1111" i="10"/>
  <c r="C1111" i="10"/>
  <c r="B1111" i="10"/>
  <c r="L1110" i="10"/>
  <c r="K1110" i="10"/>
  <c r="J1110" i="10"/>
  <c r="I1110" i="10"/>
  <c r="H1110" i="10"/>
  <c r="G1110" i="10"/>
  <c r="F1110" i="10"/>
  <c r="E1110" i="10"/>
  <c r="D1110" i="10"/>
  <c r="C1110" i="10"/>
  <c r="B1110" i="10"/>
  <c r="L1109" i="10"/>
  <c r="K1109" i="10"/>
  <c r="J1109" i="10"/>
  <c r="I1109" i="10"/>
  <c r="H1109" i="10"/>
  <c r="G1109" i="10"/>
  <c r="F1109" i="10"/>
  <c r="E1109" i="10"/>
  <c r="D1109" i="10"/>
  <c r="C1109" i="10"/>
  <c r="B1109" i="10"/>
  <c r="L1108" i="10"/>
  <c r="L1119" i="10" s="1"/>
  <c r="K1108" i="10"/>
  <c r="K1119" i="10" s="1"/>
  <c r="J1108" i="10"/>
  <c r="J1119" i="10" s="1"/>
  <c r="I1108" i="10"/>
  <c r="I1119" i="10" s="1"/>
  <c r="H1108" i="10"/>
  <c r="H1119" i="10" s="1"/>
  <c r="G1108" i="10"/>
  <c r="G1119" i="10" s="1"/>
  <c r="F1108" i="10"/>
  <c r="F1119" i="10" s="1"/>
  <c r="K1106" i="10" s="1"/>
  <c r="E1108" i="10"/>
  <c r="E1119" i="10" s="1"/>
  <c r="D1108" i="10"/>
  <c r="C1108" i="10"/>
  <c r="B1108" i="10"/>
  <c r="M1106" i="10"/>
  <c r="M1105" i="10"/>
  <c r="L1102" i="10"/>
  <c r="K1102" i="10"/>
  <c r="J1102" i="10"/>
  <c r="I1102" i="10"/>
  <c r="H1102" i="10"/>
  <c r="G1102" i="10"/>
  <c r="F1102" i="10"/>
  <c r="E1102" i="10"/>
  <c r="D1102" i="10"/>
  <c r="C1102" i="10"/>
  <c r="B1102" i="10"/>
  <c r="L1101" i="10"/>
  <c r="K1101" i="10"/>
  <c r="J1101" i="10"/>
  <c r="I1101" i="10"/>
  <c r="H1101" i="10"/>
  <c r="G1101" i="10"/>
  <c r="F1101" i="10"/>
  <c r="E1101" i="10"/>
  <c r="D1101" i="10"/>
  <c r="C1101" i="10"/>
  <c r="B1101" i="10"/>
  <c r="L1100" i="10"/>
  <c r="K1100" i="10"/>
  <c r="J1100" i="10"/>
  <c r="I1100" i="10"/>
  <c r="H1100" i="10"/>
  <c r="G1100" i="10"/>
  <c r="F1100" i="10"/>
  <c r="E1100" i="10"/>
  <c r="D1100" i="10"/>
  <c r="C1100" i="10"/>
  <c r="B1100" i="10"/>
  <c r="L1099" i="10"/>
  <c r="K1099" i="10"/>
  <c r="J1099" i="10"/>
  <c r="I1099" i="10"/>
  <c r="H1099" i="10"/>
  <c r="G1099" i="10"/>
  <c r="F1099" i="10"/>
  <c r="E1099" i="10"/>
  <c r="D1099" i="10"/>
  <c r="C1099" i="10"/>
  <c r="B1099" i="10"/>
  <c r="L1098" i="10"/>
  <c r="K1098" i="10"/>
  <c r="J1098" i="10"/>
  <c r="I1098" i="10"/>
  <c r="H1098" i="10"/>
  <c r="G1098" i="10"/>
  <c r="F1098" i="10"/>
  <c r="E1098" i="10"/>
  <c r="D1098" i="10"/>
  <c r="C1098" i="10"/>
  <c r="B1098" i="10"/>
  <c r="L1097" i="10"/>
  <c r="K1097" i="10"/>
  <c r="J1097" i="10"/>
  <c r="I1097" i="10"/>
  <c r="H1097" i="10"/>
  <c r="G1097" i="10"/>
  <c r="F1097" i="10"/>
  <c r="E1097" i="10"/>
  <c r="D1097" i="10"/>
  <c r="C1097" i="10"/>
  <c r="B1097" i="10"/>
  <c r="L1096" i="10"/>
  <c r="K1096" i="10"/>
  <c r="J1096" i="10"/>
  <c r="I1096" i="10"/>
  <c r="H1096" i="10"/>
  <c r="G1096" i="10"/>
  <c r="F1096" i="10"/>
  <c r="E1096" i="10"/>
  <c r="D1096" i="10"/>
  <c r="C1096" i="10"/>
  <c r="B1096" i="10"/>
  <c r="L1095" i="10"/>
  <c r="K1095" i="10"/>
  <c r="J1095" i="10"/>
  <c r="I1095" i="10"/>
  <c r="H1095" i="10"/>
  <c r="G1095" i="10"/>
  <c r="F1095" i="10"/>
  <c r="E1095" i="10"/>
  <c r="D1095" i="10"/>
  <c r="C1095" i="10"/>
  <c r="B1095" i="10"/>
  <c r="L1094" i="10"/>
  <c r="K1094" i="10"/>
  <c r="J1094" i="10"/>
  <c r="I1094" i="10"/>
  <c r="H1094" i="10"/>
  <c r="G1094" i="10"/>
  <c r="F1094" i="10"/>
  <c r="E1094" i="10"/>
  <c r="D1094" i="10"/>
  <c r="C1094" i="10"/>
  <c r="B1094" i="10"/>
  <c r="L1093" i="10"/>
  <c r="K1093" i="10"/>
  <c r="J1093" i="10"/>
  <c r="I1093" i="10"/>
  <c r="H1093" i="10"/>
  <c r="G1093" i="10"/>
  <c r="F1093" i="10"/>
  <c r="E1093" i="10"/>
  <c r="D1093" i="10"/>
  <c r="C1093" i="10"/>
  <c r="B1093" i="10"/>
  <c r="L1092" i="10"/>
  <c r="L1103" i="10" s="1"/>
  <c r="K1092" i="10"/>
  <c r="K1103" i="10" s="1"/>
  <c r="J1092" i="10"/>
  <c r="J1103" i="10" s="1"/>
  <c r="I1092" i="10"/>
  <c r="I1103" i="10" s="1"/>
  <c r="H1092" i="10"/>
  <c r="H1103" i="10" s="1"/>
  <c r="G1092" i="10"/>
  <c r="G1103" i="10" s="1"/>
  <c r="F1092" i="10"/>
  <c r="F1103" i="10" s="1"/>
  <c r="K1090" i="10" s="1"/>
  <c r="E1092" i="10"/>
  <c r="E1103" i="10" s="1"/>
  <c r="D1092" i="10"/>
  <c r="C1092" i="10"/>
  <c r="B1092" i="10"/>
  <c r="M1090" i="10"/>
  <c r="M1089" i="10"/>
  <c r="L1086" i="10"/>
  <c r="K1086" i="10"/>
  <c r="J1086" i="10"/>
  <c r="I1086" i="10"/>
  <c r="H1086" i="10"/>
  <c r="G1086" i="10"/>
  <c r="F1086" i="10"/>
  <c r="E1086" i="10"/>
  <c r="D1086" i="10"/>
  <c r="C1086" i="10"/>
  <c r="B1086" i="10"/>
  <c r="L1085" i="10"/>
  <c r="K1085" i="10"/>
  <c r="J1085" i="10"/>
  <c r="I1085" i="10"/>
  <c r="H1085" i="10"/>
  <c r="G1085" i="10"/>
  <c r="F1085" i="10"/>
  <c r="E1085" i="10"/>
  <c r="D1085" i="10"/>
  <c r="C1085" i="10"/>
  <c r="B1085" i="10"/>
  <c r="L1084" i="10"/>
  <c r="K1084" i="10"/>
  <c r="J1084" i="10"/>
  <c r="I1084" i="10"/>
  <c r="H1084" i="10"/>
  <c r="G1084" i="10"/>
  <c r="F1084" i="10"/>
  <c r="E1084" i="10"/>
  <c r="D1084" i="10"/>
  <c r="C1084" i="10"/>
  <c r="B1084" i="10"/>
  <c r="L1083" i="10"/>
  <c r="K1083" i="10"/>
  <c r="J1083" i="10"/>
  <c r="I1083" i="10"/>
  <c r="H1083" i="10"/>
  <c r="G1083" i="10"/>
  <c r="F1083" i="10"/>
  <c r="E1083" i="10"/>
  <c r="D1083" i="10"/>
  <c r="C1083" i="10"/>
  <c r="B1083" i="10"/>
  <c r="L1082" i="10"/>
  <c r="K1082" i="10"/>
  <c r="J1082" i="10"/>
  <c r="I1082" i="10"/>
  <c r="H1082" i="10"/>
  <c r="G1082" i="10"/>
  <c r="F1082" i="10"/>
  <c r="E1082" i="10"/>
  <c r="D1082" i="10"/>
  <c r="C1082" i="10"/>
  <c r="B1082" i="10"/>
  <c r="L1081" i="10"/>
  <c r="K1081" i="10"/>
  <c r="J1081" i="10"/>
  <c r="I1081" i="10"/>
  <c r="H1081" i="10"/>
  <c r="G1081" i="10"/>
  <c r="F1081" i="10"/>
  <c r="E1081" i="10"/>
  <c r="D1081" i="10"/>
  <c r="C1081" i="10"/>
  <c r="B1081" i="10"/>
  <c r="L1080" i="10"/>
  <c r="K1080" i="10"/>
  <c r="J1080" i="10"/>
  <c r="I1080" i="10"/>
  <c r="H1080" i="10"/>
  <c r="G1080" i="10"/>
  <c r="F1080" i="10"/>
  <c r="E1080" i="10"/>
  <c r="D1080" i="10"/>
  <c r="C1080" i="10"/>
  <c r="B1080" i="10"/>
  <c r="L1079" i="10"/>
  <c r="K1079" i="10"/>
  <c r="J1079" i="10"/>
  <c r="I1079" i="10"/>
  <c r="H1079" i="10"/>
  <c r="G1079" i="10"/>
  <c r="F1079" i="10"/>
  <c r="E1079" i="10"/>
  <c r="D1079" i="10"/>
  <c r="C1079" i="10"/>
  <c r="B1079" i="10"/>
  <c r="L1078" i="10"/>
  <c r="K1078" i="10"/>
  <c r="J1078" i="10"/>
  <c r="I1078" i="10"/>
  <c r="H1078" i="10"/>
  <c r="G1078" i="10"/>
  <c r="F1078" i="10"/>
  <c r="E1078" i="10"/>
  <c r="D1078" i="10"/>
  <c r="C1078" i="10"/>
  <c r="B1078" i="10"/>
  <c r="L1077" i="10"/>
  <c r="K1077" i="10"/>
  <c r="J1077" i="10"/>
  <c r="I1077" i="10"/>
  <c r="H1077" i="10"/>
  <c r="G1077" i="10"/>
  <c r="F1077" i="10"/>
  <c r="E1077" i="10"/>
  <c r="D1077" i="10"/>
  <c r="C1077" i="10"/>
  <c r="B1077" i="10"/>
  <c r="L1076" i="10"/>
  <c r="L1087" i="10" s="1"/>
  <c r="K1076" i="10"/>
  <c r="K1087" i="10" s="1"/>
  <c r="J1076" i="10"/>
  <c r="J1087" i="10" s="1"/>
  <c r="I1076" i="10"/>
  <c r="I1087" i="10" s="1"/>
  <c r="H1076" i="10"/>
  <c r="H1087" i="10" s="1"/>
  <c r="G1076" i="10"/>
  <c r="G1087" i="10" s="1"/>
  <c r="F1076" i="10"/>
  <c r="F1087" i="10" s="1"/>
  <c r="K1074" i="10" s="1"/>
  <c r="E1076" i="10"/>
  <c r="E1087" i="10" s="1"/>
  <c r="D1076" i="10"/>
  <c r="C1076" i="10"/>
  <c r="B1076" i="10"/>
  <c r="M1074" i="10"/>
  <c r="M1073" i="10"/>
  <c r="L1070" i="10"/>
  <c r="K1070" i="10"/>
  <c r="J1070" i="10"/>
  <c r="I1070" i="10"/>
  <c r="H1070" i="10"/>
  <c r="G1070" i="10"/>
  <c r="F1070" i="10"/>
  <c r="E1070" i="10"/>
  <c r="D1070" i="10"/>
  <c r="C1070" i="10"/>
  <c r="B1070" i="10"/>
  <c r="L1069" i="10"/>
  <c r="K1069" i="10"/>
  <c r="J1069" i="10"/>
  <c r="I1069" i="10"/>
  <c r="H1069" i="10"/>
  <c r="G1069" i="10"/>
  <c r="F1069" i="10"/>
  <c r="E1069" i="10"/>
  <c r="D1069" i="10"/>
  <c r="C1069" i="10"/>
  <c r="B1069" i="10"/>
  <c r="L1068" i="10"/>
  <c r="K1068" i="10"/>
  <c r="J1068" i="10"/>
  <c r="I1068" i="10"/>
  <c r="H1068" i="10"/>
  <c r="G1068" i="10"/>
  <c r="F1068" i="10"/>
  <c r="E1068" i="10"/>
  <c r="D1068" i="10"/>
  <c r="C1068" i="10"/>
  <c r="B1068" i="10"/>
  <c r="L1067" i="10"/>
  <c r="K1067" i="10"/>
  <c r="J1067" i="10"/>
  <c r="I1067" i="10"/>
  <c r="H1067" i="10"/>
  <c r="G1067" i="10"/>
  <c r="F1067" i="10"/>
  <c r="E1067" i="10"/>
  <c r="D1067" i="10"/>
  <c r="C1067" i="10"/>
  <c r="B1067" i="10"/>
  <c r="L1066" i="10"/>
  <c r="K1066" i="10"/>
  <c r="J1066" i="10"/>
  <c r="I1066" i="10"/>
  <c r="H1066" i="10"/>
  <c r="G1066" i="10"/>
  <c r="F1066" i="10"/>
  <c r="E1066" i="10"/>
  <c r="D1066" i="10"/>
  <c r="C1066" i="10"/>
  <c r="B1066" i="10"/>
  <c r="L1065" i="10"/>
  <c r="K1065" i="10"/>
  <c r="J1065" i="10"/>
  <c r="I1065" i="10"/>
  <c r="H1065" i="10"/>
  <c r="G1065" i="10"/>
  <c r="F1065" i="10"/>
  <c r="E1065" i="10"/>
  <c r="D1065" i="10"/>
  <c r="C1065" i="10"/>
  <c r="B1065" i="10"/>
  <c r="L1064" i="10"/>
  <c r="K1064" i="10"/>
  <c r="J1064" i="10"/>
  <c r="I1064" i="10"/>
  <c r="H1064" i="10"/>
  <c r="G1064" i="10"/>
  <c r="F1064" i="10"/>
  <c r="E1064" i="10"/>
  <c r="D1064" i="10"/>
  <c r="C1064" i="10"/>
  <c r="B1064" i="10"/>
  <c r="L1063" i="10"/>
  <c r="K1063" i="10"/>
  <c r="J1063" i="10"/>
  <c r="I1063" i="10"/>
  <c r="H1063" i="10"/>
  <c r="G1063" i="10"/>
  <c r="F1063" i="10"/>
  <c r="E1063" i="10"/>
  <c r="D1063" i="10"/>
  <c r="C1063" i="10"/>
  <c r="B1063" i="10"/>
  <c r="L1062" i="10"/>
  <c r="K1062" i="10"/>
  <c r="J1062" i="10"/>
  <c r="I1062" i="10"/>
  <c r="H1062" i="10"/>
  <c r="G1062" i="10"/>
  <c r="F1062" i="10"/>
  <c r="E1062" i="10"/>
  <c r="D1062" i="10"/>
  <c r="C1062" i="10"/>
  <c r="B1062" i="10"/>
  <c r="L1061" i="10"/>
  <c r="K1061" i="10"/>
  <c r="J1061" i="10"/>
  <c r="I1061" i="10"/>
  <c r="H1061" i="10"/>
  <c r="G1061" i="10"/>
  <c r="F1061" i="10"/>
  <c r="E1061" i="10"/>
  <c r="D1061" i="10"/>
  <c r="C1061" i="10"/>
  <c r="B1061" i="10"/>
  <c r="L1060" i="10"/>
  <c r="L1071" i="10" s="1"/>
  <c r="K1060" i="10"/>
  <c r="K1071" i="10" s="1"/>
  <c r="J1060" i="10"/>
  <c r="J1071" i="10" s="1"/>
  <c r="I1060" i="10"/>
  <c r="I1071" i="10" s="1"/>
  <c r="H1060" i="10"/>
  <c r="H1071" i="10" s="1"/>
  <c r="G1060" i="10"/>
  <c r="G1071" i="10" s="1"/>
  <c r="F1060" i="10"/>
  <c r="F1071" i="10" s="1"/>
  <c r="K1058" i="10" s="1"/>
  <c r="E1060" i="10"/>
  <c r="E1071" i="10" s="1"/>
  <c r="D1060" i="10"/>
  <c r="C1060" i="10"/>
  <c r="B1060" i="10"/>
  <c r="M1058" i="10"/>
  <c r="M1057" i="10"/>
  <c r="L1054" i="10"/>
  <c r="K1054" i="10"/>
  <c r="J1054" i="10"/>
  <c r="I1054" i="10"/>
  <c r="H1054" i="10"/>
  <c r="G1054" i="10"/>
  <c r="F1054" i="10"/>
  <c r="E1054" i="10"/>
  <c r="D1054" i="10"/>
  <c r="C1054" i="10"/>
  <c r="B1054" i="10"/>
  <c r="L1053" i="10"/>
  <c r="K1053" i="10"/>
  <c r="J1053" i="10"/>
  <c r="I1053" i="10"/>
  <c r="H1053" i="10"/>
  <c r="G1053" i="10"/>
  <c r="F1053" i="10"/>
  <c r="E1053" i="10"/>
  <c r="D1053" i="10"/>
  <c r="C1053" i="10"/>
  <c r="B1053" i="10"/>
  <c r="L1052" i="10"/>
  <c r="K1052" i="10"/>
  <c r="J1052" i="10"/>
  <c r="I1052" i="10"/>
  <c r="H1052" i="10"/>
  <c r="G1052" i="10"/>
  <c r="F1052" i="10"/>
  <c r="E1052" i="10"/>
  <c r="D1052" i="10"/>
  <c r="C1052" i="10"/>
  <c r="B1052" i="10"/>
  <c r="L1051" i="10"/>
  <c r="K1051" i="10"/>
  <c r="J1051" i="10"/>
  <c r="I1051" i="10"/>
  <c r="H1051" i="10"/>
  <c r="G1051" i="10"/>
  <c r="F1051" i="10"/>
  <c r="E1051" i="10"/>
  <c r="D1051" i="10"/>
  <c r="C1051" i="10"/>
  <c r="B1051" i="10"/>
  <c r="L1050" i="10"/>
  <c r="K1050" i="10"/>
  <c r="J1050" i="10"/>
  <c r="I1050" i="10"/>
  <c r="H1050" i="10"/>
  <c r="G1050" i="10"/>
  <c r="F1050" i="10"/>
  <c r="E1050" i="10"/>
  <c r="D1050" i="10"/>
  <c r="C1050" i="10"/>
  <c r="B1050" i="10"/>
  <c r="L1049" i="10"/>
  <c r="K1049" i="10"/>
  <c r="J1049" i="10"/>
  <c r="I1049" i="10"/>
  <c r="H1049" i="10"/>
  <c r="G1049" i="10"/>
  <c r="F1049" i="10"/>
  <c r="E1049" i="10"/>
  <c r="D1049" i="10"/>
  <c r="C1049" i="10"/>
  <c r="B1049" i="10"/>
  <c r="L1048" i="10"/>
  <c r="K1048" i="10"/>
  <c r="J1048" i="10"/>
  <c r="I1048" i="10"/>
  <c r="H1048" i="10"/>
  <c r="G1048" i="10"/>
  <c r="F1048" i="10"/>
  <c r="E1048" i="10"/>
  <c r="D1048" i="10"/>
  <c r="C1048" i="10"/>
  <c r="B1048" i="10"/>
  <c r="L1047" i="10"/>
  <c r="K1047" i="10"/>
  <c r="J1047" i="10"/>
  <c r="I1047" i="10"/>
  <c r="H1047" i="10"/>
  <c r="G1047" i="10"/>
  <c r="F1047" i="10"/>
  <c r="E1047" i="10"/>
  <c r="D1047" i="10"/>
  <c r="C1047" i="10"/>
  <c r="B1047" i="10"/>
  <c r="L1046" i="10"/>
  <c r="K1046" i="10"/>
  <c r="J1046" i="10"/>
  <c r="I1046" i="10"/>
  <c r="H1046" i="10"/>
  <c r="G1046" i="10"/>
  <c r="F1046" i="10"/>
  <c r="E1046" i="10"/>
  <c r="D1046" i="10"/>
  <c r="C1046" i="10"/>
  <c r="B1046" i="10"/>
  <c r="L1045" i="10"/>
  <c r="K1045" i="10"/>
  <c r="J1045" i="10"/>
  <c r="I1045" i="10"/>
  <c r="H1045" i="10"/>
  <c r="G1045" i="10"/>
  <c r="F1045" i="10"/>
  <c r="E1045" i="10"/>
  <c r="D1045" i="10"/>
  <c r="C1045" i="10"/>
  <c r="B1045" i="10"/>
  <c r="L1044" i="10"/>
  <c r="L1055" i="10" s="1"/>
  <c r="K1044" i="10"/>
  <c r="K1055" i="10" s="1"/>
  <c r="J1044" i="10"/>
  <c r="J1055" i="10" s="1"/>
  <c r="I1044" i="10"/>
  <c r="I1055" i="10" s="1"/>
  <c r="H1044" i="10"/>
  <c r="H1055" i="10" s="1"/>
  <c r="G1044" i="10"/>
  <c r="G1055" i="10" s="1"/>
  <c r="F1044" i="10"/>
  <c r="F1055" i="10" s="1"/>
  <c r="K1042" i="10" s="1"/>
  <c r="E1044" i="10"/>
  <c r="E1055" i="10" s="1"/>
  <c r="D1044" i="10"/>
  <c r="C1044" i="10"/>
  <c r="B1044" i="10"/>
  <c r="M1042" i="10"/>
  <c r="M1041" i="10"/>
  <c r="L1038" i="10"/>
  <c r="K1038" i="10"/>
  <c r="J1038" i="10"/>
  <c r="I1038" i="10"/>
  <c r="H1038" i="10"/>
  <c r="G1038" i="10"/>
  <c r="F1038" i="10"/>
  <c r="E1038" i="10"/>
  <c r="D1038" i="10"/>
  <c r="C1038" i="10"/>
  <c r="B1038" i="10"/>
  <c r="L1037" i="10"/>
  <c r="K1037" i="10"/>
  <c r="J1037" i="10"/>
  <c r="I1037" i="10"/>
  <c r="H1037" i="10"/>
  <c r="G1037" i="10"/>
  <c r="F1037" i="10"/>
  <c r="E1037" i="10"/>
  <c r="D1037" i="10"/>
  <c r="C1037" i="10"/>
  <c r="B1037" i="10"/>
  <c r="L1036" i="10"/>
  <c r="K1036" i="10"/>
  <c r="J1036" i="10"/>
  <c r="I1036" i="10"/>
  <c r="H1036" i="10"/>
  <c r="G1036" i="10"/>
  <c r="F1036" i="10"/>
  <c r="E1036" i="10"/>
  <c r="D1036" i="10"/>
  <c r="C1036" i="10"/>
  <c r="B1036" i="10"/>
  <c r="L1035" i="10"/>
  <c r="K1035" i="10"/>
  <c r="J1035" i="10"/>
  <c r="I1035" i="10"/>
  <c r="H1035" i="10"/>
  <c r="G1035" i="10"/>
  <c r="F1035" i="10"/>
  <c r="E1035" i="10"/>
  <c r="D1035" i="10"/>
  <c r="C1035" i="10"/>
  <c r="B1035" i="10"/>
  <c r="L1034" i="10"/>
  <c r="K1034" i="10"/>
  <c r="J1034" i="10"/>
  <c r="I1034" i="10"/>
  <c r="H1034" i="10"/>
  <c r="G1034" i="10"/>
  <c r="F1034" i="10"/>
  <c r="E1034" i="10"/>
  <c r="D1034" i="10"/>
  <c r="C1034" i="10"/>
  <c r="B1034" i="10"/>
  <c r="L1033" i="10"/>
  <c r="K1033" i="10"/>
  <c r="J1033" i="10"/>
  <c r="I1033" i="10"/>
  <c r="H1033" i="10"/>
  <c r="G1033" i="10"/>
  <c r="F1033" i="10"/>
  <c r="E1033" i="10"/>
  <c r="D1033" i="10"/>
  <c r="C1033" i="10"/>
  <c r="B1033" i="10"/>
  <c r="L1032" i="10"/>
  <c r="K1032" i="10"/>
  <c r="J1032" i="10"/>
  <c r="I1032" i="10"/>
  <c r="H1032" i="10"/>
  <c r="G1032" i="10"/>
  <c r="F1032" i="10"/>
  <c r="E1032" i="10"/>
  <c r="D1032" i="10"/>
  <c r="C1032" i="10"/>
  <c r="B1032" i="10"/>
  <c r="L1031" i="10"/>
  <c r="K1031" i="10"/>
  <c r="J1031" i="10"/>
  <c r="I1031" i="10"/>
  <c r="H1031" i="10"/>
  <c r="G1031" i="10"/>
  <c r="F1031" i="10"/>
  <c r="E1031" i="10"/>
  <c r="D1031" i="10"/>
  <c r="C1031" i="10"/>
  <c r="B1031" i="10"/>
  <c r="L1030" i="10"/>
  <c r="K1030" i="10"/>
  <c r="J1030" i="10"/>
  <c r="I1030" i="10"/>
  <c r="H1030" i="10"/>
  <c r="G1030" i="10"/>
  <c r="F1030" i="10"/>
  <c r="E1030" i="10"/>
  <c r="D1030" i="10"/>
  <c r="C1030" i="10"/>
  <c r="B1030" i="10"/>
  <c r="L1029" i="10"/>
  <c r="K1029" i="10"/>
  <c r="J1029" i="10"/>
  <c r="I1029" i="10"/>
  <c r="H1029" i="10"/>
  <c r="G1029" i="10"/>
  <c r="F1029" i="10"/>
  <c r="E1029" i="10"/>
  <c r="D1029" i="10"/>
  <c r="C1029" i="10"/>
  <c r="B1029" i="10"/>
  <c r="L1028" i="10"/>
  <c r="L1039" i="10" s="1"/>
  <c r="K1028" i="10"/>
  <c r="K1039" i="10" s="1"/>
  <c r="J1028" i="10"/>
  <c r="J1039" i="10" s="1"/>
  <c r="I1028" i="10"/>
  <c r="I1039" i="10" s="1"/>
  <c r="H1028" i="10"/>
  <c r="H1039" i="10" s="1"/>
  <c r="G1028" i="10"/>
  <c r="G1039" i="10" s="1"/>
  <c r="F1028" i="10"/>
  <c r="F1039" i="10" s="1"/>
  <c r="K1026" i="10" s="1"/>
  <c r="E1028" i="10"/>
  <c r="E1039" i="10" s="1"/>
  <c r="D1028" i="10"/>
  <c r="C1028" i="10"/>
  <c r="B1028" i="10"/>
  <c r="M1026" i="10"/>
  <c r="M1025" i="10"/>
  <c r="L1022" i="10"/>
  <c r="K1022" i="10"/>
  <c r="J1022" i="10"/>
  <c r="I1022" i="10"/>
  <c r="H1022" i="10"/>
  <c r="G1022" i="10"/>
  <c r="F1022" i="10"/>
  <c r="E1022" i="10"/>
  <c r="D1022" i="10"/>
  <c r="C1022" i="10"/>
  <c r="B1022" i="10"/>
  <c r="L1021" i="10"/>
  <c r="K1021" i="10"/>
  <c r="J1021" i="10"/>
  <c r="I1021" i="10"/>
  <c r="H1021" i="10"/>
  <c r="G1021" i="10"/>
  <c r="F1021" i="10"/>
  <c r="E1021" i="10"/>
  <c r="D1021" i="10"/>
  <c r="C1021" i="10"/>
  <c r="B1021" i="10"/>
  <c r="L1020" i="10"/>
  <c r="K1020" i="10"/>
  <c r="J1020" i="10"/>
  <c r="I1020" i="10"/>
  <c r="H1020" i="10"/>
  <c r="G1020" i="10"/>
  <c r="F1020" i="10"/>
  <c r="E1020" i="10"/>
  <c r="D1020" i="10"/>
  <c r="C1020" i="10"/>
  <c r="B1020" i="10"/>
  <c r="L1019" i="10"/>
  <c r="K1019" i="10"/>
  <c r="J1019" i="10"/>
  <c r="I1019" i="10"/>
  <c r="H1019" i="10"/>
  <c r="G1019" i="10"/>
  <c r="F1019" i="10"/>
  <c r="E1019" i="10"/>
  <c r="D1019" i="10"/>
  <c r="C1019" i="10"/>
  <c r="B1019" i="10"/>
  <c r="L1018" i="10"/>
  <c r="K1018" i="10"/>
  <c r="J1018" i="10"/>
  <c r="I1018" i="10"/>
  <c r="H1018" i="10"/>
  <c r="G1018" i="10"/>
  <c r="F1018" i="10"/>
  <c r="E1018" i="10"/>
  <c r="D1018" i="10"/>
  <c r="C1018" i="10"/>
  <c r="B1018" i="10"/>
  <c r="L1017" i="10"/>
  <c r="K1017" i="10"/>
  <c r="J1017" i="10"/>
  <c r="I1017" i="10"/>
  <c r="H1017" i="10"/>
  <c r="G1017" i="10"/>
  <c r="F1017" i="10"/>
  <c r="E1017" i="10"/>
  <c r="D1017" i="10"/>
  <c r="C1017" i="10"/>
  <c r="B1017" i="10"/>
  <c r="L1016" i="10"/>
  <c r="K1016" i="10"/>
  <c r="J1016" i="10"/>
  <c r="I1016" i="10"/>
  <c r="H1016" i="10"/>
  <c r="G1016" i="10"/>
  <c r="F1016" i="10"/>
  <c r="E1016" i="10"/>
  <c r="D1016" i="10"/>
  <c r="C1016" i="10"/>
  <c r="B1016" i="10"/>
  <c r="L1015" i="10"/>
  <c r="K1015" i="10"/>
  <c r="J1015" i="10"/>
  <c r="I1015" i="10"/>
  <c r="H1015" i="10"/>
  <c r="G1015" i="10"/>
  <c r="F1015" i="10"/>
  <c r="E1015" i="10"/>
  <c r="D1015" i="10"/>
  <c r="C1015" i="10"/>
  <c r="B1015" i="10"/>
  <c r="L1014" i="10"/>
  <c r="K1014" i="10"/>
  <c r="J1014" i="10"/>
  <c r="I1014" i="10"/>
  <c r="H1014" i="10"/>
  <c r="G1014" i="10"/>
  <c r="F1014" i="10"/>
  <c r="E1014" i="10"/>
  <c r="D1014" i="10"/>
  <c r="C1014" i="10"/>
  <c r="B1014" i="10"/>
  <c r="L1013" i="10"/>
  <c r="K1013" i="10"/>
  <c r="J1013" i="10"/>
  <c r="I1013" i="10"/>
  <c r="H1013" i="10"/>
  <c r="G1013" i="10"/>
  <c r="F1013" i="10"/>
  <c r="E1013" i="10"/>
  <c r="D1013" i="10"/>
  <c r="C1013" i="10"/>
  <c r="B1013" i="10"/>
  <c r="L1012" i="10"/>
  <c r="L1023" i="10" s="1"/>
  <c r="K1012" i="10"/>
  <c r="K1023" i="10" s="1"/>
  <c r="J1012" i="10"/>
  <c r="J1023" i="10" s="1"/>
  <c r="I1012" i="10"/>
  <c r="I1023" i="10" s="1"/>
  <c r="H1012" i="10"/>
  <c r="H1023" i="10" s="1"/>
  <c r="G1012" i="10"/>
  <c r="G1023" i="10" s="1"/>
  <c r="F1012" i="10"/>
  <c r="F1023" i="10" s="1"/>
  <c r="K1010" i="10" s="1"/>
  <c r="E1012" i="10"/>
  <c r="E1023" i="10" s="1"/>
  <c r="D1012" i="10"/>
  <c r="C1012" i="10"/>
  <c r="B1012" i="10"/>
  <c r="M1010" i="10"/>
  <c r="M1009" i="10"/>
  <c r="L1006" i="10"/>
  <c r="K1006" i="10"/>
  <c r="J1006" i="10"/>
  <c r="I1006" i="10"/>
  <c r="H1006" i="10"/>
  <c r="G1006" i="10"/>
  <c r="F1006" i="10"/>
  <c r="E1006" i="10"/>
  <c r="D1006" i="10"/>
  <c r="C1006" i="10"/>
  <c r="B1006" i="10"/>
  <c r="L1005" i="10"/>
  <c r="K1005" i="10"/>
  <c r="J1005" i="10"/>
  <c r="I1005" i="10"/>
  <c r="H1005" i="10"/>
  <c r="G1005" i="10"/>
  <c r="F1005" i="10"/>
  <c r="E1005" i="10"/>
  <c r="D1005" i="10"/>
  <c r="C1005" i="10"/>
  <c r="B1005" i="10"/>
  <c r="L1004" i="10"/>
  <c r="K1004" i="10"/>
  <c r="J1004" i="10"/>
  <c r="I1004" i="10"/>
  <c r="H1004" i="10"/>
  <c r="G1004" i="10"/>
  <c r="F1004" i="10"/>
  <c r="E1004" i="10"/>
  <c r="D1004" i="10"/>
  <c r="C1004" i="10"/>
  <c r="B1004" i="10"/>
  <c r="L1003" i="10"/>
  <c r="K1003" i="10"/>
  <c r="J1003" i="10"/>
  <c r="I1003" i="10"/>
  <c r="H1003" i="10"/>
  <c r="G1003" i="10"/>
  <c r="F1003" i="10"/>
  <c r="E1003" i="10"/>
  <c r="D1003" i="10"/>
  <c r="C1003" i="10"/>
  <c r="B1003" i="10"/>
  <c r="L1002" i="10"/>
  <c r="K1002" i="10"/>
  <c r="J1002" i="10"/>
  <c r="I1002" i="10"/>
  <c r="H1002" i="10"/>
  <c r="G1002" i="10"/>
  <c r="F1002" i="10"/>
  <c r="E1002" i="10"/>
  <c r="D1002" i="10"/>
  <c r="C1002" i="10"/>
  <c r="B1002" i="10"/>
  <c r="L1001" i="10"/>
  <c r="K1001" i="10"/>
  <c r="J1001" i="10"/>
  <c r="I1001" i="10"/>
  <c r="H1001" i="10"/>
  <c r="G1001" i="10"/>
  <c r="F1001" i="10"/>
  <c r="E1001" i="10"/>
  <c r="D1001" i="10"/>
  <c r="C1001" i="10"/>
  <c r="B1001" i="10"/>
  <c r="L1000" i="10"/>
  <c r="K1000" i="10"/>
  <c r="J1000" i="10"/>
  <c r="I1000" i="10"/>
  <c r="H1000" i="10"/>
  <c r="G1000" i="10"/>
  <c r="F1000" i="10"/>
  <c r="E1000" i="10"/>
  <c r="D1000" i="10"/>
  <c r="C1000" i="10"/>
  <c r="B1000" i="10"/>
  <c r="L999" i="10"/>
  <c r="K999" i="10"/>
  <c r="J999" i="10"/>
  <c r="I999" i="10"/>
  <c r="H999" i="10"/>
  <c r="G999" i="10"/>
  <c r="F999" i="10"/>
  <c r="E999" i="10"/>
  <c r="D999" i="10"/>
  <c r="C999" i="10"/>
  <c r="B999" i="10"/>
  <c r="L998" i="10"/>
  <c r="K998" i="10"/>
  <c r="J998" i="10"/>
  <c r="I998" i="10"/>
  <c r="H998" i="10"/>
  <c r="G998" i="10"/>
  <c r="F998" i="10"/>
  <c r="E998" i="10"/>
  <c r="D998" i="10"/>
  <c r="C998" i="10"/>
  <c r="B998" i="10"/>
  <c r="L997" i="10"/>
  <c r="K997" i="10"/>
  <c r="J997" i="10"/>
  <c r="I997" i="10"/>
  <c r="H997" i="10"/>
  <c r="G997" i="10"/>
  <c r="F997" i="10"/>
  <c r="E997" i="10"/>
  <c r="D997" i="10"/>
  <c r="C997" i="10"/>
  <c r="B997" i="10"/>
  <c r="L996" i="10"/>
  <c r="L1007" i="10" s="1"/>
  <c r="K996" i="10"/>
  <c r="K1007" i="10" s="1"/>
  <c r="J996" i="10"/>
  <c r="J1007" i="10" s="1"/>
  <c r="I996" i="10"/>
  <c r="I1007" i="10" s="1"/>
  <c r="H996" i="10"/>
  <c r="H1007" i="10" s="1"/>
  <c r="G996" i="10"/>
  <c r="G1007" i="10" s="1"/>
  <c r="F996" i="10"/>
  <c r="F1007" i="10" s="1"/>
  <c r="K994" i="10" s="1"/>
  <c r="E996" i="10"/>
  <c r="E1007" i="10" s="1"/>
  <c r="D996" i="10"/>
  <c r="C996" i="10"/>
  <c r="B996" i="10"/>
  <c r="M994" i="10"/>
  <c r="M993" i="10"/>
  <c r="L990" i="10"/>
  <c r="K990" i="10"/>
  <c r="J990" i="10"/>
  <c r="I990" i="10"/>
  <c r="H990" i="10"/>
  <c r="G990" i="10"/>
  <c r="F990" i="10"/>
  <c r="E990" i="10"/>
  <c r="D990" i="10"/>
  <c r="C990" i="10"/>
  <c r="B990" i="10"/>
  <c r="L989" i="10"/>
  <c r="K989" i="10"/>
  <c r="J989" i="10"/>
  <c r="I989" i="10"/>
  <c r="H989" i="10"/>
  <c r="G989" i="10"/>
  <c r="F989" i="10"/>
  <c r="E989" i="10"/>
  <c r="D989" i="10"/>
  <c r="C989" i="10"/>
  <c r="B989" i="10"/>
  <c r="L988" i="10"/>
  <c r="K988" i="10"/>
  <c r="J988" i="10"/>
  <c r="I988" i="10"/>
  <c r="H988" i="10"/>
  <c r="G988" i="10"/>
  <c r="F988" i="10"/>
  <c r="E988" i="10"/>
  <c r="D988" i="10"/>
  <c r="C988" i="10"/>
  <c r="B988" i="10"/>
  <c r="L987" i="10"/>
  <c r="K987" i="10"/>
  <c r="J987" i="10"/>
  <c r="I987" i="10"/>
  <c r="H987" i="10"/>
  <c r="G987" i="10"/>
  <c r="F987" i="10"/>
  <c r="E987" i="10"/>
  <c r="D987" i="10"/>
  <c r="C987" i="10"/>
  <c r="B987" i="10"/>
  <c r="L986" i="10"/>
  <c r="K986" i="10"/>
  <c r="J986" i="10"/>
  <c r="I986" i="10"/>
  <c r="H986" i="10"/>
  <c r="G986" i="10"/>
  <c r="F986" i="10"/>
  <c r="E986" i="10"/>
  <c r="D986" i="10"/>
  <c r="C986" i="10"/>
  <c r="B986" i="10"/>
  <c r="L985" i="10"/>
  <c r="K985" i="10"/>
  <c r="J985" i="10"/>
  <c r="I985" i="10"/>
  <c r="H985" i="10"/>
  <c r="G985" i="10"/>
  <c r="F985" i="10"/>
  <c r="E985" i="10"/>
  <c r="D985" i="10"/>
  <c r="C985" i="10"/>
  <c r="B985" i="10"/>
  <c r="L984" i="10"/>
  <c r="K984" i="10"/>
  <c r="J984" i="10"/>
  <c r="I984" i="10"/>
  <c r="H984" i="10"/>
  <c r="G984" i="10"/>
  <c r="F984" i="10"/>
  <c r="E984" i="10"/>
  <c r="D984" i="10"/>
  <c r="C984" i="10"/>
  <c r="B984" i="10"/>
  <c r="L983" i="10"/>
  <c r="K983" i="10"/>
  <c r="J983" i="10"/>
  <c r="I983" i="10"/>
  <c r="H983" i="10"/>
  <c r="G983" i="10"/>
  <c r="F983" i="10"/>
  <c r="E983" i="10"/>
  <c r="D983" i="10"/>
  <c r="C983" i="10"/>
  <c r="B983" i="10"/>
  <c r="L982" i="10"/>
  <c r="K982" i="10"/>
  <c r="J982" i="10"/>
  <c r="I982" i="10"/>
  <c r="H982" i="10"/>
  <c r="G982" i="10"/>
  <c r="F982" i="10"/>
  <c r="E982" i="10"/>
  <c r="D982" i="10"/>
  <c r="C982" i="10"/>
  <c r="B982" i="10"/>
  <c r="L981" i="10"/>
  <c r="K981" i="10"/>
  <c r="J981" i="10"/>
  <c r="I981" i="10"/>
  <c r="H981" i="10"/>
  <c r="G981" i="10"/>
  <c r="F981" i="10"/>
  <c r="E981" i="10"/>
  <c r="D981" i="10"/>
  <c r="C981" i="10"/>
  <c r="B981" i="10"/>
  <c r="L980" i="10"/>
  <c r="L991" i="10" s="1"/>
  <c r="K980" i="10"/>
  <c r="K991" i="10" s="1"/>
  <c r="J980" i="10"/>
  <c r="J991" i="10" s="1"/>
  <c r="I980" i="10"/>
  <c r="I991" i="10" s="1"/>
  <c r="H980" i="10"/>
  <c r="H991" i="10" s="1"/>
  <c r="G980" i="10"/>
  <c r="G991" i="10" s="1"/>
  <c r="F980" i="10"/>
  <c r="F991" i="10" s="1"/>
  <c r="K978" i="10" s="1"/>
  <c r="E980" i="10"/>
  <c r="E991" i="10" s="1"/>
  <c r="D980" i="10"/>
  <c r="C980" i="10"/>
  <c r="B980" i="10"/>
  <c r="M978" i="10"/>
  <c r="M977" i="10"/>
  <c r="L974" i="10"/>
  <c r="K974" i="10"/>
  <c r="J974" i="10"/>
  <c r="I974" i="10"/>
  <c r="H974" i="10"/>
  <c r="G974" i="10"/>
  <c r="F974" i="10"/>
  <c r="E974" i="10"/>
  <c r="D974" i="10"/>
  <c r="C974" i="10"/>
  <c r="B974" i="10"/>
  <c r="L973" i="10"/>
  <c r="K973" i="10"/>
  <c r="J973" i="10"/>
  <c r="I973" i="10"/>
  <c r="H973" i="10"/>
  <c r="G973" i="10"/>
  <c r="F973" i="10"/>
  <c r="E973" i="10"/>
  <c r="D973" i="10"/>
  <c r="C973" i="10"/>
  <c r="B973" i="10"/>
  <c r="L972" i="10"/>
  <c r="K972" i="10"/>
  <c r="J972" i="10"/>
  <c r="I972" i="10"/>
  <c r="H972" i="10"/>
  <c r="G972" i="10"/>
  <c r="F972" i="10"/>
  <c r="E972" i="10"/>
  <c r="D972" i="10"/>
  <c r="C972" i="10"/>
  <c r="B972" i="10"/>
  <c r="L971" i="10"/>
  <c r="K971" i="10"/>
  <c r="J971" i="10"/>
  <c r="I971" i="10"/>
  <c r="H971" i="10"/>
  <c r="G971" i="10"/>
  <c r="F971" i="10"/>
  <c r="E971" i="10"/>
  <c r="D971" i="10"/>
  <c r="C971" i="10"/>
  <c r="B971" i="10"/>
  <c r="L970" i="10"/>
  <c r="K970" i="10"/>
  <c r="J970" i="10"/>
  <c r="I970" i="10"/>
  <c r="H970" i="10"/>
  <c r="G970" i="10"/>
  <c r="F970" i="10"/>
  <c r="E970" i="10"/>
  <c r="D970" i="10"/>
  <c r="C970" i="10"/>
  <c r="B970" i="10"/>
  <c r="L969" i="10"/>
  <c r="K969" i="10"/>
  <c r="J969" i="10"/>
  <c r="I969" i="10"/>
  <c r="H969" i="10"/>
  <c r="G969" i="10"/>
  <c r="F969" i="10"/>
  <c r="E969" i="10"/>
  <c r="D969" i="10"/>
  <c r="C969" i="10"/>
  <c r="B969" i="10"/>
  <c r="L968" i="10"/>
  <c r="K968" i="10"/>
  <c r="J968" i="10"/>
  <c r="I968" i="10"/>
  <c r="H968" i="10"/>
  <c r="G968" i="10"/>
  <c r="F968" i="10"/>
  <c r="E968" i="10"/>
  <c r="D968" i="10"/>
  <c r="C968" i="10"/>
  <c r="B968" i="10"/>
  <c r="L967" i="10"/>
  <c r="K967" i="10"/>
  <c r="J967" i="10"/>
  <c r="I967" i="10"/>
  <c r="H967" i="10"/>
  <c r="G967" i="10"/>
  <c r="F967" i="10"/>
  <c r="E967" i="10"/>
  <c r="D967" i="10"/>
  <c r="C967" i="10"/>
  <c r="B967" i="10"/>
  <c r="L966" i="10"/>
  <c r="K966" i="10"/>
  <c r="J966" i="10"/>
  <c r="I966" i="10"/>
  <c r="H966" i="10"/>
  <c r="G966" i="10"/>
  <c r="F966" i="10"/>
  <c r="E966" i="10"/>
  <c r="D966" i="10"/>
  <c r="C966" i="10"/>
  <c r="B966" i="10"/>
  <c r="L965" i="10"/>
  <c r="K965" i="10"/>
  <c r="J965" i="10"/>
  <c r="I965" i="10"/>
  <c r="H965" i="10"/>
  <c r="G965" i="10"/>
  <c r="F965" i="10"/>
  <c r="E965" i="10"/>
  <c r="D965" i="10"/>
  <c r="C965" i="10"/>
  <c r="B965" i="10"/>
  <c r="L964" i="10"/>
  <c r="L975" i="10" s="1"/>
  <c r="K964" i="10"/>
  <c r="K975" i="10" s="1"/>
  <c r="J964" i="10"/>
  <c r="J975" i="10" s="1"/>
  <c r="I964" i="10"/>
  <c r="I975" i="10" s="1"/>
  <c r="H964" i="10"/>
  <c r="H975" i="10" s="1"/>
  <c r="G964" i="10"/>
  <c r="G975" i="10" s="1"/>
  <c r="F964" i="10"/>
  <c r="F975" i="10" s="1"/>
  <c r="K962" i="10" s="1"/>
  <c r="E964" i="10"/>
  <c r="E975" i="10" s="1"/>
  <c r="D964" i="10"/>
  <c r="C964" i="10"/>
  <c r="B964" i="10"/>
  <c r="M962" i="10"/>
  <c r="M961" i="10"/>
  <c r="L958" i="10"/>
  <c r="K958" i="10"/>
  <c r="J958" i="10"/>
  <c r="I958" i="10"/>
  <c r="H958" i="10"/>
  <c r="G958" i="10"/>
  <c r="F958" i="10"/>
  <c r="E958" i="10"/>
  <c r="D958" i="10"/>
  <c r="C958" i="10"/>
  <c r="B958" i="10"/>
  <c r="L957" i="10"/>
  <c r="K957" i="10"/>
  <c r="J957" i="10"/>
  <c r="I957" i="10"/>
  <c r="H957" i="10"/>
  <c r="G957" i="10"/>
  <c r="F957" i="10"/>
  <c r="E957" i="10"/>
  <c r="D957" i="10"/>
  <c r="C957" i="10"/>
  <c r="B957" i="10"/>
  <c r="L956" i="10"/>
  <c r="K956" i="10"/>
  <c r="J956" i="10"/>
  <c r="I956" i="10"/>
  <c r="H956" i="10"/>
  <c r="G956" i="10"/>
  <c r="F956" i="10"/>
  <c r="E956" i="10"/>
  <c r="D956" i="10"/>
  <c r="C956" i="10"/>
  <c r="B956" i="10"/>
  <c r="L955" i="10"/>
  <c r="K955" i="10"/>
  <c r="J955" i="10"/>
  <c r="I955" i="10"/>
  <c r="H955" i="10"/>
  <c r="G955" i="10"/>
  <c r="F955" i="10"/>
  <c r="E955" i="10"/>
  <c r="D955" i="10"/>
  <c r="C955" i="10"/>
  <c r="B955" i="10"/>
  <c r="L954" i="10"/>
  <c r="K954" i="10"/>
  <c r="J954" i="10"/>
  <c r="I954" i="10"/>
  <c r="H954" i="10"/>
  <c r="G954" i="10"/>
  <c r="F954" i="10"/>
  <c r="E954" i="10"/>
  <c r="D954" i="10"/>
  <c r="C954" i="10"/>
  <c r="B954" i="10"/>
  <c r="L953" i="10"/>
  <c r="K953" i="10"/>
  <c r="J953" i="10"/>
  <c r="I953" i="10"/>
  <c r="H953" i="10"/>
  <c r="G953" i="10"/>
  <c r="F953" i="10"/>
  <c r="E953" i="10"/>
  <c r="D953" i="10"/>
  <c r="C953" i="10"/>
  <c r="B953" i="10"/>
  <c r="L952" i="10"/>
  <c r="K952" i="10"/>
  <c r="J952" i="10"/>
  <c r="I952" i="10"/>
  <c r="H952" i="10"/>
  <c r="G952" i="10"/>
  <c r="F952" i="10"/>
  <c r="E952" i="10"/>
  <c r="D952" i="10"/>
  <c r="C952" i="10"/>
  <c r="B952" i="10"/>
  <c r="L951" i="10"/>
  <c r="K951" i="10"/>
  <c r="J951" i="10"/>
  <c r="I951" i="10"/>
  <c r="H951" i="10"/>
  <c r="G951" i="10"/>
  <c r="F951" i="10"/>
  <c r="E951" i="10"/>
  <c r="D951" i="10"/>
  <c r="C951" i="10"/>
  <c r="B951" i="10"/>
  <c r="L950" i="10"/>
  <c r="K950" i="10"/>
  <c r="J950" i="10"/>
  <c r="I950" i="10"/>
  <c r="H950" i="10"/>
  <c r="G950" i="10"/>
  <c r="F950" i="10"/>
  <c r="E950" i="10"/>
  <c r="D950" i="10"/>
  <c r="C950" i="10"/>
  <c r="B950" i="10"/>
  <c r="L949" i="10"/>
  <c r="K949" i="10"/>
  <c r="J949" i="10"/>
  <c r="I949" i="10"/>
  <c r="H949" i="10"/>
  <c r="G949" i="10"/>
  <c r="F949" i="10"/>
  <c r="E949" i="10"/>
  <c r="D949" i="10"/>
  <c r="C949" i="10"/>
  <c r="B949" i="10"/>
  <c r="L948" i="10"/>
  <c r="L959" i="10" s="1"/>
  <c r="K948" i="10"/>
  <c r="K959" i="10" s="1"/>
  <c r="J948" i="10"/>
  <c r="J959" i="10" s="1"/>
  <c r="I948" i="10"/>
  <c r="I959" i="10" s="1"/>
  <c r="H948" i="10"/>
  <c r="H959" i="10" s="1"/>
  <c r="G948" i="10"/>
  <c r="G959" i="10" s="1"/>
  <c r="F948" i="10"/>
  <c r="F959" i="10" s="1"/>
  <c r="K946" i="10" s="1"/>
  <c r="E948" i="10"/>
  <c r="E959" i="10" s="1"/>
  <c r="D948" i="10"/>
  <c r="C948" i="10"/>
  <c r="B948" i="10"/>
  <c r="M946" i="10"/>
  <c r="M945" i="10"/>
  <c r="L942" i="10"/>
  <c r="K942" i="10"/>
  <c r="J942" i="10"/>
  <c r="I942" i="10"/>
  <c r="H942" i="10"/>
  <c r="G942" i="10"/>
  <c r="F942" i="10"/>
  <c r="E942" i="10"/>
  <c r="D942" i="10"/>
  <c r="C942" i="10"/>
  <c r="B942" i="10"/>
  <c r="L941" i="10"/>
  <c r="K941" i="10"/>
  <c r="J941" i="10"/>
  <c r="I941" i="10"/>
  <c r="H941" i="10"/>
  <c r="G941" i="10"/>
  <c r="F941" i="10"/>
  <c r="E941" i="10"/>
  <c r="D941" i="10"/>
  <c r="C941" i="10"/>
  <c r="B941" i="10"/>
  <c r="L940" i="10"/>
  <c r="K940" i="10"/>
  <c r="J940" i="10"/>
  <c r="I940" i="10"/>
  <c r="H940" i="10"/>
  <c r="G940" i="10"/>
  <c r="F940" i="10"/>
  <c r="E940" i="10"/>
  <c r="D940" i="10"/>
  <c r="C940" i="10"/>
  <c r="B940" i="10"/>
  <c r="L939" i="10"/>
  <c r="K939" i="10"/>
  <c r="J939" i="10"/>
  <c r="I939" i="10"/>
  <c r="H939" i="10"/>
  <c r="G939" i="10"/>
  <c r="F939" i="10"/>
  <c r="E939" i="10"/>
  <c r="D939" i="10"/>
  <c r="C939" i="10"/>
  <c r="B939" i="10"/>
  <c r="L938" i="10"/>
  <c r="K938" i="10"/>
  <c r="J938" i="10"/>
  <c r="I938" i="10"/>
  <c r="H938" i="10"/>
  <c r="G938" i="10"/>
  <c r="F938" i="10"/>
  <c r="E938" i="10"/>
  <c r="D938" i="10"/>
  <c r="C938" i="10"/>
  <c r="B938" i="10"/>
  <c r="L937" i="10"/>
  <c r="K937" i="10"/>
  <c r="J937" i="10"/>
  <c r="I937" i="10"/>
  <c r="H937" i="10"/>
  <c r="G937" i="10"/>
  <c r="F937" i="10"/>
  <c r="E937" i="10"/>
  <c r="D937" i="10"/>
  <c r="C937" i="10"/>
  <c r="B937" i="10"/>
  <c r="L936" i="10"/>
  <c r="K936" i="10"/>
  <c r="J936" i="10"/>
  <c r="I936" i="10"/>
  <c r="H936" i="10"/>
  <c r="G936" i="10"/>
  <c r="F936" i="10"/>
  <c r="E936" i="10"/>
  <c r="D936" i="10"/>
  <c r="C936" i="10"/>
  <c r="B936" i="10"/>
  <c r="L935" i="10"/>
  <c r="K935" i="10"/>
  <c r="J935" i="10"/>
  <c r="I935" i="10"/>
  <c r="H935" i="10"/>
  <c r="G935" i="10"/>
  <c r="F935" i="10"/>
  <c r="E935" i="10"/>
  <c r="D935" i="10"/>
  <c r="C935" i="10"/>
  <c r="B935" i="10"/>
  <c r="L934" i="10"/>
  <c r="K934" i="10"/>
  <c r="J934" i="10"/>
  <c r="I934" i="10"/>
  <c r="H934" i="10"/>
  <c r="G934" i="10"/>
  <c r="F934" i="10"/>
  <c r="E934" i="10"/>
  <c r="D934" i="10"/>
  <c r="C934" i="10"/>
  <c r="B934" i="10"/>
  <c r="L933" i="10"/>
  <c r="K933" i="10"/>
  <c r="J933" i="10"/>
  <c r="I933" i="10"/>
  <c r="H933" i="10"/>
  <c r="G933" i="10"/>
  <c r="F933" i="10"/>
  <c r="E933" i="10"/>
  <c r="D933" i="10"/>
  <c r="C933" i="10"/>
  <c r="B933" i="10"/>
  <c r="L932" i="10"/>
  <c r="L943" i="10" s="1"/>
  <c r="K932" i="10"/>
  <c r="K943" i="10" s="1"/>
  <c r="J932" i="10"/>
  <c r="J943" i="10" s="1"/>
  <c r="I932" i="10"/>
  <c r="I943" i="10" s="1"/>
  <c r="H932" i="10"/>
  <c r="H943" i="10" s="1"/>
  <c r="G932" i="10"/>
  <c r="G943" i="10" s="1"/>
  <c r="F932" i="10"/>
  <c r="F943" i="10" s="1"/>
  <c r="K930" i="10" s="1"/>
  <c r="E932" i="10"/>
  <c r="E943" i="10" s="1"/>
  <c r="D932" i="10"/>
  <c r="C932" i="10"/>
  <c r="B932" i="10"/>
  <c r="M930" i="10"/>
  <c r="M929" i="10"/>
  <c r="L926" i="10"/>
  <c r="K926" i="10"/>
  <c r="J926" i="10"/>
  <c r="I926" i="10"/>
  <c r="H926" i="10"/>
  <c r="G926" i="10"/>
  <c r="F926" i="10"/>
  <c r="E926" i="10"/>
  <c r="D926" i="10"/>
  <c r="C926" i="10"/>
  <c r="B926" i="10"/>
  <c r="L925" i="10"/>
  <c r="K925" i="10"/>
  <c r="J925" i="10"/>
  <c r="I925" i="10"/>
  <c r="H925" i="10"/>
  <c r="G925" i="10"/>
  <c r="F925" i="10"/>
  <c r="E925" i="10"/>
  <c r="D925" i="10"/>
  <c r="C925" i="10"/>
  <c r="B925" i="10"/>
  <c r="L924" i="10"/>
  <c r="K924" i="10"/>
  <c r="J924" i="10"/>
  <c r="I924" i="10"/>
  <c r="H924" i="10"/>
  <c r="G924" i="10"/>
  <c r="F924" i="10"/>
  <c r="E924" i="10"/>
  <c r="D924" i="10"/>
  <c r="C924" i="10"/>
  <c r="B924" i="10"/>
  <c r="L923" i="10"/>
  <c r="K923" i="10"/>
  <c r="J923" i="10"/>
  <c r="I923" i="10"/>
  <c r="H923" i="10"/>
  <c r="G923" i="10"/>
  <c r="F923" i="10"/>
  <c r="E923" i="10"/>
  <c r="D923" i="10"/>
  <c r="C923" i="10"/>
  <c r="B923" i="10"/>
  <c r="L922" i="10"/>
  <c r="K922" i="10"/>
  <c r="J922" i="10"/>
  <c r="I922" i="10"/>
  <c r="H922" i="10"/>
  <c r="G922" i="10"/>
  <c r="F922" i="10"/>
  <c r="E922" i="10"/>
  <c r="D922" i="10"/>
  <c r="C922" i="10"/>
  <c r="B922" i="10"/>
  <c r="L921" i="10"/>
  <c r="K921" i="10"/>
  <c r="J921" i="10"/>
  <c r="I921" i="10"/>
  <c r="H921" i="10"/>
  <c r="G921" i="10"/>
  <c r="F921" i="10"/>
  <c r="E921" i="10"/>
  <c r="D921" i="10"/>
  <c r="C921" i="10"/>
  <c r="B921" i="10"/>
  <c r="L920" i="10"/>
  <c r="K920" i="10"/>
  <c r="J920" i="10"/>
  <c r="I920" i="10"/>
  <c r="H920" i="10"/>
  <c r="G920" i="10"/>
  <c r="F920" i="10"/>
  <c r="E920" i="10"/>
  <c r="D920" i="10"/>
  <c r="C920" i="10"/>
  <c r="B920" i="10"/>
  <c r="L919" i="10"/>
  <c r="K919" i="10"/>
  <c r="J919" i="10"/>
  <c r="I919" i="10"/>
  <c r="H919" i="10"/>
  <c r="G919" i="10"/>
  <c r="F919" i="10"/>
  <c r="E919" i="10"/>
  <c r="D919" i="10"/>
  <c r="C919" i="10"/>
  <c r="B919" i="10"/>
  <c r="L918" i="10"/>
  <c r="K918" i="10"/>
  <c r="J918" i="10"/>
  <c r="I918" i="10"/>
  <c r="H918" i="10"/>
  <c r="G918" i="10"/>
  <c r="F918" i="10"/>
  <c r="E918" i="10"/>
  <c r="D918" i="10"/>
  <c r="C918" i="10"/>
  <c r="B918" i="10"/>
  <c r="L917" i="10"/>
  <c r="K917" i="10"/>
  <c r="J917" i="10"/>
  <c r="I917" i="10"/>
  <c r="H917" i="10"/>
  <c r="G917" i="10"/>
  <c r="F917" i="10"/>
  <c r="E917" i="10"/>
  <c r="D917" i="10"/>
  <c r="C917" i="10"/>
  <c r="B917" i="10"/>
  <c r="L916" i="10"/>
  <c r="L927" i="10" s="1"/>
  <c r="K916" i="10"/>
  <c r="K927" i="10" s="1"/>
  <c r="J916" i="10"/>
  <c r="J927" i="10" s="1"/>
  <c r="I916" i="10"/>
  <c r="I927" i="10" s="1"/>
  <c r="H916" i="10"/>
  <c r="H927" i="10" s="1"/>
  <c r="G916" i="10"/>
  <c r="G927" i="10" s="1"/>
  <c r="F916" i="10"/>
  <c r="F927" i="10" s="1"/>
  <c r="K914" i="10" s="1"/>
  <c r="E916" i="10"/>
  <c r="E927" i="10" s="1"/>
  <c r="D916" i="10"/>
  <c r="C916" i="10"/>
  <c r="B916" i="10"/>
  <c r="M914" i="10"/>
  <c r="M913" i="10"/>
  <c r="L910" i="10"/>
  <c r="K910" i="10"/>
  <c r="J910" i="10"/>
  <c r="I910" i="10"/>
  <c r="H910" i="10"/>
  <c r="G910" i="10"/>
  <c r="F910" i="10"/>
  <c r="E910" i="10"/>
  <c r="D910" i="10"/>
  <c r="C910" i="10"/>
  <c r="B910" i="10"/>
  <c r="L909" i="10"/>
  <c r="K909" i="10"/>
  <c r="J909" i="10"/>
  <c r="I909" i="10"/>
  <c r="H909" i="10"/>
  <c r="G909" i="10"/>
  <c r="F909" i="10"/>
  <c r="E909" i="10"/>
  <c r="D909" i="10"/>
  <c r="C909" i="10"/>
  <c r="B909" i="10"/>
  <c r="L908" i="10"/>
  <c r="K908" i="10"/>
  <c r="J908" i="10"/>
  <c r="I908" i="10"/>
  <c r="H908" i="10"/>
  <c r="G908" i="10"/>
  <c r="F908" i="10"/>
  <c r="E908" i="10"/>
  <c r="D908" i="10"/>
  <c r="C908" i="10"/>
  <c r="B908" i="10"/>
  <c r="L907" i="10"/>
  <c r="K907" i="10"/>
  <c r="J907" i="10"/>
  <c r="I907" i="10"/>
  <c r="H907" i="10"/>
  <c r="G907" i="10"/>
  <c r="F907" i="10"/>
  <c r="E907" i="10"/>
  <c r="D907" i="10"/>
  <c r="C907" i="10"/>
  <c r="B907" i="10"/>
  <c r="L906" i="10"/>
  <c r="K906" i="10"/>
  <c r="J906" i="10"/>
  <c r="I906" i="10"/>
  <c r="H906" i="10"/>
  <c r="G906" i="10"/>
  <c r="F906" i="10"/>
  <c r="E906" i="10"/>
  <c r="D906" i="10"/>
  <c r="C906" i="10"/>
  <c r="B906" i="10"/>
  <c r="L905" i="10"/>
  <c r="K905" i="10"/>
  <c r="J905" i="10"/>
  <c r="I905" i="10"/>
  <c r="H905" i="10"/>
  <c r="G905" i="10"/>
  <c r="F905" i="10"/>
  <c r="E905" i="10"/>
  <c r="D905" i="10"/>
  <c r="C905" i="10"/>
  <c r="B905" i="10"/>
  <c r="L904" i="10"/>
  <c r="K904" i="10"/>
  <c r="J904" i="10"/>
  <c r="I904" i="10"/>
  <c r="H904" i="10"/>
  <c r="G904" i="10"/>
  <c r="F904" i="10"/>
  <c r="E904" i="10"/>
  <c r="D904" i="10"/>
  <c r="C904" i="10"/>
  <c r="B904" i="10"/>
  <c r="L903" i="10"/>
  <c r="K903" i="10"/>
  <c r="J903" i="10"/>
  <c r="I903" i="10"/>
  <c r="H903" i="10"/>
  <c r="G903" i="10"/>
  <c r="F903" i="10"/>
  <c r="E903" i="10"/>
  <c r="D903" i="10"/>
  <c r="C903" i="10"/>
  <c r="B903" i="10"/>
  <c r="L902" i="10"/>
  <c r="K902" i="10"/>
  <c r="J902" i="10"/>
  <c r="I902" i="10"/>
  <c r="H902" i="10"/>
  <c r="G902" i="10"/>
  <c r="F902" i="10"/>
  <c r="E902" i="10"/>
  <c r="D902" i="10"/>
  <c r="C902" i="10"/>
  <c r="B902" i="10"/>
  <c r="L901" i="10"/>
  <c r="K901" i="10"/>
  <c r="J901" i="10"/>
  <c r="I901" i="10"/>
  <c r="H901" i="10"/>
  <c r="G901" i="10"/>
  <c r="F901" i="10"/>
  <c r="E901" i="10"/>
  <c r="D901" i="10"/>
  <c r="C901" i="10"/>
  <c r="B901" i="10"/>
  <c r="L900" i="10"/>
  <c r="L911" i="10" s="1"/>
  <c r="K900" i="10"/>
  <c r="K911" i="10" s="1"/>
  <c r="J900" i="10"/>
  <c r="J911" i="10" s="1"/>
  <c r="I900" i="10"/>
  <c r="I911" i="10" s="1"/>
  <c r="H900" i="10"/>
  <c r="H911" i="10" s="1"/>
  <c r="G900" i="10"/>
  <c r="G911" i="10" s="1"/>
  <c r="F900" i="10"/>
  <c r="F911" i="10" s="1"/>
  <c r="K898" i="10" s="1"/>
  <c r="E900" i="10"/>
  <c r="E911" i="10" s="1"/>
  <c r="D900" i="10"/>
  <c r="C900" i="10"/>
  <c r="B900" i="10"/>
  <c r="M898" i="10"/>
  <c r="M897" i="10"/>
  <c r="L894" i="10"/>
  <c r="K894" i="10"/>
  <c r="J894" i="10"/>
  <c r="I894" i="10"/>
  <c r="H894" i="10"/>
  <c r="G894" i="10"/>
  <c r="F894" i="10"/>
  <c r="E894" i="10"/>
  <c r="D894" i="10"/>
  <c r="C894" i="10"/>
  <c r="B894" i="10"/>
  <c r="L893" i="10"/>
  <c r="K893" i="10"/>
  <c r="J893" i="10"/>
  <c r="I893" i="10"/>
  <c r="H893" i="10"/>
  <c r="G893" i="10"/>
  <c r="F893" i="10"/>
  <c r="E893" i="10"/>
  <c r="D893" i="10"/>
  <c r="C893" i="10"/>
  <c r="B893" i="10"/>
  <c r="L892" i="10"/>
  <c r="K892" i="10"/>
  <c r="J892" i="10"/>
  <c r="I892" i="10"/>
  <c r="H892" i="10"/>
  <c r="G892" i="10"/>
  <c r="F892" i="10"/>
  <c r="E892" i="10"/>
  <c r="D892" i="10"/>
  <c r="C892" i="10"/>
  <c r="B892" i="10"/>
  <c r="L891" i="10"/>
  <c r="K891" i="10"/>
  <c r="J891" i="10"/>
  <c r="I891" i="10"/>
  <c r="H891" i="10"/>
  <c r="G891" i="10"/>
  <c r="F891" i="10"/>
  <c r="E891" i="10"/>
  <c r="D891" i="10"/>
  <c r="C891" i="10"/>
  <c r="B891" i="10"/>
  <c r="L890" i="10"/>
  <c r="K890" i="10"/>
  <c r="J890" i="10"/>
  <c r="I890" i="10"/>
  <c r="H890" i="10"/>
  <c r="G890" i="10"/>
  <c r="F890" i="10"/>
  <c r="E890" i="10"/>
  <c r="D890" i="10"/>
  <c r="C890" i="10"/>
  <c r="B890" i="10"/>
  <c r="L889" i="10"/>
  <c r="K889" i="10"/>
  <c r="J889" i="10"/>
  <c r="I889" i="10"/>
  <c r="H889" i="10"/>
  <c r="G889" i="10"/>
  <c r="F889" i="10"/>
  <c r="E889" i="10"/>
  <c r="D889" i="10"/>
  <c r="C889" i="10"/>
  <c r="B889" i="10"/>
  <c r="L888" i="10"/>
  <c r="K888" i="10"/>
  <c r="J888" i="10"/>
  <c r="I888" i="10"/>
  <c r="H888" i="10"/>
  <c r="G888" i="10"/>
  <c r="F888" i="10"/>
  <c r="E888" i="10"/>
  <c r="D888" i="10"/>
  <c r="C888" i="10"/>
  <c r="B888" i="10"/>
  <c r="L887" i="10"/>
  <c r="K887" i="10"/>
  <c r="J887" i="10"/>
  <c r="I887" i="10"/>
  <c r="H887" i="10"/>
  <c r="G887" i="10"/>
  <c r="F887" i="10"/>
  <c r="E887" i="10"/>
  <c r="D887" i="10"/>
  <c r="C887" i="10"/>
  <c r="B887" i="10"/>
  <c r="L886" i="10"/>
  <c r="K886" i="10"/>
  <c r="J886" i="10"/>
  <c r="I886" i="10"/>
  <c r="H886" i="10"/>
  <c r="G886" i="10"/>
  <c r="F886" i="10"/>
  <c r="E886" i="10"/>
  <c r="D886" i="10"/>
  <c r="C886" i="10"/>
  <c r="B886" i="10"/>
  <c r="L885" i="10"/>
  <c r="K885" i="10"/>
  <c r="J885" i="10"/>
  <c r="I885" i="10"/>
  <c r="H885" i="10"/>
  <c r="G885" i="10"/>
  <c r="F885" i="10"/>
  <c r="E885" i="10"/>
  <c r="D885" i="10"/>
  <c r="C885" i="10"/>
  <c r="B885" i="10"/>
  <c r="L884" i="10"/>
  <c r="L895" i="10" s="1"/>
  <c r="K884" i="10"/>
  <c r="K895" i="10" s="1"/>
  <c r="J884" i="10"/>
  <c r="J895" i="10" s="1"/>
  <c r="I884" i="10"/>
  <c r="I895" i="10" s="1"/>
  <c r="H884" i="10"/>
  <c r="H895" i="10" s="1"/>
  <c r="G884" i="10"/>
  <c r="G895" i="10" s="1"/>
  <c r="F884" i="10"/>
  <c r="F895" i="10" s="1"/>
  <c r="K882" i="10" s="1"/>
  <c r="E884" i="10"/>
  <c r="E895" i="10" s="1"/>
  <c r="D884" i="10"/>
  <c r="C884" i="10"/>
  <c r="B884" i="10"/>
  <c r="M882" i="10"/>
  <c r="M881" i="10"/>
  <c r="L878" i="10"/>
  <c r="K878" i="10"/>
  <c r="J878" i="10"/>
  <c r="I878" i="10"/>
  <c r="H878" i="10"/>
  <c r="G878" i="10"/>
  <c r="F878" i="10"/>
  <c r="E878" i="10"/>
  <c r="D878" i="10"/>
  <c r="C878" i="10"/>
  <c r="B878" i="10"/>
  <c r="L877" i="10"/>
  <c r="K877" i="10"/>
  <c r="J877" i="10"/>
  <c r="I877" i="10"/>
  <c r="H877" i="10"/>
  <c r="G877" i="10"/>
  <c r="F877" i="10"/>
  <c r="E877" i="10"/>
  <c r="D877" i="10"/>
  <c r="C877" i="10"/>
  <c r="B877" i="10"/>
  <c r="L876" i="10"/>
  <c r="K876" i="10"/>
  <c r="J876" i="10"/>
  <c r="I876" i="10"/>
  <c r="H876" i="10"/>
  <c r="G876" i="10"/>
  <c r="F876" i="10"/>
  <c r="E876" i="10"/>
  <c r="D876" i="10"/>
  <c r="C876" i="10"/>
  <c r="B876" i="10"/>
  <c r="L875" i="10"/>
  <c r="K875" i="10"/>
  <c r="J875" i="10"/>
  <c r="I875" i="10"/>
  <c r="H875" i="10"/>
  <c r="G875" i="10"/>
  <c r="F875" i="10"/>
  <c r="E875" i="10"/>
  <c r="D875" i="10"/>
  <c r="C875" i="10"/>
  <c r="B875" i="10"/>
  <c r="L874" i="10"/>
  <c r="K874" i="10"/>
  <c r="J874" i="10"/>
  <c r="I874" i="10"/>
  <c r="H874" i="10"/>
  <c r="G874" i="10"/>
  <c r="F874" i="10"/>
  <c r="E874" i="10"/>
  <c r="D874" i="10"/>
  <c r="C874" i="10"/>
  <c r="B874" i="10"/>
  <c r="L873" i="10"/>
  <c r="K873" i="10"/>
  <c r="J873" i="10"/>
  <c r="I873" i="10"/>
  <c r="H873" i="10"/>
  <c r="G873" i="10"/>
  <c r="F873" i="10"/>
  <c r="E873" i="10"/>
  <c r="D873" i="10"/>
  <c r="C873" i="10"/>
  <c r="B873" i="10"/>
  <c r="L872" i="10"/>
  <c r="K872" i="10"/>
  <c r="J872" i="10"/>
  <c r="I872" i="10"/>
  <c r="H872" i="10"/>
  <c r="G872" i="10"/>
  <c r="F872" i="10"/>
  <c r="E872" i="10"/>
  <c r="D872" i="10"/>
  <c r="C872" i="10"/>
  <c r="B872" i="10"/>
  <c r="L871" i="10"/>
  <c r="K871" i="10"/>
  <c r="J871" i="10"/>
  <c r="I871" i="10"/>
  <c r="H871" i="10"/>
  <c r="G871" i="10"/>
  <c r="F871" i="10"/>
  <c r="E871" i="10"/>
  <c r="D871" i="10"/>
  <c r="C871" i="10"/>
  <c r="B871" i="10"/>
  <c r="L870" i="10"/>
  <c r="K870" i="10"/>
  <c r="J870" i="10"/>
  <c r="I870" i="10"/>
  <c r="H870" i="10"/>
  <c r="G870" i="10"/>
  <c r="F870" i="10"/>
  <c r="E870" i="10"/>
  <c r="D870" i="10"/>
  <c r="C870" i="10"/>
  <c r="B870" i="10"/>
  <c r="L869" i="10"/>
  <c r="K869" i="10"/>
  <c r="J869" i="10"/>
  <c r="I869" i="10"/>
  <c r="H869" i="10"/>
  <c r="G869" i="10"/>
  <c r="F869" i="10"/>
  <c r="E869" i="10"/>
  <c r="D869" i="10"/>
  <c r="C869" i="10"/>
  <c r="B869" i="10"/>
  <c r="L868" i="10"/>
  <c r="L879" i="10" s="1"/>
  <c r="K868" i="10"/>
  <c r="K879" i="10" s="1"/>
  <c r="J868" i="10"/>
  <c r="J879" i="10" s="1"/>
  <c r="I868" i="10"/>
  <c r="I879" i="10" s="1"/>
  <c r="H868" i="10"/>
  <c r="H879" i="10" s="1"/>
  <c r="G868" i="10"/>
  <c r="G879" i="10" s="1"/>
  <c r="F868" i="10"/>
  <c r="F879" i="10" s="1"/>
  <c r="K866" i="10" s="1"/>
  <c r="E868" i="10"/>
  <c r="E879" i="10" s="1"/>
  <c r="D868" i="10"/>
  <c r="C868" i="10"/>
  <c r="B868" i="10"/>
  <c r="M866" i="10"/>
  <c r="M865" i="10"/>
  <c r="L862" i="10"/>
  <c r="K862" i="10"/>
  <c r="J862" i="10"/>
  <c r="I862" i="10"/>
  <c r="H862" i="10"/>
  <c r="G862" i="10"/>
  <c r="F862" i="10"/>
  <c r="E862" i="10"/>
  <c r="D862" i="10"/>
  <c r="C862" i="10"/>
  <c r="B862" i="10"/>
  <c r="L861" i="10"/>
  <c r="K861" i="10"/>
  <c r="J861" i="10"/>
  <c r="I861" i="10"/>
  <c r="H861" i="10"/>
  <c r="G861" i="10"/>
  <c r="F861" i="10"/>
  <c r="E861" i="10"/>
  <c r="D861" i="10"/>
  <c r="C861" i="10"/>
  <c r="B861" i="10"/>
  <c r="L860" i="10"/>
  <c r="K860" i="10"/>
  <c r="J860" i="10"/>
  <c r="I860" i="10"/>
  <c r="H860" i="10"/>
  <c r="G860" i="10"/>
  <c r="F860" i="10"/>
  <c r="E860" i="10"/>
  <c r="D860" i="10"/>
  <c r="C860" i="10"/>
  <c r="B860" i="10"/>
  <c r="L859" i="10"/>
  <c r="K859" i="10"/>
  <c r="J859" i="10"/>
  <c r="I859" i="10"/>
  <c r="H859" i="10"/>
  <c r="G859" i="10"/>
  <c r="F859" i="10"/>
  <c r="E859" i="10"/>
  <c r="D859" i="10"/>
  <c r="C859" i="10"/>
  <c r="B859" i="10"/>
  <c r="L858" i="10"/>
  <c r="K858" i="10"/>
  <c r="J858" i="10"/>
  <c r="I858" i="10"/>
  <c r="H858" i="10"/>
  <c r="G858" i="10"/>
  <c r="F858" i="10"/>
  <c r="E858" i="10"/>
  <c r="D858" i="10"/>
  <c r="C858" i="10"/>
  <c r="B858" i="10"/>
  <c r="L857" i="10"/>
  <c r="K857" i="10"/>
  <c r="J857" i="10"/>
  <c r="I857" i="10"/>
  <c r="H857" i="10"/>
  <c r="G857" i="10"/>
  <c r="F857" i="10"/>
  <c r="E857" i="10"/>
  <c r="D857" i="10"/>
  <c r="C857" i="10"/>
  <c r="B857" i="10"/>
  <c r="L856" i="10"/>
  <c r="K856" i="10"/>
  <c r="J856" i="10"/>
  <c r="I856" i="10"/>
  <c r="H856" i="10"/>
  <c r="G856" i="10"/>
  <c r="F856" i="10"/>
  <c r="E856" i="10"/>
  <c r="D856" i="10"/>
  <c r="C856" i="10"/>
  <c r="B856" i="10"/>
  <c r="L855" i="10"/>
  <c r="K855" i="10"/>
  <c r="J855" i="10"/>
  <c r="I855" i="10"/>
  <c r="H855" i="10"/>
  <c r="G855" i="10"/>
  <c r="F855" i="10"/>
  <c r="E855" i="10"/>
  <c r="D855" i="10"/>
  <c r="C855" i="10"/>
  <c r="B855" i="10"/>
  <c r="L854" i="10"/>
  <c r="K854" i="10"/>
  <c r="J854" i="10"/>
  <c r="I854" i="10"/>
  <c r="H854" i="10"/>
  <c r="G854" i="10"/>
  <c r="F854" i="10"/>
  <c r="E854" i="10"/>
  <c r="D854" i="10"/>
  <c r="C854" i="10"/>
  <c r="B854" i="10"/>
  <c r="L853" i="10"/>
  <c r="K853" i="10"/>
  <c r="J853" i="10"/>
  <c r="I853" i="10"/>
  <c r="H853" i="10"/>
  <c r="G853" i="10"/>
  <c r="F853" i="10"/>
  <c r="E853" i="10"/>
  <c r="D853" i="10"/>
  <c r="C853" i="10"/>
  <c r="B853" i="10"/>
  <c r="L852" i="10"/>
  <c r="L863" i="10" s="1"/>
  <c r="K852" i="10"/>
  <c r="K863" i="10" s="1"/>
  <c r="J852" i="10"/>
  <c r="J863" i="10" s="1"/>
  <c r="I852" i="10"/>
  <c r="I863" i="10" s="1"/>
  <c r="H852" i="10"/>
  <c r="H863" i="10" s="1"/>
  <c r="G852" i="10"/>
  <c r="G863" i="10" s="1"/>
  <c r="F852" i="10"/>
  <c r="F863" i="10" s="1"/>
  <c r="K850" i="10" s="1"/>
  <c r="E852" i="10"/>
  <c r="E863" i="10" s="1"/>
  <c r="D852" i="10"/>
  <c r="C852" i="10"/>
  <c r="B852" i="10"/>
  <c r="M850" i="10"/>
  <c r="M849" i="10"/>
  <c r="L846" i="10"/>
  <c r="K846" i="10"/>
  <c r="J846" i="10"/>
  <c r="I846" i="10"/>
  <c r="H846" i="10"/>
  <c r="G846" i="10"/>
  <c r="F846" i="10"/>
  <c r="E846" i="10"/>
  <c r="D846" i="10"/>
  <c r="C846" i="10"/>
  <c r="B846" i="10"/>
  <c r="L845" i="10"/>
  <c r="K845" i="10"/>
  <c r="J845" i="10"/>
  <c r="I845" i="10"/>
  <c r="H845" i="10"/>
  <c r="G845" i="10"/>
  <c r="F845" i="10"/>
  <c r="E845" i="10"/>
  <c r="D845" i="10"/>
  <c r="C845" i="10"/>
  <c r="B845" i="10"/>
  <c r="L844" i="10"/>
  <c r="K844" i="10"/>
  <c r="J844" i="10"/>
  <c r="I844" i="10"/>
  <c r="H844" i="10"/>
  <c r="G844" i="10"/>
  <c r="F844" i="10"/>
  <c r="E844" i="10"/>
  <c r="D844" i="10"/>
  <c r="C844" i="10"/>
  <c r="B844" i="10"/>
  <c r="L843" i="10"/>
  <c r="K843" i="10"/>
  <c r="J843" i="10"/>
  <c r="I843" i="10"/>
  <c r="H843" i="10"/>
  <c r="G843" i="10"/>
  <c r="F843" i="10"/>
  <c r="E843" i="10"/>
  <c r="D843" i="10"/>
  <c r="C843" i="10"/>
  <c r="B843" i="10"/>
  <c r="L842" i="10"/>
  <c r="K842" i="10"/>
  <c r="J842" i="10"/>
  <c r="I842" i="10"/>
  <c r="H842" i="10"/>
  <c r="G842" i="10"/>
  <c r="F842" i="10"/>
  <c r="E842" i="10"/>
  <c r="D842" i="10"/>
  <c r="C842" i="10"/>
  <c r="B842" i="10"/>
  <c r="L841" i="10"/>
  <c r="K841" i="10"/>
  <c r="J841" i="10"/>
  <c r="I841" i="10"/>
  <c r="H841" i="10"/>
  <c r="G841" i="10"/>
  <c r="F841" i="10"/>
  <c r="E841" i="10"/>
  <c r="D841" i="10"/>
  <c r="C841" i="10"/>
  <c r="B841" i="10"/>
  <c r="L840" i="10"/>
  <c r="K840" i="10"/>
  <c r="J840" i="10"/>
  <c r="I840" i="10"/>
  <c r="H840" i="10"/>
  <c r="G840" i="10"/>
  <c r="F840" i="10"/>
  <c r="E840" i="10"/>
  <c r="D840" i="10"/>
  <c r="C840" i="10"/>
  <c r="B840" i="10"/>
  <c r="L839" i="10"/>
  <c r="K839" i="10"/>
  <c r="J839" i="10"/>
  <c r="I839" i="10"/>
  <c r="H839" i="10"/>
  <c r="G839" i="10"/>
  <c r="F839" i="10"/>
  <c r="E839" i="10"/>
  <c r="D839" i="10"/>
  <c r="C839" i="10"/>
  <c r="B839" i="10"/>
  <c r="L838" i="10"/>
  <c r="K838" i="10"/>
  <c r="J838" i="10"/>
  <c r="I838" i="10"/>
  <c r="H838" i="10"/>
  <c r="G838" i="10"/>
  <c r="F838" i="10"/>
  <c r="E838" i="10"/>
  <c r="D838" i="10"/>
  <c r="C838" i="10"/>
  <c r="B838" i="10"/>
  <c r="L837" i="10"/>
  <c r="K837" i="10"/>
  <c r="J837" i="10"/>
  <c r="I837" i="10"/>
  <c r="H837" i="10"/>
  <c r="G837" i="10"/>
  <c r="F837" i="10"/>
  <c r="E837" i="10"/>
  <c r="D837" i="10"/>
  <c r="C837" i="10"/>
  <c r="B837" i="10"/>
  <c r="L836" i="10"/>
  <c r="L847" i="10" s="1"/>
  <c r="K836" i="10"/>
  <c r="K847" i="10" s="1"/>
  <c r="J836" i="10"/>
  <c r="J847" i="10" s="1"/>
  <c r="I836" i="10"/>
  <c r="I847" i="10" s="1"/>
  <c r="H836" i="10"/>
  <c r="H847" i="10" s="1"/>
  <c r="G836" i="10"/>
  <c r="G847" i="10" s="1"/>
  <c r="F836" i="10"/>
  <c r="F847" i="10" s="1"/>
  <c r="K834" i="10" s="1"/>
  <c r="E836" i="10"/>
  <c r="E847" i="10" s="1"/>
  <c r="D836" i="10"/>
  <c r="C836" i="10"/>
  <c r="B836" i="10"/>
  <c r="M834" i="10"/>
  <c r="M833" i="10"/>
  <c r="L830" i="10"/>
  <c r="K830" i="10"/>
  <c r="J830" i="10"/>
  <c r="I830" i="10"/>
  <c r="H830" i="10"/>
  <c r="G830" i="10"/>
  <c r="F830" i="10"/>
  <c r="E830" i="10"/>
  <c r="D830" i="10"/>
  <c r="C830" i="10"/>
  <c r="B830" i="10"/>
  <c r="L829" i="10"/>
  <c r="K829" i="10"/>
  <c r="J829" i="10"/>
  <c r="I829" i="10"/>
  <c r="H829" i="10"/>
  <c r="G829" i="10"/>
  <c r="F829" i="10"/>
  <c r="E829" i="10"/>
  <c r="D829" i="10"/>
  <c r="C829" i="10"/>
  <c r="B829" i="10"/>
  <c r="L828" i="10"/>
  <c r="K828" i="10"/>
  <c r="J828" i="10"/>
  <c r="I828" i="10"/>
  <c r="H828" i="10"/>
  <c r="G828" i="10"/>
  <c r="F828" i="10"/>
  <c r="E828" i="10"/>
  <c r="D828" i="10"/>
  <c r="C828" i="10"/>
  <c r="B828" i="10"/>
  <c r="L827" i="10"/>
  <c r="K827" i="10"/>
  <c r="J827" i="10"/>
  <c r="I827" i="10"/>
  <c r="H827" i="10"/>
  <c r="G827" i="10"/>
  <c r="F827" i="10"/>
  <c r="E827" i="10"/>
  <c r="D827" i="10"/>
  <c r="C827" i="10"/>
  <c r="B827" i="10"/>
  <c r="L826" i="10"/>
  <c r="K826" i="10"/>
  <c r="J826" i="10"/>
  <c r="I826" i="10"/>
  <c r="H826" i="10"/>
  <c r="G826" i="10"/>
  <c r="F826" i="10"/>
  <c r="E826" i="10"/>
  <c r="D826" i="10"/>
  <c r="C826" i="10"/>
  <c r="B826" i="10"/>
  <c r="L825" i="10"/>
  <c r="K825" i="10"/>
  <c r="J825" i="10"/>
  <c r="I825" i="10"/>
  <c r="H825" i="10"/>
  <c r="G825" i="10"/>
  <c r="F825" i="10"/>
  <c r="E825" i="10"/>
  <c r="D825" i="10"/>
  <c r="C825" i="10"/>
  <c r="B825" i="10"/>
  <c r="L824" i="10"/>
  <c r="K824" i="10"/>
  <c r="J824" i="10"/>
  <c r="I824" i="10"/>
  <c r="H824" i="10"/>
  <c r="G824" i="10"/>
  <c r="F824" i="10"/>
  <c r="E824" i="10"/>
  <c r="D824" i="10"/>
  <c r="C824" i="10"/>
  <c r="B824" i="10"/>
  <c r="L823" i="10"/>
  <c r="K823" i="10"/>
  <c r="J823" i="10"/>
  <c r="I823" i="10"/>
  <c r="H823" i="10"/>
  <c r="G823" i="10"/>
  <c r="F823" i="10"/>
  <c r="E823" i="10"/>
  <c r="D823" i="10"/>
  <c r="C823" i="10"/>
  <c r="B823" i="10"/>
  <c r="L822" i="10"/>
  <c r="K822" i="10"/>
  <c r="J822" i="10"/>
  <c r="I822" i="10"/>
  <c r="H822" i="10"/>
  <c r="G822" i="10"/>
  <c r="F822" i="10"/>
  <c r="E822" i="10"/>
  <c r="D822" i="10"/>
  <c r="C822" i="10"/>
  <c r="B822" i="10"/>
  <c r="L821" i="10"/>
  <c r="K821" i="10"/>
  <c r="J821" i="10"/>
  <c r="I821" i="10"/>
  <c r="H821" i="10"/>
  <c r="G821" i="10"/>
  <c r="F821" i="10"/>
  <c r="E821" i="10"/>
  <c r="D821" i="10"/>
  <c r="C821" i="10"/>
  <c r="B821" i="10"/>
  <c r="L820" i="10"/>
  <c r="L831" i="10" s="1"/>
  <c r="K820" i="10"/>
  <c r="K831" i="10" s="1"/>
  <c r="J820" i="10"/>
  <c r="J831" i="10" s="1"/>
  <c r="I820" i="10"/>
  <c r="I831" i="10" s="1"/>
  <c r="H820" i="10"/>
  <c r="H831" i="10" s="1"/>
  <c r="G820" i="10"/>
  <c r="G831" i="10" s="1"/>
  <c r="F820" i="10"/>
  <c r="F831" i="10" s="1"/>
  <c r="K818" i="10" s="1"/>
  <c r="E820" i="10"/>
  <c r="E831" i="10" s="1"/>
  <c r="D820" i="10"/>
  <c r="C820" i="10"/>
  <c r="B820" i="10"/>
  <c r="M818" i="10"/>
  <c r="M817" i="10"/>
  <c r="L814" i="10"/>
  <c r="K814" i="10"/>
  <c r="J814" i="10"/>
  <c r="I814" i="10"/>
  <c r="H814" i="10"/>
  <c r="G814" i="10"/>
  <c r="F814" i="10"/>
  <c r="E814" i="10"/>
  <c r="D814" i="10"/>
  <c r="C814" i="10"/>
  <c r="B814" i="10"/>
  <c r="L813" i="10"/>
  <c r="K813" i="10"/>
  <c r="J813" i="10"/>
  <c r="I813" i="10"/>
  <c r="H813" i="10"/>
  <c r="G813" i="10"/>
  <c r="F813" i="10"/>
  <c r="E813" i="10"/>
  <c r="D813" i="10"/>
  <c r="C813" i="10"/>
  <c r="B813" i="10"/>
  <c r="L812" i="10"/>
  <c r="K812" i="10"/>
  <c r="J812" i="10"/>
  <c r="I812" i="10"/>
  <c r="H812" i="10"/>
  <c r="G812" i="10"/>
  <c r="F812" i="10"/>
  <c r="E812" i="10"/>
  <c r="D812" i="10"/>
  <c r="C812" i="10"/>
  <c r="B812" i="10"/>
  <c r="L811" i="10"/>
  <c r="K811" i="10"/>
  <c r="J811" i="10"/>
  <c r="I811" i="10"/>
  <c r="H811" i="10"/>
  <c r="G811" i="10"/>
  <c r="F811" i="10"/>
  <c r="E811" i="10"/>
  <c r="D811" i="10"/>
  <c r="C811" i="10"/>
  <c r="B811" i="10"/>
  <c r="L810" i="10"/>
  <c r="K810" i="10"/>
  <c r="J810" i="10"/>
  <c r="I810" i="10"/>
  <c r="H810" i="10"/>
  <c r="G810" i="10"/>
  <c r="F810" i="10"/>
  <c r="E810" i="10"/>
  <c r="D810" i="10"/>
  <c r="C810" i="10"/>
  <c r="B810" i="10"/>
  <c r="L809" i="10"/>
  <c r="K809" i="10"/>
  <c r="J809" i="10"/>
  <c r="I809" i="10"/>
  <c r="H809" i="10"/>
  <c r="G809" i="10"/>
  <c r="F809" i="10"/>
  <c r="E809" i="10"/>
  <c r="D809" i="10"/>
  <c r="C809" i="10"/>
  <c r="B809" i="10"/>
  <c r="L808" i="10"/>
  <c r="K808" i="10"/>
  <c r="J808" i="10"/>
  <c r="I808" i="10"/>
  <c r="H808" i="10"/>
  <c r="G808" i="10"/>
  <c r="F808" i="10"/>
  <c r="E808" i="10"/>
  <c r="D808" i="10"/>
  <c r="C808" i="10"/>
  <c r="B808" i="10"/>
  <c r="L807" i="10"/>
  <c r="K807" i="10"/>
  <c r="J807" i="10"/>
  <c r="I807" i="10"/>
  <c r="H807" i="10"/>
  <c r="G807" i="10"/>
  <c r="F807" i="10"/>
  <c r="E807" i="10"/>
  <c r="D807" i="10"/>
  <c r="C807" i="10"/>
  <c r="B807" i="10"/>
  <c r="L806" i="10"/>
  <c r="K806" i="10"/>
  <c r="J806" i="10"/>
  <c r="I806" i="10"/>
  <c r="H806" i="10"/>
  <c r="G806" i="10"/>
  <c r="F806" i="10"/>
  <c r="E806" i="10"/>
  <c r="D806" i="10"/>
  <c r="C806" i="10"/>
  <c r="B806" i="10"/>
  <c r="L805" i="10"/>
  <c r="K805" i="10"/>
  <c r="J805" i="10"/>
  <c r="I805" i="10"/>
  <c r="H805" i="10"/>
  <c r="G805" i="10"/>
  <c r="F805" i="10"/>
  <c r="E805" i="10"/>
  <c r="D805" i="10"/>
  <c r="C805" i="10"/>
  <c r="B805" i="10"/>
  <c r="L804" i="10"/>
  <c r="L815" i="10" s="1"/>
  <c r="K804" i="10"/>
  <c r="K815" i="10" s="1"/>
  <c r="J804" i="10"/>
  <c r="J815" i="10" s="1"/>
  <c r="I804" i="10"/>
  <c r="I815" i="10" s="1"/>
  <c r="H804" i="10"/>
  <c r="H815" i="10" s="1"/>
  <c r="G804" i="10"/>
  <c r="G815" i="10" s="1"/>
  <c r="F804" i="10"/>
  <c r="F815" i="10" s="1"/>
  <c r="K802" i="10" s="1"/>
  <c r="E804" i="10"/>
  <c r="E815" i="10" s="1"/>
  <c r="D804" i="10"/>
  <c r="C804" i="10"/>
  <c r="B804" i="10"/>
  <c r="M802" i="10"/>
  <c r="M801" i="10"/>
  <c r="L798" i="10"/>
  <c r="K798" i="10"/>
  <c r="J798" i="10"/>
  <c r="I798" i="10"/>
  <c r="H798" i="10"/>
  <c r="G798" i="10"/>
  <c r="F798" i="10"/>
  <c r="E798" i="10"/>
  <c r="D798" i="10"/>
  <c r="C798" i="10"/>
  <c r="B798" i="10"/>
  <c r="L797" i="10"/>
  <c r="K797" i="10"/>
  <c r="J797" i="10"/>
  <c r="I797" i="10"/>
  <c r="H797" i="10"/>
  <c r="G797" i="10"/>
  <c r="F797" i="10"/>
  <c r="E797" i="10"/>
  <c r="D797" i="10"/>
  <c r="C797" i="10"/>
  <c r="B797" i="10"/>
  <c r="L796" i="10"/>
  <c r="K796" i="10"/>
  <c r="J796" i="10"/>
  <c r="I796" i="10"/>
  <c r="H796" i="10"/>
  <c r="G796" i="10"/>
  <c r="F796" i="10"/>
  <c r="E796" i="10"/>
  <c r="D796" i="10"/>
  <c r="C796" i="10"/>
  <c r="B796" i="10"/>
  <c r="L795" i="10"/>
  <c r="K795" i="10"/>
  <c r="J795" i="10"/>
  <c r="I795" i="10"/>
  <c r="H795" i="10"/>
  <c r="G795" i="10"/>
  <c r="F795" i="10"/>
  <c r="E795" i="10"/>
  <c r="D795" i="10"/>
  <c r="C795" i="10"/>
  <c r="B795" i="10"/>
  <c r="L794" i="10"/>
  <c r="K794" i="10"/>
  <c r="J794" i="10"/>
  <c r="I794" i="10"/>
  <c r="H794" i="10"/>
  <c r="G794" i="10"/>
  <c r="F794" i="10"/>
  <c r="E794" i="10"/>
  <c r="D794" i="10"/>
  <c r="C794" i="10"/>
  <c r="B794" i="10"/>
  <c r="L793" i="10"/>
  <c r="K793" i="10"/>
  <c r="J793" i="10"/>
  <c r="I793" i="10"/>
  <c r="H793" i="10"/>
  <c r="G793" i="10"/>
  <c r="F793" i="10"/>
  <c r="E793" i="10"/>
  <c r="D793" i="10"/>
  <c r="C793" i="10"/>
  <c r="B793" i="10"/>
  <c r="L792" i="10"/>
  <c r="K792" i="10"/>
  <c r="J792" i="10"/>
  <c r="I792" i="10"/>
  <c r="H792" i="10"/>
  <c r="G792" i="10"/>
  <c r="F792" i="10"/>
  <c r="E792" i="10"/>
  <c r="D792" i="10"/>
  <c r="C792" i="10"/>
  <c r="B792" i="10"/>
  <c r="L791" i="10"/>
  <c r="K791" i="10"/>
  <c r="J791" i="10"/>
  <c r="I791" i="10"/>
  <c r="H791" i="10"/>
  <c r="G791" i="10"/>
  <c r="F791" i="10"/>
  <c r="E791" i="10"/>
  <c r="D791" i="10"/>
  <c r="C791" i="10"/>
  <c r="B791" i="10"/>
  <c r="L790" i="10"/>
  <c r="K790" i="10"/>
  <c r="J790" i="10"/>
  <c r="I790" i="10"/>
  <c r="H790" i="10"/>
  <c r="G790" i="10"/>
  <c r="F790" i="10"/>
  <c r="E790" i="10"/>
  <c r="D790" i="10"/>
  <c r="C790" i="10"/>
  <c r="B790" i="10"/>
  <c r="L789" i="10"/>
  <c r="K789" i="10"/>
  <c r="J789" i="10"/>
  <c r="I789" i="10"/>
  <c r="H789" i="10"/>
  <c r="G789" i="10"/>
  <c r="F789" i="10"/>
  <c r="E789" i="10"/>
  <c r="D789" i="10"/>
  <c r="C789" i="10"/>
  <c r="B789" i="10"/>
  <c r="L788" i="10"/>
  <c r="L799" i="10" s="1"/>
  <c r="K788" i="10"/>
  <c r="K799" i="10" s="1"/>
  <c r="J788" i="10"/>
  <c r="J799" i="10" s="1"/>
  <c r="I788" i="10"/>
  <c r="I799" i="10" s="1"/>
  <c r="H788" i="10"/>
  <c r="H799" i="10" s="1"/>
  <c r="G788" i="10"/>
  <c r="G799" i="10" s="1"/>
  <c r="F788" i="10"/>
  <c r="F799" i="10" s="1"/>
  <c r="K786" i="10" s="1"/>
  <c r="E788" i="10"/>
  <c r="E799" i="10" s="1"/>
  <c r="D788" i="10"/>
  <c r="C788" i="10"/>
  <c r="B788" i="10"/>
  <c r="M786" i="10"/>
  <c r="M785" i="10"/>
  <c r="L782" i="10"/>
  <c r="K782" i="10"/>
  <c r="J782" i="10"/>
  <c r="I782" i="10"/>
  <c r="H782" i="10"/>
  <c r="G782" i="10"/>
  <c r="F782" i="10"/>
  <c r="E782" i="10"/>
  <c r="D782" i="10"/>
  <c r="C782" i="10"/>
  <c r="B782" i="10"/>
  <c r="L781" i="10"/>
  <c r="K781" i="10"/>
  <c r="J781" i="10"/>
  <c r="I781" i="10"/>
  <c r="H781" i="10"/>
  <c r="G781" i="10"/>
  <c r="F781" i="10"/>
  <c r="E781" i="10"/>
  <c r="D781" i="10"/>
  <c r="C781" i="10"/>
  <c r="B781" i="10"/>
  <c r="L780" i="10"/>
  <c r="K780" i="10"/>
  <c r="J780" i="10"/>
  <c r="I780" i="10"/>
  <c r="H780" i="10"/>
  <c r="G780" i="10"/>
  <c r="F780" i="10"/>
  <c r="E780" i="10"/>
  <c r="D780" i="10"/>
  <c r="C780" i="10"/>
  <c r="B780" i="10"/>
  <c r="L779" i="10"/>
  <c r="K779" i="10"/>
  <c r="J779" i="10"/>
  <c r="I779" i="10"/>
  <c r="H779" i="10"/>
  <c r="G779" i="10"/>
  <c r="F779" i="10"/>
  <c r="E779" i="10"/>
  <c r="D779" i="10"/>
  <c r="C779" i="10"/>
  <c r="B779" i="10"/>
  <c r="L778" i="10"/>
  <c r="K778" i="10"/>
  <c r="J778" i="10"/>
  <c r="I778" i="10"/>
  <c r="H778" i="10"/>
  <c r="G778" i="10"/>
  <c r="F778" i="10"/>
  <c r="E778" i="10"/>
  <c r="D778" i="10"/>
  <c r="C778" i="10"/>
  <c r="B778" i="10"/>
  <c r="L777" i="10"/>
  <c r="K777" i="10"/>
  <c r="J777" i="10"/>
  <c r="I777" i="10"/>
  <c r="H777" i="10"/>
  <c r="G777" i="10"/>
  <c r="F777" i="10"/>
  <c r="E777" i="10"/>
  <c r="D777" i="10"/>
  <c r="C777" i="10"/>
  <c r="B777" i="10"/>
  <c r="L776" i="10"/>
  <c r="K776" i="10"/>
  <c r="J776" i="10"/>
  <c r="I776" i="10"/>
  <c r="H776" i="10"/>
  <c r="G776" i="10"/>
  <c r="F776" i="10"/>
  <c r="E776" i="10"/>
  <c r="D776" i="10"/>
  <c r="C776" i="10"/>
  <c r="B776" i="10"/>
  <c r="L775" i="10"/>
  <c r="K775" i="10"/>
  <c r="J775" i="10"/>
  <c r="I775" i="10"/>
  <c r="H775" i="10"/>
  <c r="G775" i="10"/>
  <c r="F775" i="10"/>
  <c r="E775" i="10"/>
  <c r="D775" i="10"/>
  <c r="C775" i="10"/>
  <c r="B775" i="10"/>
  <c r="L774" i="10"/>
  <c r="K774" i="10"/>
  <c r="J774" i="10"/>
  <c r="I774" i="10"/>
  <c r="H774" i="10"/>
  <c r="G774" i="10"/>
  <c r="F774" i="10"/>
  <c r="E774" i="10"/>
  <c r="D774" i="10"/>
  <c r="C774" i="10"/>
  <c r="B774" i="10"/>
  <c r="L773" i="10"/>
  <c r="K773" i="10"/>
  <c r="J773" i="10"/>
  <c r="I773" i="10"/>
  <c r="H773" i="10"/>
  <c r="G773" i="10"/>
  <c r="F773" i="10"/>
  <c r="E773" i="10"/>
  <c r="D773" i="10"/>
  <c r="C773" i="10"/>
  <c r="B773" i="10"/>
  <c r="L772" i="10"/>
  <c r="L783" i="10" s="1"/>
  <c r="K772" i="10"/>
  <c r="K783" i="10" s="1"/>
  <c r="J772" i="10"/>
  <c r="J783" i="10" s="1"/>
  <c r="I772" i="10"/>
  <c r="I783" i="10" s="1"/>
  <c r="H772" i="10"/>
  <c r="H783" i="10" s="1"/>
  <c r="G772" i="10"/>
  <c r="G783" i="10" s="1"/>
  <c r="F772" i="10"/>
  <c r="F783" i="10" s="1"/>
  <c r="K770" i="10" s="1"/>
  <c r="E772" i="10"/>
  <c r="E783" i="10" s="1"/>
  <c r="D772" i="10"/>
  <c r="C772" i="10"/>
  <c r="B772" i="10"/>
  <c r="M770" i="10"/>
  <c r="M769" i="10"/>
  <c r="E767" i="10"/>
  <c r="L766" i="10"/>
  <c r="K766" i="10"/>
  <c r="J766" i="10"/>
  <c r="I766" i="10"/>
  <c r="H766" i="10"/>
  <c r="G766" i="10"/>
  <c r="F766" i="10"/>
  <c r="E766" i="10"/>
  <c r="D766" i="10"/>
  <c r="C766" i="10"/>
  <c r="B766" i="10"/>
  <c r="L765" i="10"/>
  <c r="K765" i="10"/>
  <c r="J765" i="10"/>
  <c r="I765" i="10"/>
  <c r="H765" i="10"/>
  <c r="G765" i="10"/>
  <c r="F765" i="10"/>
  <c r="E765" i="10"/>
  <c r="D765" i="10"/>
  <c r="C765" i="10"/>
  <c r="B765" i="10"/>
  <c r="L764" i="10"/>
  <c r="K764" i="10"/>
  <c r="J764" i="10"/>
  <c r="I764" i="10"/>
  <c r="H764" i="10"/>
  <c r="G764" i="10"/>
  <c r="F764" i="10"/>
  <c r="E764" i="10"/>
  <c r="D764" i="10"/>
  <c r="C764" i="10"/>
  <c r="B764" i="10"/>
  <c r="L763" i="10"/>
  <c r="K763" i="10"/>
  <c r="J763" i="10"/>
  <c r="I763" i="10"/>
  <c r="H763" i="10"/>
  <c r="G763" i="10"/>
  <c r="F763" i="10"/>
  <c r="E763" i="10"/>
  <c r="D763" i="10"/>
  <c r="C763" i="10"/>
  <c r="B763" i="10"/>
  <c r="L762" i="10"/>
  <c r="K762" i="10"/>
  <c r="J762" i="10"/>
  <c r="I762" i="10"/>
  <c r="H762" i="10"/>
  <c r="G762" i="10"/>
  <c r="F762" i="10"/>
  <c r="E762" i="10"/>
  <c r="D762" i="10"/>
  <c r="C762" i="10"/>
  <c r="B762" i="10"/>
  <c r="L761" i="10"/>
  <c r="K761" i="10"/>
  <c r="J761" i="10"/>
  <c r="I761" i="10"/>
  <c r="H761" i="10"/>
  <c r="G761" i="10"/>
  <c r="F761" i="10"/>
  <c r="E761" i="10"/>
  <c r="D761" i="10"/>
  <c r="C761" i="10"/>
  <c r="B761" i="10"/>
  <c r="L760" i="10"/>
  <c r="K760" i="10"/>
  <c r="J760" i="10"/>
  <c r="I760" i="10"/>
  <c r="H760" i="10"/>
  <c r="G760" i="10"/>
  <c r="F760" i="10"/>
  <c r="E760" i="10"/>
  <c r="D760" i="10"/>
  <c r="C760" i="10"/>
  <c r="B760" i="10"/>
  <c r="L759" i="10"/>
  <c r="K759" i="10"/>
  <c r="J759" i="10"/>
  <c r="I759" i="10"/>
  <c r="H759" i="10"/>
  <c r="G759" i="10"/>
  <c r="F759" i="10"/>
  <c r="E759" i="10"/>
  <c r="D759" i="10"/>
  <c r="C759" i="10"/>
  <c r="B759" i="10"/>
  <c r="L758" i="10"/>
  <c r="K758" i="10"/>
  <c r="J758" i="10"/>
  <c r="I758" i="10"/>
  <c r="H758" i="10"/>
  <c r="G758" i="10"/>
  <c r="F758" i="10"/>
  <c r="E758" i="10"/>
  <c r="D758" i="10"/>
  <c r="C758" i="10"/>
  <c r="B758" i="10"/>
  <c r="L757" i="10"/>
  <c r="K757" i="10"/>
  <c r="J757" i="10"/>
  <c r="I757" i="10"/>
  <c r="H757" i="10"/>
  <c r="G757" i="10"/>
  <c r="F757" i="10"/>
  <c r="E757" i="10"/>
  <c r="D757" i="10"/>
  <c r="C757" i="10"/>
  <c r="B757" i="10"/>
  <c r="L756" i="10"/>
  <c r="L767" i="10" s="1"/>
  <c r="K756" i="10"/>
  <c r="K767" i="10" s="1"/>
  <c r="J756" i="10"/>
  <c r="J767" i="10" s="1"/>
  <c r="I756" i="10"/>
  <c r="I767" i="10" s="1"/>
  <c r="H756" i="10"/>
  <c r="H767" i="10" s="1"/>
  <c r="G756" i="10"/>
  <c r="G767" i="10" s="1"/>
  <c r="F756" i="10"/>
  <c r="F767" i="10" s="1"/>
  <c r="K754" i="10" s="1"/>
  <c r="E756" i="10"/>
  <c r="D756" i="10"/>
  <c r="C756" i="10"/>
  <c r="B756" i="10"/>
  <c r="M754" i="10"/>
  <c r="M753" i="10"/>
  <c r="L751" i="10"/>
  <c r="E751" i="10"/>
  <c r="L750" i="10"/>
  <c r="K750" i="10"/>
  <c r="J750" i="10"/>
  <c r="I750" i="10"/>
  <c r="H750" i="10"/>
  <c r="G750" i="10"/>
  <c r="F750" i="10"/>
  <c r="E750" i="10"/>
  <c r="D750" i="10"/>
  <c r="C750" i="10"/>
  <c r="B750" i="10"/>
  <c r="L749" i="10"/>
  <c r="K749" i="10"/>
  <c r="J749" i="10"/>
  <c r="I749" i="10"/>
  <c r="H749" i="10"/>
  <c r="G749" i="10"/>
  <c r="F749" i="10"/>
  <c r="E749" i="10"/>
  <c r="D749" i="10"/>
  <c r="C749" i="10"/>
  <c r="B749" i="10"/>
  <c r="L748" i="10"/>
  <c r="K748" i="10"/>
  <c r="J748" i="10"/>
  <c r="I748" i="10"/>
  <c r="H748" i="10"/>
  <c r="G748" i="10"/>
  <c r="F748" i="10"/>
  <c r="E748" i="10"/>
  <c r="D748" i="10"/>
  <c r="C748" i="10"/>
  <c r="B748" i="10"/>
  <c r="L747" i="10"/>
  <c r="K747" i="10"/>
  <c r="J747" i="10"/>
  <c r="I747" i="10"/>
  <c r="H747" i="10"/>
  <c r="G747" i="10"/>
  <c r="F747" i="10"/>
  <c r="E747" i="10"/>
  <c r="D747" i="10"/>
  <c r="C747" i="10"/>
  <c r="B747" i="10"/>
  <c r="L746" i="10"/>
  <c r="K746" i="10"/>
  <c r="J746" i="10"/>
  <c r="I746" i="10"/>
  <c r="H746" i="10"/>
  <c r="G746" i="10"/>
  <c r="F746" i="10"/>
  <c r="E746" i="10"/>
  <c r="D746" i="10"/>
  <c r="C746" i="10"/>
  <c r="B746" i="10"/>
  <c r="L745" i="10"/>
  <c r="K745" i="10"/>
  <c r="J745" i="10"/>
  <c r="I745" i="10"/>
  <c r="H745" i="10"/>
  <c r="G745" i="10"/>
  <c r="F745" i="10"/>
  <c r="E745" i="10"/>
  <c r="D745" i="10"/>
  <c r="C745" i="10"/>
  <c r="B745" i="10"/>
  <c r="L744" i="10"/>
  <c r="K744" i="10"/>
  <c r="J744" i="10"/>
  <c r="I744" i="10"/>
  <c r="H744" i="10"/>
  <c r="G744" i="10"/>
  <c r="F744" i="10"/>
  <c r="E744" i="10"/>
  <c r="D744" i="10"/>
  <c r="C744" i="10"/>
  <c r="B744" i="10"/>
  <c r="L743" i="10"/>
  <c r="K743" i="10"/>
  <c r="J743" i="10"/>
  <c r="I743" i="10"/>
  <c r="H743" i="10"/>
  <c r="G743" i="10"/>
  <c r="F743" i="10"/>
  <c r="E743" i="10"/>
  <c r="D743" i="10"/>
  <c r="C743" i="10"/>
  <c r="B743" i="10"/>
  <c r="L742" i="10"/>
  <c r="K742" i="10"/>
  <c r="J742" i="10"/>
  <c r="I742" i="10"/>
  <c r="H742" i="10"/>
  <c r="G742" i="10"/>
  <c r="F742" i="10"/>
  <c r="E742" i="10"/>
  <c r="D742" i="10"/>
  <c r="C742" i="10"/>
  <c r="B742" i="10"/>
  <c r="L741" i="10"/>
  <c r="K741" i="10"/>
  <c r="J741" i="10"/>
  <c r="I741" i="10"/>
  <c r="H741" i="10"/>
  <c r="G741" i="10"/>
  <c r="F741" i="10"/>
  <c r="E741" i="10"/>
  <c r="D741" i="10"/>
  <c r="C741" i="10"/>
  <c r="B741" i="10"/>
  <c r="L740" i="10"/>
  <c r="K740" i="10"/>
  <c r="K751" i="10" s="1"/>
  <c r="J740" i="10"/>
  <c r="J751" i="10" s="1"/>
  <c r="I740" i="10"/>
  <c r="I751" i="10" s="1"/>
  <c r="H740" i="10"/>
  <c r="H751" i="10" s="1"/>
  <c r="G740" i="10"/>
  <c r="G751" i="10" s="1"/>
  <c r="F740" i="10"/>
  <c r="F751" i="10" s="1"/>
  <c r="K738" i="10" s="1"/>
  <c r="E740" i="10"/>
  <c r="D740" i="10"/>
  <c r="C740" i="10"/>
  <c r="B740" i="10"/>
  <c r="M738" i="10"/>
  <c r="M737" i="10"/>
  <c r="L735" i="10"/>
  <c r="L734" i="10"/>
  <c r="K734" i="10"/>
  <c r="J734" i="10"/>
  <c r="I734" i="10"/>
  <c r="H734" i="10"/>
  <c r="G734" i="10"/>
  <c r="F734" i="10"/>
  <c r="E734" i="10"/>
  <c r="D734" i="10"/>
  <c r="C734" i="10"/>
  <c r="B734" i="10"/>
  <c r="L733" i="10"/>
  <c r="K733" i="10"/>
  <c r="J733" i="10"/>
  <c r="I733" i="10"/>
  <c r="H733" i="10"/>
  <c r="G733" i="10"/>
  <c r="F733" i="10"/>
  <c r="E733" i="10"/>
  <c r="D733" i="10"/>
  <c r="C733" i="10"/>
  <c r="B733" i="10"/>
  <c r="L732" i="10"/>
  <c r="K732" i="10"/>
  <c r="J732" i="10"/>
  <c r="I732" i="10"/>
  <c r="H732" i="10"/>
  <c r="G732" i="10"/>
  <c r="F732" i="10"/>
  <c r="E732" i="10"/>
  <c r="D732" i="10"/>
  <c r="C732" i="10"/>
  <c r="B732" i="10"/>
  <c r="L731" i="10"/>
  <c r="K731" i="10"/>
  <c r="J731" i="10"/>
  <c r="I731" i="10"/>
  <c r="H731" i="10"/>
  <c r="G731" i="10"/>
  <c r="F731" i="10"/>
  <c r="E731" i="10"/>
  <c r="D731" i="10"/>
  <c r="C731" i="10"/>
  <c r="B731" i="10"/>
  <c r="L730" i="10"/>
  <c r="K730" i="10"/>
  <c r="J730" i="10"/>
  <c r="I730" i="10"/>
  <c r="H730" i="10"/>
  <c r="G730" i="10"/>
  <c r="F730" i="10"/>
  <c r="E730" i="10"/>
  <c r="D730" i="10"/>
  <c r="C730" i="10"/>
  <c r="B730" i="10"/>
  <c r="L729" i="10"/>
  <c r="K729" i="10"/>
  <c r="J729" i="10"/>
  <c r="I729" i="10"/>
  <c r="H729" i="10"/>
  <c r="G729" i="10"/>
  <c r="F729" i="10"/>
  <c r="E729" i="10"/>
  <c r="D729" i="10"/>
  <c r="C729" i="10"/>
  <c r="B729" i="10"/>
  <c r="L728" i="10"/>
  <c r="K728" i="10"/>
  <c r="J728" i="10"/>
  <c r="I728" i="10"/>
  <c r="H728" i="10"/>
  <c r="G728" i="10"/>
  <c r="F728" i="10"/>
  <c r="E728" i="10"/>
  <c r="D728" i="10"/>
  <c r="C728" i="10"/>
  <c r="B728" i="10"/>
  <c r="L727" i="10"/>
  <c r="K727" i="10"/>
  <c r="J727" i="10"/>
  <c r="I727" i="10"/>
  <c r="H727" i="10"/>
  <c r="G727" i="10"/>
  <c r="F727" i="10"/>
  <c r="E727" i="10"/>
  <c r="D727" i="10"/>
  <c r="C727" i="10"/>
  <c r="B727" i="10"/>
  <c r="L726" i="10"/>
  <c r="K726" i="10"/>
  <c r="J726" i="10"/>
  <c r="I726" i="10"/>
  <c r="H726" i="10"/>
  <c r="G726" i="10"/>
  <c r="F726" i="10"/>
  <c r="E726" i="10"/>
  <c r="D726" i="10"/>
  <c r="C726" i="10"/>
  <c r="B726" i="10"/>
  <c r="L725" i="10"/>
  <c r="K725" i="10"/>
  <c r="J725" i="10"/>
  <c r="I725" i="10"/>
  <c r="H725" i="10"/>
  <c r="G725" i="10"/>
  <c r="F725" i="10"/>
  <c r="E725" i="10"/>
  <c r="D725" i="10"/>
  <c r="C725" i="10"/>
  <c r="B725" i="10"/>
  <c r="L724" i="10"/>
  <c r="K724" i="10"/>
  <c r="K735" i="10" s="1"/>
  <c r="J724" i="10"/>
  <c r="J735" i="10" s="1"/>
  <c r="I724" i="10"/>
  <c r="I735" i="10" s="1"/>
  <c r="H724" i="10"/>
  <c r="H735" i="10" s="1"/>
  <c r="G724" i="10"/>
  <c r="G735" i="10" s="1"/>
  <c r="F724" i="10"/>
  <c r="F735" i="10" s="1"/>
  <c r="K722" i="10" s="1"/>
  <c r="E724" i="10"/>
  <c r="E735" i="10" s="1"/>
  <c r="D724" i="10"/>
  <c r="C724" i="10"/>
  <c r="B724" i="10"/>
  <c r="M722" i="10"/>
  <c r="M721" i="10"/>
  <c r="L718" i="10"/>
  <c r="K718" i="10"/>
  <c r="J718" i="10"/>
  <c r="I718" i="10"/>
  <c r="H718" i="10"/>
  <c r="G718" i="10"/>
  <c r="F718" i="10"/>
  <c r="E718" i="10"/>
  <c r="D718" i="10"/>
  <c r="C718" i="10"/>
  <c r="B718" i="10"/>
  <c r="L717" i="10"/>
  <c r="K717" i="10"/>
  <c r="J717" i="10"/>
  <c r="I717" i="10"/>
  <c r="H717" i="10"/>
  <c r="G717" i="10"/>
  <c r="F717" i="10"/>
  <c r="E717" i="10"/>
  <c r="D717" i="10"/>
  <c r="C717" i="10"/>
  <c r="B717" i="10"/>
  <c r="L716" i="10"/>
  <c r="K716" i="10"/>
  <c r="J716" i="10"/>
  <c r="I716" i="10"/>
  <c r="H716" i="10"/>
  <c r="G716" i="10"/>
  <c r="F716" i="10"/>
  <c r="E716" i="10"/>
  <c r="D716" i="10"/>
  <c r="C716" i="10"/>
  <c r="B716" i="10"/>
  <c r="L715" i="10"/>
  <c r="K715" i="10"/>
  <c r="J715" i="10"/>
  <c r="I715" i="10"/>
  <c r="H715" i="10"/>
  <c r="G715" i="10"/>
  <c r="F715" i="10"/>
  <c r="E715" i="10"/>
  <c r="D715" i="10"/>
  <c r="C715" i="10"/>
  <c r="B715" i="10"/>
  <c r="L714" i="10"/>
  <c r="K714" i="10"/>
  <c r="J714" i="10"/>
  <c r="I714" i="10"/>
  <c r="H714" i="10"/>
  <c r="G714" i="10"/>
  <c r="F714" i="10"/>
  <c r="E714" i="10"/>
  <c r="D714" i="10"/>
  <c r="C714" i="10"/>
  <c r="B714" i="10"/>
  <c r="L713" i="10"/>
  <c r="K713" i="10"/>
  <c r="J713" i="10"/>
  <c r="I713" i="10"/>
  <c r="H713" i="10"/>
  <c r="G713" i="10"/>
  <c r="F713" i="10"/>
  <c r="E713" i="10"/>
  <c r="D713" i="10"/>
  <c r="C713" i="10"/>
  <c r="B713" i="10"/>
  <c r="L712" i="10"/>
  <c r="K712" i="10"/>
  <c r="J712" i="10"/>
  <c r="I712" i="10"/>
  <c r="H712" i="10"/>
  <c r="G712" i="10"/>
  <c r="F712" i="10"/>
  <c r="E712" i="10"/>
  <c r="D712" i="10"/>
  <c r="C712" i="10"/>
  <c r="B712" i="10"/>
  <c r="L711" i="10"/>
  <c r="K711" i="10"/>
  <c r="J711" i="10"/>
  <c r="I711" i="10"/>
  <c r="H711" i="10"/>
  <c r="G711" i="10"/>
  <c r="F711" i="10"/>
  <c r="E711" i="10"/>
  <c r="D711" i="10"/>
  <c r="C711" i="10"/>
  <c r="B711" i="10"/>
  <c r="L710" i="10"/>
  <c r="K710" i="10"/>
  <c r="J710" i="10"/>
  <c r="I710" i="10"/>
  <c r="H710" i="10"/>
  <c r="G710" i="10"/>
  <c r="F710" i="10"/>
  <c r="E710" i="10"/>
  <c r="D710" i="10"/>
  <c r="C710" i="10"/>
  <c r="B710" i="10"/>
  <c r="L709" i="10"/>
  <c r="K709" i="10"/>
  <c r="J709" i="10"/>
  <c r="I709" i="10"/>
  <c r="H709" i="10"/>
  <c r="G709" i="10"/>
  <c r="F709" i="10"/>
  <c r="E709" i="10"/>
  <c r="D709" i="10"/>
  <c r="C709" i="10"/>
  <c r="B709" i="10"/>
  <c r="L708" i="10"/>
  <c r="L719" i="10" s="1"/>
  <c r="K708" i="10"/>
  <c r="K719" i="10" s="1"/>
  <c r="J708" i="10"/>
  <c r="J719" i="10" s="1"/>
  <c r="I708" i="10"/>
  <c r="I719" i="10" s="1"/>
  <c r="H708" i="10"/>
  <c r="H719" i="10" s="1"/>
  <c r="G708" i="10"/>
  <c r="G719" i="10" s="1"/>
  <c r="F708" i="10"/>
  <c r="F719" i="10" s="1"/>
  <c r="K706" i="10" s="1"/>
  <c r="E708" i="10"/>
  <c r="E719" i="10" s="1"/>
  <c r="D708" i="10"/>
  <c r="C708" i="10"/>
  <c r="B708" i="10"/>
  <c r="M706" i="10"/>
  <c r="M705" i="10"/>
  <c r="E703" i="10"/>
  <c r="L702" i="10"/>
  <c r="K702" i="10"/>
  <c r="J702" i="10"/>
  <c r="I702" i="10"/>
  <c r="H702" i="10"/>
  <c r="G702" i="10"/>
  <c r="F702" i="10"/>
  <c r="E702" i="10"/>
  <c r="D702" i="10"/>
  <c r="C702" i="10"/>
  <c r="B702" i="10"/>
  <c r="L701" i="10"/>
  <c r="K701" i="10"/>
  <c r="J701" i="10"/>
  <c r="I701" i="10"/>
  <c r="H701" i="10"/>
  <c r="G701" i="10"/>
  <c r="F701" i="10"/>
  <c r="E701" i="10"/>
  <c r="D701" i="10"/>
  <c r="C701" i="10"/>
  <c r="B701" i="10"/>
  <c r="L700" i="10"/>
  <c r="K700" i="10"/>
  <c r="J700" i="10"/>
  <c r="I700" i="10"/>
  <c r="H700" i="10"/>
  <c r="G700" i="10"/>
  <c r="F700" i="10"/>
  <c r="E700" i="10"/>
  <c r="D700" i="10"/>
  <c r="C700" i="10"/>
  <c r="B700" i="10"/>
  <c r="L699" i="10"/>
  <c r="K699" i="10"/>
  <c r="J699" i="10"/>
  <c r="I699" i="10"/>
  <c r="H699" i="10"/>
  <c r="G699" i="10"/>
  <c r="F699" i="10"/>
  <c r="E699" i="10"/>
  <c r="D699" i="10"/>
  <c r="C699" i="10"/>
  <c r="B699" i="10"/>
  <c r="L698" i="10"/>
  <c r="K698" i="10"/>
  <c r="J698" i="10"/>
  <c r="I698" i="10"/>
  <c r="H698" i="10"/>
  <c r="G698" i="10"/>
  <c r="F698" i="10"/>
  <c r="E698" i="10"/>
  <c r="D698" i="10"/>
  <c r="C698" i="10"/>
  <c r="B698" i="10"/>
  <c r="L697" i="10"/>
  <c r="K697" i="10"/>
  <c r="J697" i="10"/>
  <c r="I697" i="10"/>
  <c r="H697" i="10"/>
  <c r="G697" i="10"/>
  <c r="F697" i="10"/>
  <c r="E697" i="10"/>
  <c r="D697" i="10"/>
  <c r="C697" i="10"/>
  <c r="B697" i="10"/>
  <c r="L696" i="10"/>
  <c r="K696" i="10"/>
  <c r="J696" i="10"/>
  <c r="I696" i="10"/>
  <c r="H696" i="10"/>
  <c r="G696" i="10"/>
  <c r="F696" i="10"/>
  <c r="E696" i="10"/>
  <c r="D696" i="10"/>
  <c r="C696" i="10"/>
  <c r="B696" i="10"/>
  <c r="L695" i="10"/>
  <c r="K695" i="10"/>
  <c r="J695" i="10"/>
  <c r="I695" i="10"/>
  <c r="H695" i="10"/>
  <c r="G695" i="10"/>
  <c r="F695" i="10"/>
  <c r="E695" i="10"/>
  <c r="D695" i="10"/>
  <c r="C695" i="10"/>
  <c r="B695" i="10"/>
  <c r="L694" i="10"/>
  <c r="K694" i="10"/>
  <c r="J694" i="10"/>
  <c r="I694" i="10"/>
  <c r="H694" i="10"/>
  <c r="G694" i="10"/>
  <c r="F694" i="10"/>
  <c r="E694" i="10"/>
  <c r="D694" i="10"/>
  <c r="C694" i="10"/>
  <c r="B694" i="10"/>
  <c r="L693" i="10"/>
  <c r="K693" i="10"/>
  <c r="J693" i="10"/>
  <c r="I693" i="10"/>
  <c r="H693" i="10"/>
  <c r="G693" i="10"/>
  <c r="F693" i="10"/>
  <c r="E693" i="10"/>
  <c r="D693" i="10"/>
  <c r="C693" i="10"/>
  <c r="B693" i="10"/>
  <c r="L692" i="10"/>
  <c r="L703" i="10" s="1"/>
  <c r="K692" i="10"/>
  <c r="K703" i="10" s="1"/>
  <c r="J692" i="10"/>
  <c r="J703" i="10" s="1"/>
  <c r="I692" i="10"/>
  <c r="I703" i="10" s="1"/>
  <c r="H692" i="10"/>
  <c r="H703" i="10" s="1"/>
  <c r="G692" i="10"/>
  <c r="G703" i="10" s="1"/>
  <c r="F692" i="10"/>
  <c r="F703" i="10" s="1"/>
  <c r="K690" i="10" s="1"/>
  <c r="E692" i="10"/>
  <c r="D692" i="10"/>
  <c r="C692" i="10"/>
  <c r="B692" i="10"/>
  <c r="M690" i="10"/>
  <c r="M689" i="10"/>
  <c r="L687" i="10"/>
  <c r="E687" i="10"/>
  <c r="L686" i="10"/>
  <c r="K686" i="10"/>
  <c r="J686" i="10"/>
  <c r="I686" i="10"/>
  <c r="H686" i="10"/>
  <c r="G686" i="10"/>
  <c r="F686" i="10"/>
  <c r="E686" i="10"/>
  <c r="D686" i="10"/>
  <c r="C686" i="10"/>
  <c r="B686" i="10"/>
  <c r="L685" i="10"/>
  <c r="K685" i="10"/>
  <c r="J685" i="10"/>
  <c r="I685" i="10"/>
  <c r="H685" i="10"/>
  <c r="G685" i="10"/>
  <c r="F685" i="10"/>
  <c r="E685" i="10"/>
  <c r="D685" i="10"/>
  <c r="C685" i="10"/>
  <c r="B685" i="10"/>
  <c r="L684" i="10"/>
  <c r="K684" i="10"/>
  <c r="J684" i="10"/>
  <c r="I684" i="10"/>
  <c r="H684" i="10"/>
  <c r="G684" i="10"/>
  <c r="F684" i="10"/>
  <c r="E684" i="10"/>
  <c r="D684" i="10"/>
  <c r="C684" i="10"/>
  <c r="B684" i="10"/>
  <c r="L683" i="10"/>
  <c r="K683" i="10"/>
  <c r="J683" i="10"/>
  <c r="I683" i="10"/>
  <c r="H683" i="10"/>
  <c r="G683" i="10"/>
  <c r="F683" i="10"/>
  <c r="E683" i="10"/>
  <c r="D683" i="10"/>
  <c r="C683" i="10"/>
  <c r="B683" i="10"/>
  <c r="L682" i="10"/>
  <c r="K682" i="10"/>
  <c r="J682" i="10"/>
  <c r="I682" i="10"/>
  <c r="H682" i="10"/>
  <c r="G682" i="10"/>
  <c r="F682" i="10"/>
  <c r="E682" i="10"/>
  <c r="D682" i="10"/>
  <c r="C682" i="10"/>
  <c r="B682" i="10"/>
  <c r="L681" i="10"/>
  <c r="K681" i="10"/>
  <c r="J681" i="10"/>
  <c r="I681" i="10"/>
  <c r="H681" i="10"/>
  <c r="G681" i="10"/>
  <c r="F681" i="10"/>
  <c r="E681" i="10"/>
  <c r="D681" i="10"/>
  <c r="C681" i="10"/>
  <c r="B681" i="10"/>
  <c r="L680" i="10"/>
  <c r="K680" i="10"/>
  <c r="J680" i="10"/>
  <c r="I680" i="10"/>
  <c r="H680" i="10"/>
  <c r="G680" i="10"/>
  <c r="F680" i="10"/>
  <c r="E680" i="10"/>
  <c r="D680" i="10"/>
  <c r="C680" i="10"/>
  <c r="B680" i="10"/>
  <c r="L679" i="10"/>
  <c r="K679" i="10"/>
  <c r="J679" i="10"/>
  <c r="I679" i="10"/>
  <c r="H679" i="10"/>
  <c r="G679" i="10"/>
  <c r="F679" i="10"/>
  <c r="E679" i="10"/>
  <c r="D679" i="10"/>
  <c r="C679" i="10"/>
  <c r="B679" i="10"/>
  <c r="L678" i="10"/>
  <c r="K678" i="10"/>
  <c r="J678" i="10"/>
  <c r="I678" i="10"/>
  <c r="H678" i="10"/>
  <c r="G678" i="10"/>
  <c r="F678" i="10"/>
  <c r="E678" i="10"/>
  <c r="D678" i="10"/>
  <c r="C678" i="10"/>
  <c r="B678" i="10"/>
  <c r="L677" i="10"/>
  <c r="K677" i="10"/>
  <c r="J677" i="10"/>
  <c r="I677" i="10"/>
  <c r="H677" i="10"/>
  <c r="G677" i="10"/>
  <c r="F677" i="10"/>
  <c r="E677" i="10"/>
  <c r="D677" i="10"/>
  <c r="C677" i="10"/>
  <c r="B677" i="10"/>
  <c r="L676" i="10"/>
  <c r="K676" i="10"/>
  <c r="K687" i="10" s="1"/>
  <c r="J676" i="10"/>
  <c r="J687" i="10" s="1"/>
  <c r="I676" i="10"/>
  <c r="I687" i="10" s="1"/>
  <c r="H676" i="10"/>
  <c r="H687" i="10" s="1"/>
  <c r="G676" i="10"/>
  <c r="G687" i="10" s="1"/>
  <c r="F676" i="10"/>
  <c r="F687" i="10" s="1"/>
  <c r="K674" i="10" s="1"/>
  <c r="E676" i="10"/>
  <c r="D676" i="10"/>
  <c r="C676" i="10"/>
  <c r="B676" i="10"/>
  <c r="M674" i="10"/>
  <c r="M673" i="10"/>
  <c r="L671" i="10"/>
  <c r="L670" i="10"/>
  <c r="K670" i="10"/>
  <c r="J670" i="10"/>
  <c r="I670" i="10"/>
  <c r="H670" i="10"/>
  <c r="G670" i="10"/>
  <c r="F670" i="10"/>
  <c r="E670" i="10"/>
  <c r="D670" i="10"/>
  <c r="C670" i="10"/>
  <c r="B670" i="10"/>
  <c r="L669" i="10"/>
  <c r="K669" i="10"/>
  <c r="J669" i="10"/>
  <c r="I669" i="10"/>
  <c r="H669" i="10"/>
  <c r="G669" i="10"/>
  <c r="F669" i="10"/>
  <c r="E669" i="10"/>
  <c r="D669" i="10"/>
  <c r="C669" i="10"/>
  <c r="B669" i="10"/>
  <c r="L668" i="10"/>
  <c r="K668" i="10"/>
  <c r="J668" i="10"/>
  <c r="I668" i="10"/>
  <c r="H668" i="10"/>
  <c r="G668" i="10"/>
  <c r="F668" i="10"/>
  <c r="E668" i="10"/>
  <c r="D668" i="10"/>
  <c r="C668" i="10"/>
  <c r="B668" i="10"/>
  <c r="L667" i="10"/>
  <c r="K667" i="10"/>
  <c r="J667" i="10"/>
  <c r="I667" i="10"/>
  <c r="H667" i="10"/>
  <c r="G667" i="10"/>
  <c r="F667" i="10"/>
  <c r="E667" i="10"/>
  <c r="D667" i="10"/>
  <c r="C667" i="10"/>
  <c r="B667" i="10"/>
  <c r="L666" i="10"/>
  <c r="K666" i="10"/>
  <c r="J666" i="10"/>
  <c r="I666" i="10"/>
  <c r="H666" i="10"/>
  <c r="G666" i="10"/>
  <c r="F666" i="10"/>
  <c r="E666" i="10"/>
  <c r="D666" i="10"/>
  <c r="C666" i="10"/>
  <c r="B666" i="10"/>
  <c r="L665" i="10"/>
  <c r="K665" i="10"/>
  <c r="J665" i="10"/>
  <c r="I665" i="10"/>
  <c r="H665" i="10"/>
  <c r="G665" i="10"/>
  <c r="F665" i="10"/>
  <c r="E665" i="10"/>
  <c r="D665" i="10"/>
  <c r="C665" i="10"/>
  <c r="B665" i="10"/>
  <c r="L664" i="10"/>
  <c r="K664" i="10"/>
  <c r="J664" i="10"/>
  <c r="I664" i="10"/>
  <c r="H664" i="10"/>
  <c r="G664" i="10"/>
  <c r="F664" i="10"/>
  <c r="E664" i="10"/>
  <c r="D664" i="10"/>
  <c r="C664" i="10"/>
  <c r="B664" i="10"/>
  <c r="L663" i="10"/>
  <c r="K663" i="10"/>
  <c r="J663" i="10"/>
  <c r="I663" i="10"/>
  <c r="H663" i="10"/>
  <c r="G663" i="10"/>
  <c r="F663" i="10"/>
  <c r="E663" i="10"/>
  <c r="D663" i="10"/>
  <c r="C663" i="10"/>
  <c r="B663" i="10"/>
  <c r="L662" i="10"/>
  <c r="K662" i="10"/>
  <c r="J662" i="10"/>
  <c r="I662" i="10"/>
  <c r="H662" i="10"/>
  <c r="G662" i="10"/>
  <c r="F662" i="10"/>
  <c r="E662" i="10"/>
  <c r="D662" i="10"/>
  <c r="C662" i="10"/>
  <c r="B662" i="10"/>
  <c r="L661" i="10"/>
  <c r="K661" i="10"/>
  <c r="J661" i="10"/>
  <c r="I661" i="10"/>
  <c r="H661" i="10"/>
  <c r="G661" i="10"/>
  <c r="F661" i="10"/>
  <c r="E661" i="10"/>
  <c r="D661" i="10"/>
  <c r="C661" i="10"/>
  <c r="B661" i="10"/>
  <c r="L660" i="10"/>
  <c r="K660" i="10"/>
  <c r="K671" i="10" s="1"/>
  <c r="J660" i="10"/>
  <c r="J671" i="10" s="1"/>
  <c r="I660" i="10"/>
  <c r="I671" i="10" s="1"/>
  <c r="H660" i="10"/>
  <c r="H671" i="10" s="1"/>
  <c r="G660" i="10"/>
  <c r="G671" i="10" s="1"/>
  <c r="F660" i="10"/>
  <c r="F671" i="10" s="1"/>
  <c r="K658" i="10" s="1"/>
  <c r="E660" i="10"/>
  <c r="E671" i="10" s="1"/>
  <c r="D660" i="10"/>
  <c r="C660" i="10"/>
  <c r="B660" i="10"/>
  <c r="M658" i="10"/>
  <c r="M657" i="10"/>
  <c r="L654" i="10"/>
  <c r="K654" i="10"/>
  <c r="J654" i="10"/>
  <c r="I654" i="10"/>
  <c r="H654" i="10"/>
  <c r="G654" i="10"/>
  <c r="F654" i="10"/>
  <c r="E654" i="10"/>
  <c r="D654" i="10"/>
  <c r="C654" i="10"/>
  <c r="B654" i="10"/>
  <c r="L653" i="10"/>
  <c r="K653" i="10"/>
  <c r="J653" i="10"/>
  <c r="I653" i="10"/>
  <c r="H653" i="10"/>
  <c r="G653" i="10"/>
  <c r="F653" i="10"/>
  <c r="E653" i="10"/>
  <c r="D653" i="10"/>
  <c r="C653" i="10"/>
  <c r="B653" i="10"/>
  <c r="L652" i="10"/>
  <c r="K652" i="10"/>
  <c r="J652" i="10"/>
  <c r="I652" i="10"/>
  <c r="H652" i="10"/>
  <c r="G652" i="10"/>
  <c r="F652" i="10"/>
  <c r="E652" i="10"/>
  <c r="D652" i="10"/>
  <c r="C652" i="10"/>
  <c r="B652" i="10"/>
  <c r="L651" i="10"/>
  <c r="K651" i="10"/>
  <c r="J651" i="10"/>
  <c r="I651" i="10"/>
  <c r="H651" i="10"/>
  <c r="G651" i="10"/>
  <c r="F651" i="10"/>
  <c r="E651" i="10"/>
  <c r="D651" i="10"/>
  <c r="C651" i="10"/>
  <c r="B651" i="10"/>
  <c r="L650" i="10"/>
  <c r="K650" i="10"/>
  <c r="J650" i="10"/>
  <c r="I650" i="10"/>
  <c r="H650" i="10"/>
  <c r="G650" i="10"/>
  <c r="F650" i="10"/>
  <c r="E650" i="10"/>
  <c r="D650" i="10"/>
  <c r="C650" i="10"/>
  <c r="B650" i="10"/>
  <c r="L649" i="10"/>
  <c r="K649" i="10"/>
  <c r="J649" i="10"/>
  <c r="I649" i="10"/>
  <c r="H649" i="10"/>
  <c r="G649" i="10"/>
  <c r="F649" i="10"/>
  <c r="E649" i="10"/>
  <c r="D649" i="10"/>
  <c r="C649" i="10"/>
  <c r="B649" i="10"/>
  <c r="L648" i="10"/>
  <c r="K648" i="10"/>
  <c r="J648" i="10"/>
  <c r="I648" i="10"/>
  <c r="H648" i="10"/>
  <c r="G648" i="10"/>
  <c r="F648" i="10"/>
  <c r="E648" i="10"/>
  <c r="D648" i="10"/>
  <c r="C648" i="10"/>
  <c r="B648" i="10"/>
  <c r="L647" i="10"/>
  <c r="K647" i="10"/>
  <c r="J647" i="10"/>
  <c r="I647" i="10"/>
  <c r="H647" i="10"/>
  <c r="G647" i="10"/>
  <c r="F647" i="10"/>
  <c r="E647" i="10"/>
  <c r="D647" i="10"/>
  <c r="C647" i="10"/>
  <c r="B647" i="10"/>
  <c r="L646" i="10"/>
  <c r="K646" i="10"/>
  <c r="J646" i="10"/>
  <c r="I646" i="10"/>
  <c r="H646" i="10"/>
  <c r="G646" i="10"/>
  <c r="F646" i="10"/>
  <c r="E646" i="10"/>
  <c r="D646" i="10"/>
  <c r="C646" i="10"/>
  <c r="B646" i="10"/>
  <c r="L645" i="10"/>
  <c r="K645" i="10"/>
  <c r="J645" i="10"/>
  <c r="I645" i="10"/>
  <c r="H645" i="10"/>
  <c r="G645" i="10"/>
  <c r="F645" i="10"/>
  <c r="E645" i="10"/>
  <c r="D645" i="10"/>
  <c r="C645" i="10"/>
  <c r="B645" i="10"/>
  <c r="L644" i="10"/>
  <c r="L655" i="10" s="1"/>
  <c r="K644" i="10"/>
  <c r="K655" i="10" s="1"/>
  <c r="J644" i="10"/>
  <c r="J655" i="10" s="1"/>
  <c r="I644" i="10"/>
  <c r="I655" i="10" s="1"/>
  <c r="H644" i="10"/>
  <c r="H655" i="10" s="1"/>
  <c r="G644" i="10"/>
  <c r="G655" i="10" s="1"/>
  <c r="F644" i="10"/>
  <c r="F655" i="10" s="1"/>
  <c r="K642" i="10" s="1"/>
  <c r="E644" i="10"/>
  <c r="E655" i="10" s="1"/>
  <c r="D644" i="10"/>
  <c r="C644" i="10"/>
  <c r="B644" i="10"/>
  <c r="M642" i="10"/>
  <c r="M641" i="10"/>
  <c r="E639" i="10"/>
  <c r="L638" i="10"/>
  <c r="K638" i="10"/>
  <c r="J638" i="10"/>
  <c r="I638" i="10"/>
  <c r="H638" i="10"/>
  <c r="G638" i="10"/>
  <c r="F638" i="10"/>
  <c r="E638" i="10"/>
  <c r="D638" i="10"/>
  <c r="C638" i="10"/>
  <c r="B638" i="10"/>
  <c r="L637" i="10"/>
  <c r="K637" i="10"/>
  <c r="J637" i="10"/>
  <c r="I637" i="10"/>
  <c r="H637" i="10"/>
  <c r="G637" i="10"/>
  <c r="F637" i="10"/>
  <c r="E637" i="10"/>
  <c r="D637" i="10"/>
  <c r="C637" i="10"/>
  <c r="B637" i="10"/>
  <c r="L636" i="10"/>
  <c r="K636" i="10"/>
  <c r="J636" i="10"/>
  <c r="I636" i="10"/>
  <c r="H636" i="10"/>
  <c r="G636" i="10"/>
  <c r="F636" i="10"/>
  <c r="E636" i="10"/>
  <c r="D636" i="10"/>
  <c r="C636" i="10"/>
  <c r="B636" i="10"/>
  <c r="L635" i="10"/>
  <c r="K635" i="10"/>
  <c r="J635" i="10"/>
  <c r="I635" i="10"/>
  <c r="H635" i="10"/>
  <c r="G635" i="10"/>
  <c r="F635" i="10"/>
  <c r="E635" i="10"/>
  <c r="D635" i="10"/>
  <c r="C635" i="10"/>
  <c r="B635" i="10"/>
  <c r="L634" i="10"/>
  <c r="K634" i="10"/>
  <c r="J634" i="10"/>
  <c r="I634" i="10"/>
  <c r="H634" i="10"/>
  <c r="G634" i="10"/>
  <c r="F634" i="10"/>
  <c r="E634" i="10"/>
  <c r="D634" i="10"/>
  <c r="C634" i="10"/>
  <c r="B634" i="10"/>
  <c r="L633" i="10"/>
  <c r="K633" i="10"/>
  <c r="J633" i="10"/>
  <c r="I633" i="10"/>
  <c r="H633" i="10"/>
  <c r="G633" i="10"/>
  <c r="F633" i="10"/>
  <c r="E633" i="10"/>
  <c r="D633" i="10"/>
  <c r="C633" i="10"/>
  <c r="B633" i="10"/>
  <c r="L632" i="10"/>
  <c r="K632" i="10"/>
  <c r="J632" i="10"/>
  <c r="I632" i="10"/>
  <c r="H632" i="10"/>
  <c r="G632" i="10"/>
  <c r="F632" i="10"/>
  <c r="E632" i="10"/>
  <c r="D632" i="10"/>
  <c r="C632" i="10"/>
  <c r="B632" i="10"/>
  <c r="L631" i="10"/>
  <c r="K631" i="10"/>
  <c r="J631" i="10"/>
  <c r="I631" i="10"/>
  <c r="H631" i="10"/>
  <c r="G631" i="10"/>
  <c r="F631" i="10"/>
  <c r="E631" i="10"/>
  <c r="D631" i="10"/>
  <c r="C631" i="10"/>
  <c r="B631" i="10"/>
  <c r="L630" i="10"/>
  <c r="K630" i="10"/>
  <c r="J630" i="10"/>
  <c r="I630" i="10"/>
  <c r="H630" i="10"/>
  <c r="G630" i="10"/>
  <c r="F630" i="10"/>
  <c r="E630" i="10"/>
  <c r="D630" i="10"/>
  <c r="C630" i="10"/>
  <c r="B630" i="10"/>
  <c r="L629" i="10"/>
  <c r="K629" i="10"/>
  <c r="J629" i="10"/>
  <c r="I629" i="10"/>
  <c r="H629" i="10"/>
  <c r="G629" i="10"/>
  <c r="F629" i="10"/>
  <c r="E629" i="10"/>
  <c r="D629" i="10"/>
  <c r="C629" i="10"/>
  <c r="B629" i="10"/>
  <c r="L628" i="10"/>
  <c r="L639" i="10" s="1"/>
  <c r="K628" i="10"/>
  <c r="K639" i="10" s="1"/>
  <c r="J628" i="10"/>
  <c r="J639" i="10" s="1"/>
  <c r="I628" i="10"/>
  <c r="I639" i="10" s="1"/>
  <c r="H628" i="10"/>
  <c r="H639" i="10" s="1"/>
  <c r="G628" i="10"/>
  <c r="G639" i="10" s="1"/>
  <c r="F628" i="10"/>
  <c r="F639" i="10" s="1"/>
  <c r="K626" i="10" s="1"/>
  <c r="E628" i="10"/>
  <c r="D628" i="10"/>
  <c r="C628" i="10"/>
  <c r="B628" i="10"/>
  <c r="M626" i="10"/>
  <c r="M625" i="10"/>
  <c r="L623" i="10"/>
  <c r="E623" i="10"/>
  <c r="L622" i="10"/>
  <c r="K622" i="10"/>
  <c r="J622" i="10"/>
  <c r="I622" i="10"/>
  <c r="H622" i="10"/>
  <c r="G622" i="10"/>
  <c r="F622" i="10"/>
  <c r="E622" i="10"/>
  <c r="D622" i="10"/>
  <c r="C622" i="10"/>
  <c r="B622" i="10"/>
  <c r="L621" i="10"/>
  <c r="K621" i="10"/>
  <c r="J621" i="10"/>
  <c r="I621" i="10"/>
  <c r="H621" i="10"/>
  <c r="G621" i="10"/>
  <c r="F621" i="10"/>
  <c r="E621" i="10"/>
  <c r="D621" i="10"/>
  <c r="C621" i="10"/>
  <c r="B621" i="10"/>
  <c r="L620" i="10"/>
  <c r="K620" i="10"/>
  <c r="J620" i="10"/>
  <c r="I620" i="10"/>
  <c r="H620" i="10"/>
  <c r="G620" i="10"/>
  <c r="F620" i="10"/>
  <c r="E620" i="10"/>
  <c r="D620" i="10"/>
  <c r="C620" i="10"/>
  <c r="B620" i="10"/>
  <c r="L619" i="10"/>
  <c r="K619" i="10"/>
  <c r="J619" i="10"/>
  <c r="I619" i="10"/>
  <c r="H619" i="10"/>
  <c r="G619" i="10"/>
  <c r="F619" i="10"/>
  <c r="E619" i="10"/>
  <c r="D619" i="10"/>
  <c r="C619" i="10"/>
  <c r="B619" i="10"/>
  <c r="L618" i="10"/>
  <c r="K618" i="10"/>
  <c r="J618" i="10"/>
  <c r="I618" i="10"/>
  <c r="H618" i="10"/>
  <c r="G618" i="10"/>
  <c r="F618" i="10"/>
  <c r="E618" i="10"/>
  <c r="D618" i="10"/>
  <c r="C618" i="10"/>
  <c r="B618" i="10"/>
  <c r="L617" i="10"/>
  <c r="K617" i="10"/>
  <c r="J617" i="10"/>
  <c r="I617" i="10"/>
  <c r="H617" i="10"/>
  <c r="G617" i="10"/>
  <c r="F617" i="10"/>
  <c r="E617" i="10"/>
  <c r="D617" i="10"/>
  <c r="C617" i="10"/>
  <c r="B617" i="10"/>
  <c r="L616" i="10"/>
  <c r="K616" i="10"/>
  <c r="J616" i="10"/>
  <c r="I616" i="10"/>
  <c r="H616" i="10"/>
  <c r="G616" i="10"/>
  <c r="F616" i="10"/>
  <c r="E616" i="10"/>
  <c r="D616" i="10"/>
  <c r="C616" i="10"/>
  <c r="B616" i="10"/>
  <c r="L615" i="10"/>
  <c r="K615" i="10"/>
  <c r="J615" i="10"/>
  <c r="I615" i="10"/>
  <c r="H615" i="10"/>
  <c r="G615" i="10"/>
  <c r="F615" i="10"/>
  <c r="E615" i="10"/>
  <c r="D615" i="10"/>
  <c r="C615" i="10"/>
  <c r="B615" i="10"/>
  <c r="L614" i="10"/>
  <c r="K614" i="10"/>
  <c r="J614" i="10"/>
  <c r="I614" i="10"/>
  <c r="H614" i="10"/>
  <c r="G614" i="10"/>
  <c r="F614" i="10"/>
  <c r="E614" i="10"/>
  <c r="D614" i="10"/>
  <c r="C614" i="10"/>
  <c r="B614" i="10"/>
  <c r="L613" i="10"/>
  <c r="K613" i="10"/>
  <c r="J613" i="10"/>
  <c r="I613" i="10"/>
  <c r="H613" i="10"/>
  <c r="G613" i="10"/>
  <c r="F613" i="10"/>
  <c r="E613" i="10"/>
  <c r="D613" i="10"/>
  <c r="C613" i="10"/>
  <c r="B613" i="10"/>
  <c r="L612" i="10"/>
  <c r="K612" i="10"/>
  <c r="K623" i="10" s="1"/>
  <c r="J612" i="10"/>
  <c r="J623" i="10" s="1"/>
  <c r="I612" i="10"/>
  <c r="I623" i="10" s="1"/>
  <c r="H612" i="10"/>
  <c r="H623" i="10" s="1"/>
  <c r="G612" i="10"/>
  <c r="G623" i="10" s="1"/>
  <c r="F612" i="10"/>
  <c r="F623" i="10" s="1"/>
  <c r="K610" i="10" s="1"/>
  <c r="E612" i="10"/>
  <c r="D612" i="10"/>
  <c r="C612" i="10"/>
  <c r="B612" i="10"/>
  <c r="M610" i="10"/>
  <c r="M609" i="10"/>
  <c r="L607" i="10"/>
  <c r="L606" i="10"/>
  <c r="K606" i="10"/>
  <c r="J606" i="10"/>
  <c r="I606" i="10"/>
  <c r="H606" i="10"/>
  <c r="G606" i="10"/>
  <c r="F606" i="10"/>
  <c r="E606" i="10"/>
  <c r="D606" i="10"/>
  <c r="C606" i="10"/>
  <c r="B606" i="10"/>
  <c r="L605" i="10"/>
  <c r="K605" i="10"/>
  <c r="J605" i="10"/>
  <c r="I605" i="10"/>
  <c r="H605" i="10"/>
  <c r="G605" i="10"/>
  <c r="F605" i="10"/>
  <c r="E605" i="10"/>
  <c r="D605" i="10"/>
  <c r="C605" i="10"/>
  <c r="B605" i="10"/>
  <c r="L604" i="10"/>
  <c r="K604" i="10"/>
  <c r="J604" i="10"/>
  <c r="I604" i="10"/>
  <c r="H604" i="10"/>
  <c r="G604" i="10"/>
  <c r="F604" i="10"/>
  <c r="E604" i="10"/>
  <c r="D604" i="10"/>
  <c r="C604" i="10"/>
  <c r="B604" i="10"/>
  <c r="L603" i="10"/>
  <c r="K603" i="10"/>
  <c r="J603" i="10"/>
  <c r="I603" i="10"/>
  <c r="H603" i="10"/>
  <c r="G603" i="10"/>
  <c r="F603" i="10"/>
  <c r="E603" i="10"/>
  <c r="D603" i="10"/>
  <c r="C603" i="10"/>
  <c r="B603" i="10"/>
  <c r="L602" i="10"/>
  <c r="K602" i="10"/>
  <c r="J602" i="10"/>
  <c r="I602" i="10"/>
  <c r="H602" i="10"/>
  <c r="G602" i="10"/>
  <c r="F602" i="10"/>
  <c r="E602" i="10"/>
  <c r="D602" i="10"/>
  <c r="C602" i="10"/>
  <c r="B602" i="10"/>
  <c r="L601" i="10"/>
  <c r="K601" i="10"/>
  <c r="J601" i="10"/>
  <c r="I601" i="10"/>
  <c r="H601" i="10"/>
  <c r="G601" i="10"/>
  <c r="F601" i="10"/>
  <c r="E601" i="10"/>
  <c r="D601" i="10"/>
  <c r="C601" i="10"/>
  <c r="B601" i="10"/>
  <c r="L600" i="10"/>
  <c r="K600" i="10"/>
  <c r="J600" i="10"/>
  <c r="I600" i="10"/>
  <c r="H600" i="10"/>
  <c r="G600" i="10"/>
  <c r="F600" i="10"/>
  <c r="E600" i="10"/>
  <c r="D600" i="10"/>
  <c r="C600" i="10"/>
  <c r="B600" i="10"/>
  <c r="L599" i="10"/>
  <c r="K599" i="10"/>
  <c r="J599" i="10"/>
  <c r="I599" i="10"/>
  <c r="H599" i="10"/>
  <c r="G599" i="10"/>
  <c r="F599" i="10"/>
  <c r="E599" i="10"/>
  <c r="D599" i="10"/>
  <c r="C599" i="10"/>
  <c r="B599" i="10"/>
  <c r="L598" i="10"/>
  <c r="K598" i="10"/>
  <c r="J598" i="10"/>
  <c r="I598" i="10"/>
  <c r="H598" i="10"/>
  <c r="G598" i="10"/>
  <c r="F598" i="10"/>
  <c r="E598" i="10"/>
  <c r="D598" i="10"/>
  <c r="C598" i="10"/>
  <c r="B598" i="10"/>
  <c r="L597" i="10"/>
  <c r="K597" i="10"/>
  <c r="J597" i="10"/>
  <c r="I597" i="10"/>
  <c r="H597" i="10"/>
  <c r="G597" i="10"/>
  <c r="F597" i="10"/>
  <c r="E597" i="10"/>
  <c r="D597" i="10"/>
  <c r="C597" i="10"/>
  <c r="B597" i="10"/>
  <c r="L596" i="10"/>
  <c r="K596" i="10"/>
  <c r="K607" i="10" s="1"/>
  <c r="J596" i="10"/>
  <c r="J607" i="10" s="1"/>
  <c r="I596" i="10"/>
  <c r="I607" i="10" s="1"/>
  <c r="H596" i="10"/>
  <c r="H607" i="10" s="1"/>
  <c r="G596" i="10"/>
  <c r="G607" i="10" s="1"/>
  <c r="F596" i="10"/>
  <c r="F607" i="10" s="1"/>
  <c r="K594" i="10" s="1"/>
  <c r="E596" i="10"/>
  <c r="E607" i="10" s="1"/>
  <c r="D596" i="10"/>
  <c r="C596" i="10"/>
  <c r="B596" i="10"/>
  <c r="M594" i="10"/>
  <c r="M593" i="10"/>
  <c r="L590" i="10"/>
  <c r="K590" i="10"/>
  <c r="J590" i="10"/>
  <c r="I590" i="10"/>
  <c r="H590" i="10"/>
  <c r="G590" i="10"/>
  <c r="F590" i="10"/>
  <c r="E590" i="10"/>
  <c r="D590" i="10"/>
  <c r="C590" i="10"/>
  <c r="B590" i="10"/>
  <c r="L589" i="10"/>
  <c r="K589" i="10"/>
  <c r="J589" i="10"/>
  <c r="I589" i="10"/>
  <c r="H589" i="10"/>
  <c r="G589" i="10"/>
  <c r="F589" i="10"/>
  <c r="E589" i="10"/>
  <c r="D589" i="10"/>
  <c r="C589" i="10"/>
  <c r="B589" i="10"/>
  <c r="L588" i="10"/>
  <c r="K588" i="10"/>
  <c r="J588" i="10"/>
  <c r="I588" i="10"/>
  <c r="H588" i="10"/>
  <c r="G588" i="10"/>
  <c r="F588" i="10"/>
  <c r="E588" i="10"/>
  <c r="D588" i="10"/>
  <c r="C588" i="10"/>
  <c r="B588" i="10"/>
  <c r="L587" i="10"/>
  <c r="K587" i="10"/>
  <c r="J587" i="10"/>
  <c r="I587" i="10"/>
  <c r="H587" i="10"/>
  <c r="G587" i="10"/>
  <c r="F587" i="10"/>
  <c r="E587" i="10"/>
  <c r="D587" i="10"/>
  <c r="C587" i="10"/>
  <c r="B587" i="10"/>
  <c r="L586" i="10"/>
  <c r="K586" i="10"/>
  <c r="J586" i="10"/>
  <c r="I586" i="10"/>
  <c r="H586" i="10"/>
  <c r="G586" i="10"/>
  <c r="F586" i="10"/>
  <c r="E586" i="10"/>
  <c r="D586" i="10"/>
  <c r="C586" i="10"/>
  <c r="B586" i="10"/>
  <c r="L585" i="10"/>
  <c r="K585" i="10"/>
  <c r="J585" i="10"/>
  <c r="I585" i="10"/>
  <c r="H585" i="10"/>
  <c r="G585" i="10"/>
  <c r="F585" i="10"/>
  <c r="E585" i="10"/>
  <c r="D585" i="10"/>
  <c r="C585" i="10"/>
  <c r="B585" i="10"/>
  <c r="L584" i="10"/>
  <c r="K584" i="10"/>
  <c r="J584" i="10"/>
  <c r="I584" i="10"/>
  <c r="H584" i="10"/>
  <c r="G584" i="10"/>
  <c r="F584" i="10"/>
  <c r="E584" i="10"/>
  <c r="D584" i="10"/>
  <c r="C584" i="10"/>
  <c r="B584" i="10"/>
  <c r="L583" i="10"/>
  <c r="K583" i="10"/>
  <c r="J583" i="10"/>
  <c r="I583" i="10"/>
  <c r="H583" i="10"/>
  <c r="G583" i="10"/>
  <c r="F583" i="10"/>
  <c r="E583" i="10"/>
  <c r="D583" i="10"/>
  <c r="C583" i="10"/>
  <c r="B583" i="10"/>
  <c r="L582" i="10"/>
  <c r="K582" i="10"/>
  <c r="J582" i="10"/>
  <c r="I582" i="10"/>
  <c r="H582" i="10"/>
  <c r="G582" i="10"/>
  <c r="F582" i="10"/>
  <c r="E582" i="10"/>
  <c r="D582" i="10"/>
  <c r="C582" i="10"/>
  <c r="B582" i="10"/>
  <c r="L581" i="10"/>
  <c r="K581" i="10"/>
  <c r="J581" i="10"/>
  <c r="I581" i="10"/>
  <c r="H581" i="10"/>
  <c r="G581" i="10"/>
  <c r="F581" i="10"/>
  <c r="E581" i="10"/>
  <c r="D581" i="10"/>
  <c r="C581" i="10"/>
  <c r="B581" i="10"/>
  <c r="L580" i="10"/>
  <c r="L591" i="10" s="1"/>
  <c r="K580" i="10"/>
  <c r="K591" i="10" s="1"/>
  <c r="J580" i="10"/>
  <c r="J591" i="10" s="1"/>
  <c r="I580" i="10"/>
  <c r="I591" i="10" s="1"/>
  <c r="H580" i="10"/>
  <c r="H591" i="10" s="1"/>
  <c r="G580" i="10"/>
  <c r="G591" i="10" s="1"/>
  <c r="F580" i="10"/>
  <c r="F591" i="10" s="1"/>
  <c r="K578" i="10" s="1"/>
  <c r="E580" i="10"/>
  <c r="E591" i="10" s="1"/>
  <c r="D580" i="10"/>
  <c r="C580" i="10"/>
  <c r="B580" i="10"/>
  <c r="M578" i="10"/>
  <c r="M577" i="10"/>
  <c r="E575" i="10"/>
  <c r="L574" i="10"/>
  <c r="K574" i="10"/>
  <c r="J574" i="10"/>
  <c r="I574" i="10"/>
  <c r="H574" i="10"/>
  <c r="G574" i="10"/>
  <c r="F574" i="10"/>
  <c r="E574" i="10"/>
  <c r="D574" i="10"/>
  <c r="C574" i="10"/>
  <c r="B574" i="10"/>
  <c r="L573" i="10"/>
  <c r="K573" i="10"/>
  <c r="J573" i="10"/>
  <c r="I573" i="10"/>
  <c r="H573" i="10"/>
  <c r="G573" i="10"/>
  <c r="F573" i="10"/>
  <c r="E573" i="10"/>
  <c r="D573" i="10"/>
  <c r="C573" i="10"/>
  <c r="B573" i="10"/>
  <c r="L572" i="10"/>
  <c r="K572" i="10"/>
  <c r="J572" i="10"/>
  <c r="I572" i="10"/>
  <c r="H572" i="10"/>
  <c r="G572" i="10"/>
  <c r="F572" i="10"/>
  <c r="E572" i="10"/>
  <c r="D572" i="10"/>
  <c r="C572" i="10"/>
  <c r="B572" i="10"/>
  <c r="L571" i="10"/>
  <c r="K571" i="10"/>
  <c r="J571" i="10"/>
  <c r="I571" i="10"/>
  <c r="H571" i="10"/>
  <c r="G571" i="10"/>
  <c r="F571" i="10"/>
  <c r="E571" i="10"/>
  <c r="D571" i="10"/>
  <c r="C571" i="10"/>
  <c r="B571" i="10"/>
  <c r="L570" i="10"/>
  <c r="K570" i="10"/>
  <c r="J570" i="10"/>
  <c r="I570" i="10"/>
  <c r="H570" i="10"/>
  <c r="G570" i="10"/>
  <c r="F570" i="10"/>
  <c r="E570" i="10"/>
  <c r="D570" i="10"/>
  <c r="C570" i="10"/>
  <c r="B570" i="10"/>
  <c r="L569" i="10"/>
  <c r="K569" i="10"/>
  <c r="J569" i="10"/>
  <c r="I569" i="10"/>
  <c r="H569" i="10"/>
  <c r="G569" i="10"/>
  <c r="F569" i="10"/>
  <c r="E569" i="10"/>
  <c r="D569" i="10"/>
  <c r="C569" i="10"/>
  <c r="B569" i="10"/>
  <c r="L568" i="10"/>
  <c r="K568" i="10"/>
  <c r="J568" i="10"/>
  <c r="I568" i="10"/>
  <c r="H568" i="10"/>
  <c r="G568" i="10"/>
  <c r="F568" i="10"/>
  <c r="E568" i="10"/>
  <c r="D568" i="10"/>
  <c r="C568" i="10"/>
  <c r="B568" i="10"/>
  <c r="L567" i="10"/>
  <c r="K567" i="10"/>
  <c r="J567" i="10"/>
  <c r="I567" i="10"/>
  <c r="H567" i="10"/>
  <c r="G567" i="10"/>
  <c r="F567" i="10"/>
  <c r="E567" i="10"/>
  <c r="D567" i="10"/>
  <c r="C567" i="10"/>
  <c r="B567" i="10"/>
  <c r="L566" i="10"/>
  <c r="K566" i="10"/>
  <c r="J566" i="10"/>
  <c r="I566" i="10"/>
  <c r="H566" i="10"/>
  <c r="G566" i="10"/>
  <c r="F566" i="10"/>
  <c r="E566" i="10"/>
  <c r="D566" i="10"/>
  <c r="C566" i="10"/>
  <c r="B566" i="10"/>
  <c r="L565" i="10"/>
  <c r="K565" i="10"/>
  <c r="J565" i="10"/>
  <c r="I565" i="10"/>
  <c r="H565" i="10"/>
  <c r="G565" i="10"/>
  <c r="F565" i="10"/>
  <c r="E565" i="10"/>
  <c r="D565" i="10"/>
  <c r="C565" i="10"/>
  <c r="B565" i="10"/>
  <c r="L564" i="10"/>
  <c r="L575" i="10" s="1"/>
  <c r="K564" i="10"/>
  <c r="K575" i="10" s="1"/>
  <c r="J564" i="10"/>
  <c r="J575" i="10" s="1"/>
  <c r="I564" i="10"/>
  <c r="I575" i="10" s="1"/>
  <c r="H564" i="10"/>
  <c r="H575" i="10" s="1"/>
  <c r="G564" i="10"/>
  <c r="G575" i="10" s="1"/>
  <c r="F564" i="10"/>
  <c r="F575" i="10" s="1"/>
  <c r="K562" i="10" s="1"/>
  <c r="E564" i="10"/>
  <c r="D564" i="10"/>
  <c r="C564" i="10"/>
  <c r="B564" i="10"/>
  <c r="M562" i="10"/>
  <c r="M561" i="10"/>
  <c r="L559" i="10"/>
  <c r="E559" i="10"/>
  <c r="L558" i="10"/>
  <c r="K558" i="10"/>
  <c r="J558" i="10"/>
  <c r="I558" i="10"/>
  <c r="H558" i="10"/>
  <c r="G558" i="10"/>
  <c r="F558" i="10"/>
  <c r="E558" i="10"/>
  <c r="D558" i="10"/>
  <c r="C558" i="10"/>
  <c r="B558" i="10"/>
  <c r="L557" i="10"/>
  <c r="K557" i="10"/>
  <c r="J557" i="10"/>
  <c r="I557" i="10"/>
  <c r="H557" i="10"/>
  <c r="G557" i="10"/>
  <c r="F557" i="10"/>
  <c r="E557" i="10"/>
  <c r="D557" i="10"/>
  <c r="C557" i="10"/>
  <c r="B557" i="10"/>
  <c r="L556" i="10"/>
  <c r="K556" i="10"/>
  <c r="J556" i="10"/>
  <c r="I556" i="10"/>
  <c r="H556" i="10"/>
  <c r="G556" i="10"/>
  <c r="F556" i="10"/>
  <c r="E556" i="10"/>
  <c r="D556" i="10"/>
  <c r="C556" i="10"/>
  <c r="B556" i="10"/>
  <c r="L555" i="10"/>
  <c r="K555" i="10"/>
  <c r="J555" i="10"/>
  <c r="I555" i="10"/>
  <c r="H555" i="10"/>
  <c r="G555" i="10"/>
  <c r="F555" i="10"/>
  <c r="E555" i="10"/>
  <c r="D555" i="10"/>
  <c r="C555" i="10"/>
  <c r="B555" i="10"/>
  <c r="L554" i="10"/>
  <c r="K554" i="10"/>
  <c r="J554" i="10"/>
  <c r="I554" i="10"/>
  <c r="H554" i="10"/>
  <c r="G554" i="10"/>
  <c r="F554" i="10"/>
  <c r="E554" i="10"/>
  <c r="D554" i="10"/>
  <c r="C554" i="10"/>
  <c r="B554" i="10"/>
  <c r="L553" i="10"/>
  <c r="K553" i="10"/>
  <c r="J553" i="10"/>
  <c r="I553" i="10"/>
  <c r="H553" i="10"/>
  <c r="G553" i="10"/>
  <c r="F553" i="10"/>
  <c r="E553" i="10"/>
  <c r="D553" i="10"/>
  <c r="C553" i="10"/>
  <c r="B553" i="10"/>
  <c r="L552" i="10"/>
  <c r="K552" i="10"/>
  <c r="J552" i="10"/>
  <c r="I552" i="10"/>
  <c r="H552" i="10"/>
  <c r="G552" i="10"/>
  <c r="F552" i="10"/>
  <c r="E552" i="10"/>
  <c r="D552" i="10"/>
  <c r="C552" i="10"/>
  <c r="B552" i="10"/>
  <c r="L551" i="10"/>
  <c r="K551" i="10"/>
  <c r="J551" i="10"/>
  <c r="I551" i="10"/>
  <c r="H551" i="10"/>
  <c r="G551" i="10"/>
  <c r="F551" i="10"/>
  <c r="E551" i="10"/>
  <c r="D551" i="10"/>
  <c r="C551" i="10"/>
  <c r="B551" i="10"/>
  <c r="L550" i="10"/>
  <c r="K550" i="10"/>
  <c r="J550" i="10"/>
  <c r="I550" i="10"/>
  <c r="H550" i="10"/>
  <c r="G550" i="10"/>
  <c r="F550" i="10"/>
  <c r="E550" i="10"/>
  <c r="D550" i="10"/>
  <c r="C550" i="10"/>
  <c r="B550" i="10"/>
  <c r="L549" i="10"/>
  <c r="K549" i="10"/>
  <c r="J549" i="10"/>
  <c r="I549" i="10"/>
  <c r="H549" i="10"/>
  <c r="G549" i="10"/>
  <c r="F549" i="10"/>
  <c r="E549" i="10"/>
  <c r="D549" i="10"/>
  <c r="C549" i="10"/>
  <c r="B549" i="10"/>
  <c r="L548" i="10"/>
  <c r="K548" i="10"/>
  <c r="K559" i="10" s="1"/>
  <c r="J548" i="10"/>
  <c r="J559" i="10" s="1"/>
  <c r="I548" i="10"/>
  <c r="I559" i="10" s="1"/>
  <c r="H548" i="10"/>
  <c r="H559" i="10" s="1"/>
  <c r="G548" i="10"/>
  <c r="G559" i="10" s="1"/>
  <c r="F548" i="10"/>
  <c r="F559" i="10" s="1"/>
  <c r="K546" i="10" s="1"/>
  <c r="E548" i="10"/>
  <c r="D548" i="10"/>
  <c r="C548" i="10"/>
  <c r="B548" i="10"/>
  <c r="M546" i="10"/>
  <c r="M545" i="10"/>
  <c r="L543" i="10"/>
  <c r="L542" i="10"/>
  <c r="K542" i="10"/>
  <c r="J542" i="10"/>
  <c r="I542" i="10"/>
  <c r="H542" i="10"/>
  <c r="G542" i="10"/>
  <c r="F542" i="10"/>
  <c r="E542" i="10"/>
  <c r="D542" i="10"/>
  <c r="C542" i="10"/>
  <c r="B542" i="10"/>
  <c r="L541" i="10"/>
  <c r="K541" i="10"/>
  <c r="J541" i="10"/>
  <c r="I541" i="10"/>
  <c r="H541" i="10"/>
  <c r="G541" i="10"/>
  <c r="F541" i="10"/>
  <c r="E541" i="10"/>
  <c r="D541" i="10"/>
  <c r="C541" i="10"/>
  <c r="B541" i="10"/>
  <c r="L540" i="10"/>
  <c r="K540" i="10"/>
  <c r="J540" i="10"/>
  <c r="I540" i="10"/>
  <c r="H540" i="10"/>
  <c r="G540" i="10"/>
  <c r="F540" i="10"/>
  <c r="E540" i="10"/>
  <c r="D540" i="10"/>
  <c r="C540" i="10"/>
  <c r="B540" i="10"/>
  <c r="L539" i="10"/>
  <c r="K539" i="10"/>
  <c r="J539" i="10"/>
  <c r="I539" i="10"/>
  <c r="H539" i="10"/>
  <c r="G539" i="10"/>
  <c r="F539" i="10"/>
  <c r="E539" i="10"/>
  <c r="D539" i="10"/>
  <c r="C539" i="10"/>
  <c r="B539" i="10"/>
  <c r="L538" i="10"/>
  <c r="K538" i="10"/>
  <c r="J538" i="10"/>
  <c r="I538" i="10"/>
  <c r="H538" i="10"/>
  <c r="G538" i="10"/>
  <c r="F538" i="10"/>
  <c r="E538" i="10"/>
  <c r="D538" i="10"/>
  <c r="C538" i="10"/>
  <c r="B538" i="10"/>
  <c r="L537" i="10"/>
  <c r="K537" i="10"/>
  <c r="J537" i="10"/>
  <c r="I537" i="10"/>
  <c r="H537" i="10"/>
  <c r="G537" i="10"/>
  <c r="F537" i="10"/>
  <c r="E537" i="10"/>
  <c r="D537" i="10"/>
  <c r="C537" i="10"/>
  <c r="B537" i="10"/>
  <c r="L536" i="10"/>
  <c r="K536" i="10"/>
  <c r="J536" i="10"/>
  <c r="I536" i="10"/>
  <c r="H536" i="10"/>
  <c r="G536" i="10"/>
  <c r="F536" i="10"/>
  <c r="E536" i="10"/>
  <c r="D536" i="10"/>
  <c r="C536" i="10"/>
  <c r="B536" i="10"/>
  <c r="L535" i="10"/>
  <c r="K535" i="10"/>
  <c r="J535" i="10"/>
  <c r="I535" i="10"/>
  <c r="H535" i="10"/>
  <c r="G535" i="10"/>
  <c r="F535" i="10"/>
  <c r="E535" i="10"/>
  <c r="D535" i="10"/>
  <c r="C535" i="10"/>
  <c r="B535" i="10"/>
  <c r="L534" i="10"/>
  <c r="K534" i="10"/>
  <c r="J534" i="10"/>
  <c r="I534" i="10"/>
  <c r="H534" i="10"/>
  <c r="G534" i="10"/>
  <c r="F534" i="10"/>
  <c r="E534" i="10"/>
  <c r="D534" i="10"/>
  <c r="C534" i="10"/>
  <c r="B534" i="10"/>
  <c r="L533" i="10"/>
  <c r="K533" i="10"/>
  <c r="J533" i="10"/>
  <c r="I533" i="10"/>
  <c r="H533" i="10"/>
  <c r="G533" i="10"/>
  <c r="F533" i="10"/>
  <c r="E533" i="10"/>
  <c r="D533" i="10"/>
  <c r="C533" i="10"/>
  <c r="B533" i="10"/>
  <c r="L532" i="10"/>
  <c r="K532" i="10"/>
  <c r="K543" i="10" s="1"/>
  <c r="J532" i="10"/>
  <c r="J543" i="10" s="1"/>
  <c r="I532" i="10"/>
  <c r="I543" i="10" s="1"/>
  <c r="H532" i="10"/>
  <c r="H543" i="10" s="1"/>
  <c r="G532" i="10"/>
  <c r="G543" i="10" s="1"/>
  <c r="F532" i="10"/>
  <c r="F543" i="10" s="1"/>
  <c r="K530" i="10" s="1"/>
  <c r="E532" i="10"/>
  <c r="E543" i="10" s="1"/>
  <c r="D532" i="10"/>
  <c r="C532" i="10"/>
  <c r="B532" i="10"/>
  <c r="M530" i="10"/>
  <c r="M529" i="10"/>
  <c r="L526" i="10"/>
  <c r="K526" i="10"/>
  <c r="J526" i="10"/>
  <c r="I526" i="10"/>
  <c r="H526" i="10"/>
  <c r="G526" i="10"/>
  <c r="F526" i="10"/>
  <c r="E526" i="10"/>
  <c r="D526" i="10"/>
  <c r="C526" i="10"/>
  <c r="B526" i="10"/>
  <c r="L525" i="10"/>
  <c r="K525" i="10"/>
  <c r="J525" i="10"/>
  <c r="I525" i="10"/>
  <c r="H525" i="10"/>
  <c r="G525" i="10"/>
  <c r="F525" i="10"/>
  <c r="E525" i="10"/>
  <c r="D525" i="10"/>
  <c r="C525" i="10"/>
  <c r="B525" i="10"/>
  <c r="L524" i="10"/>
  <c r="K524" i="10"/>
  <c r="J524" i="10"/>
  <c r="I524" i="10"/>
  <c r="H524" i="10"/>
  <c r="G524" i="10"/>
  <c r="F524" i="10"/>
  <c r="E524" i="10"/>
  <c r="D524" i="10"/>
  <c r="C524" i="10"/>
  <c r="B524" i="10"/>
  <c r="L523" i="10"/>
  <c r="K523" i="10"/>
  <c r="J523" i="10"/>
  <c r="I523" i="10"/>
  <c r="H523" i="10"/>
  <c r="G523" i="10"/>
  <c r="F523" i="10"/>
  <c r="E523" i="10"/>
  <c r="D523" i="10"/>
  <c r="C523" i="10"/>
  <c r="B523" i="10"/>
  <c r="L522" i="10"/>
  <c r="K522" i="10"/>
  <c r="J522" i="10"/>
  <c r="I522" i="10"/>
  <c r="H522" i="10"/>
  <c r="G522" i="10"/>
  <c r="F522" i="10"/>
  <c r="E522" i="10"/>
  <c r="D522" i="10"/>
  <c r="C522" i="10"/>
  <c r="B522" i="10"/>
  <c r="L521" i="10"/>
  <c r="K521" i="10"/>
  <c r="J521" i="10"/>
  <c r="I521" i="10"/>
  <c r="H521" i="10"/>
  <c r="G521" i="10"/>
  <c r="F521" i="10"/>
  <c r="E521" i="10"/>
  <c r="D521" i="10"/>
  <c r="C521" i="10"/>
  <c r="B521" i="10"/>
  <c r="L520" i="10"/>
  <c r="K520" i="10"/>
  <c r="J520" i="10"/>
  <c r="I520" i="10"/>
  <c r="H520" i="10"/>
  <c r="G520" i="10"/>
  <c r="F520" i="10"/>
  <c r="E520" i="10"/>
  <c r="D520" i="10"/>
  <c r="C520" i="10"/>
  <c r="B520" i="10"/>
  <c r="L519" i="10"/>
  <c r="K519" i="10"/>
  <c r="J519" i="10"/>
  <c r="I519" i="10"/>
  <c r="H519" i="10"/>
  <c r="G519" i="10"/>
  <c r="F519" i="10"/>
  <c r="E519" i="10"/>
  <c r="D519" i="10"/>
  <c r="C519" i="10"/>
  <c r="B519" i="10"/>
  <c r="L518" i="10"/>
  <c r="K518" i="10"/>
  <c r="J518" i="10"/>
  <c r="I518" i="10"/>
  <c r="H518" i="10"/>
  <c r="G518" i="10"/>
  <c r="F518" i="10"/>
  <c r="E518" i="10"/>
  <c r="D518" i="10"/>
  <c r="C518" i="10"/>
  <c r="B518" i="10"/>
  <c r="L517" i="10"/>
  <c r="K517" i="10"/>
  <c r="J517" i="10"/>
  <c r="I517" i="10"/>
  <c r="H517" i="10"/>
  <c r="G517" i="10"/>
  <c r="F517" i="10"/>
  <c r="E517" i="10"/>
  <c r="D517" i="10"/>
  <c r="C517" i="10"/>
  <c r="B517" i="10"/>
  <c r="L516" i="10"/>
  <c r="L527" i="10" s="1"/>
  <c r="K516" i="10"/>
  <c r="K527" i="10" s="1"/>
  <c r="J516" i="10"/>
  <c r="J527" i="10" s="1"/>
  <c r="I516" i="10"/>
  <c r="I527" i="10" s="1"/>
  <c r="H516" i="10"/>
  <c r="H527" i="10" s="1"/>
  <c r="G516" i="10"/>
  <c r="G527" i="10" s="1"/>
  <c r="F516" i="10"/>
  <c r="F527" i="10" s="1"/>
  <c r="K514" i="10" s="1"/>
  <c r="E516" i="10"/>
  <c r="E527" i="10" s="1"/>
  <c r="D516" i="10"/>
  <c r="C516" i="10"/>
  <c r="B516" i="10"/>
  <c r="M514" i="10"/>
  <c r="M513" i="10"/>
  <c r="E511" i="10"/>
  <c r="L510" i="10"/>
  <c r="K510" i="10"/>
  <c r="J510" i="10"/>
  <c r="I510" i="10"/>
  <c r="H510" i="10"/>
  <c r="G510" i="10"/>
  <c r="F510" i="10"/>
  <c r="E510" i="10"/>
  <c r="D510" i="10"/>
  <c r="C510" i="10"/>
  <c r="B510" i="10"/>
  <c r="L509" i="10"/>
  <c r="K509" i="10"/>
  <c r="J509" i="10"/>
  <c r="I509" i="10"/>
  <c r="H509" i="10"/>
  <c r="G509" i="10"/>
  <c r="F509" i="10"/>
  <c r="E509" i="10"/>
  <c r="D509" i="10"/>
  <c r="C509" i="10"/>
  <c r="B509" i="10"/>
  <c r="L508" i="10"/>
  <c r="K508" i="10"/>
  <c r="J508" i="10"/>
  <c r="I508" i="10"/>
  <c r="H508" i="10"/>
  <c r="G508" i="10"/>
  <c r="F508" i="10"/>
  <c r="E508" i="10"/>
  <c r="D508" i="10"/>
  <c r="C508" i="10"/>
  <c r="B508" i="10"/>
  <c r="L507" i="10"/>
  <c r="K507" i="10"/>
  <c r="J507" i="10"/>
  <c r="I507" i="10"/>
  <c r="H507" i="10"/>
  <c r="G507" i="10"/>
  <c r="F507" i="10"/>
  <c r="E507" i="10"/>
  <c r="D507" i="10"/>
  <c r="C507" i="10"/>
  <c r="B507" i="10"/>
  <c r="L506" i="10"/>
  <c r="K506" i="10"/>
  <c r="J506" i="10"/>
  <c r="I506" i="10"/>
  <c r="H506" i="10"/>
  <c r="G506" i="10"/>
  <c r="F506" i="10"/>
  <c r="E506" i="10"/>
  <c r="D506" i="10"/>
  <c r="C506" i="10"/>
  <c r="B506" i="10"/>
  <c r="L505" i="10"/>
  <c r="K505" i="10"/>
  <c r="J505" i="10"/>
  <c r="I505" i="10"/>
  <c r="H505" i="10"/>
  <c r="G505" i="10"/>
  <c r="F505" i="10"/>
  <c r="E505" i="10"/>
  <c r="D505" i="10"/>
  <c r="C505" i="10"/>
  <c r="B505" i="10"/>
  <c r="L504" i="10"/>
  <c r="K504" i="10"/>
  <c r="J504" i="10"/>
  <c r="I504" i="10"/>
  <c r="H504" i="10"/>
  <c r="G504" i="10"/>
  <c r="F504" i="10"/>
  <c r="E504" i="10"/>
  <c r="D504" i="10"/>
  <c r="C504" i="10"/>
  <c r="B504" i="10"/>
  <c r="L503" i="10"/>
  <c r="K503" i="10"/>
  <c r="J503" i="10"/>
  <c r="I503" i="10"/>
  <c r="H503" i="10"/>
  <c r="G503" i="10"/>
  <c r="F503" i="10"/>
  <c r="E503" i="10"/>
  <c r="D503" i="10"/>
  <c r="C503" i="10"/>
  <c r="B503" i="10"/>
  <c r="L502" i="10"/>
  <c r="K502" i="10"/>
  <c r="J502" i="10"/>
  <c r="I502" i="10"/>
  <c r="H502" i="10"/>
  <c r="G502" i="10"/>
  <c r="F502" i="10"/>
  <c r="E502" i="10"/>
  <c r="D502" i="10"/>
  <c r="C502" i="10"/>
  <c r="B502" i="10"/>
  <c r="L501" i="10"/>
  <c r="K501" i="10"/>
  <c r="J501" i="10"/>
  <c r="I501" i="10"/>
  <c r="H501" i="10"/>
  <c r="G501" i="10"/>
  <c r="F501" i="10"/>
  <c r="E501" i="10"/>
  <c r="D501" i="10"/>
  <c r="C501" i="10"/>
  <c r="B501" i="10"/>
  <c r="L500" i="10"/>
  <c r="L511" i="10" s="1"/>
  <c r="K500" i="10"/>
  <c r="K511" i="10" s="1"/>
  <c r="J500" i="10"/>
  <c r="J511" i="10" s="1"/>
  <c r="I500" i="10"/>
  <c r="I511" i="10" s="1"/>
  <c r="H500" i="10"/>
  <c r="H511" i="10" s="1"/>
  <c r="G500" i="10"/>
  <c r="G511" i="10" s="1"/>
  <c r="F500" i="10"/>
  <c r="F511" i="10" s="1"/>
  <c r="K498" i="10" s="1"/>
  <c r="E500" i="10"/>
  <c r="D500" i="10"/>
  <c r="C500" i="10"/>
  <c r="B500" i="10"/>
  <c r="M498" i="10"/>
  <c r="M497" i="10"/>
  <c r="L494" i="10"/>
  <c r="K494" i="10"/>
  <c r="J494" i="10"/>
  <c r="I494" i="10"/>
  <c r="H494" i="10"/>
  <c r="G494" i="10"/>
  <c r="F494" i="10"/>
  <c r="E494" i="10"/>
  <c r="D494" i="10"/>
  <c r="C494" i="10"/>
  <c r="B494" i="10"/>
  <c r="L493" i="10"/>
  <c r="K493" i="10"/>
  <c r="J493" i="10"/>
  <c r="I493" i="10"/>
  <c r="H493" i="10"/>
  <c r="G493" i="10"/>
  <c r="F493" i="10"/>
  <c r="E493" i="10"/>
  <c r="D493" i="10"/>
  <c r="C493" i="10"/>
  <c r="B493" i="10"/>
  <c r="L492" i="10"/>
  <c r="K492" i="10"/>
  <c r="J492" i="10"/>
  <c r="I492" i="10"/>
  <c r="H492" i="10"/>
  <c r="G492" i="10"/>
  <c r="F492" i="10"/>
  <c r="E492" i="10"/>
  <c r="D492" i="10"/>
  <c r="C492" i="10"/>
  <c r="B492" i="10"/>
  <c r="L491" i="10"/>
  <c r="K491" i="10"/>
  <c r="J491" i="10"/>
  <c r="I491" i="10"/>
  <c r="H491" i="10"/>
  <c r="G491" i="10"/>
  <c r="F491" i="10"/>
  <c r="E491" i="10"/>
  <c r="D491" i="10"/>
  <c r="C491" i="10"/>
  <c r="B491" i="10"/>
  <c r="L490" i="10"/>
  <c r="K490" i="10"/>
  <c r="J490" i="10"/>
  <c r="I490" i="10"/>
  <c r="H490" i="10"/>
  <c r="G490" i="10"/>
  <c r="F490" i="10"/>
  <c r="E490" i="10"/>
  <c r="D490" i="10"/>
  <c r="C490" i="10"/>
  <c r="B490" i="10"/>
  <c r="L489" i="10"/>
  <c r="K489" i="10"/>
  <c r="J489" i="10"/>
  <c r="I489" i="10"/>
  <c r="H489" i="10"/>
  <c r="G489" i="10"/>
  <c r="F489" i="10"/>
  <c r="E489" i="10"/>
  <c r="D489" i="10"/>
  <c r="C489" i="10"/>
  <c r="B489" i="10"/>
  <c r="L488" i="10"/>
  <c r="K488" i="10"/>
  <c r="J488" i="10"/>
  <c r="I488" i="10"/>
  <c r="H488" i="10"/>
  <c r="G488" i="10"/>
  <c r="F488" i="10"/>
  <c r="E488" i="10"/>
  <c r="D488" i="10"/>
  <c r="C488" i="10"/>
  <c r="B488" i="10"/>
  <c r="L487" i="10"/>
  <c r="K487" i="10"/>
  <c r="J487" i="10"/>
  <c r="I487" i="10"/>
  <c r="H487" i="10"/>
  <c r="G487" i="10"/>
  <c r="F487" i="10"/>
  <c r="E487" i="10"/>
  <c r="D487" i="10"/>
  <c r="C487" i="10"/>
  <c r="B487" i="10"/>
  <c r="L486" i="10"/>
  <c r="K486" i="10"/>
  <c r="J486" i="10"/>
  <c r="I486" i="10"/>
  <c r="H486" i="10"/>
  <c r="G486" i="10"/>
  <c r="F486" i="10"/>
  <c r="E486" i="10"/>
  <c r="D486" i="10"/>
  <c r="C486" i="10"/>
  <c r="B486" i="10"/>
  <c r="L485" i="10"/>
  <c r="K485" i="10"/>
  <c r="J485" i="10"/>
  <c r="I485" i="10"/>
  <c r="H485" i="10"/>
  <c r="G485" i="10"/>
  <c r="F485" i="10"/>
  <c r="E485" i="10"/>
  <c r="D485" i="10"/>
  <c r="C485" i="10"/>
  <c r="B485" i="10"/>
  <c r="L484" i="10"/>
  <c r="L495" i="10" s="1"/>
  <c r="K484" i="10"/>
  <c r="K495" i="10" s="1"/>
  <c r="J484" i="10"/>
  <c r="J495" i="10" s="1"/>
  <c r="I484" i="10"/>
  <c r="I495" i="10" s="1"/>
  <c r="H484" i="10"/>
  <c r="H495" i="10" s="1"/>
  <c r="G484" i="10"/>
  <c r="G495" i="10" s="1"/>
  <c r="F484" i="10"/>
  <c r="F495" i="10" s="1"/>
  <c r="K482" i="10" s="1"/>
  <c r="E484" i="10"/>
  <c r="E495" i="10" s="1"/>
  <c r="D484" i="10"/>
  <c r="C484" i="10"/>
  <c r="B484" i="10"/>
  <c r="M482" i="10"/>
  <c r="M481" i="10"/>
  <c r="E479" i="10"/>
  <c r="L478" i="10"/>
  <c r="K478" i="10"/>
  <c r="J478" i="10"/>
  <c r="I478" i="10"/>
  <c r="H478" i="10"/>
  <c r="G478" i="10"/>
  <c r="F478" i="10"/>
  <c r="E478" i="10"/>
  <c r="D478" i="10"/>
  <c r="C478" i="10"/>
  <c r="B478" i="10"/>
  <c r="L477" i="10"/>
  <c r="K477" i="10"/>
  <c r="J477" i="10"/>
  <c r="I477" i="10"/>
  <c r="H477" i="10"/>
  <c r="G477" i="10"/>
  <c r="F477" i="10"/>
  <c r="E477" i="10"/>
  <c r="D477" i="10"/>
  <c r="C477" i="10"/>
  <c r="B477" i="10"/>
  <c r="L476" i="10"/>
  <c r="K476" i="10"/>
  <c r="J476" i="10"/>
  <c r="I476" i="10"/>
  <c r="H476" i="10"/>
  <c r="G476" i="10"/>
  <c r="F476" i="10"/>
  <c r="E476" i="10"/>
  <c r="D476" i="10"/>
  <c r="C476" i="10"/>
  <c r="B476" i="10"/>
  <c r="L475" i="10"/>
  <c r="K475" i="10"/>
  <c r="J475" i="10"/>
  <c r="I475" i="10"/>
  <c r="H475" i="10"/>
  <c r="G475" i="10"/>
  <c r="F475" i="10"/>
  <c r="E475" i="10"/>
  <c r="D475" i="10"/>
  <c r="C475" i="10"/>
  <c r="B475" i="10"/>
  <c r="L474" i="10"/>
  <c r="K474" i="10"/>
  <c r="J474" i="10"/>
  <c r="I474" i="10"/>
  <c r="H474" i="10"/>
  <c r="G474" i="10"/>
  <c r="F474" i="10"/>
  <c r="E474" i="10"/>
  <c r="D474" i="10"/>
  <c r="C474" i="10"/>
  <c r="B474" i="10"/>
  <c r="L473" i="10"/>
  <c r="K473" i="10"/>
  <c r="J473" i="10"/>
  <c r="I473" i="10"/>
  <c r="H473" i="10"/>
  <c r="G473" i="10"/>
  <c r="F473" i="10"/>
  <c r="E473" i="10"/>
  <c r="D473" i="10"/>
  <c r="C473" i="10"/>
  <c r="B473" i="10"/>
  <c r="L472" i="10"/>
  <c r="K472" i="10"/>
  <c r="J472" i="10"/>
  <c r="I472" i="10"/>
  <c r="H472" i="10"/>
  <c r="G472" i="10"/>
  <c r="F472" i="10"/>
  <c r="E472" i="10"/>
  <c r="D472" i="10"/>
  <c r="C472" i="10"/>
  <c r="B472" i="10"/>
  <c r="L471" i="10"/>
  <c r="K471" i="10"/>
  <c r="J471" i="10"/>
  <c r="I471" i="10"/>
  <c r="H471" i="10"/>
  <c r="G471" i="10"/>
  <c r="F471" i="10"/>
  <c r="E471" i="10"/>
  <c r="D471" i="10"/>
  <c r="C471" i="10"/>
  <c r="B471" i="10"/>
  <c r="L470" i="10"/>
  <c r="K470" i="10"/>
  <c r="J470" i="10"/>
  <c r="I470" i="10"/>
  <c r="H470" i="10"/>
  <c r="G470" i="10"/>
  <c r="F470" i="10"/>
  <c r="E470" i="10"/>
  <c r="D470" i="10"/>
  <c r="C470" i="10"/>
  <c r="B470" i="10"/>
  <c r="L469" i="10"/>
  <c r="K469" i="10"/>
  <c r="J469" i="10"/>
  <c r="I469" i="10"/>
  <c r="H469" i="10"/>
  <c r="G469" i="10"/>
  <c r="F469" i="10"/>
  <c r="E469" i="10"/>
  <c r="D469" i="10"/>
  <c r="C469" i="10"/>
  <c r="B469" i="10"/>
  <c r="L468" i="10"/>
  <c r="L479" i="10" s="1"/>
  <c r="K468" i="10"/>
  <c r="K479" i="10" s="1"/>
  <c r="J468" i="10"/>
  <c r="J479" i="10" s="1"/>
  <c r="I468" i="10"/>
  <c r="I479" i="10" s="1"/>
  <c r="H468" i="10"/>
  <c r="H479" i="10" s="1"/>
  <c r="G468" i="10"/>
  <c r="G479" i="10" s="1"/>
  <c r="F468" i="10"/>
  <c r="F479" i="10" s="1"/>
  <c r="K466" i="10" s="1"/>
  <c r="E468" i="10"/>
  <c r="D468" i="10"/>
  <c r="C468" i="10"/>
  <c r="B468" i="10"/>
  <c r="M466" i="10"/>
  <c r="M465" i="10"/>
  <c r="L463" i="10"/>
  <c r="E463" i="10"/>
  <c r="L462" i="10"/>
  <c r="K462" i="10"/>
  <c r="J462" i="10"/>
  <c r="I462" i="10"/>
  <c r="H462" i="10"/>
  <c r="G462" i="10"/>
  <c r="F462" i="10"/>
  <c r="E462" i="10"/>
  <c r="D462" i="10"/>
  <c r="C462" i="10"/>
  <c r="B462" i="10"/>
  <c r="L461" i="10"/>
  <c r="K461" i="10"/>
  <c r="J461" i="10"/>
  <c r="I461" i="10"/>
  <c r="H461" i="10"/>
  <c r="G461" i="10"/>
  <c r="F461" i="10"/>
  <c r="E461" i="10"/>
  <c r="D461" i="10"/>
  <c r="C461" i="10"/>
  <c r="B461" i="10"/>
  <c r="L460" i="10"/>
  <c r="K460" i="10"/>
  <c r="J460" i="10"/>
  <c r="I460" i="10"/>
  <c r="H460" i="10"/>
  <c r="G460" i="10"/>
  <c r="F460" i="10"/>
  <c r="E460" i="10"/>
  <c r="D460" i="10"/>
  <c r="C460" i="10"/>
  <c r="B460" i="10"/>
  <c r="L459" i="10"/>
  <c r="K459" i="10"/>
  <c r="J459" i="10"/>
  <c r="I459" i="10"/>
  <c r="H459" i="10"/>
  <c r="G459" i="10"/>
  <c r="F459" i="10"/>
  <c r="E459" i="10"/>
  <c r="D459" i="10"/>
  <c r="C459" i="10"/>
  <c r="B459" i="10"/>
  <c r="L458" i="10"/>
  <c r="K458" i="10"/>
  <c r="J458" i="10"/>
  <c r="I458" i="10"/>
  <c r="H458" i="10"/>
  <c r="G458" i="10"/>
  <c r="F458" i="10"/>
  <c r="E458" i="10"/>
  <c r="D458" i="10"/>
  <c r="C458" i="10"/>
  <c r="B458" i="10"/>
  <c r="L457" i="10"/>
  <c r="K457" i="10"/>
  <c r="J457" i="10"/>
  <c r="I457" i="10"/>
  <c r="H457" i="10"/>
  <c r="G457" i="10"/>
  <c r="F457" i="10"/>
  <c r="E457" i="10"/>
  <c r="D457" i="10"/>
  <c r="C457" i="10"/>
  <c r="B457" i="10"/>
  <c r="L456" i="10"/>
  <c r="K456" i="10"/>
  <c r="J456" i="10"/>
  <c r="I456" i="10"/>
  <c r="H456" i="10"/>
  <c r="G456" i="10"/>
  <c r="F456" i="10"/>
  <c r="E456" i="10"/>
  <c r="D456" i="10"/>
  <c r="C456" i="10"/>
  <c r="B456" i="10"/>
  <c r="L455" i="10"/>
  <c r="K455" i="10"/>
  <c r="J455" i="10"/>
  <c r="I455" i="10"/>
  <c r="H455" i="10"/>
  <c r="G455" i="10"/>
  <c r="F455" i="10"/>
  <c r="E455" i="10"/>
  <c r="D455" i="10"/>
  <c r="C455" i="10"/>
  <c r="B455" i="10"/>
  <c r="L454" i="10"/>
  <c r="K454" i="10"/>
  <c r="J454" i="10"/>
  <c r="I454" i="10"/>
  <c r="H454" i="10"/>
  <c r="G454" i="10"/>
  <c r="F454" i="10"/>
  <c r="E454" i="10"/>
  <c r="D454" i="10"/>
  <c r="C454" i="10"/>
  <c r="B454" i="10"/>
  <c r="L453" i="10"/>
  <c r="K453" i="10"/>
  <c r="J453" i="10"/>
  <c r="I453" i="10"/>
  <c r="H453" i="10"/>
  <c r="G453" i="10"/>
  <c r="F453" i="10"/>
  <c r="E453" i="10"/>
  <c r="D453" i="10"/>
  <c r="C453" i="10"/>
  <c r="B453" i="10"/>
  <c r="L452" i="10"/>
  <c r="K452" i="10"/>
  <c r="K463" i="10" s="1"/>
  <c r="J452" i="10"/>
  <c r="J463" i="10" s="1"/>
  <c r="I452" i="10"/>
  <c r="I463" i="10" s="1"/>
  <c r="H452" i="10"/>
  <c r="H463" i="10" s="1"/>
  <c r="G452" i="10"/>
  <c r="G463" i="10" s="1"/>
  <c r="F452" i="10"/>
  <c r="F463" i="10" s="1"/>
  <c r="K450" i="10" s="1"/>
  <c r="E452" i="10"/>
  <c r="D452" i="10"/>
  <c r="C452" i="10"/>
  <c r="B452" i="10"/>
  <c r="M450" i="10"/>
  <c r="M449" i="10"/>
  <c r="L447" i="10"/>
  <c r="L446" i="10"/>
  <c r="K446" i="10"/>
  <c r="J446" i="10"/>
  <c r="I446" i="10"/>
  <c r="H446" i="10"/>
  <c r="G446" i="10"/>
  <c r="F446" i="10"/>
  <c r="E446" i="10"/>
  <c r="D446" i="10"/>
  <c r="C446" i="10"/>
  <c r="B446" i="10"/>
  <c r="L445" i="10"/>
  <c r="K445" i="10"/>
  <c r="J445" i="10"/>
  <c r="I445" i="10"/>
  <c r="H445" i="10"/>
  <c r="G445" i="10"/>
  <c r="F445" i="10"/>
  <c r="E445" i="10"/>
  <c r="D445" i="10"/>
  <c r="C445" i="10"/>
  <c r="B445" i="10"/>
  <c r="L444" i="10"/>
  <c r="K444" i="10"/>
  <c r="J444" i="10"/>
  <c r="I444" i="10"/>
  <c r="H444" i="10"/>
  <c r="G444" i="10"/>
  <c r="F444" i="10"/>
  <c r="E444" i="10"/>
  <c r="D444" i="10"/>
  <c r="C444" i="10"/>
  <c r="B444" i="10"/>
  <c r="L443" i="10"/>
  <c r="K443" i="10"/>
  <c r="J443" i="10"/>
  <c r="I443" i="10"/>
  <c r="H443" i="10"/>
  <c r="G443" i="10"/>
  <c r="F443" i="10"/>
  <c r="E443" i="10"/>
  <c r="D443" i="10"/>
  <c r="C443" i="10"/>
  <c r="B443" i="10"/>
  <c r="L442" i="10"/>
  <c r="K442" i="10"/>
  <c r="J442" i="10"/>
  <c r="I442" i="10"/>
  <c r="H442" i="10"/>
  <c r="G442" i="10"/>
  <c r="F442" i="10"/>
  <c r="E442" i="10"/>
  <c r="D442" i="10"/>
  <c r="C442" i="10"/>
  <c r="B442" i="10"/>
  <c r="L441" i="10"/>
  <c r="K441" i="10"/>
  <c r="J441" i="10"/>
  <c r="I441" i="10"/>
  <c r="H441" i="10"/>
  <c r="G441" i="10"/>
  <c r="F441" i="10"/>
  <c r="E441" i="10"/>
  <c r="D441" i="10"/>
  <c r="C441" i="10"/>
  <c r="B441" i="10"/>
  <c r="L440" i="10"/>
  <c r="K440" i="10"/>
  <c r="J440" i="10"/>
  <c r="I440" i="10"/>
  <c r="H440" i="10"/>
  <c r="G440" i="10"/>
  <c r="F440" i="10"/>
  <c r="E440" i="10"/>
  <c r="D440" i="10"/>
  <c r="C440" i="10"/>
  <c r="B440" i="10"/>
  <c r="L439" i="10"/>
  <c r="K439" i="10"/>
  <c r="J439" i="10"/>
  <c r="I439" i="10"/>
  <c r="H439" i="10"/>
  <c r="G439" i="10"/>
  <c r="F439" i="10"/>
  <c r="E439" i="10"/>
  <c r="D439" i="10"/>
  <c r="C439" i="10"/>
  <c r="B439" i="10"/>
  <c r="L438" i="10"/>
  <c r="K438" i="10"/>
  <c r="J438" i="10"/>
  <c r="I438" i="10"/>
  <c r="H438" i="10"/>
  <c r="G438" i="10"/>
  <c r="F438" i="10"/>
  <c r="E438" i="10"/>
  <c r="D438" i="10"/>
  <c r="C438" i="10"/>
  <c r="B438" i="10"/>
  <c r="L437" i="10"/>
  <c r="K437" i="10"/>
  <c r="J437" i="10"/>
  <c r="I437" i="10"/>
  <c r="H437" i="10"/>
  <c r="G437" i="10"/>
  <c r="F437" i="10"/>
  <c r="E437" i="10"/>
  <c r="D437" i="10"/>
  <c r="C437" i="10"/>
  <c r="B437" i="10"/>
  <c r="L436" i="10"/>
  <c r="K436" i="10"/>
  <c r="K447" i="10" s="1"/>
  <c r="J436" i="10"/>
  <c r="J447" i="10" s="1"/>
  <c r="I436" i="10"/>
  <c r="I447" i="10" s="1"/>
  <c r="H436" i="10"/>
  <c r="H447" i="10" s="1"/>
  <c r="G436" i="10"/>
  <c r="G447" i="10" s="1"/>
  <c r="F436" i="10"/>
  <c r="F447" i="10" s="1"/>
  <c r="K434" i="10" s="1"/>
  <c r="E436" i="10"/>
  <c r="E447" i="10" s="1"/>
  <c r="D436" i="10"/>
  <c r="C436" i="10"/>
  <c r="B436" i="10"/>
  <c r="M434" i="10"/>
  <c r="M433" i="10"/>
  <c r="L430" i="10"/>
  <c r="K430" i="10"/>
  <c r="J430" i="10"/>
  <c r="I430" i="10"/>
  <c r="H430" i="10"/>
  <c r="G430" i="10"/>
  <c r="F430" i="10"/>
  <c r="E430" i="10"/>
  <c r="D430" i="10"/>
  <c r="C430" i="10"/>
  <c r="B430" i="10"/>
  <c r="L429" i="10"/>
  <c r="K429" i="10"/>
  <c r="J429" i="10"/>
  <c r="I429" i="10"/>
  <c r="H429" i="10"/>
  <c r="G429" i="10"/>
  <c r="F429" i="10"/>
  <c r="E429" i="10"/>
  <c r="D429" i="10"/>
  <c r="C429" i="10"/>
  <c r="B429" i="10"/>
  <c r="L428" i="10"/>
  <c r="K428" i="10"/>
  <c r="J428" i="10"/>
  <c r="I428" i="10"/>
  <c r="H428" i="10"/>
  <c r="G428" i="10"/>
  <c r="F428" i="10"/>
  <c r="E428" i="10"/>
  <c r="D428" i="10"/>
  <c r="C428" i="10"/>
  <c r="B428" i="10"/>
  <c r="L427" i="10"/>
  <c r="K427" i="10"/>
  <c r="J427" i="10"/>
  <c r="I427" i="10"/>
  <c r="H427" i="10"/>
  <c r="G427" i="10"/>
  <c r="F427" i="10"/>
  <c r="E427" i="10"/>
  <c r="D427" i="10"/>
  <c r="C427" i="10"/>
  <c r="B427" i="10"/>
  <c r="L426" i="10"/>
  <c r="K426" i="10"/>
  <c r="J426" i="10"/>
  <c r="I426" i="10"/>
  <c r="H426" i="10"/>
  <c r="G426" i="10"/>
  <c r="F426" i="10"/>
  <c r="E426" i="10"/>
  <c r="D426" i="10"/>
  <c r="C426" i="10"/>
  <c r="B426" i="10"/>
  <c r="L425" i="10"/>
  <c r="K425" i="10"/>
  <c r="J425" i="10"/>
  <c r="I425" i="10"/>
  <c r="H425" i="10"/>
  <c r="G425" i="10"/>
  <c r="F425" i="10"/>
  <c r="E425" i="10"/>
  <c r="D425" i="10"/>
  <c r="C425" i="10"/>
  <c r="B425" i="10"/>
  <c r="L424" i="10"/>
  <c r="K424" i="10"/>
  <c r="J424" i="10"/>
  <c r="I424" i="10"/>
  <c r="H424" i="10"/>
  <c r="G424" i="10"/>
  <c r="F424" i="10"/>
  <c r="E424" i="10"/>
  <c r="D424" i="10"/>
  <c r="C424" i="10"/>
  <c r="B424" i="10"/>
  <c r="L423" i="10"/>
  <c r="K423" i="10"/>
  <c r="J423" i="10"/>
  <c r="I423" i="10"/>
  <c r="H423" i="10"/>
  <c r="G423" i="10"/>
  <c r="F423" i="10"/>
  <c r="E423" i="10"/>
  <c r="D423" i="10"/>
  <c r="C423" i="10"/>
  <c r="B423" i="10"/>
  <c r="L422" i="10"/>
  <c r="K422" i="10"/>
  <c r="J422" i="10"/>
  <c r="I422" i="10"/>
  <c r="H422" i="10"/>
  <c r="G422" i="10"/>
  <c r="F422" i="10"/>
  <c r="E422" i="10"/>
  <c r="D422" i="10"/>
  <c r="C422" i="10"/>
  <c r="B422" i="10"/>
  <c r="L421" i="10"/>
  <c r="K421" i="10"/>
  <c r="J421" i="10"/>
  <c r="I421" i="10"/>
  <c r="H421" i="10"/>
  <c r="G421" i="10"/>
  <c r="F421" i="10"/>
  <c r="E421" i="10"/>
  <c r="D421" i="10"/>
  <c r="C421" i="10"/>
  <c r="B421" i="10"/>
  <c r="L420" i="10"/>
  <c r="L431" i="10" s="1"/>
  <c r="K420" i="10"/>
  <c r="K431" i="10" s="1"/>
  <c r="J420" i="10"/>
  <c r="J431" i="10" s="1"/>
  <c r="I420" i="10"/>
  <c r="I431" i="10" s="1"/>
  <c r="H420" i="10"/>
  <c r="H431" i="10" s="1"/>
  <c r="G420" i="10"/>
  <c r="G431" i="10" s="1"/>
  <c r="F420" i="10"/>
  <c r="F431" i="10" s="1"/>
  <c r="K418" i="10" s="1"/>
  <c r="E420" i="10"/>
  <c r="E431" i="10" s="1"/>
  <c r="D420" i="10"/>
  <c r="C420" i="10"/>
  <c r="B420" i="10"/>
  <c r="M418" i="10"/>
  <c r="M417" i="10"/>
  <c r="H415" i="10"/>
  <c r="L414" i="10"/>
  <c r="K414" i="10"/>
  <c r="J414" i="10"/>
  <c r="I414" i="10"/>
  <c r="H414" i="10"/>
  <c r="G414" i="10"/>
  <c r="F414" i="10"/>
  <c r="E414" i="10"/>
  <c r="D414" i="10"/>
  <c r="C414" i="10"/>
  <c r="B414" i="10"/>
  <c r="L413" i="10"/>
  <c r="K413" i="10"/>
  <c r="J413" i="10"/>
  <c r="I413" i="10"/>
  <c r="H413" i="10"/>
  <c r="G413" i="10"/>
  <c r="F413" i="10"/>
  <c r="E413" i="10"/>
  <c r="D413" i="10"/>
  <c r="C413" i="10"/>
  <c r="B413" i="10"/>
  <c r="L412" i="10"/>
  <c r="K412" i="10"/>
  <c r="J412" i="10"/>
  <c r="I412" i="10"/>
  <c r="H412" i="10"/>
  <c r="G412" i="10"/>
  <c r="F412" i="10"/>
  <c r="E412" i="10"/>
  <c r="D412" i="10"/>
  <c r="C412" i="10"/>
  <c r="B412" i="10"/>
  <c r="L411" i="10"/>
  <c r="K411" i="10"/>
  <c r="J411" i="10"/>
  <c r="I411" i="10"/>
  <c r="H411" i="10"/>
  <c r="G411" i="10"/>
  <c r="F411" i="10"/>
  <c r="E411" i="10"/>
  <c r="D411" i="10"/>
  <c r="C411" i="10"/>
  <c r="B411" i="10"/>
  <c r="L410" i="10"/>
  <c r="K410" i="10"/>
  <c r="J410" i="10"/>
  <c r="I410" i="10"/>
  <c r="H410" i="10"/>
  <c r="G410" i="10"/>
  <c r="F410" i="10"/>
  <c r="E410" i="10"/>
  <c r="D410" i="10"/>
  <c r="C410" i="10"/>
  <c r="B410" i="10"/>
  <c r="L409" i="10"/>
  <c r="K409" i="10"/>
  <c r="J409" i="10"/>
  <c r="I409" i="10"/>
  <c r="H409" i="10"/>
  <c r="G409" i="10"/>
  <c r="F409" i="10"/>
  <c r="E409" i="10"/>
  <c r="D409" i="10"/>
  <c r="C409" i="10"/>
  <c r="B409" i="10"/>
  <c r="L408" i="10"/>
  <c r="K408" i="10"/>
  <c r="J408" i="10"/>
  <c r="I408" i="10"/>
  <c r="H408" i="10"/>
  <c r="G408" i="10"/>
  <c r="F408" i="10"/>
  <c r="E408" i="10"/>
  <c r="D408" i="10"/>
  <c r="C408" i="10"/>
  <c r="B408" i="10"/>
  <c r="L407" i="10"/>
  <c r="K407" i="10"/>
  <c r="J407" i="10"/>
  <c r="I407" i="10"/>
  <c r="H407" i="10"/>
  <c r="G407" i="10"/>
  <c r="F407" i="10"/>
  <c r="E407" i="10"/>
  <c r="D407" i="10"/>
  <c r="C407" i="10"/>
  <c r="B407" i="10"/>
  <c r="L406" i="10"/>
  <c r="K406" i="10"/>
  <c r="J406" i="10"/>
  <c r="I406" i="10"/>
  <c r="H406" i="10"/>
  <c r="G406" i="10"/>
  <c r="F406" i="10"/>
  <c r="E406" i="10"/>
  <c r="D406" i="10"/>
  <c r="C406" i="10"/>
  <c r="B406" i="10"/>
  <c r="L405" i="10"/>
  <c r="K405" i="10"/>
  <c r="J405" i="10"/>
  <c r="I405" i="10"/>
  <c r="H405" i="10"/>
  <c r="G405" i="10"/>
  <c r="F405" i="10"/>
  <c r="E405" i="10"/>
  <c r="D405" i="10"/>
  <c r="C405" i="10"/>
  <c r="B405" i="10"/>
  <c r="L404" i="10"/>
  <c r="L415" i="10" s="1"/>
  <c r="K404" i="10"/>
  <c r="K415" i="10" s="1"/>
  <c r="J404" i="10"/>
  <c r="J415" i="10" s="1"/>
  <c r="I404" i="10"/>
  <c r="I415" i="10" s="1"/>
  <c r="H404" i="10"/>
  <c r="G404" i="10"/>
  <c r="G415" i="10" s="1"/>
  <c r="F404" i="10"/>
  <c r="F415" i="10" s="1"/>
  <c r="K402" i="10" s="1"/>
  <c r="E404" i="10"/>
  <c r="E415" i="10" s="1"/>
  <c r="D404" i="10"/>
  <c r="C404" i="10"/>
  <c r="B404" i="10"/>
  <c r="M402" i="10"/>
  <c r="M401" i="10"/>
  <c r="L398" i="10"/>
  <c r="K398" i="10"/>
  <c r="J398" i="10"/>
  <c r="I398" i="10"/>
  <c r="H398" i="10"/>
  <c r="G398" i="10"/>
  <c r="F398" i="10"/>
  <c r="E398" i="10"/>
  <c r="D398" i="10"/>
  <c r="C398" i="10"/>
  <c r="B398" i="10"/>
  <c r="L397" i="10"/>
  <c r="K397" i="10"/>
  <c r="J397" i="10"/>
  <c r="I397" i="10"/>
  <c r="H397" i="10"/>
  <c r="G397" i="10"/>
  <c r="F397" i="10"/>
  <c r="E397" i="10"/>
  <c r="D397" i="10"/>
  <c r="C397" i="10"/>
  <c r="B397" i="10"/>
  <c r="L396" i="10"/>
  <c r="K396" i="10"/>
  <c r="J396" i="10"/>
  <c r="I396" i="10"/>
  <c r="H396" i="10"/>
  <c r="G396" i="10"/>
  <c r="F396" i="10"/>
  <c r="E396" i="10"/>
  <c r="D396" i="10"/>
  <c r="C396" i="10"/>
  <c r="B396" i="10"/>
  <c r="L395" i="10"/>
  <c r="K395" i="10"/>
  <c r="J395" i="10"/>
  <c r="I395" i="10"/>
  <c r="H395" i="10"/>
  <c r="G395" i="10"/>
  <c r="F395" i="10"/>
  <c r="E395" i="10"/>
  <c r="D395" i="10"/>
  <c r="C395" i="10"/>
  <c r="B395" i="10"/>
  <c r="L394" i="10"/>
  <c r="K394" i="10"/>
  <c r="J394" i="10"/>
  <c r="I394" i="10"/>
  <c r="H394" i="10"/>
  <c r="G394" i="10"/>
  <c r="F394" i="10"/>
  <c r="E394" i="10"/>
  <c r="D394" i="10"/>
  <c r="C394" i="10"/>
  <c r="B394" i="10"/>
  <c r="L393" i="10"/>
  <c r="K393" i="10"/>
  <c r="J393" i="10"/>
  <c r="I393" i="10"/>
  <c r="H393" i="10"/>
  <c r="G393" i="10"/>
  <c r="F393" i="10"/>
  <c r="E393" i="10"/>
  <c r="D393" i="10"/>
  <c r="C393" i="10"/>
  <c r="B393" i="10"/>
  <c r="L392" i="10"/>
  <c r="K392" i="10"/>
  <c r="J392" i="10"/>
  <c r="I392" i="10"/>
  <c r="H392" i="10"/>
  <c r="G392" i="10"/>
  <c r="F392" i="10"/>
  <c r="E392" i="10"/>
  <c r="D392" i="10"/>
  <c r="C392" i="10"/>
  <c r="B392" i="10"/>
  <c r="L391" i="10"/>
  <c r="K391" i="10"/>
  <c r="J391" i="10"/>
  <c r="I391" i="10"/>
  <c r="H391" i="10"/>
  <c r="G391" i="10"/>
  <c r="F391" i="10"/>
  <c r="E391" i="10"/>
  <c r="D391" i="10"/>
  <c r="C391" i="10"/>
  <c r="B391" i="10"/>
  <c r="L390" i="10"/>
  <c r="K390" i="10"/>
  <c r="J390" i="10"/>
  <c r="I390" i="10"/>
  <c r="H390" i="10"/>
  <c r="G390" i="10"/>
  <c r="F390" i="10"/>
  <c r="E390" i="10"/>
  <c r="D390" i="10"/>
  <c r="C390" i="10"/>
  <c r="B390" i="10"/>
  <c r="L389" i="10"/>
  <c r="K389" i="10"/>
  <c r="J389" i="10"/>
  <c r="I389" i="10"/>
  <c r="H389" i="10"/>
  <c r="G389" i="10"/>
  <c r="F389" i="10"/>
  <c r="E389" i="10"/>
  <c r="D389" i="10"/>
  <c r="C389" i="10"/>
  <c r="B389" i="10"/>
  <c r="L388" i="10"/>
  <c r="L399" i="10" s="1"/>
  <c r="K388" i="10"/>
  <c r="K399" i="10" s="1"/>
  <c r="J388" i="10"/>
  <c r="J399" i="10" s="1"/>
  <c r="I388" i="10"/>
  <c r="I399" i="10" s="1"/>
  <c r="H388" i="10"/>
  <c r="H399" i="10" s="1"/>
  <c r="G388" i="10"/>
  <c r="G399" i="10" s="1"/>
  <c r="F388" i="10"/>
  <c r="F399" i="10" s="1"/>
  <c r="K386" i="10" s="1"/>
  <c r="E388" i="10"/>
  <c r="E399" i="10" s="1"/>
  <c r="D388" i="10"/>
  <c r="C388" i="10"/>
  <c r="B388" i="10"/>
  <c r="M386" i="10"/>
  <c r="M385" i="10"/>
  <c r="L382" i="10"/>
  <c r="K382" i="10"/>
  <c r="J382" i="10"/>
  <c r="I382" i="10"/>
  <c r="H382" i="10"/>
  <c r="G382" i="10"/>
  <c r="F382" i="10"/>
  <c r="E382" i="10"/>
  <c r="D382" i="10"/>
  <c r="C382" i="10"/>
  <c r="B382" i="10"/>
  <c r="L381" i="10"/>
  <c r="K381" i="10"/>
  <c r="J381" i="10"/>
  <c r="I381" i="10"/>
  <c r="H381" i="10"/>
  <c r="G381" i="10"/>
  <c r="F381" i="10"/>
  <c r="E381" i="10"/>
  <c r="D381" i="10"/>
  <c r="C381" i="10"/>
  <c r="B381" i="10"/>
  <c r="L380" i="10"/>
  <c r="K380" i="10"/>
  <c r="J380" i="10"/>
  <c r="I380" i="10"/>
  <c r="H380" i="10"/>
  <c r="G380" i="10"/>
  <c r="F380" i="10"/>
  <c r="E380" i="10"/>
  <c r="D380" i="10"/>
  <c r="C380" i="10"/>
  <c r="B380" i="10"/>
  <c r="L379" i="10"/>
  <c r="K379" i="10"/>
  <c r="J379" i="10"/>
  <c r="I379" i="10"/>
  <c r="H379" i="10"/>
  <c r="G379" i="10"/>
  <c r="F379" i="10"/>
  <c r="E379" i="10"/>
  <c r="D379" i="10"/>
  <c r="C379" i="10"/>
  <c r="B379" i="10"/>
  <c r="L378" i="10"/>
  <c r="K378" i="10"/>
  <c r="J378" i="10"/>
  <c r="I378" i="10"/>
  <c r="H378" i="10"/>
  <c r="G378" i="10"/>
  <c r="F378" i="10"/>
  <c r="E378" i="10"/>
  <c r="D378" i="10"/>
  <c r="C378" i="10"/>
  <c r="B378" i="10"/>
  <c r="L377" i="10"/>
  <c r="K377" i="10"/>
  <c r="J377" i="10"/>
  <c r="I377" i="10"/>
  <c r="H377" i="10"/>
  <c r="G377" i="10"/>
  <c r="F377" i="10"/>
  <c r="E377" i="10"/>
  <c r="D377" i="10"/>
  <c r="C377" i="10"/>
  <c r="B377" i="10"/>
  <c r="L376" i="10"/>
  <c r="K376" i="10"/>
  <c r="J376" i="10"/>
  <c r="I376" i="10"/>
  <c r="H376" i="10"/>
  <c r="G376" i="10"/>
  <c r="F376" i="10"/>
  <c r="E376" i="10"/>
  <c r="D376" i="10"/>
  <c r="C376" i="10"/>
  <c r="B376" i="10"/>
  <c r="L375" i="10"/>
  <c r="K375" i="10"/>
  <c r="J375" i="10"/>
  <c r="I375" i="10"/>
  <c r="H375" i="10"/>
  <c r="G375" i="10"/>
  <c r="F375" i="10"/>
  <c r="E375" i="10"/>
  <c r="D375" i="10"/>
  <c r="C375" i="10"/>
  <c r="B375" i="10"/>
  <c r="L374" i="10"/>
  <c r="K374" i="10"/>
  <c r="J374" i="10"/>
  <c r="I374" i="10"/>
  <c r="H374" i="10"/>
  <c r="G374" i="10"/>
  <c r="F374" i="10"/>
  <c r="E374" i="10"/>
  <c r="D374" i="10"/>
  <c r="C374" i="10"/>
  <c r="B374" i="10"/>
  <c r="L373" i="10"/>
  <c r="K373" i="10"/>
  <c r="J373" i="10"/>
  <c r="I373" i="10"/>
  <c r="H373" i="10"/>
  <c r="G373" i="10"/>
  <c r="F373" i="10"/>
  <c r="E373" i="10"/>
  <c r="D373" i="10"/>
  <c r="C373" i="10"/>
  <c r="B373" i="10"/>
  <c r="L372" i="10"/>
  <c r="L383" i="10" s="1"/>
  <c r="K372" i="10"/>
  <c r="K383" i="10" s="1"/>
  <c r="J372" i="10"/>
  <c r="J383" i="10" s="1"/>
  <c r="I372" i="10"/>
  <c r="I383" i="10" s="1"/>
  <c r="H372" i="10"/>
  <c r="H383" i="10" s="1"/>
  <c r="G372" i="10"/>
  <c r="G383" i="10" s="1"/>
  <c r="F372" i="10"/>
  <c r="F383" i="10" s="1"/>
  <c r="K370" i="10" s="1"/>
  <c r="E372" i="10"/>
  <c r="E383" i="10" s="1"/>
  <c r="D372" i="10"/>
  <c r="C372" i="10"/>
  <c r="B372" i="10"/>
  <c r="M370" i="10"/>
  <c r="M369" i="10"/>
  <c r="L366" i="10"/>
  <c r="K366" i="10"/>
  <c r="J366" i="10"/>
  <c r="I366" i="10"/>
  <c r="H366" i="10"/>
  <c r="G366" i="10"/>
  <c r="F366" i="10"/>
  <c r="E366" i="10"/>
  <c r="D366" i="10"/>
  <c r="C366" i="10"/>
  <c r="B366" i="10"/>
  <c r="L365" i="10"/>
  <c r="K365" i="10"/>
  <c r="J365" i="10"/>
  <c r="I365" i="10"/>
  <c r="H365" i="10"/>
  <c r="G365" i="10"/>
  <c r="F365" i="10"/>
  <c r="E365" i="10"/>
  <c r="D365" i="10"/>
  <c r="C365" i="10"/>
  <c r="B365" i="10"/>
  <c r="L364" i="10"/>
  <c r="K364" i="10"/>
  <c r="J364" i="10"/>
  <c r="I364" i="10"/>
  <c r="H364" i="10"/>
  <c r="G364" i="10"/>
  <c r="F364" i="10"/>
  <c r="E364" i="10"/>
  <c r="D364" i="10"/>
  <c r="C364" i="10"/>
  <c r="B364" i="10"/>
  <c r="L363" i="10"/>
  <c r="K363" i="10"/>
  <c r="J363" i="10"/>
  <c r="I363" i="10"/>
  <c r="H363" i="10"/>
  <c r="G363" i="10"/>
  <c r="F363" i="10"/>
  <c r="E363" i="10"/>
  <c r="D363" i="10"/>
  <c r="C363" i="10"/>
  <c r="B363" i="10"/>
  <c r="L362" i="10"/>
  <c r="K362" i="10"/>
  <c r="J362" i="10"/>
  <c r="I362" i="10"/>
  <c r="H362" i="10"/>
  <c r="G362" i="10"/>
  <c r="F362" i="10"/>
  <c r="E362" i="10"/>
  <c r="D362" i="10"/>
  <c r="C362" i="10"/>
  <c r="B362" i="10"/>
  <c r="L361" i="10"/>
  <c r="K361" i="10"/>
  <c r="J361" i="10"/>
  <c r="I361" i="10"/>
  <c r="H361" i="10"/>
  <c r="G361" i="10"/>
  <c r="F361" i="10"/>
  <c r="E361" i="10"/>
  <c r="D361" i="10"/>
  <c r="C361" i="10"/>
  <c r="B361" i="10"/>
  <c r="L360" i="10"/>
  <c r="K360" i="10"/>
  <c r="J360" i="10"/>
  <c r="I360" i="10"/>
  <c r="H360" i="10"/>
  <c r="G360" i="10"/>
  <c r="F360" i="10"/>
  <c r="E360" i="10"/>
  <c r="D360" i="10"/>
  <c r="C360" i="10"/>
  <c r="B360" i="10"/>
  <c r="L359" i="10"/>
  <c r="K359" i="10"/>
  <c r="J359" i="10"/>
  <c r="I359" i="10"/>
  <c r="H359" i="10"/>
  <c r="G359" i="10"/>
  <c r="F359" i="10"/>
  <c r="E359" i="10"/>
  <c r="D359" i="10"/>
  <c r="C359" i="10"/>
  <c r="B359" i="10"/>
  <c r="L358" i="10"/>
  <c r="K358" i="10"/>
  <c r="J358" i="10"/>
  <c r="I358" i="10"/>
  <c r="H358" i="10"/>
  <c r="G358" i="10"/>
  <c r="F358" i="10"/>
  <c r="E358" i="10"/>
  <c r="D358" i="10"/>
  <c r="C358" i="10"/>
  <c r="B358" i="10"/>
  <c r="L357" i="10"/>
  <c r="K357" i="10"/>
  <c r="J357" i="10"/>
  <c r="I357" i="10"/>
  <c r="H357" i="10"/>
  <c r="G357" i="10"/>
  <c r="F357" i="10"/>
  <c r="E357" i="10"/>
  <c r="D357" i="10"/>
  <c r="C357" i="10"/>
  <c r="B357" i="10"/>
  <c r="L356" i="10"/>
  <c r="L367" i="10" s="1"/>
  <c r="K356" i="10"/>
  <c r="K367" i="10" s="1"/>
  <c r="J356" i="10"/>
  <c r="J367" i="10" s="1"/>
  <c r="I356" i="10"/>
  <c r="I367" i="10" s="1"/>
  <c r="H356" i="10"/>
  <c r="H367" i="10" s="1"/>
  <c r="G356" i="10"/>
  <c r="G367" i="10" s="1"/>
  <c r="F356" i="10"/>
  <c r="F367" i="10" s="1"/>
  <c r="K354" i="10" s="1"/>
  <c r="E356" i="10"/>
  <c r="E367" i="10" s="1"/>
  <c r="D356" i="10"/>
  <c r="C356" i="10"/>
  <c r="B356" i="10"/>
  <c r="M354" i="10"/>
  <c r="M353" i="10"/>
  <c r="H351" i="10"/>
  <c r="L350" i="10"/>
  <c r="K350" i="10"/>
  <c r="J350" i="10"/>
  <c r="I350" i="10"/>
  <c r="H350" i="10"/>
  <c r="G350" i="10"/>
  <c r="F350" i="10"/>
  <c r="E350" i="10"/>
  <c r="D350" i="10"/>
  <c r="C350" i="10"/>
  <c r="B350" i="10"/>
  <c r="L349" i="10"/>
  <c r="K349" i="10"/>
  <c r="J349" i="10"/>
  <c r="I349" i="10"/>
  <c r="H349" i="10"/>
  <c r="G349" i="10"/>
  <c r="F349" i="10"/>
  <c r="E349" i="10"/>
  <c r="D349" i="10"/>
  <c r="C349" i="10"/>
  <c r="B349" i="10"/>
  <c r="L348" i="10"/>
  <c r="K348" i="10"/>
  <c r="J348" i="10"/>
  <c r="I348" i="10"/>
  <c r="H348" i="10"/>
  <c r="G348" i="10"/>
  <c r="F348" i="10"/>
  <c r="E348" i="10"/>
  <c r="D348" i="10"/>
  <c r="C348" i="10"/>
  <c r="B348" i="10"/>
  <c r="L347" i="10"/>
  <c r="K347" i="10"/>
  <c r="J347" i="10"/>
  <c r="I347" i="10"/>
  <c r="H347" i="10"/>
  <c r="G347" i="10"/>
  <c r="F347" i="10"/>
  <c r="E347" i="10"/>
  <c r="D347" i="10"/>
  <c r="C347" i="10"/>
  <c r="B347" i="10"/>
  <c r="L346" i="10"/>
  <c r="K346" i="10"/>
  <c r="J346" i="10"/>
  <c r="I346" i="10"/>
  <c r="H346" i="10"/>
  <c r="G346" i="10"/>
  <c r="F346" i="10"/>
  <c r="E346" i="10"/>
  <c r="D346" i="10"/>
  <c r="C346" i="10"/>
  <c r="B346" i="10"/>
  <c r="L345" i="10"/>
  <c r="K345" i="10"/>
  <c r="J345" i="10"/>
  <c r="I345" i="10"/>
  <c r="H345" i="10"/>
  <c r="G345" i="10"/>
  <c r="F345" i="10"/>
  <c r="E345" i="10"/>
  <c r="D345" i="10"/>
  <c r="C345" i="10"/>
  <c r="B345" i="10"/>
  <c r="L344" i="10"/>
  <c r="K344" i="10"/>
  <c r="J344" i="10"/>
  <c r="I344" i="10"/>
  <c r="H344" i="10"/>
  <c r="G344" i="10"/>
  <c r="F344" i="10"/>
  <c r="E344" i="10"/>
  <c r="D344" i="10"/>
  <c r="C344" i="10"/>
  <c r="B344" i="10"/>
  <c r="L343" i="10"/>
  <c r="K343" i="10"/>
  <c r="J343" i="10"/>
  <c r="I343" i="10"/>
  <c r="H343" i="10"/>
  <c r="G343" i="10"/>
  <c r="F343" i="10"/>
  <c r="E343" i="10"/>
  <c r="D343" i="10"/>
  <c r="C343" i="10"/>
  <c r="B343" i="10"/>
  <c r="L342" i="10"/>
  <c r="K342" i="10"/>
  <c r="J342" i="10"/>
  <c r="I342" i="10"/>
  <c r="H342" i="10"/>
  <c r="G342" i="10"/>
  <c r="F342" i="10"/>
  <c r="E342" i="10"/>
  <c r="D342" i="10"/>
  <c r="C342" i="10"/>
  <c r="B342" i="10"/>
  <c r="L341" i="10"/>
  <c r="K341" i="10"/>
  <c r="J341" i="10"/>
  <c r="I341" i="10"/>
  <c r="H341" i="10"/>
  <c r="G341" i="10"/>
  <c r="F341" i="10"/>
  <c r="E341" i="10"/>
  <c r="D341" i="10"/>
  <c r="C341" i="10"/>
  <c r="B341" i="10"/>
  <c r="L340" i="10"/>
  <c r="L351" i="10" s="1"/>
  <c r="K340" i="10"/>
  <c r="K351" i="10" s="1"/>
  <c r="J340" i="10"/>
  <c r="J351" i="10" s="1"/>
  <c r="I340" i="10"/>
  <c r="I351" i="10" s="1"/>
  <c r="H340" i="10"/>
  <c r="G340" i="10"/>
  <c r="G351" i="10" s="1"/>
  <c r="F340" i="10"/>
  <c r="F351" i="10" s="1"/>
  <c r="K338" i="10" s="1"/>
  <c r="E340" i="10"/>
  <c r="E351" i="10" s="1"/>
  <c r="D340" i="10"/>
  <c r="C340" i="10"/>
  <c r="B340" i="10"/>
  <c r="M338" i="10"/>
  <c r="M337" i="10"/>
  <c r="L334" i="10"/>
  <c r="K334" i="10"/>
  <c r="J334" i="10"/>
  <c r="I334" i="10"/>
  <c r="H334" i="10"/>
  <c r="G334" i="10"/>
  <c r="F334" i="10"/>
  <c r="E334" i="10"/>
  <c r="D334" i="10"/>
  <c r="C334" i="10"/>
  <c r="B334" i="10"/>
  <c r="L333" i="10"/>
  <c r="K333" i="10"/>
  <c r="J333" i="10"/>
  <c r="I333" i="10"/>
  <c r="H333" i="10"/>
  <c r="G333" i="10"/>
  <c r="F333" i="10"/>
  <c r="E333" i="10"/>
  <c r="D333" i="10"/>
  <c r="C333" i="10"/>
  <c r="B333" i="10"/>
  <c r="L332" i="10"/>
  <c r="K332" i="10"/>
  <c r="J332" i="10"/>
  <c r="I332" i="10"/>
  <c r="H332" i="10"/>
  <c r="G332" i="10"/>
  <c r="F332" i="10"/>
  <c r="E332" i="10"/>
  <c r="D332" i="10"/>
  <c r="C332" i="10"/>
  <c r="B332" i="10"/>
  <c r="L331" i="10"/>
  <c r="K331" i="10"/>
  <c r="J331" i="10"/>
  <c r="I331" i="10"/>
  <c r="H331" i="10"/>
  <c r="G331" i="10"/>
  <c r="F331" i="10"/>
  <c r="E331" i="10"/>
  <c r="D331" i="10"/>
  <c r="C331" i="10"/>
  <c r="B331" i="10"/>
  <c r="L330" i="10"/>
  <c r="K330" i="10"/>
  <c r="J330" i="10"/>
  <c r="I330" i="10"/>
  <c r="H330" i="10"/>
  <c r="G330" i="10"/>
  <c r="F330" i="10"/>
  <c r="E330" i="10"/>
  <c r="D330" i="10"/>
  <c r="C330" i="10"/>
  <c r="B330" i="10"/>
  <c r="L329" i="10"/>
  <c r="K329" i="10"/>
  <c r="J329" i="10"/>
  <c r="I329" i="10"/>
  <c r="H329" i="10"/>
  <c r="G329" i="10"/>
  <c r="F329" i="10"/>
  <c r="E329" i="10"/>
  <c r="D329" i="10"/>
  <c r="C329" i="10"/>
  <c r="B329" i="10"/>
  <c r="L328" i="10"/>
  <c r="K328" i="10"/>
  <c r="J328" i="10"/>
  <c r="I328" i="10"/>
  <c r="H328" i="10"/>
  <c r="G328" i="10"/>
  <c r="F328" i="10"/>
  <c r="E328" i="10"/>
  <c r="D328" i="10"/>
  <c r="C328" i="10"/>
  <c r="B328" i="10"/>
  <c r="L327" i="10"/>
  <c r="K327" i="10"/>
  <c r="J327" i="10"/>
  <c r="I327" i="10"/>
  <c r="H327" i="10"/>
  <c r="G327" i="10"/>
  <c r="F327" i="10"/>
  <c r="E327" i="10"/>
  <c r="D327" i="10"/>
  <c r="C327" i="10"/>
  <c r="B327" i="10"/>
  <c r="L326" i="10"/>
  <c r="K326" i="10"/>
  <c r="J326" i="10"/>
  <c r="I326" i="10"/>
  <c r="H326" i="10"/>
  <c r="G326" i="10"/>
  <c r="F326" i="10"/>
  <c r="E326" i="10"/>
  <c r="D326" i="10"/>
  <c r="C326" i="10"/>
  <c r="B326" i="10"/>
  <c r="L325" i="10"/>
  <c r="K325" i="10"/>
  <c r="J325" i="10"/>
  <c r="I325" i="10"/>
  <c r="H325" i="10"/>
  <c r="G325" i="10"/>
  <c r="F325" i="10"/>
  <c r="E325" i="10"/>
  <c r="D325" i="10"/>
  <c r="C325" i="10"/>
  <c r="B325" i="10"/>
  <c r="L324" i="10"/>
  <c r="L335" i="10" s="1"/>
  <c r="K324" i="10"/>
  <c r="K335" i="10" s="1"/>
  <c r="J324" i="10"/>
  <c r="J335" i="10" s="1"/>
  <c r="I324" i="10"/>
  <c r="I335" i="10" s="1"/>
  <c r="H324" i="10"/>
  <c r="H335" i="10" s="1"/>
  <c r="G324" i="10"/>
  <c r="G335" i="10" s="1"/>
  <c r="F324" i="10"/>
  <c r="F335" i="10" s="1"/>
  <c r="K322" i="10" s="1"/>
  <c r="E324" i="10"/>
  <c r="E335" i="10" s="1"/>
  <c r="D324" i="10"/>
  <c r="C324" i="10"/>
  <c r="B324" i="10"/>
  <c r="M322" i="10"/>
  <c r="M321" i="10"/>
  <c r="L318" i="10"/>
  <c r="K318" i="10"/>
  <c r="J318" i="10"/>
  <c r="I318" i="10"/>
  <c r="H318" i="10"/>
  <c r="G318" i="10"/>
  <c r="F318" i="10"/>
  <c r="E318" i="10"/>
  <c r="D318" i="10"/>
  <c r="C318" i="10"/>
  <c r="B318" i="10"/>
  <c r="L317" i="10"/>
  <c r="K317" i="10"/>
  <c r="J317" i="10"/>
  <c r="I317" i="10"/>
  <c r="H317" i="10"/>
  <c r="G317" i="10"/>
  <c r="F317" i="10"/>
  <c r="E317" i="10"/>
  <c r="D317" i="10"/>
  <c r="C317" i="10"/>
  <c r="B317" i="10"/>
  <c r="L316" i="10"/>
  <c r="K316" i="10"/>
  <c r="J316" i="10"/>
  <c r="I316" i="10"/>
  <c r="H316" i="10"/>
  <c r="G316" i="10"/>
  <c r="F316" i="10"/>
  <c r="E316" i="10"/>
  <c r="D316" i="10"/>
  <c r="C316" i="10"/>
  <c r="B316" i="10"/>
  <c r="L315" i="10"/>
  <c r="K315" i="10"/>
  <c r="J315" i="10"/>
  <c r="I315" i="10"/>
  <c r="H315" i="10"/>
  <c r="G315" i="10"/>
  <c r="F315" i="10"/>
  <c r="E315" i="10"/>
  <c r="D315" i="10"/>
  <c r="C315" i="10"/>
  <c r="B315" i="10"/>
  <c r="L314" i="10"/>
  <c r="K314" i="10"/>
  <c r="J314" i="10"/>
  <c r="I314" i="10"/>
  <c r="H314" i="10"/>
  <c r="G314" i="10"/>
  <c r="F314" i="10"/>
  <c r="E314" i="10"/>
  <c r="D314" i="10"/>
  <c r="C314" i="10"/>
  <c r="B314" i="10"/>
  <c r="L313" i="10"/>
  <c r="K313" i="10"/>
  <c r="J313" i="10"/>
  <c r="I313" i="10"/>
  <c r="H313" i="10"/>
  <c r="G313" i="10"/>
  <c r="F313" i="10"/>
  <c r="E313" i="10"/>
  <c r="D313" i="10"/>
  <c r="C313" i="10"/>
  <c r="B313" i="10"/>
  <c r="L312" i="10"/>
  <c r="K312" i="10"/>
  <c r="J312" i="10"/>
  <c r="I312" i="10"/>
  <c r="H312" i="10"/>
  <c r="G312" i="10"/>
  <c r="F312" i="10"/>
  <c r="E312" i="10"/>
  <c r="D312" i="10"/>
  <c r="C312" i="10"/>
  <c r="B312" i="10"/>
  <c r="L311" i="10"/>
  <c r="K311" i="10"/>
  <c r="J311" i="10"/>
  <c r="I311" i="10"/>
  <c r="H311" i="10"/>
  <c r="G311" i="10"/>
  <c r="F311" i="10"/>
  <c r="E311" i="10"/>
  <c r="D311" i="10"/>
  <c r="C311" i="10"/>
  <c r="B311" i="10"/>
  <c r="L310" i="10"/>
  <c r="K310" i="10"/>
  <c r="J310" i="10"/>
  <c r="I310" i="10"/>
  <c r="H310" i="10"/>
  <c r="G310" i="10"/>
  <c r="F310" i="10"/>
  <c r="E310" i="10"/>
  <c r="D310" i="10"/>
  <c r="C310" i="10"/>
  <c r="B310" i="10"/>
  <c r="L309" i="10"/>
  <c r="K309" i="10"/>
  <c r="J309" i="10"/>
  <c r="I309" i="10"/>
  <c r="H309" i="10"/>
  <c r="G309" i="10"/>
  <c r="F309" i="10"/>
  <c r="E309" i="10"/>
  <c r="D309" i="10"/>
  <c r="C309" i="10"/>
  <c r="B309" i="10"/>
  <c r="L308" i="10"/>
  <c r="L319" i="10" s="1"/>
  <c r="K308" i="10"/>
  <c r="K319" i="10" s="1"/>
  <c r="J308" i="10"/>
  <c r="J319" i="10" s="1"/>
  <c r="I308" i="10"/>
  <c r="I319" i="10" s="1"/>
  <c r="H308" i="10"/>
  <c r="H319" i="10" s="1"/>
  <c r="G308" i="10"/>
  <c r="G319" i="10" s="1"/>
  <c r="F308" i="10"/>
  <c r="F319" i="10" s="1"/>
  <c r="K306" i="10" s="1"/>
  <c r="E308" i="10"/>
  <c r="E319" i="10" s="1"/>
  <c r="D308" i="10"/>
  <c r="C308" i="10"/>
  <c r="B308" i="10"/>
  <c r="M306" i="10"/>
  <c r="M305" i="10"/>
  <c r="L302" i="10"/>
  <c r="K302" i="10"/>
  <c r="J302" i="10"/>
  <c r="I302" i="10"/>
  <c r="H302" i="10"/>
  <c r="G302" i="10"/>
  <c r="F302" i="10"/>
  <c r="E302" i="10"/>
  <c r="D302" i="10"/>
  <c r="C302" i="10"/>
  <c r="B302" i="10"/>
  <c r="L301" i="10"/>
  <c r="K301" i="10"/>
  <c r="J301" i="10"/>
  <c r="I301" i="10"/>
  <c r="H301" i="10"/>
  <c r="G301" i="10"/>
  <c r="F301" i="10"/>
  <c r="E301" i="10"/>
  <c r="D301" i="10"/>
  <c r="C301" i="10"/>
  <c r="B301" i="10"/>
  <c r="L300" i="10"/>
  <c r="K300" i="10"/>
  <c r="J300" i="10"/>
  <c r="I300" i="10"/>
  <c r="H300" i="10"/>
  <c r="G300" i="10"/>
  <c r="F300" i="10"/>
  <c r="E300" i="10"/>
  <c r="D300" i="10"/>
  <c r="C300" i="10"/>
  <c r="B300" i="10"/>
  <c r="L299" i="10"/>
  <c r="K299" i="10"/>
  <c r="J299" i="10"/>
  <c r="I299" i="10"/>
  <c r="H299" i="10"/>
  <c r="G299" i="10"/>
  <c r="F299" i="10"/>
  <c r="E299" i="10"/>
  <c r="D299" i="10"/>
  <c r="C299" i="10"/>
  <c r="B299" i="10"/>
  <c r="L298" i="10"/>
  <c r="K298" i="10"/>
  <c r="J298" i="10"/>
  <c r="I298" i="10"/>
  <c r="H298" i="10"/>
  <c r="G298" i="10"/>
  <c r="F298" i="10"/>
  <c r="E298" i="10"/>
  <c r="D298" i="10"/>
  <c r="C298" i="10"/>
  <c r="B298" i="10"/>
  <c r="L297" i="10"/>
  <c r="K297" i="10"/>
  <c r="J297" i="10"/>
  <c r="I297" i="10"/>
  <c r="H297" i="10"/>
  <c r="G297" i="10"/>
  <c r="F297" i="10"/>
  <c r="E297" i="10"/>
  <c r="D297" i="10"/>
  <c r="C297" i="10"/>
  <c r="B297" i="10"/>
  <c r="L296" i="10"/>
  <c r="K296" i="10"/>
  <c r="J296" i="10"/>
  <c r="I296" i="10"/>
  <c r="H296" i="10"/>
  <c r="G296" i="10"/>
  <c r="F296" i="10"/>
  <c r="E296" i="10"/>
  <c r="D296" i="10"/>
  <c r="C296" i="10"/>
  <c r="B296" i="10"/>
  <c r="L295" i="10"/>
  <c r="K295" i="10"/>
  <c r="J295" i="10"/>
  <c r="I295" i="10"/>
  <c r="H295" i="10"/>
  <c r="G295" i="10"/>
  <c r="F295" i="10"/>
  <c r="E295" i="10"/>
  <c r="D295" i="10"/>
  <c r="C295" i="10"/>
  <c r="B295" i="10"/>
  <c r="L294" i="10"/>
  <c r="K294" i="10"/>
  <c r="J294" i="10"/>
  <c r="I294" i="10"/>
  <c r="H294" i="10"/>
  <c r="G294" i="10"/>
  <c r="F294" i="10"/>
  <c r="E294" i="10"/>
  <c r="D294" i="10"/>
  <c r="C294" i="10"/>
  <c r="B294" i="10"/>
  <c r="L293" i="10"/>
  <c r="K293" i="10"/>
  <c r="J293" i="10"/>
  <c r="I293" i="10"/>
  <c r="H293" i="10"/>
  <c r="G293" i="10"/>
  <c r="F293" i="10"/>
  <c r="E293" i="10"/>
  <c r="D293" i="10"/>
  <c r="C293" i="10"/>
  <c r="B293" i="10"/>
  <c r="L292" i="10"/>
  <c r="L303" i="10" s="1"/>
  <c r="K292" i="10"/>
  <c r="K303" i="10" s="1"/>
  <c r="J292" i="10"/>
  <c r="J303" i="10" s="1"/>
  <c r="I292" i="10"/>
  <c r="I303" i="10" s="1"/>
  <c r="H292" i="10"/>
  <c r="H303" i="10" s="1"/>
  <c r="G292" i="10"/>
  <c r="G303" i="10" s="1"/>
  <c r="F292" i="10"/>
  <c r="F303" i="10" s="1"/>
  <c r="K290" i="10" s="1"/>
  <c r="E292" i="10"/>
  <c r="E303" i="10" s="1"/>
  <c r="D292" i="10"/>
  <c r="C292" i="10"/>
  <c r="B292" i="10"/>
  <c r="M290" i="10"/>
  <c r="M289" i="10"/>
  <c r="H287" i="10"/>
  <c r="L286" i="10"/>
  <c r="K286" i="10"/>
  <c r="J286" i="10"/>
  <c r="I286" i="10"/>
  <c r="H286" i="10"/>
  <c r="G286" i="10"/>
  <c r="F286" i="10"/>
  <c r="E286" i="10"/>
  <c r="D286" i="10"/>
  <c r="C286" i="10"/>
  <c r="B286" i="10"/>
  <c r="L285" i="10"/>
  <c r="K285" i="10"/>
  <c r="J285" i="10"/>
  <c r="I285" i="10"/>
  <c r="H285" i="10"/>
  <c r="G285" i="10"/>
  <c r="F285" i="10"/>
  <c r="E285" i="10"/>
  <c r="D285" i="10"/>
  <c r="C285" i="10"/>
  <c r="B285" i="10"/>
  <c r="L284" i="10"/>
  <c r="K284" i="10"/>
  <c r="J284" i="10"/>
  <c r="I284" i="10"/>
  <c r="H284" i="10"/>
  <c r="G284" i="10"/>
  <c r="F284" i="10"/>
  <c r="E284" i="10"/>
  <c r="D284" i="10"/>
  <c r="C284" i="10"/>
  <c r="B284" i="10"/>
  <c r="L283" i="10"/>
  <c r="K283" i="10"/>
  <c r="J283" i="10"/>
  <c r="I283" i="10"/>
  <c r="H283" i="10"/>
  <c r="G283" i="10"/>
  <c r="F283" i="10"/>
  <c r="E283" i="10"/>
  <c r="D283" i="10"/>
  <c r="C283" i="10"/>
  <c r="B283" i="10"/>
  <c r="L282" i="10"/>
  <c r="K282" i="10"/>
  <c r="J282" i="10"/>
  <c r="I282" i="10"/>
  <c r="H282" i="10"/>
  <c r="G282" i="10"/>
  <c r="F282" i="10"/>
  <c r="E282" i="10"/>
  <c r="D282" i="10"/>
  <c r="C282" i="10"/>
  <c r="B282" i="10"/>
  <c r="L281" i="10"/>
  <c r="K281" i="10"/>
  <c r="J281" i="10"/>
  <c r="I281" i="10"/>
  <c r="H281" i="10"/>
  <c r="G281" i="10"/>
  <c r="F281" i="10"/>
  <c r="E281" i="10"/>
  <c r="D281" i="10"/>
  <c r="C281" i="10"/>
  <c r="B281" i="10"/>
  <c r="L280" i="10"/>
  <c r="K280" i="10"/>
  <c r="J280" i="10"/>
  <c r="I280" i="10"/>
  <c r="H280" i="10"/>
  <c r="G280" i="10"/>
  <c r="F280" i="10"/>
  <c r="E280" i="10"/>
  <c r="D280" i="10"/>
  <c r="C280" i="10"/>
  <c r="B280" i="10"/>
  <c r="L279" i="10"/>
  <c r="K279" i="10"/>
  <c r="J279" i="10"/>
  <c r="I279" i="10"/>
  <c r="H279" i="10"/>
  <c r="G279" i="10"/>
  <c r="F279" i="10"/>
  <c r="E279" i="10"/>
  <c r="D279" i="10"/>
  <c r="C279" i="10"/>
  <c r="B279" i="10"/>
  <c r="L278" i="10"/>
  <c r="K278" i="10"/>
  <c r="J278" i="10"/>
  <c r="I278" i="10"/>
  <c r="H278" i="10"/>
  <c r="G278" i="10"/>
  <c r="F278" i="10"/>
  <c r="E278" i="10"/>
  <c r="D278" i="10"/>
  <c r="C278" i="10"/>
  <c r="B278" i="10"/>
  <c r="L277" i="10"/>
  <c r="K277" i="10"/>
  <c r="J277" i="10"/>
  <c r="I277" i="10"/>
  <c r="H277" i="10"/>
  <c r="G277" i="10"/>
  <c r="F277" i="10"/>
  <c r="E277" i="10"/>
  <c r="D277" i="10"/>
  <c r="C277" i="10"/>
  <c r="B277" i="10"/>
  <c r="L276" i="10"/>
  <c r="L287" i="10" s="1"/>
  <c r="K276" i="10"/>
  <c r="K287" i="10" s="1"/>
  <c r="J276" i="10"/>
  <c r="J287" i="10" s="1"/>
  <c r="I276" i="10"/>
  <c r="I287" i="10" s="1"/>
  <c r="H276" i="10"/>
  <c r="G276" i="10"/>
  <c r="G287" i="10" s="1"/>
  <c r="F276" i="10"/>
  <c r="F287" i="10" s="1"/>
  <c r="K274" i="10" s="1"/>
  <c r="E276" i="10"/>
  <c r="E287" i="10" s="1"/>
  <c r="D276" i="10"/>
  <c r="C276" i="10"/>
  <c r="B276" i="10"/>
  <c r="M274" i="10"/>
  <c r="M273" i="10"/>
  <c r="L270" i="10"/>
  <c r="K270" i="10"/>
  <c r="J270" i="10"/>
  <c r="I270" i="10"/>
  <c r="H270" i="10"/>
  <c r="G270" i="10"/>
  <c r="F270" i="10"/>
  <c r="E270" i="10"/>
  <c r="D270" i="10"/>
  <c r="C270" i="10"/>
  <c r="B270" i="10"/>
  <c r="L269" i="10"/>
  <c r="K269" i="10"/>
  <c r="J269" i="10"/>
  <c r="I269" i="10"/>
  <c r="H269" i="10"/>
  <c r="G269" i="10"/>
  <c r="F269" i="10"/>
  <c r="E269" i="10"/>
  <c r="D269" i="10"/>
  <c r="C269" i="10"/>
  <c r="B269" i="10"/>
  <c r="L268" i="10"/>
  <c r="K268" i="10"/>
  <c r="J268" i="10"/>
  <c r="I268" i="10"/>
  <c r="H268" i="10"/>
  <c r="G268" i="10"/>
  <c r="F268" i="10"/>
  <c r="E268" i="10"/>
  <c r="D268" i="10"/>
  <c r="C268" i="10"/>
  <c r="B268" i="10"/>
  <c r="L267" i="10"/>
  <c r="K267" i="10"/>
  <c r="J267" i="10"/>
  <c r="I267" i="10"/>
  <c r="H267" i="10"/>
  <c r="G267" i="10"/>
  <c r="F267" i="10"/>
  <c r="E267" i="10"/>
  <c r="D267" i="10"/>
  <c r="C267" i="10"/>
  <c r="B267" i="10"/>
  <c r="L266" i="10"/>
  <c r="K266" i="10"/>
  <c r="J266" i="10"/>
  <c r="I266" i="10"/>
  <c r="H266" i="10"/>
  <c r="G266" i="10"/>
  <c r="F266" i="10"/>
  <c r="E266" i="10"/>
  <c r="D266" i="10"/>
  <c r="C266" i="10"/>
  <c r="B266" i="10"/>
  <c r="L265" i="10"/>
  <c r="K265" i="10"/>
  <c r="J265" i="10"/>
  <c r="I265" i="10"/>
  <c r="H265" i="10"/>
  <c r="G265" i="10"/>
  <c r="F265" i="10"/>
  <c r="E265" i="10"/>
  <c r="D265" i="10"/>
  <c r="C265" i="10"/>
  <c r="B265" i="10"/>
  <c r="L264" i="10"/>
  <c r="K264" i="10"/>
  <c r="J264" i="10"/>
  <c r="I264" i="10"/>
  <c r="H264" i="10"/>
  <c r="G264" i="10"/>
  <c r="F264" i="10"/>
  <c r="E264" i="10"/>
  <c r="D264" i="10"/>
  <c r="C264" i="10"/>
  <c r="B264" i="10"/>
  <c r="L263" i="10"/>
  <c r="K263" i="10"/>
  <c r="J263" i="10"/>
  <c r="I263" i="10"/>
  <c r="H263" i="10"/>
  <c r="G263" i="10"/>
  <c r="F263" i="10"/>
  <c r="E263" i="10"/>
  <c r="D263" i="10"/>
  <c r="C263" i="10"/>
  <c r="B263" i="10"/>
  <c r="L262" i="10"/>
  <c r="K262" i="10"/>
  <c r="J262" i="10"/>
  <c r="I262" i="10"/>
  <c r="H262" i="10"/>
  <c r="G262" i="10"/>
  <c r="F262" i="10"/>
  <c r="E262" i="10"/>
  <c r="D262" i="10"/>
  <c r="C262" i="10"/>
  <c r="B262" i="10"/>
  <c r="L261" i="10"/>
  <c r="K261" i="10"/>
  <c r="J261" i="10"/>
  <c r="I261" i="10"/>
  <c r="H261" i="10"/>
  <c r="G261" i="10"/>
  <c r="F261" i="10"/>
  <c r="E261" i="10"/>
  <c r="D261" i="10"/>
  <c r="C261" i="10"/>
  <c r="B261" i="10"/>
  <c r="L260" i="10"/>
  <c r="L271" i="10" s="1"/>
  <c r="K260" i="10"/>
  <c r="K271" i="10" s="1"/>
  <c r="J260" i="10"/>
  <c r="J271" i="10" s="1"/>
  <c r="I260" i="10"/>
  <c r="I271" i="10" s="1"/>
  <c r="H260" i="10"/>
  <c r="H271" i="10" s="1"/>
  <c r="G260" i="10"/>
  <c r="G271" i="10" s="1"/>
  <c r="F260" i="10"/>
  <c r="F271" i="10" s="1"/>
  <c r="K258" i="10" s="1"/>
  <c r="E260" i="10"/>
  <c r="E271" i="10" s="1"/>
  <c r="D260" i="10"/>
  <c r="C260" i="10"/>
  <c r="B260" i="10"/>
  <c r="M258" i="10"/>
  <c r="M257" i="10"/>
  <c r="L254" i="10"/>
  <c r="K254" i="10"/>
  <c r="J254" i="10"/>
  <c r="I254" i="10"/>
  <c r="H254" i="10"/>
  <c r="G254" i="10"/>
  <c r="F254" i="10"/>
  <c r="E254" i="10"/>
  <c r="D254" i="10"/>
  <c r="C254" i="10"/>
  <c r="B254" i="10"/>
  <c r="L253" i="10"/>
  <c r="K253" i="10"/>
  <c r="J253" i="10"/>
  <c r="I253" i="10"/>
  <c r="H253" i="10"/>
  <c r="G253" i="10"/>
  <c r="F253" i="10"/>
  <c r="E253" i="10"/>
  <c r="D253" i="10"/>
  <c r="C253" i="10"/>
  <c r="B253" i="10"/>
  <c r="L252" i="10"/>
  <c r="K252" i="10"/>
  <c r="J252" i="10"/>
  <c r="I252" i="10"/>
  <c r="H252" i="10"/>
  <c r="G252" i="10"/>
  <c r="F252" i="10"/>
  <c r="E252" i="10"/>
  <c r="D252" i="10"/>
  <c r="C252" i="10"/>
  <c r="B252" i="10"/>
  <c r="L251" i="10"/>
  <c r="K251" i="10"/>
  <c r="J251" i="10"/>
  <c r="I251" i="10"/>
  <c r="H251" i="10"/>
  <c r="G251" i="10"/>
  <c r="F251" i="10"/>
  <c r="E251" i="10"/>
  <c r="D251" i="10"/>
  <c r="C251" i="10"/>
  <c r="B251" i="10"/>
  <c r="L250" i="10"/>
  <c r="K250" i="10"/>
  <c r="J250" i="10"/>
  <c r="I250" i="10"/>
  <c r="H250" i="10"/>
  <c r="G250" i="10"/>
  <c r="F250" i="10"/>
  <c r="E250" i="10"/>
  <c r="D250" i="10"/>
  <c r="C250" i="10"/>
  <c r="B250" i="10"/>
  <c r="L249" i="10"/>
  <c r="K249" i="10"/>
  <c r="J249" i="10"/>
  <c r="I249" i="10"/>
  <c r="H249" i="10"/>
  <c r="G249" i="10"/>
  <c r="F249" i="10"/>
  <c r="E249" i="10"/>
  <c r="D249" i="10"/>
  <c r="C249" i="10"/>
  <c r="B249" i="10"/>
  <c r="L248" i="10"/>
  <c r="K248" i="10"/>
  <c r="J248" i="10"/>
  <c r="I248" i="10"/>
  <c r="H248" i="10"/>
  <c r="G248" i="10"/>
  <c r="F248" i="10"/>
  <c r="E248" i="10"/>
  <c r="D248" i="10"/>
  <c r="C248" i="10"/>
  <c r="B248" i="10"/>
  <c r="L247" i="10"/>
  <c r="K247" i="10"/>
  <c r="J247" i="10"/>
  <c r="I247" i="10"/>
  <c r="H247" i="10"/>
  <c r="G247" i="10"/>
  <c r="F247" i="10"/>
  <c r="E247" i="10"/>
  <c r="D247" i="10"/>
  <c r="C247" i="10"/>
  <c r="B247" i="10"/>
  <c r="L246" i="10"/>
  <c r="K246" i="10"/>
  <c r="J246" i="10"/>
  <c r="I246" i="10"/>
  <c r="H246" i="10"/>
  <c r="G246" i="10"/>
  <c r="F246" i="10"/>
  <c r="E246" i="10"/>
  <c r="D246" i="10"/>
  <c r="C246" i="10"/>
  <c r="B246" i="10"/>
  <c r="L245" i="10"/>
  <c r="K245" i="10"/>
  <c r="J245" i="10"/>
  <c r="I245" i="10"/>
  <c r="H245" i="10"/>
  <c r="G245" i="10"/>
  <c r="F245" i="10"/>
  <c r="E245" i="10"/>
  <c r="D245" i="10"/>
  <c r="C245" i="10"/>
  <c r="B245" i="10"/>
  <c r="L244" i="10"/>
  <c r="L255" i="10" s="1"/>
  <c r="K244" i="10"/>
  <c r="K255" i="10" s="1"/>
  <c r="J244" i="10"/>
  <c r="J255" i="10" s="1"/>
  <c r="I244" i="10"/>
  <c r="I255" i="10" s="1"/>
  <c r="H244" i="10"/>
  <c r="H255" i="10" s="1"/>
  <c r="G244" i="10"/>
  <c r="G255" i="10" s="1"/>
  <c r="F244" i="10"/>
  <c r="F255" i="10" s="1"/>
  <c r="K242" i="10" s="1"/>
  <c r="E244" i="10"/>
  <c r="E255" i="10" s="1"/>
  <c r="D244" i="10"/>
  <c r="C244" i="10"/>
  <c r="B244" i="10"/>
  <c r="M242" i="10"/>
  <c r="M241" i="10"/>
  <c r="L238" i="10"/>
  <c r="K238" i="10"/>
  <c r="J238" i="10"/>
  <c r="I238" i="10"/>
  <c r="H238" i="10"/>
  <c r="G238" i="10"/>
  <c r="F238" i="10"/>
  <c r="E238" i="10"/>
  <c r="D238" i="10"/>
  <c r="C238" i="10"/>
  <c r="B238" i="10"/>
  <c r="L237" i="10"/>
  <c r="K237" i="10"/>
  <c r="J237" i="10"/>
  <c r="I237" i="10"/>
  <c r="H237" i="10"/>
  <c r="G237" i="10"/>
  <c r="F237" i="10"/>
  <c r="E237" i="10"/>
  <c r="D237" i="10"/>
  <c r="C237" i="10"/>
  <c r="B237" i="10"/>
  <c r="L236" i="10"/>
  <c r="K236" i="10"/>
  <c r="J236" i="10"/>
  <c r="I236" i="10"/>
  <c r="H236" i="10"/>
  <c r="G236" i="10"/>
  <c r="F236" i="10"/>
  <c r="E236" i="10"/>
  <c r="D236" i="10"/>
  <c r="C236" i="10"/>
  <c r="B236" i="10"/>
  <c r="L235" i="10"/>
  <c r="K235" i="10"/>
  <c r="J235" i="10"/>
  <c r="I235" i="10"/>
  <c r="H235" i="10"/>
  <c r="G235" i="10"/>
  <c r="F235" i="10"/>
  <c r="E235" i="10"/>
  <c r="D235" i="10"/>
  <c r="C235" i="10"/>
  <c r="B235" i="10"/>
  <c r="L234" i="10"/>
  <c r="K234" i="10"/>
  <c r="J234" i="10"/>
  <c r="I234" i="10"/>
  <c r="H234" i="10"/>
  <c r="G234" i="10"/>
  <c r="F234" i="10"/>
  <c r="E234" i="10"/>
  <c r="D234" i="10"/>
  <c r="C234" i="10"/>
  <c r="B234" i="10"/>
  <c r="L233" i="10"/>
  <c r="K233" i="10"/>
  <c r="J233" i="10"/>
  <c r="I233" i="10"/>
  <c r="H233" i="10"/>
  <c r="G233" i="10"/>
  <c r="F233" i="10"/>
  <c r="E233" i="10"/>
  <c r="D233" i="10"/>
  <c r="C233" i="10"/>
  <c r="B233" i="10"/>
  <c r="L232" i="10"/>
  <c r="K232" i="10"/>
  <c r="J232" i="10"/>
  <c r="I232" i="10"/>
  <c r="H232" i="10"/>
  <c r="G232" i="10"/>
  <c r="F232" i="10"/>
  <c r="E232" i="10"/>
  <c r="D232" i="10"/>
  <c r="C232" i="10"/>
  <c r="B232" i="10"/>
  <c r="L231" i="10"/>
  <c r="K231" i="10"/>
  <c r="J231" i="10"/>
  <c r="I231" i="10"/>
  <c r="H231" i="10"/>
  <c r="G231" i="10"/>
  <c r="F231" i="10"/>
  <c r="E231" i="10"/>
  <c r="D231" i="10"/>
  <c r="C231" i="10"/>
  <c r="B231" i="10"/>
  <c r="L230" i="10"/>
  <c r="K230" i="10"/>
  <c r="J230" i="10"/>
  <c r="I230" i="10"/>
  <c r="H230" i="10"/>
  <c r="G230" i="10"/>
  <c r="F230" i="10"/>
  <c r="E230" i="10"/>
  <c r="D230" i="10"/>
  <c r="C230" i="10"/>
  <c r="B230" i="10"/>
  <c r="L229" i="10"/>
  <c r="K229" i="10"/>
  <c r="J229" i="10"/>
  <c r="I229" i="10"/>
  <c r="H229" i="10"/>
  <c r="G229" i="10"/>
  <c r="F229" i="10"/>
  <c r="E229" i="10"/>
  <c r="D229" i="10"/>
  <c r="C229" i="10"/>
  <c r="B229" i="10"/>
  <c r="L228" i="10"/>
  <c r="L239" i="10" s="1"/>
  <c r="K228" i="10"/>
  <c r="K239" i="10" s="1"/>
  <c r="J228" i="10"/>
  <c r="J239" i="10" s="1"/>
  <c r="I228" i="10"/>
  <c r="I239" i="10" s="1"/>
  <c r="H228" i="10"/>
  <c r="H239" i="10" s="1"/>
  <c r="G228" i="10"/>
  <c r="G239" i="10" s="1"/>
  <c r="F228" i="10"/>
  <c r="F239" i="10" s="1"/>
  <c r="K226" i="10" s="1"/>
  <c r="E228" i="10"/>
  <c r="E239" i="10" s="1"/>
  <c r="D228" i="10"/>
  <c r="C228" i="10"/>
  <c r="B228" i="10"/>
  <c r="M226" i="10"/>
  <c r="M225" i="10"/>
  <c r="H223" i="10"/>
  <c r="L222" i="10"/>
  <c r="K222" i="10"/>
  <c r="J222" i="10"/>
  <c r="I222" i="10"/>
  <c r="H222" i="10"/>
  <c r="G222" i="10"/>
  <c r="F222" i="10"/>
  <c r="E222" i="10"/>
  <c r="D222" i="10"/>
  <c r="C222" i="10"/>
  <c r="B222" i="10"/>
  <c r="L221" i="10"/>
  <c r="K221" i="10"/>
  <c r="J221" i="10"/>
  <c r="I221" i="10"/>
  <c r="H221" i="10"/>
  <c r="G221" i="10"/>
  <c r="F221" i="10"/>
  <c r="E221" i="10"/>
  <c r="D221" i="10"/>
  <c r="C221" i="10"/>
  <c r="B221" i="10"/>
  <c r="L220" i="10"/>
  <c r="K220" i="10"/>
  <c r="J220" i="10"/>
  <c r="I220" i="10"/>
  <c r="H220" i="10"/>
  <c r="G220" i="10"/>
  <c r="F220" i="10"/>
  <c r="E220" i="10"/>
  <c r="D220" i="10"/>
  <c r="C220" i="10"/>
  <c r="B220" i="10"/>
  <c r="L219" i="10"/>
  <c r="K219" i="10"/>
  <c r="J219" i="10"/>
  <c r="I219" i="10"/>
  <c r="H219" i="10"/>
  <c r="G219" i="10"/>
  <c r="F219" i="10"/>
  <c r="E219" i="10"/>
  <c r="D219" i="10"/>
  <c r="C219" i="10"/>
  <c r="B219" i="10"/>
  <c r="L218" i="10"/>
  <c r="K218" i="10"/>
  <c r="J218" i="10"/>
  <c r="I218" i="10"/>
  <c r="H218" i="10"/>
  <c r="G218" i="10"/>
  <c r="F218" i="10"/>
  <c r="E218" i="10"/>
  <c r="D218" i="10"/>
  <c r="C218" i="10"/>
  <c r="B218" i="10"/>
  <c r="L217" i="10"/>
  <c r="K217" i="10"/>
  <c r="J217" i="10"/>
  <c r="I217" i="10"/>
  <c r="H217" i="10"/>
  <c r="G217" i="10"/>
  <c r="F217" i="10"/>
  <c r="E217" i="10"/>
  <c r="D217" i="10"/>
  <c r="C217" i="10"/>
  <c r="B217" i="10"/>
  <c r="L216" i="10"/>
  <c r="K216" i="10"/>
  <c r="J216" i="10"/>
  <c r="I216" i="10"/>
  <c r="H216" i="10"/>
  <c r="G216" i="10"/>
  <c r="F216" i="10"/>
  <c r="E216" i="10"/>
  <c r="D216" i="10"/>
  <c r="C216" i="10"/>
  <c r="B216" i="10"/>
  <c r="L215" i="10"/>
  <c r="K215" i="10"/>
  <c r="J215" i="10"/>
  <c r="I215" i="10"/>
  <c r="H215" i="10"/>
  <c r="G215" i="10"/>
  <c r="F215" i="10"/>
  <c r="E215" i="10"/>
  <c r="D215" i="10"/>
  <c r="C215" i="10"/>
  <c r="B215" i="10"/>
  <c r="L214" i="10"/>
  <c r="K214" i="10"/>
  <c r="J214" i="10"/>
  <c r="I214" i="10"/>
  <c r="H214" i="10"/>
  <c r="G214" i="10"/>
  <c r="F214" i="10"/>
  <c r="E214" i="10"/>
  <c r="D214" i="10"/>
  <c r="C214" i="10"/>
  <c r="B214" i="10"/>
  <c r="L213" i="10"/>
  <c r="K213" i="10"/>
  <c r="J213" i="10"/>
  <c r="I213" i="10"/>
  <c r="H213" i="10"/>
  <c r="G213" i="10"/>
  <c r="F213" i="10"/>
  <c r="E213" i="10"/>
  <c r="D213" i="10"/>
  <c r="C213" i="10"/>
  <c r="B213" i="10"/>
  <c r="L212" i="10"/>
  <c r="L223" i="10" s="1"/>
  <c r="K212" i="10"/>
  <c r="K223" i="10" s="1"/>
  <c r="J212" i="10"/>
  <c r="J223" i="10" s="1"/>
  <c r="I212" i="10"/>
  <c r="I223" i="10" s="1"/>
  <c r="H212" i="10"/>
  <c r="G212" i="10"/>
  <c r="G223" i="10" s="1"/>
  <c r="F212" i="10"/>
  <c r="F223" i="10" s="1"/>
  <c r="K210" i="10" s="1"/>
  <c r="E212" i="10"/>
  <c r="E223" i="10" s="1"/>
  <c r="D212" i="10"/>
  <c r="C212" i="10"/>
  <c r="B212" i="10"/>
  <c r="M210" i="10"/>
  <c r="M209" i="10"/>
  <c r="L206" i="10"/>
  <c r="K206" i="10"/>
  <c r="J206" i="10"/>
  <c r="I206" i="10"/>
  <c r="H206" i="10"/>
  <c r="G206" i="10"/>
  <c r="F206" i="10"/>
  <c r="E206" i="10"/>
  <c r="D206" i="10"/>
  <c r="C206" i="10"/>
  <c r="B206" i="10"/>
  <c r="L205" i="10"/>
  <c r="K205" i="10"/>
  <c r="J205" i="10"/>
  <c r="I205" i="10"/>
  <c r="H205" i="10"/>
  <c r="G205" i="10"/>
  <c r="F205" i="10"/>
  <c r="E205" i="10"/>
  <c r="D205" i="10"/>
  <c r="C205" i="10"/>
  <c r="B205" i="10"/>
  <c r="L204" i="10"/>
  <c r="K204" i="10"/>
  <c r="J204" i="10"/>
  <c r="I204" i="10"/>
  <c r="H204" i="10"/>
  <c r="G204" i="10"/>
  <c r="F204" i="10"/>
  <c r="E204" i="10"/>
  <c r="D204" i="10"/>
  <c r="C204" i="10"/>
  <c r="B204" i="10"/>
  <c r="L203" i="10"/>
  <c r="K203" i="10"/>
  <c r="J203" i="10"/>
  <c r="I203" i="10"/>
  <c r="H203" i="10"/>
  <c r="G203" i="10"/>
  <c r="F203" i="10"/>
  <c r="E203" i="10"/>
  <c r="D203" i="10"/>
  <c r="C203" i="10"/>
  <c r="B203" i="10"/>
  <c r="L202" i="10"/>
  <c r="K202" i="10"/>
  <c r="J202" i="10"/>
  <c r="I202" i="10"/>
  <c r="H202" i="10"/>
  <c r="G202" i="10"/>
  <c r="F202" i="10"/>
  <c r="E202" i="10"/>
  <c r="D202" i="10"/>
  <c r="C202" i="10"/>
  <c r="B202" i="10"/>
  <c r="L201" i="10"/>
  <c r="K201" i="10"/>
  <c r="J201" i="10"/>
  <c r="I201" i="10"/>
  <c r="H201" i="10"/>
  <c r="G201" i="10"/>
  <c r="F201" i="10"/>
  <c r="E201" i="10"/>
  <c r="D201" i="10"/>
  <c r="C201" i="10"/>
  <c r="B201" i="10"/>
  <c r="L200" i="10"/>
  <c r="K200" i="10"/>
  <c r="J200" i="10"/>
  <c r="I200" i="10"/>
  <c r="H200" i="10"/>
  <c r="G200" i="10"/>
  <c r="F200" i="10"/>
  <c r="E200" i="10"/>
  <c r="D200" i="10"/>
  <c r="C200" i="10"/>
  <c r="B200" i="10"/>
  <c r="L199" i="10"/>
  <c r="K199" i="10"/>
  <c r="J199" i="10"/>
  <c r="I199" i="10"/>
  <c r="H199" i="10"/>
  <c r="G199" i="10"/>
  <c r="F199" i="10"/>
  <c r="E199" i="10"/>
  <c r="D199" i="10"/>
  <c r="C199" i="10"/>
  <c r="B199" i="10"/>
  <c r="L198" i="10"/>
  <c r="K198" i="10"/>
  <c r="J198" i="10"/>
  <c r="I198" i="10"/>
  <c r="H198" i="10"/>
  <c r="G198" i="10"/>
  <c r="F198" i="10"/>
  <c r="E198" i="10"/>
  <c r="D198" i="10"/>
  <c r="C198" i="10"/>
  <c r="B198" i="10"/>
  <c r="L197" i="10"/>
  <c r="K197" i="10"/>
  <c r="J197" i="10"/>
  <c r="I197" i="10"/>
  <c r="H197" i="10"/>
  <c r="G197" i="10"/>
  <c r="F197" i="10"/>
  <c r="E197" i="10"/>
  <c r="D197" i="10"/>
  <c r="C197" i="10"/>
  <c r="B197" i="10"/>
  <c r="L196" i="10"/>
  <c r="L207" i="10" s="1"/>
  <c r="K196" i="10"/>
  <c r="K207" i="10" s="1"/>
  <c r="J196" i="10"/>
  <c r="J207" i="10" s="1"/>
  <c r="I196" i="10"/>
  <c r="I207" i="10" s="1"/>
  <c r="H196" i="10"/>
  <c r="H207" i="10" s="1"/>
  <c r="G196" i="10"/>
  <c r="G207" i="10" s="1"/>
  <c r="F196" i="10"/>
  <c r="F207" i="10" s="1"/>
  <c r="K194" i="10" s="1"/>
  <c r="E196" i="10"/>
  <c r="E207" i="10" s="1"/>
  <c r="D196" i="10"/>
  <c r="C196" i="10"/>
  <c r="B196" i="10"/>
  <c r="M194" i="10"/>
  <c r="M193" i="10"/>
  <c r="L190" i="10"/>
  <c r="K190" i="10"/>
  <c r="J190" i="10"/>
  <c r="I190" i="10"/>
  <c r="H190" i="10"/>
  <c r="G190" i="10"/>
  <c r="F190" i="10"/>
  <c r="E190" i="10"/>
  <c r="D190" i="10"/>
  <c r="C190" i="10"/>
  <c r="B190" i="10"/>
  <c r="L189" i="10"/>
  <c r="K189" i="10"/>
  <c r="J189" i="10"/>
  <c r="I189" i="10"/>
  <c r="H189" i="10"/>
  <c r="G189" i="10"/>
  <c r="F189" i="10"/>
  <c r="E189" i="10"/>
  <c r="D189" i="10"/>
  <c r="C189" i="10"/>
  <c r="B189" i="10"/>
  <c r="L188" i="10"/>
  <c r="K188" i="10"/>
  <c r="J188" i="10"/>
  <c r="I188" i="10"/>
  <c r="H188" i="10"/>
  <c r="G188" i="10"/>
  <c r="F188" i="10"/>
  <c r="E188" i="10"/>
  <c r="D188" i="10"/>
  <c r="C188" i="10"/>
  <c r="B188" i="10"/>
  <c r="L187" i="10"/>
  <c r="K187" i="10"/>
  <c r="J187" i="10"/>
  <c r="I187" i="10"/>
  <c r="H187" i="10"/>
  <c r="G187" i="10"/>
  <c r="F187" i="10"/>
  <c r="E187" i="10"/>
  <c r="D187" i="10"/>
  <c r="C187" i="10"/>
  <c r="B187" i="10"/>
  <c r="L186" i="10"/>
  <c r="K186" i="10"/>
  <c r="J186" i="10"/>
  <c r="I186" i="10"/>
  <c r="H186" i="10"/>
  <c r="G186" i="10"/>
  <c r="F186" i="10"/>
  <c r="E186" i="10"/>
  <c r="D186" i="10"/>
  <c r="C186" i="10"/>
  <c r="B186" i="10"/>
  <c r="L185" i="10"/>
  <c r="K185" i="10"/>
  <c r="J185" i="10"/>
  <c r="I185" i="10"/>
  <c r="H185" i="10"/>
  <c r="G185" i="10"/>
  <c r="F185" i="10"/>
  <c r="E185" i="10"/>
  <c r="D185" i="10"/>
  <c r="C185" i="10"/>
  <c r="B185" i="10"/>
  <c r="L184" i="10"/>
  <c r="K184" i="10"/>
  <c r="J184" i="10"/>
  <c r="I184" i="10"/>
  <c r="H184" i="10"/>
  <c r="G184" i="10"/>
  <c r="F184" i="10"/>
  <c r="E184" i="10"/>
  <c r="D184" i="10"/>
  <c r="C184" i="10"/>
  <c r="B184" i="10"/>
  <c r="L183" i="10"/>
  <c r="K183" i="10"/>
  <c r="J183" i="10"/>
  <c r="I183" i="10"/>
  <c r="H183" i="10"/>
  <c r="G183" i="10"/>
  <c r="F183" i="10"/>
  <c r="E183" i="10"/>
  <c r="D183" i="10"/>
  <c r="C183" i="10"/>
  <c r="B183" i="10"/>
  <c r="L182" i="10"/>
  <c r="K182" i="10"/>
  <c r="J182" i="10"/>
  <c r="I182" i="10"/>
  <c r="H182" i="10"/>
  <c r="G182" i="10"/>
  <c r="F182" i="10"/>
  <c r="E182" i="10"/>
  <c r="D182" i="10"/>
  <c r="C182" i="10"/>
  <c r="B182" i="10"/>
  <c r="L181" i="10"/>
  <c r="K181" i="10"/>
  <c r="J181" i="10"/>
  <c r="I181" i="10"/>
  <c r="H181" i="10"/>
  <c r="G181" i="10"/>
  <c r="F181" i="10"/>
  <c r="E181" i="10"/>
  <c r="D181" i="10"/>
  <c r="C181" i="10"/>
  <c r="B181" i="10"/>
  <c r="L180" i="10"/>
  <c r="L191" i="10" s="1"/>
  <c r="K180" i="10"/>
  <c r="K191" i="10" s="1"/>
  <c r="J180" i="10"/>
  <c r="J191" i="10" s="1"/>
  <c r="I180" i="10"/>
  <c r="I191" i="10" s="1"/>
  <c r="H180" i="10"/>
  <c r="H191" i="10" s="1"/>
  <c r="G180" i="10"/>
  <c r="G191" i="10" s="1"/>
  <c r="F180" i="10"/>
  <c r="F191" i="10" s="1"/>
  <c r="K178" i="10" s="1"/>
  <c r="E180" i="10"/>
  <c r="E191" i="10" s="1"/>
  <c r="D180" i="10"/>
  <c r="C180" i="10"/>
  <c r="B180" i="10"/>
  <c r="M178" i="10"/>
  <c r="M177" i="10"/>
  <c r="L174" i="10"/>
  <c r="K174" i="10"/>
  <c r="J174" i="10"/>
  <c r="I174" i="10"/>
  <c r="H174" i="10"/>
  <c r="G174" i="10"/>
  <c r="F174" i="10"/>
  <c r="E174" i="10"/>
  <c r="D174" i="10"/>
  <c r="C174" i="10"/>
  <c r="B174" i="10"/>
  <c r="L173" i="10"/>
  <c r="K173" i="10"/>
  <c r="J173" i="10"/>
  <c r="I173" i="10"/>
  <c r="H173" i="10"/>
  <c r="G173" i="10"/>
  <c r="F173" i="10"/>
  <c r="E173" i="10"/>
  <c r="D173" i="10"/>
  <c r="C173" i="10"/>
  <c r="B173" i="10"/>
  <c r="L172" i="10"/>
  <c r="K172" i="10"/>
  <c r="J172" i="10"/>
  <c r="I172" i="10"/>
  <c r="H172" i="10"/>
  <c r="G172" i="10"/>
  <c r="F172" i="10"/>
  <c r="E172" i="10"/>
  <c r="D172" i="10"/>
  <c r="C172" i="10"/>
  <c r="B172" i="10"/>
  <c r="L171" i="10"/>
  <c r="K171" i="10"/>
  <c r="J171" i="10"/>
  <c r="I171" i="10"/>
  <c r="H171" i="10"/>
  <c r="G171" i="10"/>
  <c r="F171" i="10"/>
  <c r="E171" i="10"/>
  <c r="D171" i="10"/>
  <c r="C171" i="10"/>
  <c r="B171" i="10"/>
  <c r="L170" i="10"/>
  <c r="K170" i="10"/>
  <c r="J170" i="10"/>
  <c r="I170" i="10"/>
  <c r="H170" i="10"/>
  <c r="G170" i="10"/>
  <c r="F170" i="10"/>
  <c r="E170" i="10"/>
  <c r="D170" i="10"/>
  <c r="C170" i="10"/>
  <c r="B170" i="10"/>
  <c r="L169" i="10"/>
  <c r="K169" i="10"/>
  <c r="J169" i="10"/>
  <c r="I169" i="10"/>
  <c r="H169" i="10"/>
  <c r="G169" i="10"/>
  <c r="F169" i="10"/>
  <c r="E169" i="10"/>
  <c r="D169" i="10"/>
  <c r="C169" i="10"/>
  <c r="B169" i="10"/>
  <c r="L168" i="10"/>
  <c r="K168" i="10"/>
  <c r="J168" i="10"/>
  <c r="I168" i="10"/>
  <c r="H168" i="10"/>
  <c r="G168" i="10"/>
  <c r="F168" i="10"/>
  <c r="E168" i="10"/>
  <c r="D168" i="10"/>
  <c r="C168" i="10"/>
  <c r="B168" i="10"/>
  <c r="L167" i="10"/>
  <c r="K167" i="10"/>
  <c r="J167" i="10"/>
  <c r="I167" i="10"/>
  <c r="H167" i="10"/>
  <c r="G167" i="10"/>
  <c r="F167" i="10"/>
  <c r="E167" i="10"/>
  <c r="D167" i="10"/>
  <c r="C167" i="10"/>
  <c r="B167" i="10"/>
  <c r="L166" i="10"/>
  <c r="K166" i="10"/>
  <c r="J166" i="10"/>
  <c r="I166" i="10"/>
  <c r="H166" i="10"/>
  <c r="G166" i="10"/>
  <c r="F166" i="10"/>
  <c r="E166" i="10"/>
  <c r="D166" i="10"/>
  <c r="C166" i="10"/>
  <c r="B166" i="10"/>
  <c r="L165" i="10"/>
  <c r="K165" i="10"/>
  <c r="J165" i="10"/>
  <c r="I165" i="10"/>
  <c r="H165" i="10"/>
  <c r="G165" i="10"/>
  <c r="F165" i="10"/>
  <c r="E165" i="10"/>
  <c r="D165" i="10"/>
  <c r="C165" i="10"/>
  <c r="B165" i="10"/>
  <c r="L164" i="10"/>
  <c r="L175" i="10" s="1"/>
  <c r="K164" i="10"/>
  <c r="K175" i="10" s="1"/>
  <c r="J164" i="10"/>
  <c r="J175" i="10" s="1"/>
  <c r="I164" i="10"/>
  <c r="I175" i="10" s="1"/>
  <c r="H164" i="10"/>
  <c r="H175" i="10" s="1"/>
  <c r="G164" i="10"/>
  <c r="G175" i="10" s="1"/>
  <c r="F164" i="10"/>
  <c r="F175" i="10" s="1"/>
  <c r="K162" i="10" s="1"/>
  <c r="E164" i="10"/>
  <c r="E175" i="10" s="1"/>
  <c r="D164" i="10"/>
  <c r="C164" i="10"/>
  <c r="B164" i="10"/>
  <c r="M162" i="10"/>
  <c r="M161" i="10"/>
  <c r="H159" i="10"/>
  <c r="L158" i="10"/>
  <c r="K158" i="10"/>
  <c r="J158" i="10"/>
  <c r="I158" i="10"/>
  <c r="H158" i="10"/>
  <c r="G158" i="10"/>
  <c r="F158" i="10"/>
  <c r="E158" i="10"/>
  <c r="D158" i="10"/>
  <c r="C158" i="10"/>
  <c r="B158" i="10"/>
  <c r="L157" i="10"/>
  <c r="K157" i="10"/>
  <c r="J157" i="10"/>
  <c r="I157" i="10"/>
  <c r="H157" i="10"/>
  <c r="G157" i="10"/>
  <c r="F157" i="10"/>
  <c r="E157" i="10"/>
  <c r="D157" i="10"/>
  <c r="C157" i="10"/>
  <c r="B157" i="10"/>
  <c r="L156" i="10"/>
  <c r="K156" i="10"/>
  <c r="J156" i="10"/>
  <c r="I156" i="10"/>
  <c r="H156" i="10"/>
  <c r="G156" i="10"/>
  <c r="F156" i="10"/>
  <c r="E156" i="10"/>
  <c r="D156" i="10"/>
  <c r="C156" i="10"/>
  <c r="B156" i="10"/>
  <c r="L155" i="10"/>
  <c r="K155" i="10"/>
  <c r="J155" i="10"/>
  <c r="I155" i="10"/>
  <c r="H155" i="10"/>
  <c r="G155" i="10"/>
  <c r="F155" i="10"/>
  <c r="E155" i="10"/>
  <c r="D155" i="10"/>
  <c r="C155" i="10"/>
  <c r="B155" i="10"/>
  <c r="L154" i="10"/>
  <c r="K154" i="10"/>
  <c r="J154" i="10"/>
  <c r="I154" i="10"/>
  <c r="H154" i="10"/>
  <c r="G154" i="10"/>
  <c r="F154" i="10"/>
  <c r="E154" i="10"/>
  <c r="D154" i="10"/>
  <c r="C154" i="10"/>
  <c r="B154" i="10"/>
  <c r="L153" i="10"/>
  <c r="K153" i="10"/>
  <c r="J153" i="10"/>
  <c r="I153" i="10"/>
  <c r="H153" i="10"/>
  <c r="G153" i="10"/>
  <c r="F153" i="10"/>
  <c r="E153" i="10"/>
  <c r="D153" i="10"/>
  <c r="C153" i="10"/>
  <c r="B153" i="10"/>
  <c r="L152" i="10"/>
  <c r="K152" i="10"/>
  <c r="J152" i="10"/>
  <c r="I152" i="10"/>
  <c r="H152" i="10"/>
  <c r="G152" i="10"/>
  <c r="F152" i="10"/>
  <c r="E152" i="10"/>
  <c r="D152" i="10"/>
  <c r="C152" i="10"/>
  <c r="B152" i="10"/>
  <c r="L151" i="10"/>
  <c r="K151" i="10"/>
  <c r="J151" i="10"/>
  <c r="I151" i="10"/>
  <c r="H151" i="10"/>
  <c r="G151" i="10"/>
  <c r="F151" i="10"/>
  <c r="E151" i="10"/>
  <c r="D151" i="10"/>
  <c r="C151" i="10"/>
  <c r="B151" i="10"/>
  <c r="L150" i="10"/>
  <c r="K150" i="10"/>
  <c r="J150" i="10"/>
  <c r="I150" i="10"/>
  <c r="H150" i="10"/>
  <c r="G150" i="10"/>
  <c r="F150" i="10"/>
  <c r="E150" i="10"/>
  <c r="D150" i="10"/>
  <c r="C150" i="10"/>
  <c r="B150" i="10"/>
  <c r="L149" i="10"/>
  <c r="K149" i="10"/>
  <c r="J149" i="10"/>
  <c r="I149" i="10"/>
  <c r="H149" i="10"/>
  <c r="G149" i="10"/>
  <c r="F149" i="10"/>
  <c r="E149" i="10"/>
  <c r="D149" i="10"/>
  <c r="C149" i="10"/>
  <c r="B149" i="10"/>
  <c r="L148" i="10"/>
  <c r="L159" i="10" s="1"/>
  <c r="K148" i="10"/>
  <c r="K159" i="10" s="1"/>
  <c r="J148" i="10"/>
  <c r="J159" i="10" s="1"/>
  <c r="I148" i="10"/>
  <c r="I159" i="10" s="1"/>
  <c r="H148" i="10"/>
  <c r="G148" i="10"/>
  <c r="G159" i="10" s="1"/>
  <c r="F148" i="10"/>
  <c r="F159" i="10" s="1"/>
  <c r="K146" i="10" s="1"/>
  <c r="E148" i="10"/>
  <c r="E159" i="10" s="1"/>
  <c r="D148" i="10"/>
  <c r="C148" i="10"/>
  <c r="B148" i="10"/>
  <c r="M146" i="10"/>
  <c r="M145" i="10"/>
  <c r="L142" i="10"/>
  <c r="K142" i="10"/>
  <c r="J142" i="10"/>
  <c r="I142" i="10"/>
  <c r="H142" i="10"/>
  <c r="G142" i="10"/>
  <c r="F142" i="10"/>
  <c r="E142" i="10"/>
  <c r="D142" i="10"/>
  <c r="C142" i="10"/>
  <c r="B142" i="10"/>
  <c r="L141" i="10"/>
  <c r="K141" i="10"/>
  <c r="J141" i="10"/>
  <c r="I141" i="10"/>
  <c r="H141" i="10"/>
  <c r="G141" i="10"/>
  <c r="F141" i="10"/>
  <c r="E141" i="10"/>
  <c r="D141" i="10"/>
  <c r="C141" i="10"/>
  <c r="B141" i="10"/>
  <c r="L140" i="10"/>
  <c r="K140" i="10"/>
  <c r="J140" i="10"/>
  <c r="I140" i="10"/>
  <c r="H140" i="10"/>
  <c r="G140" i="10"/>
  <c r="F140" i="10"/>
  <c r="E140" i="10"/>
  <c r="D140" i="10"/>
  <c r="C140" i="10"/>
  <c r="B140" i="10"/>
  <c r="L139" i="10"/>
  <c r="K139" i="10"/>
  <c r="J139" i="10"/>
  <c r="I139" i="10"/>
  <c r="H139" i="10"/>
  <c r="G139" i="10"/>
  <c r="F139" i="10"/>
  <c r="E139" i="10"/>
  <c r="D139" i="10"/>
  <c r="C139" i="10"/>
  <c r="B139" i="10"/>
  <c r="L138" i="10"/>
  <c r="K138" i="10"/>
  <c r="J138" i="10"/>
  <c r="I138" i="10"/>
  <c r="H138" i="10"/>
  <c r="G138" i="10"/>
  <c r="F138" i="10"/>
  <c r="E138" i="10"/>
  <c r="D138" i="10"/>
  <c r="C138" i="10"/>
  <c r="B138" i="10"/>
  <c r="L137" i="10"/>
  <c r="K137" i="10"/>
  <c r="J137" i="10"/>
  <c r="I137" i="10"/>
  <c r="H137" i="10"/>
  <c r="G137" i="10"/>
  <c r="F137" i="10"/>
  <c r="E137" i="10"/>
  <c r="D137" i="10"/>
  <c r="C137" i="10"/>
  <c r="B137" i="10"/>
  <c r="L136" i="10"/>
  <c r="K136" i="10"/>
  <c r="J136" i="10"/>
  <c r="I136" i="10"/>
  <c r="H136" i="10"/>
  <c r="G136" i="10"/>
  <c r="F136" i="10"/>
  <c r="E136" i="10"/>
  <c r="D136" i="10"/>
  <c r="C136" i="10"/>
  <c r="B136" i="10"/>
  <c r="L135" i="10"/>
  <c r="K135" i="10"/>
  <c r="J135" i="10"/>
  <c r="I135" i="10"/>
  <c r="H135" i="10"/>
  <c r="G135" i="10"/>
  <c r="F135" i="10"/>
  <c r="E135" i="10"/>
  <c r="D135" i="10"/>
  <c r="C135" i="10"/>
  <c r="B135" i="10"/>
  <c r="L134" i="10"/>
  <c r="K134" i="10"/>
  <c r="J134" i="10"/>
  <c r="I134" i="10"/>
  <c r="H134" i="10"/>
  <c r="G134" i="10"/>
  <c r="F134" i="10"/>
  <c r="E134" i="10"/>
  <c r="D134" i="10"/>
  <c r="C134" i="10"/>
  <c r="B134" i="10"/>
  <c r="L133" i="10"/>
  <c r="K133" i="10"/>
  <c r="J133" i="10"/>
  <c r="I133" i="10"/>
  <c r="H133" i="10"/>
  <c r="G133" i="10"/>
  <c r="F133" i="10"/>
  <c r="E133" i="10"/>
  <c r="D133" i="10"/>
  <c r="C133" i="10"/>
  <c r="B133" i="10"/>
  <c r="L132" i="10"/>
  <c r="L143" i="10" s="1"/>
  <c r="K132" i="10"/>
  <c r="K143" i="10" s="1"/>
  <c r="J132" i="10"/>
  <c r="J143" i="10" s="1"/>
  <c r="I132" i="10"/>
  <c r="I143" i="10" s="1"/>
  <c r="H132" i="10"/>
  <c r="H143" i="10" s="1"/>
  <c r="G132" i="10"/>
  <c r="G143" i="10" s="1"/>
  <c r="F132" i="10"/>
  <c r="F143" i="10" s="1"/>
  <c r="K130" i="10" s="1"/>
  <c r="E132" i="10"/>
  <c r="E143" i="10" s="1"/>
  <c r="D132" i="10"/>
  <c r="C132" i="10"/>
  <c r="B132" i="10"/>
  <c r="M130" i="10"/>
  <c r="M129" i="10"/>
  <c r="L126" i="10"/>
  <c r="K126" i="10"/>
  <c r="J126" i="10"/>
  <c r="I126" i="10"/>
  <c r="H126" i="10"/>
  <c r="G126" i="10"/>
  <c r="F126" i="10"/>
  <c r="E126" i="10"/>
  <c r="D126" i="10"/>
  <c r="C126" i="10"/>
  <c r="B126" i="10"/>
  <c r="L125" i="10"/>
  <c r="K125" i="10"/>
  <c r="J125" i="10"/>
  <c r="I125" i="10"/>
  <c r="H125" i="10"/>
  <c r="G125" i="10"/>
  <c r="F125" i="10"/>
  <c r="E125" i="10"/>
  <c r="D125" i="10"/>
  <c r="C125" i="10"/>
  <c r="B125" i="10"/>
  <c r="L124" i="10"/>
  <c r="K124" i="10"/>
  <c r="J124" i="10"/>
  <c r="I124" i="10"/>
  <c r="H124" i="10"/>
  <c r="G124" i="10"/>
  <c r="F124" i="10"/>
  <c r="E124" i="10"/>
  <c r="D124" i="10"/>
  <c r="C124" i="10"/>
  <c r="B124" i="10"/>
  <c r="L123" i="10"/>
  <c r="K123" i="10"/>
  <c r="J123" i="10"/>
  <c r="I123" i="10"/>
  <c r="H123" i="10"/>
  <c r="G123" i="10"/>
  <c r="F123" i="10"/>
  <c r="E123" i="10"/>
  <c r="D123" i="10"/>
  <c r="C123" i="10"/>
  <c r="B123" i="10"/>
  <c r="L122" i="10"/>
  <c r="K122" i="10"/>
  <c r="J122" i="10"/>
  <c r="I122" i="10"/>
  <c r="H122" i="10"/>
  <c r="G122" i="10"/>
  <c r="F122" i="10"/>
  <c r="E122" i="10"/>
  <c r="D122" i="10"/>
  <c r="C122" i="10"/>
  <c r="B122" i="10"/>
  <c r="L121" i="10"/>
  <c r="K121" i="10"/>
  <c r="J121" i="10"/>
  <c r="I121" i="10"/>
  <c r="H121" i="10"/>
  <c r="G121" i="10"/>
  <c r="F121" i="10"/>
  <c r="E121" i="10"/>
  <c r="D121" i="10"/>
  <c r="C121" i="10"/>
  <c r="B121" i="10"/>
  <c r="L120" i="10"/>
  <c r="K120" i="10"/>
  <c r="J120" i="10"/>
  <c r="I120" i="10"/>
  <c r="H120" i="10"/>
  <c r="G120" i="10"/>
  <c r="F120" i="10"/>
  <c r="E120" i="10"/>
  <c r="D120" i="10"/>
  <c r="C120" i="10"/>
  <c r="B120" i="10"/>
  <c r="L119" i="10"/>
  <c r="K119" i="10"/>
  <c r="J119" i="10"/>
  <c r="I119" i="10"/>
  <c r="H119" i="10"/>
  <c r="G119" i="10"/>
  <c r="F119" i="10"/>
  <c r="E119" i="10"/>
  <c r="D119" i="10"/>
  <c r="C119" i="10"/>
  <c r="B119" i="10"/>
  <c r="L118" i="10"/>
  <c r="K118" i="10"/>
  <c r="J118" i="10"/>
  <c r="I118" i="10"/>
  <c r="H118" i="10"/>
  <c r="G118" i="10"/>
  <c r="F118" i="10"/>
  <c r="E118" i="10"/>
  <c r="D118" i="10"/>
  <c r="C118" i="10"/>
  <c r="B118" i="10"/>
  <c r="L117" i="10"/>
  <c r="K117" i="10"/>
  <c r="J117" i="10"/>
  <c r="I117" i="10"/>
  <c r="H117" i="10"/>
  <c r="G117" i="10"/>
  <c r="F117" i="10"/>
  <c r="E117" i="10"/>
  <c r="D117" i="10"/>
  <c r="C117" i="10"/>
  <c r="B117" i="10"/>
  <c r="L116" i="10"/>
  <c r="L127" i="10" s="1"/>
  <c r="K116" i="10"/>
  <c r="K127" i="10" s="1"/>
  <c r="J116" i="10"/>
  <c r="J127" i="10" s="1"/>
  <c r="I116" i="10"/>
  <c r="I127" i="10" s="1"/>
  <c r="H116" i="10"/>
  <c r="H127" i="10" s="1"/>
  <c r="G116" i="10"/>
  <c r="G127" i="10" s="1"/>
  <c r="F116" i="10"/>
  <c r="F127" i="10" s="1"/>
  <c r="K114" i="10" s="1"/>
  <c r="E116" i="10"/>
  <c r="E127" i="10" s="1"/>
  <c r="D116" i="10"/>
  <c r="C116" i="10"/>
  <c r="B116" i="10"/>
  <c r="M114" i="10"/>
  <c r="M113" i="10"/>
  <c r="L110" i="10"/>
  <c r="K110" i="10"/>
  <c r="J110" i="10"/>
  <c r="I110" i="10"/>
  <c r="H110" i="10"/>
  <c r="G110" i="10"/>
  <c r="F110" i="10"/>
  <c r="E110" i="10"/>
  <c r="D110" i="10"/>
  <c r="C110" i="10"/>
  <c r="B110" i="10"/>
  <c r="L109" i="10"/>
  <c r="K109" i="10"/>
  <c r="J109" i="10"/>
  <c r="I109" i="10"/>
  <c r="H109" i="10"/>
  <c r="G109" i="10"/>
  <c r="F109" i="10"/>
  <c r="E109" i="10"/>
  <c r="D109" i="10"/>
  <c r="C109" i="10"/>
  <c r="B109" i="10"/>
  <c r="L108" i="10"/>
  <c r="K108" i="10"/>
  <c r="J108" i="10"/>
  <c r="I108" i="10"/>
  <c r="H108" i="10"/>
  <c r="G108" i="10"/>
  <c r="F108" i="10"/>
  <c r="E108" i="10"/>
  <c r="D108" i="10"/>
  <c r="C108" i="10"/>
  <c r="B108" i="10"/>
  <c r="L107" i="10"/>
  <c r="K107" i="10"/>
  <c r="J107" i="10"/>
  <c r="I107" i="10"/>
  <c r="H107" i="10"/>
  <c r="G107" i="10"/>
  <c r="F107" i="10"/>
  <c r="E107" i="10"/>
  <c r="D107" i="10"/>
  <c r="C107" i="10"/>
  <c r="B107" i="10"/>
  <c r="L106" i="10"/>
  <c r="K106" i="10"/>
  <c r="J106" i="10"/>
  <c r="I106" i="10"/>
  <c r="H106" i="10"/>
  <c r="G106" i="10"/>
  <c r="F106" i="10"/>
  <c r="E106" i="10"/>
  <c r="D106" i="10"/>
  <c r="C106" i="10"/>
  <c r="B106" i="10"/>
  <c r="L105" i="10"/>
  <c r="K105" i="10"/>
  <c r="J105" i="10"/>
  <c r="I105" i="10"/>
  <c r="H105" i="10"/>
  <c r="G105" i="10"/>
  <c r="F105" i="10"/>
  <c r="E105" i="10"/>
  <c r="D105" i="10"/>
  <c r="C105" i="10"/>
  <c r="B105" i="10"/>
  <c r="L104" i="10"/>
  <c r="K104" i="10"/>
  <c r="J104" i="10"/>
  <c r="I104" i="10"/>
  <c r="H104" i="10"/>
  <c r="G104" i="10"/>
  <c r="F104" i="10"/>
  <c r="E104" i="10"/>
  <c r="D104" i="10"/>
  <c r="C104" i="10"/>
  <c r="B104" i="10"/>
  <c r="L103" i="10"/>
  <c r="K103" i="10"/>
  <c r="J103" i="10"/>
  <c r="I103" i="10"/>
  <c r="H103" i="10"/>
  <c r="G103" i="10"/>
  <c r="F103" i="10"/>
  <c r="E103" i="10"/>
  <c r="D103" i="10"/>
  <c r="C103" i="10"/>
  <c r="B103" i="10"/>
  <c r="L102" i="10"/>
  <c r="K102" i="10"/>
  <c r="J102" i="10"/>
  <c r="I102" i="10"/>
  <c r="H102" i="10"/>
  <c r="G102" i="10"/>
  <c r="F102" i="10"/>
  <c r="E102" i="10"/>
  <c r="D102" i="10"/>
  <c r="C102" i="10"/>
  <c r="B102" i="10"/>
  <c r="L101" i="10"/>
  <c r="K101" i="10"/>
  <c r="J101" i="10"/>
  <c r="I101" i="10"/>
  <c r="H101" i="10"/>
  <c r="G101" i="10"/>
  <c r="F101" i="10"/>
  <c r="E101" i="10"/>
  <c r="D101" i="10"/>
  <c r="C101" i="10"/>
  <c r="B101" i="10"/>
  <c r="L100" i="10"/>
  <c r="L111" i="10" s="1"/>
  <c r="K100" i="10"/>
  <c r="K111" i="10" s="1"/>
  <c r="J100" i="10"/>
  <c r="J111" i="10" s="1"/>
  <c r="I100" i="10"/>
  <c r="I111" i="10" s="1"/>
  <c r="H100" i="10"/>
  <c r="H111" i="10" s="1"/>
  <c r="G100" i="10"/>
  <c r="G111" i="10" s="1"/>
  <c r="F100" i="10"/>
  <c r="F111" i="10" s="1"/>
  <c r="K98" i="10" s="1"/>
  <c r="E100" i="10"/>
  <c r="E111" i="10" s="1"/>
  <c r="D100" i="10"/>
  <c r="C100" i="10"/>
  <c r="B100" i="10"/>
  <c r="M98" i="10"/>
  <c r="M97" i="10"/>
  <c r="H95" i="10"/>
  <c r="L94" i="10"/>
  <c r="K94" i="10"/>
  <c r="J94" i="10"/>
  <c r="I94" i="10"/>
  <c r="H94" i="10"/>
  <c r="G94" i="10"/>
  <c r="F94" i="10"/>
  <c r="E94" i="10"/>
  <c r="D94" i="10"/>
  <c r="C94" i="10"/>
  <c r="B94" i="10"/>
  <c r="L93" i="10"/>
  <c r="K93" i="10"/>
  <c r="J93" i="10"/>
  <c r="I93" i="10"/>
  <c r="H93" i="10"/>
  <c r="G93" i="10"/>
  <c r="F93" i="10"/>
  <c r="E93" i="10"/>
  <c r="D93" i="10"/>
  <c r="C93" i="10"/>
  <c r="B93" i="10"/>
  <c r="L92" i="10"/>
  <c r="K92" i="10"/>
  <c r="J92" i="10"/>
  <c r="I92" i="10"/>
  <c r="H92" i="10"/>
  <c r="G92" i="10"/>
  <c r="F92" i="10"/>
  <c r="E92" i="10"/>
  <c r="D92" i="10"/>
  <c r="C92" i="10"/>
  <c r="B92" i="10"/>
  <c r="L91" i="10"/>
  <c r="K91" i="10"/>
  <c r="J91" i="10"/>
  <c r="I91" i="10"/>
  <c r="H91" i="10"/>
  <c r="G91" i="10"/>
  <c r="F91" i="10"/>
  <c r="E91" i="10"/>
  <c r="D91" i="10"/>
  <c r="C91" i="10"/>
  <c r="B91" i="10"/>
  <c r="L90" i="10"/>
  <c r="K90" i="10"/>
  <c r="J90" i="10"/>
  <c r="I90" i="10"/>
  <c r="H90" i="10"/>
  <c r="G90" i="10"/>
  <c r="F90" i="10"/>
  <c r="E90" i="10"/>
  <c r="D90" i="10"/>
  <c r="C90" i="10"/>
  <c r="B90" i="10"/>
  <c r="L89" i="10"/>
  <c r="K89" i="10"/>
  <c r="J89" i="10"/>
  <c r="I89" i="10"/>
  <c r="H89" i="10"/>
  <c r="G89" i="10"/>
  <c r="F89" i="10"/>
  <c r="E89" i="10"/>
  <c r="D89" i="10"/>
  <c r="C89" i="10"/>
  <c r="B89" i="10"/>
  <c r="L88" i="10"/>
  <c r="K88" i="10"/>
  <c r="J88" i="10"/>
  <c r="I88" i="10"/>
  <c r="H88" i="10"/>
  <c r="G88" i="10"/>
  <c r="F88" i="10"/>
  <c r="E88" i="10"/>
  <c r="D88" i="10"/>
  <c r="C88" i="10"/>
  <c r="B88" i="10"/>
  <c r="L87" i="10"/>
  <c r="K87" i="10"/>
  <c r="J87" i="10"/>
  <c r="I87" i="10"/>
  <c r="H87" i="10"/>
  <c r="G87" i="10"/>
  <c r="F87" i="10"/>
  <c r="E87" i="10"/>
  <c r="D87" i="10"/>
  <c r="C87" i="10"/>
  <c r="B87" i="10"/>
  <c r="L86" i="10"/>
  <c r="K86" i="10"/>
  <c r="J86" i="10"/>
  <c r="I86" i="10"/>
  <c r="H86" i="10"/>
  <c r="G86" i="10"/>
  <c r="F86" i="10"/>
  <c r="E86" i="10"/>
  <c r="D86" i="10"/>
  <c r="C86" i="10"/>
  <c r="B86" i="10"/>
  <c r="L85" i="10"/>
  <c r="K85" i="10"/>
  <c r="J85" i="10"/>
  <c r="I85" i="10"/>
  <c r="H85" i="10"/>
  <c r="G85" i="10"/>
  <c r="F85" i="10"/>
  <c r="E85" i="10"/>
  <c r="D85" i="10"/>
  <c r="C85" i="10"/>
  <c r="B85" i="10"/>
  <c r="L84" i="10"/>
  <c r="L95" i="10" s="1"/>
  <c r="K84" i="10"/>
  <c r="K95" i="10" s="1"/>
  <c r="J84" i="10"/>
  <c r="J95" i="10" s="1"/>
  <c r="I84" i="10"/>
  <c r="I95" i="10" s="1"/>
  <c r="H84" i="10"/>
  <c r="G84" i="10"/>
  <c r="G95" i="10" s="1"/>
  <c r="F84" i="10"/>
  <c r="F95" i="10" s="1"/>
  <c r="K82" i="10" s="1"/>
  <c r="E84" i="10"/>
  <c r="E95" i="10" s="1"/>
  <c r="D84" i="10"/>
  <c r="C84" i="10"/>
  <c r="B84" i="10"/>
  <c r="M82" i="10"/>
  <c r="M81" i="10"/>
  <c r="L78" i="10"/>
  <c r="K78" i="10"/>
  <c r="J78" i="10"/>
  <c r="I78" i="10"/>
  <c r="H78" i="10"/>
  <c r="G78" i="10"/>
  <c r="F78" i="10"/>
  <c r="E78" i="10"/>
  <c r="D78" i="10"/>
  <c r="C78" i="10"/>
  <c r="B78" i="10"/>
  <c r="L77" i="10"/>
  <c r="K77" i="10"/>
  <c r="J77" i="10"/>
  <c r="I77" i="10"/>
  <c r="H77" i="10"/>
  <c r="G77" i="10"/>
  <c r="F77" i="10"/>
  <c r="E77" i="10"/>
  <c r="D77" i="10"/>
  <c r="C77" i="10"/>
  <c r="B77" i="10"/>
  <c r="L76" i="10"/>
  <c r="K76" i="10"/>
  <c r="J76" i="10"/>
  <c r="I76" i="10"/>
  <c r="H76" i="10"/>
  <c r="G76" i="10"/>
  <c r="F76" i="10"/>
  <c r="E76" i="10"/>
  <c r="D76" i="10"/>
  <c r="C76" i="10"/>
  <c r="B76" i="10"/>
  <c r="L75" i="10"/>
  <c r="K75" i="10"/>
  <c r="J75" i="10"/>
  <c r="I75" i="10"/>
  <c r="H75" i="10"/>
  <c r="G75" i="10"/>
  <c r="F75" i="10"/>
  <c r="E75" i="10"/>
  <c r="D75" i="10"/>
  <c r="C75" i="10"/>
  <c r="B75" i="10"/>
  <c r="L74" i="10"/>
  <c r="K74" i="10"/>
  <c r="J74" i="10"/>
  <c r="I74" i="10"/>
  <c r="H74" i="10"/>
  <c r="G74" i="10"/>
  <c r="F74" i="10"/>
  <c r="E74" i="10"/>
  <c r="D74" i="10"/>
  <c r="C74" i="10"/>
  <c r="B74" i="10"/>
  <c r="L73" i="10"/>
  <c r="K73" i="10"/>
  <c r="J73" i="10"/>
  <c r="I73" i="10"/>
  <c r="H73" i="10"/>
  <c r="G73" i="10"/>
  <c r="F73" i="10"/>
  <c r="E73" i="10"/>
  <c r="D73" i="10"/>
  <c r="C73" i="10"/>
  <c r="B73" i="10"/>
  <c r="L72" i="10"/>
  <c r="K72" i="10"/>
  <c r="J72" i="10"/>
  <c r="I72" i="10"/>
  <c r="H72" i="10"/>
  <c r="G72" i="10"/>
  <c r="F72" i="10"/>
  <c r="E72" i="10"/>
  <c r="D72" i="10"/>
  <c r="C72" i="10"/>
  <c r="B72" i="10"/>
  <c r="L71" i="10"/>
  <c r="K71" i="10"/>
  <c r="J71" i="10"/>
  <c r="I71" i="10"/>
  <c r="H71" i="10"/>
  <c r="G71" i="10"/>
  <c r="F71" i="10"/>
  <c r="E71" i="10"/>
  <c r="D71" i="10"/>
  <c r="C71" i="10"/>
  <c r="B71" i="10"/>
  <c r="L70" i="10"/>
  <c r="K70" i="10"/>
  <c r="J70" i="10"/>
  <c r="I70" i="10"/>
  <c r="H70" i="10"/>
  <c r="G70" i="10"/>
  <c r="F70" i="10"/>
  <c r="E70" i="10"/>
  <c r="D70" i="10"/>
  <c r="C70" i="10"/>
  <c r="B70" i="10"/>
  <c r="L69" i="10"/>
  <c r="K69" i="10"/>
  <c r="J69" i="10"/>
  <c r="I69" i="10"/>
  <c r="H69" i="10"/>
  <c r="G69" i="10"/>
  <c r="F69" i="10"/>
  <c r="E69" i="10"/>
  <c r="D69" i="10"/>
  <c r="C69" i="10"/>
  <c r="B69" i="10"/>
  <c r="L68" i="10"/>
  <c r="L79" i="10" s="1"/>
  <c r="K68" i="10"/>
  <c r="K79" i="10" s="1"/>
  <c r="J68" i="10"/>
  <c r="J79" i="10" s="1"/>
  <c r="I68" i="10"/>
  <c r="I79" i="10" s="1"/>
  <c r="H68" i="10"/>
  <c r="H79" i="10" s="1"/>
  <c r="G68" i="10"/>
  <c r="G79" i="10" s="1"/>
  <c r="F68" i="10"/>
  <c r="F79" i="10" s="1"/>
  <c r="K66" i="10" s="1"/>
  <c r="E68" i="10"/>
  <c r="E79" i="10" s="1"/>
  <c r="D68" i="10"/>
  <c r="C68" i="10"/>
  <c r="B68" i="10"/>
  <c r="M66" i="10"/>
  <c r="M65" i="10"/>
  <c r="L62" i="10"/>
  <c r="K62" i="10"/>
  <c r="J62" i="10"/>
  <c r="I62" i="10"/>
  <c r="H62" i="10"/>
  <c r="G62" i="10"/>
  <c r="F62" i="10"/>
  <c r="E62" i="10"/>
  <c r="D62" i="10"/>
  <c r="C62" i="10"/>
  <c r="B62" i="10"/>
  <c r="L61" i="10"/>
  <c r="K61" i="10"/>
  <c r="J61" i="10"/>
  <c r="I61" i="10"/>
  <c r="H61" i="10"/>
  <c r="G61" i="10"/>
  <c r="F61" i="10"/>
  <c r="E61" i="10"/>
  <c r="D61" i="10"/>
  <c r="C61" i="10"/>
  <c r="B61" i="10"/>
  <c r="L60" i="10"/>
  <c r="K60" i="10"/>
  <c r="J60" i="10"/>
  <c r="I60" i="10"/>
  <c r="H60" i="10"/>
  <c r="G60" i="10"/>
  <c r="F60" i="10"/>
  <c r="E60" i="10"/>
  <c r="D60" i="10"/>
  <c r="C60" i="10"/>
  <c r="B60" i="10"/>
  <c r="L59" i="10"/>
  <c r="K59" i="10"/>
  <c r="J59" i="10"/>
  <c r="I59" i="10"/>
  <c r="H59" i="10"/>
  <c r="G59" i="10"/>
  <c r="F59" i="10"/>
  <c r="E59" i="10"/>
  <c r="D59" i="10"/>
  <c r="C59" i="10"/>
  <c r="B59" i="10"/>
  <c r="L58" i="10"/>
  <c r="K58" i="10"/>
  <c r="J58" i="10"/>
  <c r="I58" i="10"/>
  <c r="H58" i="10"/>
  <c r="G58" i="10"/>
  <c r="F58" i="10"/>
  <c r="E58" i="10"/>
  <c r="D58" i="10"/>
  <c r="C58" i="10"/>
  <c r="B58" i="10"/>
  <c r="L57" i="10"/>
  <c r="K57" i="10"/>
  <c r="J57" i="10"/>
  <c r="I57" i="10"/>
  <c r="H57" i="10"/>
  <c r="G57" i="10"/>
  <c r="F57" i="10"/>
  <c r="E57" i="10"/>
  <c r="D57" i="10"/>
  <c r="C57" i="10"/>
  <c r="B57" i="10"/>
  <c r="L56" i="10"/>
  <c r="K56" i="10"/>
  <c r="J56" i="10"/>
  <c r="I56" i="10"/>
  <c r="H56" i="10"/>
  <c r="G56" i="10"/>
  <c r="F56" i="10"/>
  <c r="E56" i="10"/>
  <c r="D56" i="10"/>
  <c r="C56" i="10"/>
  <c r="B56" i="10"/>
  <c r="L55" i="10"/>
  <c r="K55" i="10"/>
  <c r="J55" i="10"/>
  <c r="I55" i="10"/>
  <c r="H55" i="10"/>
  <c r="G55" i="10"/>
  <c r="F55" i="10"/>
  <c r="E55" i="10"/>
  <c r="D55" i="10"/>
  <c r="C55" i="10"/>
  <c r="B55" i="10"/>
  <c r="L54" i="10"/>
  <c r="K54" i="10"/>
  <c r="J54" i="10"/>
  <c r="I54" i="10"/>
  <c r="H54" i="10"/>
  <c r="G54" i="10"/>
  <c r="F54" i="10"/>
  <c r="E54" i="10"/>
  <c r="D54" i="10"/>
  <c r="C54" i="10"/>
  <c r="B54" i="10"/>
  <c r="L53" i="10"/>
  <c r="K53" i="10"/>
  <c r="J53" i="10"/>
  <c r="I53" i="10"/>
  <c r="H53" i="10"/>
  <c r="G53" i="10"/>
  <c r="F53" i="10"/>
  <c r="E53" i="10"/>
  <c r="D53" i="10"/>
  <c r="C53" i="10"/>
  <c r="B53" i="10"/>
  <c r="L52" i="10"/>
  <c r="L63" i="10" s="1"/>
  <c r="K52" i="10"/>
  <c r="K63" i="10" s="1"/>
  <c r="J52" i="10"/>
  <c r="J63" i="10" s="1"/>
  <c r="I52" i="10"/>
  <c r="I63" i="10" s="1"/>
  <c r="H52" i="10"/>
  <c r="H63" i="10" s="1"/>
  <c r="G52" i="10"/>
  <c r="G63" i="10" s="1"/>
  <c r="F52" i="10"/>
  <c r="F63" i="10" s="1"/>
  <c r="K50" i="10" s="1"/>
  <c r="E52" i="10"/>
  <c r="E63" i="10" s="1"/>
  <c r="D52" i="10"/>
  <c r="C52" i="10"/>
  <c r="B52" i="10"/>
  <c r="M50" i="10"/>
  <c r="M49" i="10"/>
  <c r="L46" i="10"/>
  <c r="K46" i="10"/>
  <c r="J46" i="10"/>
  <c r="I46" i="10"/>
  <c r="H46" i="10"/>
  <c r="G46" i="10"/>
  <c r="F46" i="10"/>
  <c r="E46" i="10"/>
  <c r="D46" i="10"/>
  <c r="C46" i="10"/>
  <c r="B46" i="10"/>
  <c r="L45" i="10"/>
  <c r="K45" i="10"/>
  <c r="J45" i="10"/>
  <c r="I45" i="10"/>
  <c r="H45" i="10"/>
  <c r="G45" i="10"/>
  <c r="F45" i="10"/>
  <c r="E45" i="10"/>
  <c r="D45" i="10"/>
  <c r="C45" i="10"/>
  <c r="B45" i="10"/>
  <c r="L44" i="10"/>
  <c r="K44" i="10"/>
  <c r="J44" i="10"/>
  <c r="I44" i="10"/>
  <c r="H44" i="10"/>
  <c r="G44" i="10"/>
  <c r="F44" i="10"/>
  <c r="E44" i="10"/>
  <c r="D44" i="10"/>
  <c r="C44" i="10"/>
  <c r="B44" i="10"/>
  <c r="L43" i="10"/>
  <c r="K43" i="10"/>
  <c r="J43" i="10"/>
  <c r="I43" i="10"/>
  <c r="H43" i="10"/>
  <c r="G43" i="10"/>
  <c r="F43" i="10"/>
  <c r="E43" i="10"/>
  <c r="D43" i="10"/>
  <c r="C43" i="10"/>
  <c r="B43" i="10"/>
  <c r="L42" i="10"/>
  <c r="K42" i="10"/>
  <c r="J42" i="10"/>
  <c r="I42" i="10"/>
  <c r="H42" i="10"/>
  <c r="G42" i="10"/>
  <c r="F42" i="10"/>
  <c r="E42" i="10"/>
  <c r="D42" i="10"/>
  <c r="C42" i="10"/>
  <c r="B42" i="10"/>
  <c r="L41" i="10"/>
  <c r="K41" i="10"/>
  <c r="J41" i="10"/>
  <c r="I41" i="10"/>
  <c r="H41" i="10"/>
  <c r="G41" i="10"/>
  <c r="F41" i="10"/>
  <c r="E41" i="10"/>
  <c r="D41" i="10"/>
  <c r="C41" i="10"/>
  <c r="B41" i="10"/>
  <c r="L40" i="10"/>
  <c r="K40" i="10"/>
  <c r="J40" i="10"/>
  <c r="I40" i="10"/>
  <c r="H40" i="10"/>
  <c r="G40" i="10"/>
  <c r="F40" i="10"/>
  <c r="E40" i="10"/>
  <c r="D40" i="10"/>
  <c r="C40" i="10"/>
  <c r="B40" i="10"/>
  <c r="L39" i="10"/>
  <c r="K39" i="10"/>
  <c r="J39" i="10"/>
  <c r="I39" i="10"/>
  <c r="H39" i="10"/>
  <c r="G39" i="10"/>
  <c r="F39" i="10"/>
  <c r="E39" i="10"/>
  <c r="D39" i="10"/>
  <c r="C39" i="10"/>
  <c r="B39" i="10"/>
  <c r="L38" i="10"/>
  <c r="K38" i="10"/>
  <c r="J38" i="10"/>
  <c r="I38" i="10"/>
  <c r="H38" i="10"/>
  <c r="G38" i="10"/>
  <c r="F38" i="10"/>
  <c r="E38" i="10"/>
  <c r="D38" i="10"/>
  <c r="C38" i="10"/>
  <c r="B38" i="10"/>
  <c r="L37" i="10"/>
  <c r="K37" i="10"/>
  <c r="J37" i="10"/>
  <c r="I37" i="10"/>
  <c r="H37" i="10"/>
  <c r="G37" i="10"/>
  <c r="F37" i="10"/>
  <c r="E37" i="10"/>
  <c r="D37" i="10"/>
  <c r="C37" i="10"/>
  <c r="B37" i="10"/>
  <c r="L36" i="10"/>
  <c r="L47" i="10" s="1"/>
  <c r="K36" i="10"/>
  <c r="K47" i="10" s="1"/>
  <c r="J36" i="10"/>
  <c r="J47" i="10" s="1"/>
  <c r="I36" i="10"/>
  <c r="I47" i="10" s="1"/>
  <c r="H36" i="10"/>
  <c r="H47" i="10" s="1"/>
  <c r="G36" i="10"/>
  <c r="G47" i="10" s="1"/>
  <c r="F36" i="10"/>
  <c r="F47" i="10" s="1"/>
  <c r="K34" i="10" s="1"/>
  <c r="E36" i="10"/>
  <c r="E47" i="10" s="1"/>
  <c r="D36" i="10"/>
  <c r="C36" i="10"/>
  <c r="B36" i="10"/>
  <c r="M34" i="10"/>
  <c r="M33" i="10"/>
  <c r="H31" i="10"/>
  <c r="L30" i="10"/>
  <c r="K30" i="10"/>
  <c r="J30" i="10"/>
  <c r="I30" i="10"/>
  <c r="H30" i="10"/>
  <c r="G30" i="10"/>
  <c r="F30" i="10"/>
  <c r="E30" i="10"/>
  <c r="D30" i="10"/>
  <c r="C30" i="10"/>
  <c r="B30" i="10"/>
  <c r="L29" i="10"/>
  <c r="K29" i="10"/>
  <c r="J29" i="10"/>
  <c r="I29" i="10"/>
  <c r="H29" i="10"/>
  <c r="G29" i="10"/>
  <c r="F29" i="10"/>
  <c r="E29" i="10"/>
  <c r="D29" i="10"/>
  <c r="C29" i="10"/>
  <c r="B29" i="10"/>
  <c r="L28" i="10"/>
  <c r="K28" i="10"/>
  <c r="J28" i="10"/>
  <c r="I28" i="10"/>
  <c r="H28" i="10"/>
  <c r="G28" i="10"/>
  <c r="F28" i="10"/>
  <c r="E28" i="10"/>
  <c r="D28" i="10"/>
  <c r="C28" i="10"/>
  <c r="B28" i="10"/>
  <c r="L27" i="10"/>
  <c r="K27" i="10"/>
  <c r="J27" i="10"/>
  <c r="I27" i="10"/>
  <c r="H27" i="10"/>
  <c r="G27" i="10"/>
  <c r="F27" i="10"/>
  <c r="E27" i="10"/>
  <c r="D27" i="10"/>
  <c r="C27" i="10"/>
  <c r="B27" i="10"/>
  <c r="L26" i="10"/>
  <c r="K26" i="10"/>
  <c r="J26" i="10"/>
  <c r="I26" i="10"/>
  <c r="H26" i="10"/>
  <c r="G26" i="10"/>
  <c r="F26" i="10"/>
  <c r="E26" i="10"/>
  <c r="D26" i="10"/>
  <c r="C26" i="10"/>
  <c r="B26" i="10"/>
  <c r="L25" i="10"/>
  <c r="K25" i="10"/>
  <c r="J25" i="10"/>
  <c r="I25" i="10"/>
  <c r="H25" i="10"/>
  <c r="G25" i="10"/>
  <c r="F25" i="10"/>
  <c r="E25" i="10"/>
  <c r="D25" i="10"/>
  <c r="C25" i="10"/>
  <c r="B25" i="10"/>
  <c r="L24" i="10"/>
  <c r="K24" i="10"/>
  <c r="J24" i="10"/>
  <c r="I24" i="10"/>
  <c r="H24" i="10"/>
  <c r="G24" i="10"/>
  <c r="F24" i="10"/>
  <c r="E24" i="10"/>
  <c r="D24" i="10"/>
  <c r="C24" i="10"/>
  <c r="B24" i="10"/>
  <c r="L23" i="10"/>
  <c r="K23" i="10"/>
  <c r="J23" i="10"/>
  <c r="I23" i="10"/>
  <c r="H23" i="10"/>
  <c r="G23" i="10"/>
  <c r="F23" i="10"/>
  <c r="E23" i="10"/>
  <c r="D23" i="10"/>
  <c r="C23" i="10"/>
  <c r="B23" i="10"/>
  <c r="L22" i="10"/>
  <c r="K22" i="10"/>
  <c r="J22" i="10"/>
  <c r="I22" i="10"/>
  <c r="H22" i="10"/>
  <c r="G22" i="10"/>
  <c r="F22" i="10"/>
  <c r="E22" i="10"/>
  <c r="D22" i="10"/>
  <c r="C22" i="10"/>
  <c r="B22" i="10"/>
  <c r="L21" i="10"/>
  <c r="K21" i="10"/>
  <c r="J21" i="10"/>
  <c r="I21" i="10"/>
  <c r="H21" i="10"/>
  <c r="G21" i="10"/>
  <c r="F21" i="10"/>
  <c r="E21" i="10"/>
  <c r="D21" i="10"/>
  <c r="C21" i="10"/>
  <c r="B21" i="10"/>
  <c r="L20" i="10"/>
  <c r="L31" i="10" s="1"/>
  <c r="K20" i="10"/>
  <c r="K31" i="10" s="1"/>
  <c r="J20" i="10"/>
  <c r="J31" i="10" s="1"/>
  <c r="I20" i="10"/>
  <c r="I31" i="10" s="1"/>
  <c r="H20" i="10"/>
  <c r="G20" i="10"/>
  <c r="G31" i="10" s="1"/>
  <c r="F20" i="10"/>
  <c r="F31" i="10" s="1"/>
  <c r="K18" i="10" s="1"/>
  <c r="E20" i="10"/>
  <c r="E31" i="10" s="1"/>
  <c r="D20" i="10"/>
  <c r="C20" i="10"/>
  <c r="B20" i="10"/>
  <c r="M18" i="10"/>
  <c r="M17" i="10"/>
  <c r="L15" i="10"/>
  <c r="E15" i="10"/>
  <c r="M2" i="10"/>
  <c r="M1" i="10"/>
  <c r="D7" i="9" a="1"/>
  <c r="D7" i="9" l="1"/>
  <c r="E3" i="5"/>
  <c r="E4" i="5"/>
  <c r="E5" i="5"/>
  <c r="E6" i="5"/>
  <c r="E7" i="5"/>
  <c r="E8" i="5"/>
  <c r="D3" i="5"/>
  <c r="D4" i="5"/>
  <c r="D5" i="5"/>
  <c r="D6" i="5"/>
  <c r="D7" i="5"/>
  <c r="D8" i="5"/>
  <c r="E2" i="5"/>
  <c r="D2" i="5"/>
  <c r="S41" i="9"/>
  <c r="H21" i="9" a="1"/>
  <c r="H23" i="9" a="1"/>
  <c r="I20" i="9" a="1"/>
  <c r="I24" i="9" a="1"/>
  <c r="J6" i="9" a="1"/>
  <c r="J8" i="9" a="1"/>
  <c r="J10" i="9" a="1"/>
  <c r="J12" i="9" a="1"/>
  <c r="J14" i="9" a="1"/>
  <c r="J16" i="9" a="1"/>
  <c r="J18" i="9" a="1"/>
  <c r="J25" i="9" a="1"/>
  <c r="AC35" i="9" a="1"/>
  <c r="AC31" i="9" a="1"/>
  <c r="AC27" i="9" a="1"/>
  <c r="AC23" i="9" a="1"/>
  <c r="AB35" i="9" a="1"/>
  <c r="AB33" i="9" a="1"/>
  <c r="AB31" i="9" a="1"/>
  <c r="AB29" i="9" a="1"/>
  <c r="AB27" i="9" a="1"/>
  <c r="AB25" i="9" a="1"/>
  <c r="AB23" i="9" a="1"/>
  <c r="AB21" i="9" a="1"/>
  <c r="AB19" i="9" a="1"/>
  <c r="I11" i="9" a="1"/>
  <c r="I19" i="9" a="1"/>
  <c r="I29" i="9" a="1"/>
  <c r="I33" i="9" a="1"/>
  <c r="AC17" i="9" a="1"/>
  <c r="AC13" i="9" a="1"/>
  <c r="J27" i="9" a="1"/>
  <c r="J31" i="9" a="1"/>
  <c r="J35" i="9" a="1"/>
  <c r="I10" i="9" a="1"/>
  <c r="I18" i="9" a="1"/>
  <c r="AD17" i="9" a="1"/>
  <c r="AD15" i="9" a="1"/>
  <c r="AD13" i="9" a="1"/>
  <c r="AD11" i="9" a="1"/>
  <c r="AD9" i="9" a="1"/>
  <c r="AD7" i="9" a="1"/>
  <c r="AD5" i="9" a="1"/>
  <c r="Z35" i="9" a="1"/>
  <c r="Z33" i="9" a="1"/>
  <c r="Z31" i="9" a="1"/>
  <c r="Z29" i="9" a="1"/>
  <c r="X26" i="9" a="1"/>
  <c r="Z22" i="9" a="1"/>
  <c r="Z20" i="9" a="1"/>
  <c r="Z18" i="9" a="1"/>
  <c r="Z16" i="9" a="1"/>
  <c r="Z14" i="9" a="1"/>
  <c r="Z12" i="9" a="1"/>
  <c r="Z10" i="9" a="1"/>
  <c r="Z8" i="9" a="1"/>
  <c r="Z6" i="9" a="1"/>
  <c r="Z4" i="9" a="1"/>
  <c r="V34" i="9" a="1"/>
  <c r="V32" i="9" a="1"/>
  <c r="V30" i="9" a="1"/>
  <c r="V28" i="9" a="1"/>
  <c r="V26" i="9" a="1"/>
  <c r="AC8" i="9" a="1"/>
  <c r="AC4" i="9" a="1"/>
  <c r="Y32" i="9" a="1"/>
  <c r="Z28" i="9" a="1"/>
  <c r="Z24" i="9" a="1"/>
  <c r="X27" i="9" a="1"/>
  <c r="Y21" i="9" a="1"/>
  <c r="Y17" i="9" a="1"/>
  <c r="Y13" i="9" a="1"/>
  <c r="Y9" i="9" a="1"/>
  <c r="Y5" i="9" a="1"/>
  <c r="U33" i="9" a="1"/>
  <c r="AC20" i="9" a="1"/>
  <c r="H28" i="9" a="1"/>
  <c r="V20" i="9" a="1"/>
  <c r="V12" i="9" a="1"/>
  <c r="V4" i="9" a="1"/>
  <c r="R28" i="9" a="1"/>
  <c r="R20" i="9" a="1"/>
  <c r="U25" i="9" a="1"/>
  <c r="T19" i="9" a="1"/>
  <c r="T12" i="9" a="1"/>
  <c r="V7" i="9" a="1"/>
  <c r="Q32" i="9" a="1"/>
  <c r="Q25" i="9" a="1"/>
  <c r="P19" i="9" a="1"/>
  <c r="Q14" i="9" a="1"/>
  <c r="Q10" i="9" a="1"/>
  <c r="P7" i="9" a="1"/>
  <c r="U27" i="9" a="1"/>
  <c r="U10" i="9" a="1"/>
  <c r="U29" i="9" a="1"/>
  <c r="U22" i="9" a="1"/>
  <c r="U15" i="9" a="1"/>
  <c r="T9" i="9" a="1"/>
  <c r="P34" i="9" a="1"/>
  <c r="R29" i="9" a="1"/>
  <c r="Q22" i="9" a="1"/>
  <c r="R15" i="9" a="1"/>
  <c r="R7" i="9" a="1"/>
  <c r="Z25" i="9" a="1"/>
  <c r="T5" i="9" a="1"/>
  <c r="U28" i="9" a="1"/>
  <c r="U21" i="9" a="1"/>
  <c r="T15" i="9" a="1"/>
  <c r="T8" i="9" a="1"/>
  <c r="R35" i="9" a="1"/>
  <c r="Q28" i="9" a="1"/>
  <c r="Q21" i="9" a="1"/>
  <c r="Q15" i="9" a="1"/>
  <c r="Q11" i="9" a="1"/>
  <c r="V9" i="9" a="1"/>
  <c r="R14" i="9" a="1"/>
  <c r="Q26" i="9" a="1"/>
  <c r="P22" i="9" a="1"/>
  <c r="Q6" i="9" a="1"/>
  <c r="J21" i="9" a="1"/>
  <c r="J23" i="9" a="1"/>
  <c r="I21" i="9" a="1"/>
  <c r="H5" i="9" a="1"/>
  <c r="H7" i="9" a="1"/>
  <c r="H9" i="9" a="1"/>
  <c r="H11" i="9" a="1"/>
  <c r="H13" i="9" a="1"/>
  <c r="H15" i="9" a="1"/>
  <c r="H17" i="9" a="1"/>
  <c r="H19" i="9" a="1"/>
  <c r="H26" i="9" a="1"/>
  <c r="AC34" i="9" a="1"/>
  <c r="AC30" i="9" a="1"/>
  <c r="AC26" i="9" a="1"/>
  <c r="AC22" i="9" a="1"/>
  <c r="AD34" i="9" a="1"/>
  <c r="AD32" i="9" a="1"/>
  <c r="AD30" i="9" a="1"/>
  <c r="AD28" i="9" a="1"/>
  <c r="AD26" i="9" a="1"/>
  <c r="AD24" i="9" a="1"/>
  <c r="AD22" i="9" a="1"/>
  <c r="AD20" i="9" a="1"/>
  <c r="I5" i="9" a="1"/>
  <c r="I13" i="9" a="1"/>
  <c r="I25" i="9" a="1"/>
  <c r="I30" i="9" a="1"/>
  <c r="I34" i="9" a="1"/>
  <c r="AC16" i="9" a="1"/>
  <c r="AC12" i="9" a="1"/>
  <c r="J28" i="9" a="1"/>
  <c r="J32" i="9" a="1"/>
  <c r="AC19" i="9" a="1"/>
  <c r="I12" i="9" a="1"/>
  <c r="I26" i="9" a="1"/>
  <c r="AB17" i="9" a="1"/>
  <c r="AB15" i="9" a="1"/>
  <c r="AB13" i="9" a="1"/>
  <c r="AB11" i="9" a="1"/>
  <c r="AB9" i="9" a="1"/>
  <c r="AB7" i="9" a="1"/>
  <c r="AB5" i="9" a="1"/>
  <c r="X35" i="9" a="1"/>
  <c r="X33" i="9" a="1"/>
  <c r="X31" i="9" a="1"/>
  <c r="H29" i="9" a="1"/>
  <c r="X24" i="9" a="1"/>
  <c r="X22" i="9" a="1"/>
  <c r="X20" i="9" a="1"/>
  <c r="X18" i="9" a="1"/>
  <c r="X16" i="9" a="1"/>
  <c r="X14" i="9" a="1"/>
  <c r="X12" i="9" a="1"/>
  <c r="X10" i="9" a="1"/>
  <c r="X8" i="9" a="1"/>
  <c r="X6" i="9" a="1"/>
  <c r="X4" i="9" a="1"/>
  <c r="T34" i="9" a="1"/>
  <c r="T32" i="9" a="1"/>
  <c r="T30" i="9" a="1"/>
  <c r="T28" i="9" a="1"/>
  <c r="H30" i="9" a="1"/>
  <c r="AC7" i="9" a="1"/>
  <c r="Y35" i="9" a="1"/>
  <c r="Y31" i="9" a="1"/>
  <c r="Y27" i="9" a="1"/>
  <c r="H31" i="9" a="1"/>
  <c r="X25" i="9" a="1"/>
  <c r="Y20" i="9" a="1"/>
  <c r="Y16" i="9" a="1"/>
  <c r="Y12" i="9" a="1"/>
  <c r="Y8" i="9" a="1"/>
  <c r="Y4" i="9" a="1"/>
  <c r="U32" i="9" a="1"/>
  <c r="Z27" i="9" a="1"/>
  <c r="Y26" i="9" a="1"/>
  <c r="V18" i="9" a="1"/>
  <c r="V10" i="9" a="1"/>
  <c r="R34" i="9" a="1"/>
  <c r="R26" i="9" a="1"/>
  <c r="R18" i="9" a="1"/>
  <c r="U24" i="9" a="1"/>
  <c r="U17" i="9" a="1"/>
  <c r="T11" i="9" a="1"/>
  <c r="T4" i="9" a="1"/>
  <c r="R31" i="9" a="1"/>
  <c r="Q24" i="9" a="1"/>
  <c r="Q17" i="9" a="1"/>
  <c r="P13" i="9" a="1"/>
  <c r="R9" i="9" a="1"/>
  <c r="R6" i="9" a="1"/>
  <c r="T21" i="9" a="1"/>
  <c r="T6" i="9" a="1"/>
  <c r="U26" i="9" a="1"/>
  <c r="V21" i="9" a="1"/>
  <c r="U14" i="9" a="1"/>
  <c r="U7" i="9" a="1"/>
  <c r="P33" i="9" a="1"/>
  <c r="P26" i="9" a="1"/>
  <c r="R21" i="9" a="1"/>
  <c r="R13" i="9" a="1"/>
  <c r="P6" i="9" a="1"/>
  <c r="T22" i="9" a="1"/>
  <c r="R33" i="9" a="1"/>
  <c r="T26" i="9" a="1"/>
  <c r="U20" i="9" a="1"/>
  <c r="U13" i="9" a="1"/>
  <c r="T7" i="9" a="1"/>
  <c r="P32" i="9" a="1"/>
  <c r="R27" i="9" a="1"/>
  <c r="Q20" i="9" a="1"/>
  <c r="P14" i="9" a="1"/>
  <c r="P10" i="9" a="1"/>
  <c r="Q34" i="9" a="1"/>
  <c r="Q9" i="9" a="1"/>
  <c r="Q19" i="9" a="1"/>
  <c r="R12" i="9" a="1"/>
  <c r="R25" i="9" a="1"/>
  <c r="H20" i="9" a="1"/>
  <c r="H22" i="9" a="1"/>
  <c r="H24" i="9" a="1"/>
  <c r="I22" i="9" a="1"/>
  <c r="J5" i="9" a="1"/>
  <c r="J7" i="9" a="1"/>
  <c r="J9" i="9" a="1"/>
  <c r="J11" i="9" a="1"/>
  <c r="J13" i="9" a="1"/>
  <c r="J15" i="9" a="1"/>
  <c r="J17" i="9" a="1"/>
  <c r="J19" i="9" a="1"/>
  <c r="J26" i="9" a="1"/>
  <c r="AC33" i="9" a="1"/>
  <c r="AC29" i="9" a="1"/>
  <c r="AC25" i="9" a="1"/>
  <c r="AC21" i="9" a="1"/>
  <c r="AB34" i="9" a="1"/>
  <c r="AB32" i="9" a="1"/>
  <c r="AB30" i="9" a="1"/>
  <c r="AB28" i="9" a="1"/>
  <c r="AB26" i="9" a="1"/>
  <c r="AB24" i="9" a="1"/>
  <c r="AB22" i="9" a="1"/>
  <c r="AB20" i="9" a="1"/>
  <c r="I7" i="9" a="1"/>
  <c r="I15" i="9" a="1"/>
  <c r="I27" i="9" a="1"/>
  <c r="I31" i="9" a="1"/>
  <c r="I35" i="9" a="1"/>
  <c r="AC15" i="9" a="1"/>
  <c r="AC11" i="9" a="1"/>
  <c r="J29" i="9" a="1"/>
  <c r="J33" i="9" a="1"/>
  <c r="I6" i="9" a="1"/>
  <c r="I14" i="9" a="1"/>
  <c r="AD18" i="9" a="1"/>
  <c r="AD16" i="9" a="1"/>
  <c r="AD14" i="9" a="1"/>
  <c r="AD12" i="9" a="1"/>
  <c r="AD10" i="9" a="1"/>
  <c r="AD8" i="9" a="1"/>
  <c r="AD6" i="9" a="1"/>
  <c r="AD4" i="9" a="1"/>
  <c r="Z34" i="9" a="1"/>
  <c r="Z32" i="9" a="1"/>
  <c r="Z30" i="9" a="1"/>
  <c r="H33" i="9" a="1"/>
  <c r="Z23" i="9" a="1"/>
  <c r="Z21" i="9" a="1"/>
  <c r="Z19" i="9" a="1"/>
  <c r="Z17" i="9" a="1"/>
  <c r="Z15" i="9" a="1"/>
  <c r="Z13" i="9" a="1"/>
  <c r="Z11" i="9" a="1"/>
  <c r="Z9" i="9" a="1"/>
  <c r="Z7" i="9" a="1"/>
  <c r="Z5" i="9" a="1"/>
  <c r="V35" i="9" a="1"/>
  <c r="V33" i="9" a="1"/>
  <c r="V31" i="9" a="1"/>
  <c r="V29" i="9" a="1"/>
  <c r="V27" i="9" a="1"/>
  <c r="H34" i="9" a="1"/>
  <c r="AC6" i="9" a="1"/>
  <c r="Y34" i="9" a="1"/>
  <c r="Y30" i="9" a="1"/>
  <c r="Z26" i="9" a="1"/>
  <c r="H35" i="9" a="1"/>
  <c r="Y23" i="9" a="1"/>
  <c r="Y19" i="9" a="1"/>
  <c r="Y15" i="9" a="1"/>
  <c r="Y11" i="9" a="1"/>
  <c r="Y7" i="9" a="1"/>
  <c r="U35" i="9" a="1"/>
  <c r="U31" i="9" a="1"/>
  <c r="V25" i="9" a="1"/>
  <c r="V24" i="9" a="1"/>
  <c r="V16" i="9" a="1"/>
  <c r="V8" i="9" a="1"/>
  <c r="R32" i="9" a="1"/>
  <c r="R24" i="9" a="1"/>
  <c r="R16" i="9" a="1"/>
  <c r="V23" i="9" a="1"/>
  <c r="U16" i="9" a="1"/>
  <c r="U9" i="9" a="1"/>
  <c r="P35" i="9" a="1"/>
  <c r="P28" i="9" a="1"/>
  <c r="R23" i="9" a="1"/>
  <c r="Q16" i="9" a="1"/>
  <c r="Q12" i="9" a="1"/>
  <c r="R8" i="9" a="1"/>
  <c r="R5" i="9" a="1"/>
  <c r="V17" i="9" a="1"/>
  <c r="Q35" i="9" a="1"/>
  <c r="T25" i="9" a="1"/>
  <c r="T18" i="9" a="1"/>
  <c r="V13" i="9" a="1"/>
  <c r="U6" i="9" a="1"/>
  <c r="Q31" i="9" a="1"/>
  <c r="P25" i="9" a="1"/>
  <c r="P18" i="9" a="1"/>
  <c r="R11" i="9" a="1"/>
  <c r="P5" i="9" a="1"/>
  <c r="U19" i="9" a="1"/>
  <c r="P29" i="9" a="1"/>
  <c r="T24" i="9" a="1"/>
  <c r="V19" i="9" a="1"/>
  <c r="U12" i="9" a="1"/>
  <c r="U5" i="9" a="1"/>
  <c r="P31" i="9" a="1"/>
  <c r="P24" i="9" a="1"/>
  <c r="R19" i="9" a="1"/>
  <c r="Q13" i="9" a="1"/>
  <c r="U18" i="9" a="1"/>
  <c r="P21" i="9" a="1"/>
  <c r="Q7" i="9" a="1"/>
  <c r="Q8" i="9" a="1"/>
  <c r="Q27" i="9" a="1"/>
  <c r="Q18" i="9" a="1"/>
  <c r="M29" i="9" a="1"/>
  <c r="M35" i="9" a="1"/>
  <c r="M24" i="9" a="1"/>
  <c r="M20" i="9" a="1"/>
  <c r="M16" i="9" a="1"/>
  <c r="M12" i="9" a="1"/>
  <c r="J20" i="9" a="1"/>
  <c r="J22" i="9" a="1"/>
  <c r="J24" i="9" a="1"/>
  <c r="I23" i="9" a="1"/>
  <c r="H6" i="9" a="1"/>
  <c r="H8" i="9" a="1"/>
  <c r="H10" i="9" a="1"/>
  <c r="H12" i="9" a="1"/>
  <c r="H14" i="9" a="1"/>
  <c r="H16" i="9" a="1"/>
  <c r="H18" i="9" a="1"/>
  <c r="H25" i="9" a="1"/>
  <c r="H27" i="9" a="1"/>
  <c r="AC32" i="9" a="1"/>
  <c r="AC28" i="9" a="1"/>
  <c r="AC24" i="9" a="1"/>
  <c r="AD35" i="9" a="1"/>
  <c r="AD33" i="9" a="1"/>
  <c r="AD31" i="9" a="1"/>
  <c r="AD29" i="9" a="1"/>
  <c r="AD27" i="9" a="1"/>
  <c r="AD25" i="9" a="1"/>
  <c r="AD23" i="9" a="1"/>
  <c r="AD21" i="9" a="1"/>
  <c r="AD19" i="9" a="1"/>
  <c r="I9" i="9" a="1"/>
  <c r="I17" i="9" a="1"/>
  <c r="I28" i="9" a="1"/>
  <c r="I32" i="9" a="1"/>
  <c r="AC18" i="9" a="1"/>
  <c r="AC14" i="9" a="1"/>
  <c r="AC10" i="9" a="1"/>
  <c r="J30" i="9" a="1"/>
  <c r="J34" i="9" a="1"/>
  <c r="I8" i="9" a="1"/>
  <c r="I16" i="9" a="1"/>
  <c r="AB18" i="9" a="1"/>
  <c r="AB16" i="9" a="1"/>
  <c r="AB14" i="9" a="1"/>
  <c r="AB12" i="9" a="1"/>
  <c r="AB10" i="9" a="1"/>
  <c r="AB8" i="9" a="1"/>
  <c r="AB6" i="9" a="1"/>
  <c r="AB4" i="9" a="1"/>
  <c r="X34" i="9" a="1"/>
  <c r="X32" i="9" a="1"/>
  <c r="X30" i="9" a="1"/>
  <c r="X28" i="9" a="1"/>
  <c r="X23" i="9" a="1"/>
  <c r="X21" i="9" a="1"/>
  <c r="X19" i="9" a="1"/>
  <c r="X17" i="9" a="1"/>
  <c r="X15" i="9" a="1"/>
  <c r="X13" i="9" a="1"/>
  <c r="X11" i="9" a="1"/>
  <c r="X9" i="9" a="1"/>
  <c r="X7" i="9" a="1"/>
  <c r="X5" i="9" a="1"/>
  <c r="T35" i="9" a="1"/>
  <c r="T33" i="9" a="1"/>
  <c r="T31" i="9" a="1"/>
  <c r="T29" i="9" a="1"/>
  <c r="T27" i="9" a="1"/>
  <c r="AC9" i="9" a="1"/>
  <c r="AC5" i="9" a="1"/>
  <c r="Y33" i="9" a="1"/>
  <c r="Y29" i="9" a="1"/>
  <c r="Y25" i="9" a="1"/>
  <c r="X29" i="9" a="1"/>
  <c r="Y22" i="9" a="1"/>
  <c r="Y18" i="9" a="1"/>
  <c r="Y14" i="9" a="1"/>
  <c r="Y10" i="9" a="1"/>
  <c r="Y6" i="9" a="1"/>
  <c r="U34" i="9" a="1"/>
  <c r="U30" i="9" a="1"/>
  <c r="Y24" i="9" a="1"/>
  <c r="V22" i="9" a="1"/>
  <c r="V14" i="9" a="1"/>
  <c r="V6" i="9" a="1"/>
  <c r="R30" i="9" a="1"/>
  <c r="R22" i="9" a="1"/>
  <c r="H32" i="9" a="1"/>
  <c r="T20" i="9" a="1"/>
  <c r="V15" i="9" a="1"/>
  <c r="U8" i="9" a="1"/>
  <c r="Q33" i="9" a="1"/>
  <c r="P27" i="9" a="1"/>
  <c r="P20" i="9" a="1"/>
  <c r="P15" i="9" a="1"/>
  <c r="P11" i="9" a="1"/>
  <c r="P8" i="9" a="1"/>
  <c r="R4" i="9" a="1"/>
  <c r="T14" i="9" a="1"/>
  <c r="P30" i="9" a="1"/>
  <c r="U23" i="9" a="1"/>
  <c r="T17" i="9" a="1"/>
  <c r="T10" i="9" a="1"/>
  <c r="V5" i="9" a="1"/>
  <c r="Q30" i="9" a="1"/>
  <c r="Q23" i="9" a="1"/>
  <c r="P17" i="9" a="1"/>
  <c r="P9" i="9" a="1"/>
  <c r="P4" i="9" a="1"/>
  <c r="U11" i="9" a="1"/>
  <c r="Y28" i="9" a="1"/>
  <c r="T23" i="9" a="1"/>
  <c r="T16" i="9" a="1"/>
  <c r="V11" i="9" a="1"/>
  <c r="U4" i="9" a="1"/>
  <c r="Q29" i="9" a="1"/>
  <c r="P23" i="9" a="1"/>
  <c r="P16" i="9" a="1"/>
  <c r="P12" i="9" a="1"/>
  <c r="T13" i="9" a="1"/>
  <c r="R17" i="9" a="1"/>
  <c r="Q5" i="9" a="1"/>
  <c r="Q4" i="9" a="1"/>
  <c r="R10" i="9" a="1"/>
  <c r="M34" i="9" a="1"/>
  <c r="M28" i="9" a="1"/>
  <c r="M33" i="9" a="1"/>
  <c r="M23" i="9" a="1"/>
  <c r="M19" i="9" a="1"/>
  <c r="M15" i="9" a="1"/>
  <c r="M11" i="9" a="1"/>
  <c r="M30" i="9" a="1"/>
  <c r="M25" i="9" a="1"/>
  <c r="M17" i="9" a="1"/>
  <c r="M9" i="9" a="1"/>
  <c r="M5" i="9" a="1"/>
  <c r="L13" i="9" a="1"/>
  <c r="L5" i="9" a="1"/>
  <c r="N30" i="9" a="1"/>
  <c r="N22" i="9" a="1"/>
  <c r="N13" i="9" a="1"/>
  <c r="L34" i="9" a="1"/>
  <c r="L30" i="9" a="1"/>
  <c r="L26" i="9" a="1"/>
  <c r="L22" i="9" a="1"/>
  <c r="L18" i="9" a="1"/>
  <c r="L12" i="9" a="1"/>
  <c r="L4" i="9" a="1"/>
  <c r="N27" i="9" a="1"/>
  <c r="N19" i="9" a="1"/>
  <c r="N12" i="9" a="1"/>
  <c r="N5" i="9" a="1"/>
  <c r="H4" i="9" a="1"/>
  <c r="F6" i="9" a="1"/>
  <c r="F8" i="9" a="1"/>
  <c r="F10" i="9" a="1"/>
  <c r="F12" i="9" a="1"/>
  <c r="F14" i="9" a="1"/>
  <c r="F16" i="9" a="1"/>
  <c r="F18" i="9" a="1"/>
  <c r="F20" i="9" a="1"/>
  <c r="F22" i="9" a="1"/>
  <c r="F24" i="9" a="1"/>
  <c r="F26" i="9" a="1"/>
  <c r="E11" i="9" a="1"/>
  <c r="E16" i="9" a="1"/>
  <c r="E25" i="9" a="1"/>
  <c r="E20" i="9" a="1"/>
  <c r="D4" i="9" a="1"/>
  <c r="M27" i="9" a="1"/>
  <c r="M22" i="9" a="1"/>
  <c r="M14" i="9" a="1"/>
  <c r="M8" i="9" a="1"/>
  <c r="M4" i="9" a="1"/>
  <c r="L11" i="9" a="1"/>
  <c r="L35" i="9" a="1"/>
  <c r="N28" i="9" a="1"/>
  <c r="N20" i="9" a="1"/>
  <c r="N11" i="9" a="1"/>
  <c r="L33" i="9" a="1"/>
  <c r="L29" i="9" a="1"/>
  <c r="L25" i="9" a="1"/>
  <c r="L21" i="9" a="1"/>
  <c r="L17" i="9" a="1"/>
  <c r="L10" i="9" a="1"/>
  <c r="N34" i="9" a="1"/>
  <c r="N25" i="9" a="1"/>
  <c r="N17" i="9" a="1"/>
  <c r="N10" i="9" a="1"/>
  <c r="N4" i="9" a="1"/>
  <c r="D5" i="9" a="1"/>
  <c r="D9" i="9" a="1"/>
  <c r="D11" i="9" a="1"/>
  <c r="D13" i="9" a="1"/>
  <c r="D15" i="9" a="1"/>
  <c r="D17" i="9" a="1"/>
  <c r="D19" i="9" a="1"/>
  <c r="D21" i="9" a="1"/>
  <c r="D23" i="9" a="1"/>
  <c r="D25" i="9" a="1"/>
  <c r="D27" i="9" a="1"/>
  <c r="E13" i="9" a="1"/>
  <c r="E17" i="9" a="1"/>
  <c r="E22" i="9" a="1"/>
  <c r="E26" i="9" a="1"/>
  <c r="E30" i="9" a="1"/>
  <c r="E35" i="9" a="1"/>
  <c r="F29" i="9" a="1"/>
  <c r="D35" i="9" a="1"/>
  <c r="M26" i="9" a="1"/>
  <c r="M21" i="9" a="1"/>
  <c r="M13" i="9" a="1"/>
  <c r="M7" i="9" a="1"/>
  <c r="N35" i="9" a="1"/>
  <c r="L9" i="9" a="1"/>
  <c r="N33" i="9" a="1"/>
  <c r="N26" i="9" a="1"/>
  <c r="N18" i="9" a="1"/>
  <c r="N9" i="9" a="1"/>
  <c r="L32" i="9" a="1"/>
  <c r="L28" i="9" a="1"/>
  <c r="L24" i="9" a="1"/>
  <c r="L20" i="9" a="1"/>
  <c r="L15" i="9" a="1"/>
  <c r="L8" i="9" a="1"/>
  <c r="N31" i="9" a="1"/>
  <c r="N24" i="9" a="1"/>
  <c r="N15" i="9" a="1"/>
  <c r="N8" i="9" a="1"/>
  <c r="I4" i="9" a="1"/>
  <c r="F5" i="9" a="1"/>
  <c r="F7" i="9" a="1"/>
  <c r="F9" i="9" a="1"/>
  <c r="F11" i="9" a="1"/>
  <c r="F13" i="9" a="1"/>
  <c r="F15" i="9" a="1"/>
  <c r="F17" i="9" a="1"/>
  <c r="F19" i="9" a="1"/>
  <c r="F21" i="9" a="1"/>
  <c r="F23" i="9" a="1"/>
  <c r="F25" i="9" a="1"/>
  <c r="F27" i="9" a="1"/>
  <c r="E14" i="9" a="1"/>
  <c r="E18" i="9" a="1"/>
  <c r="E23" i="9" a="1"/>
  <c r="E27" i="9" a="1"/>
  <c r="E31" i="9" a="1"/>
  <c r="E5" i="9" a="1"/>
  <c r="E10" i="9" a="1"/>
  <c r="D28" i="9" a="1"/>
  <c r="F30" i="9" a="1"/>
  <c r="F34" i="9" a="1"/>
  <c r="D32" i="9" a="1"/>
  <c r="F4" i="9" a="1"/>
  <c r="E12" i="9" a="1"/>
  <c r="F31" i="9" a="1"/>
  <c r="D33" i="9" a="1"/>
  <c r="E4" i="9" a="1"/>
  <c r="E29" i="9" a="1"/>
  <c r="E8" i="9" a="1"/>
  <c r="F32" i="9" a="1"/>
  <c r="D34" i="9" a="1"/>
  <c r="E32" i="9" a="1"/>
  <c r="D31" i="9" a="1"/>
  <c r="M31" i="9" a="1"/>
  <c r="M32" i="9" a="1"/>
  <c r="M18" i="9" a="1"/>
  <c r="M10" i="9" a="1"/>
  <c r="M6" i="9" a="1"/>
  <c r="L16" i="9" a="1"/>
  <c r="L7" i="9" a="1"/>
  <c r="N32" i="9" a="1"/>
  <c r="N23" i="9" a="1"/>
  <c r="N16" i="9" a="1"/>
  <c r="N7" i="9" a="1"/>
  <c r="L31" i="9" a="1"/>
  <c r="L27" i="9" a="1"/>
  <c r="L23" i="9" a="1"/>
  <c r="L19" i="9" a="1"/>
  <c r="L14" i="9" a="1"/>
  <c r="L6" i="9" a="1"/>
  <c r="N29" i="9" a="1"/>
  <c r="N21" i="9" a="1"/>
  <c r="N14" i="9" a="1"/>
  <c r="N6" i="9" a="1"/>
  <c r="J4" i="9" a="1"/>
  <c r="D6" i="9" a="1"/>
  <c r="D8" i="9" a="1"/>
  <c r="D10" i="9" a="1"/>
  <c r="D12" i="9" a="1"/>
  <c r="D14" i="9" a="1"/>
  <c r="D16" i="9" a="1"/>
  <c r="D18" i="9" a="1"/>
  <c r="D20" i="9" a="1"/>
  <c r="D22" i="9" a="1"/>
  <c r="D24" i="9" a="1"/>
  <c r="D26" i="9" a="1"/>
  <c r="E6" i="9" a="1"/>
  <c r="E15" i="9" a="1"/>
  <c r="E19" i="9" a="1"/>
  <c r="E24" i="9" a="1"/>
  <c r="E28" i="9" a="1"/>
  <c r="E33" i="9" a="1"/>
  <c r="E7" i="9" a="1"/>
  <c r="D30" i="9" a="1"/>
  <c r="F35" i="9" a="1"/>
  <c r="E21" i="9" a="1"/>
  <c r="E34" i="9" a="1"/>
  <c r="F28" i="9" a="1"/>
  <c r="D29" i="9" a="1"/>
  <c r="E9" i="9" a="1"/>
  <c r="F33" i="9" a="1"/>
  <c r="I24" i="9" l="1"/>
  <c r="I23" i="9"/>
  <c r="I22" i="9"/>
  <c r="I21" i="9"/>
  <c r="I20" i="9"/>
  <c r="J24" i="9"/>
  <c r="H24" i="9"/>
  <c r="J23" i="9"/>
  <c r="H23" i="9"/>
  <c r="J22" i="9"/>
  <c r="H22" i="9"/>
  <c r="J21" i="9"/>
  <c r="H21" i="9"/>
  <c r="J20" i="9"/>
  <c r="H20" i="9"/>
  <c r="Q18" i="9"/>
  <c r="R25" i="9"/>
  <c r="Q6" i="9"/>
  <c r="R10" i="9"/>
  <c r="Q27" i="9"/>
  <c r="R12" i="9"/>
  <c r="P22" i="9"/>
  <c r="Q4" i="9"/>
  <c r="Q8" i="9"/>
  <c r="Q19" i="9"/>
  <c r="Q26" i="9"/>
  <c r="Q5" i="9"/>
  <c r="Q7" i="9"/>
  <c r="Q9" i="9"/>
  <c r="R14" i="9"/>
  <c r="R17" i="9"/>
  <c r="P21" i="9"/>
  <c r="Q34" i="9"/>
  <c r="V9" i="9"/>
  <c r="T13" i="9"/>
  <c r="U18" i="9"/>
  <c r="P10" i="9"/>
  <c r="Q11" i="9"/>
  <c r="P12" i="9"/>
  <c r="Q13" i="9"/>
  <c r="P14" i="9"/>
  <c r="Q15" i="9"/>
  <c r="P16" i="9"/>
  <c r="R19" i="9"/>
  <c r="Q20" i="9"/>
  <c r="Q21" i="9"/>
  <c r="P23" i="9"/>
  <c r="P24" i="9"/>
  <c r="R27" i="9"/>
  <c r="Q28" i="9"/>
  <c r="Q29" i="9"/>
  <c r="P31" i="9"/>
  <c r="P32" i="9"/>
  <c r="R35" i="9"/>
  <c r="U4" i="9"/>
  <c r="U5" i="9"/>
  <c r="T7" i="9"/>
  <c r="T8" i="9"/>
  <c r="V11" i="9"/>
  <c r="U12" i="9"/>
  <c r="U13" i="9"/>
  <c r="T15" i="9"/>
  <c r="T16" i="9"/>
  <c r="V19" i="9"/>
  <c r="U20" i="9"/>
  <c r="U21" i="9"/>
  <c r="T23" i="9"/>
  <c r="T24" i="9"/>
  <c r="T26" i="9"/>
  <c r="U28" i="9"/>
  <c r="Y28" i="9"/>
  <c r="P29" i="9"/>
  <c r="R33" i="9"/>
  <c r="T5" i="9"/>
  <c r="U11" i="9"/>
  <c r="U19" i="9"/>
  <c r="T22" i="9"/>
  <c r="Z25" i="9"/>
  <c r="P4" i="9"/>
  <c r="P5" i="9"/>
  <c r="P6" i="9"/>
  <c r="R7" i="9"/>
  <c r="P9" i="9"/>
  <c r="R11" i="9"/>
  <c r="R13" i="9"/>
  <c r="R15" i="9"/>
  <c r="P17" i="9"/>
  <c r="P18" i="9"/>
  <c r="R21" i="9"/>
  <c r="Q22" i="9"/>
  <c r="Q23" i="9"/>
  <c r="P25" i="9"/>
  <c r="P26" i="9"/>
  <c r="R29" i="9"/>
  <c r="Q30" i="9"/>
  <c r="Q31" i="9"/>
  <c r="P33" i="9"/>
  <c r="P34" i="9"/>
  <c r="V5" i="9"/>
  <c r="U6" i="9"/>
  <c r="U7" i="9"/>
  <c r="T9" i="9"/>
  <c r="T10" i="9"/>
  <c r="V13" i="9"/>
  <c r="U14" i="9"/>
  <c r="U15" i="9"/>
  <c r="T17" i="9"/>
  <c r="T18" i="9"/>
  <c r="V21" i="9"/>
  <c r="U22" i="9"/>
  <c r="U23" i="9"/>
  <c r="T25" i="9"/>
  <c r="U26" i="9"/>
  <c r="U29" i="9"/>
  <c r="P30" i="9"/>
  <c r="Q35" i="9"/>
  <c r="T6" i="9"/>
  <c r="U10" i="9"/>
  <c r="T14" i="9"/>
  <c r="V17" i="9"/>
  <c r="T21" i="9"/>
  <c r="U27" i="9"/>
  <c r="R4" i="9"/>
  <c r="R5" i="9"/>
  <c r="R6" i="9"/>
  <c r="P7" i="9"/>
  <c r="P8" i="9"/>
  <c r="R8" i="9"/>
  <c r="R9" i="9"/>
  <c r="Q10" i="9"/>
  <c r="P11" i="9"/>
  <c r="Q12" i="9"/>
  <c r="P13" i="9"/>
  <c r="Q14" i="9"/>
  <c r="P15" i="9"/>
  <c r="Q16" i="9"/>
  <c r="Q17" i="9"/>
  <c r="P19" i="9"/>
  <c r="P20" i="9"/>
  <c r="R23" i="9"/>
  <c r="Q24" i="9"/>
  <c r="Q25" i="9"/>
  <c r="P27" i="9"/>
  <c r="P28" i="9"/>
  <c r="R31" i="9"/>
  <c r="Q32" i="9"/>
  <c r="Q33" i="9"/>
  <c r="P35" i="9"/>
  <c r="T4" i="9"/>
  <c r="V7" i="9"/>
  <c r="U8" i="9"/>
  <c r="U9" i="9"/>
  <c r="T11" i="9"/>
  <c r="T12" i="9"/>
  <c r="V15" i="9"/>
  <c r="U16" i="9"/>
  <c r="U17" i="9"/>
  <c r="T19" i="9"/>
  <c r="T20" i="9"/>
  <c r="V23" i="9"/>
  <c r="U24" i="9"/>
  <c r="U25" i="9"/>
  <c r="H32" i="9"/>
  <c r="R16" i="9"/>
  <c r="R18" i="9"/>
  <c r="R20" i="9"/>
  <c r="R22" i="9"/>
  <c r="R24" i="9"/>
  <c r="R26" i="9"/>
  <c r="R28" i="9"/>
  <c r="R30" i="9"/>
  <c r="R32" i="9"/>
  <c r="R34" i="9"/>
  <c r="V4" i="9"/>
  <c r="V6" i="9"/>
  <c r="V8" i="9"/>
  <c r="V10" i="9"/>
  <c r="V12" i="9"/>
  <c r="V14" i="9"/>
  <c r="V16" i="9"/>
  <c r="V18" i="9"/>
  <c r="V20" i="9"/>
  <c r="V22" i="9"/>
  <c r="V24" i="9"/>
  <c r="Y26" i="9"/>
  <c r="H28" i="9"/>
  <c r="Y24" i="9"/>
  <c r="V25" i="9"/>
  <c r="Z27" i="9"/>
  <c r="AC20" i="9"/>
  <c r="U30" i="9"/>
  <c r="U31" i="9"/>
  <c r="U32" i="9"/>
  <c r="U33" i="9"/>
  <c r="U34" i="9"/>
  <c r="U35" i="9"/>
  <c r="Y4" i="9"/>
  <c r="Y5" i="9"/>
  <c r="Y6" i="9"/>
  <c r="Y7" i="9"/>
  <c r="Y8" i="9"/>
  <c r="Y9" i="9"/>
  <c r="Y10" i="9"/>
  <c r="Y11" i="9"/>
  <c r="Y12" i="9"/>
  <c r="Y13" i="9"/>
  <c r="Y14" i="9"/>
  <c r="Y15" i="9"/>
  <c r="Y16" i="9"/>
  <c r="Y17" i="9"/>
  <c r="Y18" i="9"/>
  <c r="Y19" i="9"/>
  <c r="Y20" i="9"/>
  <c r="Y21" i="9"/>
  <c r="Y22" i="9"/>
  <c r="Y23" i="9"/>
  <c r="X25" i="9"/>
  <c r="X27" i="9"/>
  <c r="X29" i="9"/>
  <c r="H35" i="9"/>
  <c r="H31" i="9"/>
  <c r="Z24" i="9"/>
  <c r="Y25" i="9"/>
  <c r="Z26" i="9"/>
  <c r="Y27" i="9"/>
  <c r="Z28" i="9"/>
  <c r="Y29" i="9"/>
  <c r="Y30" i="9"/>
  <c r="Y31" i="9"/>
  <c r="Y32" i="9"/>
  <c r="Y33" i="9"/>
  <c r="Y34" i="9"/>
  <c r="Y35" i="9"/>
  <c r="AC4" i="9"/>
  <c r="AC5" i="9"/>
  <c r="AC6" i="9"/>
  <c r="AC7" i="9"/>
  <c r="AC8" i="9"/>
  <c r="AC9" i="9"/>
  <c r="H34" i="9"/>
  <c r="H30" i="9"/>
  <c r="V26" i="9"/>
  <c r="T27" i="9"/>
  <c r="V27" i="9"/>
  <c r="T28" i="9"/>
  <c r="V28" i="9"/>
  <c r="T29" i="9"/>
  <c r="V29" i="9"/>
  <c r="T30" i="9"/>
  <c r="V30" i="9"/>
  <c r="T31" i="9"/>
  <c r="V31" i="9"/>
  <c r="T32" i="9"/>
  <c r="V32" i="9"/>
  <c r="T33" i="9"/>
  <c r="V33" i="9"/>
  <c r="T34" i="9"/>
  <c r="V34" i="9"/>
  <c r="T35" i="9"/>
  <c r="V35" i="9"/>
  <c r="X4" i="9"/>
  <c r="Z4" i="9"/>
  <c r="X5" i="9"/>
  <c r="Z5" i="9"/>
  <c r="X6" i="9"/>
  <c r="Z6" i="9"/>
  <c r="X7" i="9"/>
  <c r="Z7" i="9"/>
  <c r="X8" i="9"/>
  <c r="Z8" i="9"/>
  <c r="X9" i="9"/>
  <c r="Z9" i="9"/>
  <c r="X10" i="9"/>
  <c r="Z10" i="9"/>
  <c r="X11" i="9"/>
  <c r="Z11" i="9"/>
  <c r="X12" i="9"/>
  <c r="Z12" i="9"/>
  <c r="X13" i="9"/>
  <c r="Z13" i="9"/>
  <c r="X14" i="9"/>
  <c r="Z14" i="9"/>
  <c r="X15" i="9"/>
  <c r="Z15" i="9"/>
  <c r="X16" i="9"/>
  <c r="Z16" i="9"/>
  <c r="X17" i="9"/>
  <c r="Z17" i="9"/>
  <c r="X18" i="9"/>
  <c r="Z18" i="9"/>
  <c r="X19" i="9"/>
  <c r="Z19" i="9"/>
  <c r="X20" i="9"/>
  <c r="Z20" i="9"/>
  <c r="X21" i="9"/>
  <c r="Z21" i="9"/>
  <c r="X22" i="9"/>
  <c r="Z22" i="9"/>
  <c r="X23" i="9"/>
  <c r="Z23" i="9"/>
  <c r="X24" i="9"/>
  <c r="X26" i="9"/>
  <c r="X28" i="9"/>
  <c r="H33" i="9"/>
  <c r="H29" i="9"/>
  <c r="Z29" i="9"/>
  <c r="X30" i="9"/>
  <c r="Z30" i="9"/>
  <c r="X31" i="9"/>
  <c r="Z31" i="9"/>
  <c r="X32" i="9"/>
  <c r="Z32" i="9"/>
  <c r="X33" i="9"/>
  <c r="Z33" i="9"/>
  <c r="X34" i="9"/>
  <c r="Z34" i="9"/>
  <c r="X35" i="9"/>
  <c r="Z35" i="9"/>
  <c r="AB4" i="9"/>
  <c r="AD4" i="9"/>
  <c r="AB5" i="9"/>
  <c r="AD5" i="9"/>
  <c r="AB6" i="9"/>
  <c r="AD6" i="9"/>
  <c r="AB7" i="9"/>
  <c r="AD7" i="9"/>
  <c r="AB8" i="9"/>
  <c r="AD8" i="9"/>
  <c r="AB9" i="9"/>
  <c r="AD9" i="9"/>
  <c r="AB10" i="9"/>
  <c r="AD10" i="9"/>
  <c r="AB11" i="9"/>
  <c r="AD11" i="9"/>
  <c r="AB12" i="9"/>
  <c r="AD12" i="9"/>
  <c r="AB13" i="9"/>
  <c r="AD13" i="9"/>
  <c r="AB14" i="9"/>
  <c r="AD14" i="9"/>
  <c r="AB15" i="9"/>
  <c r="AD15" i="9"/>
  <c r="AB16" i="9"/>
  <c r="AD16" i="9"/>
  <c r="AB17" i="9"/>
  <c r="AD17" i="9"/>
  <c r="AB18" i="9"/>
  <c r="AD18" i="9"/>
  <c r="I26" i="9"/>
  <c r="I18" i="9"/>
  <c r="I16" i="9"/>
  <c r="I14" i="9"/>
  <c r="I12" i="9"/>
  <c r="I10" i="9"/>
  <c r="I8" i="9"/>
  <c r="I6" i="9"/>
  <c r="AC19" i="9"/>
  <c r="J35" i="9"/>
  <c r="J34" i="9"/>
  <c r="J33" i="9"/>
  <c r="J32" i="9"/>
  <c r="J31" i="9"/>
  <c r="J30" i="9"/>
  <c r="J29" i="9"/>
  <c r="J28" i="9"/>
  <c r="J27" i="9"/>
  <c r="AC10" i="9"/>
  <c r="AC11" i="9"/>
  <c r="AC12" i="9"/>
  <c r="AC13" i="9"/>
  <c r="AC14" i="9"/>
  <c r="AC15" i="9"/>
  <c r="AC16" i="9"/>
  <c r="AC17" i="9"/>
  <c r="AC18" i="9"/>
  <c r="I35" i="9"/>
  <c r="I34" i="9"/>
  <c r="I33" i="9"/>
  <c r="I32" i="9"/>
  <c r="I31" i="9"/>
  <c r="I30" i="9"/>
  <c r="I29" i="9"/>
  <c r="I28" i="9"/>
  <c r="I27" i="9"/>
  <c r="I25" i="9"/>
  <c r="I19" i="9"/>
  <c r="I17" i="9"/>
  <c r="I15" i="9"/>
  <c r="I13" i="9"/>
  <c r="I11" i="9"/>
  <c r="I9" i="9"/>
  <c r="I7" i="9"/>
  <c r="I5" i="9"/>
  <c r="AB19" i="9"/>
  <c r="AD19" i="9"/>
  <c r="AB20" i="9"/>
  <c r="AD20" i="9"/>
  <c r="AB21" i="9"/>
  <c r="AD21" i="9"/>
  <c r="AB22" i="9"/>
  <c r="AD22" i="9"/>
  <c r="AB23" i="9"/>
  <c r="AD23" i="9"/>
  <c r="AB24" i="9"/>
  <c r="AD24" i="9"/>
  <c r="AB25" i="9"/>
  <c r="AD25" i="9"/>
  <c r="AB26" i="9"/>
  <c r="AD26" i="9"/>
  <c r="AB27" i="9"/>
  <c r="AD27" i="9"/>
  <c r="AB28" i="9"/>
  <c r="AD28" i="9"/>
  <c r="AB29" i="9"/>
  <c r="AD29" i="9"/>
  <c r="AB30" i="9"/>
  <c r="AD30" i="9"/>
  <c r="AB31" i="9"/>
  <c r="AD31" i="9"/>
  <c r="AB32" i="9"/>
  <c r="AD32" i="9"/>
  <c r="AB33" i="9"/>
  <c r="AD33" i="9"/>
  <c r="AB34" i="9"/>
  <c r="AD34" i="9"/>
  <c r="AB35" i="9"/>
  <c r="AD35" i="9"/>
  <c r="AC21" i="9"/>
  <c r="AC22" i="9"/>
  <c r="AC23" i="9"/>
  <c r="AC24" i="9"/>
  <c r="AC25" i="9"/>
  <c r="AC26" i="9"/>
  <c r="AC27" i="9"/>
  <c r="AC28" i="9"/>
  <c r="AC29" i="9"/>
  <c r="AC30" i="9"/>
  <c r="AC31" i="9"/>
  <c r="AC32" i="9"/>
  <c r="AC33" i="9"/>
  <c r="AC34" i="9"/>
  <c r="AC35" i="9"/>
  <c r="H27" i="9"/>
  <c r="J26" i="9"/>
  <c r="H26" i="9"/>
  <c r="J25" i="9"/>
  <c r="H25" i="9"/>
  <c r="J19" i="9"/>
  <c r="H19" i="9"/>
  <c r="J18" i="9"/>
  <c r="H18" i="9"/>
  <c r="J17" i="9"/>
  <c r="H17" i="9"/>
  <c r="J16" i="9"/>
  <c r="H16" i="9"/>
  <c r="J15" i="9"/>
  <c r="H15" i="9"/>
  <c r="J14" i="9"/>
  <c r="H14" i="9"/>
  <c r="J13" i="9"/>
  <c r="H13" i="9"/>
  <c r="J12" i="9"/>
  <c r="H12" i="9"/>
  <c r="J11" i="9"/>
  <c r="H11" i="9"/>
  <c r="J10" i="9"/>
  <c r="H10" i="9"/>
  <c r="J9" i="9"/>
  <c r="H9" i="9"/>
  <c r="J8" i="9"/>
  <c r="H8" i="9"/>
  <c r="J7" i="9"/>
  <c r="H7" i="9"/>
  <c r="J6" i="9"/>
  <c r="H6" i="9"/>
  <c r="J5" i="9"/>
  <c r="H5" i="9"/>
  <c r="N4" i="9"/>
  <c r="N5" i="9"/>
  <c r="N6" i="9"/>
  <c r="N8" i="9"/>
  <c r="N10" i="9"/>
  <c r="N12" i="9"/>
  <c r="N14" i="9"/>
  <c r="N15" i="9"/>
  <c r="N17" i="9"/>
  <c r="N19" i="9"/>
  <c r="N21" i="9"/>
  <c r="N24" i="9"/>
  <c r="N25" i="9"/>
  <c r="N27" i="9"/>
  <c r="N29" i="9"/>
  <c r="N31" i="9"/>
  <c r="N34" i="9"/>
  <c r="L4" i="9"/>
  <c r="L6" i="9"/>
  <c r="L8" i="9"/>
  <c r="L10" i="9"/>
  <c r="L12" i="9"/>
  <c r="L14" i="9"/>
  <c r="L15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N7" i="9"/>
  <c r="N9" i="9"/>
  <c r="N11" i="9"/>
  <c r="N13" i="9"/>
  <c r="N16" i="9"/>
  <c r="N18" i="9"/>
  <c r="N20" i="9"/>
  <c r="N22" i="9"/>
  <c r="N23" i="9"/>
  <c r="N26" i="9"/>
  <c r="N28" i="9"/>
  <c r="N30" i="9"/>
  <c r="N32" i="9"/>
  <c r="N33" i="9"/>
  <c r="L35" i="9"/>
  <c r="L5" i="9"/>
  <c r="L7" i="9"/>
  <c r="L9" i="9"/>
  <c r="L11" i="9"/>
  <c r="L13" i="9"/>
  <c r="L16" i="9"/>
  <c r="N35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32" i="9"/>
  <c r="M33" i="9"/>
  <c r="M35" i="9"/>
  <c r="M26" i="9"/>
  <c r="M27" i="9"/>
  <c r="M28" i="9"/>
  <c r="M29" i="9"/>
  <c r="M30" i="9"/>
  <c r="M31" i="9"/>
  <c r="M34" i="9"/>
  <c r="H4" i="9"/>
  <c r="J4" i="9"/>
  <c r="I4" i="9"/>
  <c r="D35" i="9"/>
  <c r="D34" i="9"/>
  <c r="D33" i="9"/>
  <c r="D32" i="9"/>
  <c r="D31" i="9"/>
  <c r="D29" i="9"/>
  <c r="F35" i="9"/>
  <c r="F34" i="9"/>
  <c r="F33" i="9"/>
  <c r="F32" i="9"/>
  <c r="F31" i="9"/>
  <c r="F30" i="9"/>
  <c r="F29" i="9"/>
  <c r="F28" i="9"/>
  <c r="D30" i="9"/>
  <c r="D28" i="9"/>
  <c r="E32" i="9"/>
  <c r="E20" i="9"/>
  <c r="E12" i="9"/>
  <c r="E10" i="9"/>
  <c r="E9" i="9"/>
  <c r="E8" i="9"/>
  <c r="E7" i="9"/>
  <c r="E5" i="9"/>
  <c r="E35" i="9"/>
  <c r="E34" i="9"/>
  <c r="E33" i="9"/>
  <c r="E31" i="9"/>
  <c r="E30" i="9"/>
  <c r="E29" i="9"/>
  <c r="E28" i="9"/>
  <c r="E27" i="9"/>
  <c r="E26" i="9"/>
  <c r="E25" i="9"/>
  <c r="E24" i="9"/>
  <c r="E23" i="9"/>
  <c r="E22" i="9"/>
  <c r="E21" i="9"/>
  <c r="E19" i="9"/>
  <c r="E18" i="9"/>
  <c r="E17" i="9"/>
  <c r="E16" i="9"/>
  <c r="E15" i="9"/>
  <c r="E14" i="9"/>
  <c r="E13" i="9"/>
  <c r="E11" i="9"/>
  <c r="E6" i="9"/>
  <c r="F27" i="9"/>
  <c r="D27" i="9"/>
  <c r="F26" i="9"/>
  <c r="D26" i="9"/>
  <c r="F25" i="9"/>
  <c r="D25" i="9"/>
  <c r="F24" i="9"/>
  <c r="D24" i="9"/>
  <c r="F23" i="9"/>
  <c r="D23" i="9"/>
  <c r="F22" i="9"/>
  <c r="D22" i="9"/>
  <c r="F21" i="9"/>
  <c r="D21" i="9"/>
  <c r="F20" i="9"/>
  <c r="D20" i="9"/>
  <c r="F19" i="9"/>
  <c r="D19" i="9"/>
  <c r="F18" i="9"/>
  <c r="D18" i="9"/>
  <c r="F17" i="9"/>
  <c r="D17" i="9"/>
  <c r="F16" i="9"/>
  <c r="D16" i="9"/>
  <c r="F15" i="9"/>
  <c r="D15" i="9"/>
  <c r="F14" i="9"/>
  <c r="D14" i="9"/>
  <c r="F13" i="9"/>
  <c r="D13" i="9"/>
  <c r="F12" i="9"/>
  <c r="D12" i="9"/>
  <c r="F11" i="9"/>
  <c r="D11" i="9"/>
  <c r="F10" i="9"/>
  <c r="D10" i="9"/>
  <c r="F9" i="9"/>
  <c r="D9" i="9"/>
  <c r="F8" i="9"/>
  <c r="D8" i="9"/>
  <c r="F7" i="9"/>
  <c r="F6" i="9"/>
  <c r="D6" i="9"/>
  <c r="F5" i="9"/>
  <c r="D5" i="9"/>
  <c r="F4" i="9"/>
  <c r="E4" i="9"/>
  <c r="D4" i="9"/>
  <c r="K23" i="9" a="1"/>
  <c r="K21" i="9" a="1"/>
  <c r="W13" i="9" a="1"/>
  <c r="S23" i="9" a="1"/>
  <c r="S32" i="9" a="1"/>
  <c r="W25" i="9" a="1"/>
  <c r="W31" i="9" a="1"/>
  <c r="AA7" i="9" a="1"/>
  <c r="AA15" i="9" a="1"/>
  <c r="AA23" i="9" a="1"/>
  <c r="AE4" i="9" a="1"/>
  <c r="AE12" i="9" a="1"/>
  <c r="K32" i="9" a="1"/>
  <c r="AE23" i="9" a="1"/>
  <c r="AE31" i="9" a="1"/>
  <c r="W6" i="9" a="1"/>
  <c r="K19" i="9" a="1"/>
  <c r="K5" i="9" a="1"/>
  <c r="S33" i="9" a="1"/>
  <c r="S6" i="9" a="1"/>
  <c r="S26" i="9" a="1"/>
  <c r="AA27" i="9" a="1"/>
  <c r="K26" i="9" a="1"/>
  <c r="K12" i="9" a="1"/>
  <c r="S10" i="9" a="1"/>
  <c r="S14" i="9" a="1"/>
  <c r="S7" i="9" a="1"/>
  <c r="S20" i="9" a="1"/>
  <c r="W20" i="9" a="1"/>
  <c r="W28" i="9" a="1"/>
  <c r="AA4" i="9" a="1"/>
  <c r="AA12" i="9" a="1"/>
  <c r="AA20" i="9" a="1"/>
  <c r="AA33" i="9" a="1"/>
  <c r="AE9" i="9" a="1"/>
  <c r="AE17" i="9" a="1"/>
  <c r="AE22" i="9" a="1"/>
  <c r="AE30" i="9" a="1"/>
  <c r="W11" i="9" a="1"/>
  <c r="S30" i="9" a="1"/>
  <c r="O10" i="9" a="1"/>
  <c r="O11" i="9" a="1"/>
  <c r="O29" i="9" a="1"/>
  <c r="O31" i="9" a="1"/>
  <c r="O5" i="9" a="1"/>
  <c r="O13" i="9" a="1"/>
  <c r="O7" i="9" a="1"/>
  <c r="O33" i="9" a="1"/>
  <c r="G33" i="9" a="1"/>
  <c r="G31" i="9" a="1"/>
  <c r="G17" i="9" a="1"/>
  <c r="G32" i="9" a="1"/>
  <c r="G22" i="9" a="1"/>
  <c r="G12" i="9" a="1"/>
  <c r="G34" i="9" a="1"/>
  <c r="G15" i="9" a="1"/>
  <c r="O26" i="9" a="1"/>
  <c r="O8" i="9" a="1"/>
  <c r="G20" i="9" a="1"/>
  <c r="G26" i="9" a="1"/>
  <c r="G8" i="9" a="1"/>
  <c r="K4" i="9" a="1"/>
  <c r="G24" i="9" a="1"/>
  <c r="G4" i="9" a="1"/>
  <c r="K24" i="9" a="1"/>
  <c r="S19" i="9" a="1"/>
  <c r="W17" i="9" a="1"/>
  <c r="W23" i="9" a="1"/>
  <c r="W8" i="9" a="1"/>
  <c r="AA26" i="9" a="1"/>
  <c r="W33" i="9" a="1"/>
  <c r="AA9" i="9" a="1"/>
  <c r="AA17" i="9" a="1"/>
  <c r="AA30" i="9" a="1"/>
  <c r="AE6" i="9" a="1"/>
  <c r="AE14" i="9" a="1"/>
  <c r="K28" i="9" a="1"/>
  <c r="AE25" i="9" a="1"/>
  <c r="AE33" i="9" a="1"/>
  <c r="K33" i="9" a="1"/>
  <c r="K15" i="9" a="1"/>
  <c r="S25" i="9" a="1"/>
  <c r="S13" i="9" a="1"/>
  <c r="S9" i="9" a="1"/>
  <c r="S34" i="9" a="1"/>
  <c r="K35" i="9" a="1"/>
  <c r="K18" i="9" a="1"/>
  <c r="K10" i="9" a="1"/>
  <c r="W14" i="9" a="1"/>
  <c r="W9" i="9" a="1"/>
  <c r="S15" i="9" a="1"/>
  <c r="S28" i="9" a="1"/>
  <c r="AA24" i="9" a="1"/>
  <c r="W30" i="9" a="1"/>
  <c r="AA6" i="9" a="1"/>
  <c r="AA14" i="9" a="1"/>
  <c r="AA22" i="9" a="1"/>
  <c r="AA35" i="9" a="1"/>
  <c r="AE11" i="9" a="1"/>
  <c r="K34" i="9" a="1"/>
  <c r="AE24" i="9" a="1"/>
  <c r="AE32" i="9" a="1"/>
  <c r="W5" i="9" a="1"/>
  <c r="W22" i="9" a="1"/>
  <c r="O17" i="9" a="1"/>
  <c r="O20" i="9" a="1"/>
  <c r="O23" i="9" a="1"/>
  <c r="O9" i="9" a="1"/>
  <c r="O12" i="9" a="1"/>
  <c r="O22" i="9" a="1"/>
  <c r="O32" i="9" a="1"/>
  <c r="O6" i="9" a="1"/>
  <c r="G29" i="9" a="1"/>
  <c r="G25" i="9" a="1"/>
  <c r="G13" i="9" a="1"/>
  <c r="G28" i="9" a="1"/>
  <c r="G18" i="9" a="1"/>
  <c r="G10" i="9" a="1"/>
  <c r="G30" i="9" a="1"/>
  <c r="G11" i="9" a="1"/>
  <c r="O15" i="9" a="1"/>
  <c r="O30" i="9" a="1"/>
  <c r="O16" i="9" a="1"/>
  <c r="G9" i="9" a="1"/>
  <c r="G16" i="9" a="1"/>
  <c r="G27" i="9" a="1"/>
  <c r="G6" i="9" a="1"/>
  <c r="G7" i="9" a="1"/>
  <c r="G35" i="9" a="1"/>
  <c r="K22" i="9" a="1"/>
  <c r="W19" i="9" a="1"/>
  <c r="S5" i="9" a="1"/>
  <c r="S16" i="9" a="1"/>
  <c r="W16" i="9" a="1"/>
  <c r="W27" i="9" a="1"/>
  <c r="W35" i="9" a="1"/>
  <c r="AA11" i="9" a="1"/>
  <c r="AA19" i="9" a="1"/>
  <c r="AA32" i="9" a="1"/>
  <c r="AE8" i="9" a="1"/>
  <c r="AE16" i="9" a="1"/>
  <c r="AE19" i="9" a="1"/>
  <c r="AE27" i="9" a="1"/>
  <c r="AE35" i="9" a="1"/>
  <c r="K29" i="9" a="1"/>
  <c r="K9" i="9" a="1"/>
  <c r="S12" i="9" a="1"/>
  <c r="S21" i="9" a="1"/>
  <c r="S31" i="9" a="1"/>
  <c r="W10" i="9" a="1"/>
  <c r="K31" i="9" a="1"/>
  <c r="K16" i="9" a="1"/>
  <c r="K8" i="9" a="1"/>
  <c r="K17" i="9" a="1"/>
  <c r="S35" i="9" a="1"/>
  <c r="S29" i="9" a="1"/>
  <c r="W4" i="9" a="1"/>
  <c r="AA28" i="9" a="1"/>
  <c r="W32" i="9" a="1"/>
  <c r="AA8" i="9" a="1"/>
  <c r="AA16" i="9" a="1"/>
  <c r="AA29" i="9" a="1"/>
  <c r="AE5" i="9" a="1"/>
  <c r="AE13" i="9" a="1"/>
  <c r="K30" i="9" a="1"/>
  <c r="AE26" i="9" a="1"/>
  <c r="AE34" i="9" a="1"/>
  <c r="S4" i="9" a="1"/>
  <c r="K11" i="9" a="1"/>
  <c r="O25" i="9" a="1"/>
  <c r="O28" i="9" a="1"/>
  <c r="O19" i="9" a="1"/>
  <c r="G23" i="9" a="1"/>
  <c r="G5" i="9" a="1"/>
  <c r="G14" i="9" a="1"/>
  <c r="K20" i="9" a="1"/>
  <c r="S11" i="9" a="1"/>
  <c r="S8" i="9" a="1"/>
  <c r="S24" i="9" a="1"/>
  <c r="W24" i="9" a="1"/>
  <c r="W29" i="9" a="1"/>
  <c r="AA5" i="9" a="1"/>
  <c r="AA13" i="9" a="1"/>
  <c r="AA21" i="9" a="1"/>
  <c r="AA34" i="9" a="1"/>
  <c r="AE10" i="9" a="1"/>
  <c r="AE18" i="9" a="1"/>
  <c r="AE21" i="9" a="1"/>
  <c r="AE29" i="9" a="1"/>
  <c r="W15" i="9" a="1"/>
  <c r="K25" i="9" a="1"/>
  <c r="K7" i="9" a="1"/>
  <c r="S27" i="9" a="1"/>
  <c r="W21" i="9" a="1"/>
  <c r="S18" i="9" a="1"/>
  <c r="W18" i="9" a="1"/>
  <c r="K27" i="9" a="1"/>
  <c r="K14" i="9" a="1"/>
  <c r="K6" i="9" a="1"/>
  <c r="K13" i="9" a="1"/>
  <c r="AA25" i="9" a="1"/>
  <c r="W7" i="9" a="1"/>
  <c r="W12" i="9" a="1"/>
  <c r="W26" i="9" a="1"/>
  <c r="W34" i="9" a="1"/>
  <c r="AA10" i="9" a="1"/>
  <c r="AA18" i="9" a="1"/>
  <c r="AA31" i="9" a="1"/>
  <c r="AE7" i="9" a="1"/>
  <c r="AE15" i="9" a="1"/>
  <c r="AE20" i="9" a="1"/>
  <c r="AE28" i="9" a="1"/>
  <c r="S17" i="9" a="1"/>
  <c r="S22" i="9" a="1"/>
  <c r="O4" i="9" a="1"/>
  <c r="O34" i="9" a="1"/>
  <c r="O14" i="9" a="1"/>
  <c r="O24" i="9" a="1"/>
  <c r="O35" i="9" a="1"/>
  <c r="O27" i="9" a="1"/>
  <c r="O21" i="9" a="1"/>
  <c r="O18" i="9" a="1"/>
  <c r="G19" i="9" a="1"/>
  <c r="G21" i="9" a="1"/>
  <c r="K21" i="9" l="1"/>
  <c r="K20" i="9"/>
  <c r="K22" i="9"/>
  <c r="K24" i="9"/>
  <c r="K23" i="9"/>
  <c r="K11" i="9"/>
  <c r="W22" i="9"/>
  <c r="S30" i="9"/>
  <c r="S22" i="9"/>
  <c r="S4" i="9"/>
  <c r="W5" i="9"/>
  <c r="W11" i="9"/>
  <c r="S17" i="9"/>
  <c r="AE34" i="9"/>
  <c r="AE32" i="9"/>
  <c r="AE30" i="9"/>
  <c r="AE28" i="9"/>
  <c r="AE26" i="9"/>
  <c r="AE24" i="9"/>
  <c r="AE22" i="9"/>
  <c r="AE20" i="9"/>
  <c r="K30" i="9"/>
  <c r="K34" i="9"/>
  <c r="AE17" i="9"/>
  <c r="AE15" i="9"/>
  <c r="AE13" i="9"/>
  <c r="AE11" i="9"/>
  <c r="AE9" i="9"/>
  <c r="AE7" i="9"/>
  <c r="AE5" i="9"/>
  <c r="AA35" i="9"/>
  <c r="AA33" i="9"/>
  <c r="AA31" i="9"/>
  <c r="AA29" i="9"/>
  <c r="AA22" i="9"/>
  <c r="AA20" i="9"/>
  <c r="AA18" i="9"/>
  <c r="AA16" i="9"/>
  <c r="AA14" i="9"/>
  <c r="AA12" i="9"/>
  <c r="AA10" i="9"/>
  <c r="AA8" i="9"/>
  <c r="AA6" i="9"/>
  <c r="AA4" i="9"/>
  <c r="W34" i="9"/>
  <c r="W32" i="9"/>
  <c r="W30" i="9"/>
  <c r="W28" i="9"/>
  <c r="W26" i="9"/>
  <c r="AA28" i="9"/>
  <c r="AA24" i="9"/>
  <c r="W20" i="9"/>
  <c r="W12" i="9"/>
  <c r="W4" i="9"/>
  <c r="S28" i="9"/>
  <c r="S20" i="9"/>
  <c r="W7" i="9"/>
  <c r="S29" i="9"/>
  <c r="S15" i="9"/>
  <c r="S7" i="9"/>
  <c r="AA25" i="9"/>
  <c r="S35" i="9"/>
  <c r="W9" i="9"/>
  <c r="S14" i="9"/>
  <c r="K13" i="9"/>
  <c r="K17" i="9"/>
  <c r="W14" i="9"/>
  <c r="S10" i="9"/>
  <c r="K6" i="9"/>
  <c r="K8" i="9"/>
  <c r="K10" i="9"/>
  <c r="K12" i="9"/>
  <c r="K14" i="9"/>
  <c r="K16" i="9"/>
  <c r="K18" i="9"/>
  <c r="K26" i="9"/>
  <c r="K27" i="9"/>
  <c r="K31" i="9"/>
  <c r="K35" i="9"/>
  <c r="AA27" i="9"/>
  <c r="W18" i="9"/>
  <c r="W10" i="9"/>
  <c r="S34" i="9"/>
  <c r="S26" i="9"/>
  <c r="S18" i="9"/>
  <c r="S31" i="9"/>
  <c r="S9" i="9"/>
  <c r="S6" i="9"/>
  <c r="W21" i="9"/>
  <c r="S21" i="9"/>
  <c r="S13" i="9"/>
  <c r="S33" i="9"/>
  <c r="S27" i="9"/>
  <c r="S12" i="9"/>
  <c r="S25" i="9"/>
  <c r="K5" i="9"/>
  <c r="K7" i="9"/>
  <c r="K9" i="9"/>
  <c r="K15" i="9"/>
  <c r="K19" i="9"/>
  <c r="K25" i="9"/>
  <c r="K29" i="9"/>
  <c r="K33" i="9"/>
  <c r="W6" i="9"/>
  <c r="W15" i="9"/>
  <c r="AE35" i="9"/>
  <c r="AE33" i="9"/>
  <c r="AE31" i="9"/>
  <c r="AE29" i="9"/>
  <c r="AE27" i="9"/>
  <c r="AE25" i="9"/>
  <c r="AE23" i="9"/>
  <c r="AE21" i="9"/>
  <c r="AE19" i="9"/>
  <c r="K28" i="9"/>
  <c r="K32" i="9"/>
  <c r="AE18" i="9"/>
  <c r="AE16" i="9"/>
  <c r="AE14" i="9"/>
  <c r="AE12" i="9"/>
  <c r="AE10" i="9"/>
  <c r="AE8" i="9"/>
  <c r="AE6" i="9"/>
  <c r="AE4" i="9"/>
  <c r="AA34" i="9"/>
  <c r="AA32" i="9"/>
  <c r="AA30" i="9"/>
  <c r="AA23" i="9"/>
  <c r="AA21" i="9"/>
  <c r="AA19" i="9"/>
  <c r="AA17" i="9"/>
  <c r="AA15" i="9"/>
  <c r="AA13" i="9"/>
  <c r="AA11" i="9"/>
  <c r="AA9" i="9"/>
  <c r="AA7" i="9"/>
  <c r="AA5" i="9"/>
  <c r="W35" i="9"/>
  <c r="W33" i="9"/>
  <c r="W31" i="9"/>
  <c r="W29" i="9"/>
  <c r="W27" i="9"/>
  <c r="AA26" i="9"/>
  <c r="W25" i="9"/>
  <c r="W24" i="9"/>
  <c r="W16" i="9"/>
  <c r="W8" i="9"/>
  <c r="S32" i="9"/>
  <c r="S24" i="9"/>
  <c r="S16" i="9"/>
  <c r="W23" i="9"/>
  <c r="S23" i="9"/>
  <c r="S8" i="9"/>
  <c r="S5" i="9"/>
  <c r="W17" i="9"/>
  <c r="W13" i="9"/>
  <c r="S11" i="9"/>
  <c r="W19" i="9"/>
  <c r="S19" i="9"/>
  <c r="O16" i="9"/>
  <c r="O6" i="9"/>
  <c r="O33" i="9"/>
  <c r="O18" i="9"/>
  <c r="O8" i="9"/>
  <c r="O32" i="9"/>
  <c r="O7" i="9"/>
  <c r="O21" i="9"/>
  <c r="O30" i="9"/>
  <c r="O22" i="9"/>
  <c r="O13" i="9"/>
  <c r="O27" i="9"/>
  <c r="O19" i="9"/>
  <c r="O12" i="9"/>
  <c r="O5" i="9"/>
  <c r="O35" i="9"/>
  <c r="O26" i="9"/>
  <c r="O9" i="9"/>
  <c r="O31" i="9"/>
  <c r="O24" i="9"/>
  <c r="O15" i="9"/>
  <c r="O23" i="9"/>
  <c r="O29" i="9"/>
  <c r="O14" i="9"/>
  <c r="O28" i="9"/>
  <c r="O20" i="9"/>
  <c r="O11" i="9"/>
  <c r="O34" i="9"/>
  <c r="O25" i="9"/>
  <c r="O17" i="9"/>
  <c r="O10" i="9"/>
  <c r="O4" i="9"/>
  <c r="K4" i="9"/>
  <c r="G5" i="9"/>
  <c r="G11" i="9"/>
  <c r="G15" i="9"/>
  <c r="G21" i="9"/>
  <c r="G27" i="9"/>
  <c r="G30" i="9"/>
  <c r="G34" i="9"/>
  <c r="G35" i="9"/>
  <c r="G8" i="9"/>
  <c r="G10" i="9"/>
  <c r="G12" i="9"/>
  <c r="G14" i="9"/>
  <c r="G16" i="9"/>
  <c r="G18" i="9"/>
  <c r="G22" i="9"/>
  <c r="G24" i="9"/>
  <c r="G26" i="9"/>
  <c r="G28" i="9"/>
  <c r="G32" i="9"/>
  <c r="G7" i="9"/>
  <c r="G9" i="9"/>
  <c r="G13" i="9"/>
  <c r="G17" i="9"/>
  <c r="G19" i="9"/>
  <c r="G23" i="9"/>
  <c r="G25" i="9"/>
  <c r="G31" i="9"/>
  <c r="G6" i="9"/>
  <c r="G20" i="9"/>
  <c r="G29" i="9"/>
  <c r="G33" i="9"/>
  <c r="G4" i="9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2" i="7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2" i="4"/>
  <c r="E445" i="2"/>
  <c r="H445" i="2" s="1"/>
  <c r="F445" i="2"/>
  <c r="E3" i="2"/>
  <c r="H3" i="2" s="1"/>
  <c r="F3" i="2"/>
  <c r="E4" i="2"/>
  <c r="H4" i="2" s="1"/>
  <c r="F4" i="2"/>
  <c r="E5" i="2"/>
  <c r="H5" i="2" s="1"/>
  <c r="F5" i="2"/>
  <c r="E6" i="2"/>
  <c r="H6" i="2" s="1"/>
  <c r="F6" i="2"/>
  <c r="E7" i="2"/>
  <c r="H7" i="2" s="1"/>
  <c r="F7" i="2"/>
  <c r="E8" i="2"/>
  <c r="H8" i="2" s="1"/>
  <c r="F8" i="2"/>
  <c r="E9" i="2"/>
  <c r="H9" i="2" s="1"/>
  <c r="F9" i="2"/>
  <c r="E10" i="2"/>
  <c r="H10" i="2" s="1"/>
  <c r="F10" i="2"/>
  <c r="E11" i="2"/>
  <c r="H11" i="2" s="1"/>
  <c r="F11" i="2"/>
  <c r="E12" i="2"/>
  <c r="H12" i="2" s="1"/>
  <c r="F12" i="2"/>
  <c r="E13" i="2"/>
  <c r="H13" i="2" s="1"/>
  <c r="F13" i="2"/>
  <c r="E14" i="2"/>
  <c r="H14" i="2" s="1"/>
  <c r="F14" i="2"/>
  <c r="E15" i="2"/>
  <c r="H15" i="2" s="1"/>
  <c r="F15" i="2"/>
  <c r="E16" i="2"/>
  <c r="H16" i="2" s="1"/>
  <c r="F16" i="2"/>
  <c r="E17" i="2"/>
  <c r="H17" i="2" s="1"/>
  <c r="F17" i="2"/>
  <c r="E18" i="2"/>
  <c r="H18" i="2" s="1"/>
  <c r="F18" i="2"/>
  <c r="E19" i="2"/>
  <c r="H19" i="2" s="1"/>
  <c r="F19" i="2"/>
  <c r="E20" i="2"/>
  <c r="H20" i="2" s="1"/>
  <c r="F20" i="2"/>
  <c r="E21" i="2"/>
  <c r="H21" i="2" s="1"/>
  <c r="F21" i="2"/>
  <c r="E22" i="2"/>
  <c r="H22" i="2" s="1"/>
  <c r="F22" i="2"/>
  <c r="E23" i="2"/>
  <c r="H23" i="2" s="1"/>
  <c r="F23" i="2"/>
  <c r="E24" i="2"/>
  <c r="H24" i="2" s="1"/>
  <c r="F24" i="2"/>
  <c r="E25" i="2"/>
  <c r="H25" i="2" s="1"/>
  <c r="F25" i="2"/>
  <c r="E26" i="2"/>
  <c r="H26" i="2" s="1"/>
  <c r="F26" i="2"/>
  <c r="E27" i="2"/>
  <c r="H27" i="2" s="1"/>
  <c r="F27" i="2"/>
  <c r="E28" i="2"/>
  <c r="H28" i="2" s="1"/>
  <c r="F28" i="2"/>
  <c r="E29" i="2"/>
  <c r="H29" i="2" s="1"/>
  <c r="F29" i="2"/>
  <c r="E30" i="2"/>
  <c r="H30" i="2" s="1"/>
  <c r="F30" i="2"/>
  <c r="E31" i="2"/>
  <c r="H31" i="2" s="1"/>
  <c r="F31" i="2"/>
  <c r="E32" i="2"/>
  <c r="H32" i="2" s="1"/>
  <c r="F32" i="2"/>
  <c r="E33" i="2"/>
  <c r="H33" i="2" s="1"/>
  <c r="F33" i="2"/>
  <c r="E34" i="2"/>
  <c r="H34" i="2" s="1"/>
  <c r="F34" i="2"/>
  <c r="E35" i="2"/>
  <c r="H35" i="2" s="1"/>
  <c r="F35" i="2"/>
  <c r="E36" i="2"/>
  <c r="H36" i="2" s="1"/>
  <c r="F36" i="2"/>
  <c r="E37" i="2"/>
  <c r="H37" i="2" s="1"/>
  <c r="F37" i="2"/>
  <c r="E38" i="2"/>
  <c r="H38" i="2" s="1"/>
  <c r="F38" i="2"/>
  <c r="E39" i="2"/>
  <c r="H39" i="2" s="1"/>
  <c r="F39" i="2"/>
  <c r="E40" i="2"/>
  <c r="H40" i="2" s="1"/>
  <c r="F40" i="2"/>
  <c r="E41" i="2"/>
  <c r="H41" i="2" s="1"/>
  <c r="F41" i="2"/>
  <c r="E42" i="2"/>
  <c r="H42" i="2" s="1"/>
  <c r="F42" i="2"/>
  <c r="E43" i="2"/>
  <c r="H43" i="2" s="1"/>
  <c r="F43" i="2"/>
  <c r="E44" i="2"/>
  <c r="H44" i="2" s="1"/>
  <c r="F44" i="2"/>
  <c r="E45" i="2"/>
  <c r="H45" i="2" s="1"/>
  <c r="F45" i="2"/>
  <c r="E46" i="2"/>
  <c r="H46" i="2" s="1"/>
  <c r="F46" i="2"/>
  <c r="E47" i="2"/>
  <c r="H47" i="2" s="1"/>
  <c r="F47" i="2"/>
  <c r="E48" i="2"/>
  <c r="H48" i="2" s="1"/>
  <c r="F48" i="2"/>
  <c r="E49" i="2"/>
  <c r="H49" i="2" s="1"/>
  <c r="F49" i="2"/>
  <c r="E50" i="2"/>
  <c r="H50" i="2" s="1"/>
  <c r="F50" i="2"/>
  <c r="E51" i="2"/>
  <c r="H51" i="2" s="1"/>
  <c r="F51" i="2"/>
  <c r="E52" i="2"/>
  <c r="H52" i="2" s="1"/>
  <c r="F52" i="2"/>
  <c r="E53" i="2"/>
  <c r="H53" i="2" s="1"/>
  <c r="F53" i="2"/>
  <c r="E54" i="2"/>
  <c r="H54" i="2" s="1"/>
  <c r="F54" i="2"/>
  <c r="E55" i="2"/>
  <c r="H55" i="2" s="1"/>
  <c r="F55" i="2"/>
  <c r="E56" i="2"/>
  <c r="H56" i="2" s="1"/>
  <c r="F56" i="2"/>
  <c r="E57" i="2"/>
  <c r="H57" i="2" s="1"/>
  <c r="F57" i="2"/>
  <c r="E58" i="2"/>
  <c r="H58" i="2" s="1"/>
  <c r="F58" i="2"/>
  <c r="E59" i="2"/>
  <c r="H59" i="2" s="1"/>
  <c r="F59" i="2"/>
  <c r="E60" i="2"/>
  <c r="H60" i="2" s="1"/>
  <c r="F60" i="2"/>
  <c r="E61" i="2"/>
  <c r="H61" i="2" s="1"/>
  <c r="F61" i="2"/>
  <c r="E62" i="2"/>
  <c r="H62" i="2" s="1"/>
  <c r="F62" i="2"/>
  <c r="E63" i="2"/>
  <c r="H63" i="2" s="1"/>
  <c r="F63" i="2"/>
  <c r="E64" i="2"/>
  <c r="H64" i="2" s="1"/>
  <c r="F64" i="2"/>
  <c r="E65" i="2"/>
  <c r="H65" i="2" s="1"/>
  <c r="F65" i="2"/>
  <c r="E66" i="2"/>
  <c r="H66" i="2" s="1"/>
  <c r="F66" i="2"/>
  <c r="E67" i="2"/>
  <c r="H67" i="2" s="1"/>
  <c r="F67" i="2"/>
  <c r="E68" i="2"/>
  <c r="H68" i="2" s="1"/>
  <c r="F68" i="2"/>
  <c r="E69" i="2"/>
  <c r="H69" i="2" s="1"/>
  <c r="F69" i="2"/>
  <c r="E70" i="2"/>
  <c r="H70" i="2" s="1"/>
  <c r="F70" i="2"/>
  <c r="E71" i="2"/>
  <c r="H71" i="2" s="1"/>
  <c r="F71" i="2"/>
  <c r="E72" i="2"/>
  <c r="H72" i="2" s="1"/>
  <c r="F72" i="2"/>
  <c r="E73" i="2"/>
  <c r="H73" i="2" s="1"/>
  <c r="F73" i="2"/>
  <c r="E74" i="2"/>
  <c r="H74" i="2" s="1"/>
  <c r="F74" i="2"/>
  <c r="E75" i="2"/>
  <c r="H75" i="2" s="1"/>
  <c r="F75" i="2"/>
  <c r="E76" i="2"/>
  <c r="H76" i="2" s="1"/>
  <c r="F76" i="2"/>
  <c r="E77" i="2"/>
  <c r="H77" i="2" s="1"/>
  <c r="F77" i="2"/>
  <c r="E78" i="2"/>
  <c r="H78" i="2" s="1"/>
  <c r="F78" i="2"/>
  <c r="E79" i="2"/>
  <c r="H79" i="2" s="1"/>
  <c r="F79" i="2"/>
  <c r="E80" i="2"/>
  <c r="H80" i="2" s="1"/>
  <c r="F80" i="2"/>
  <c r="E81" i="2"/>
  <c r="H81" i="2" s="1"/>
  <c r="F81" i="2"/>
  <c r="E82" i="2"/>
  <c r="H82" i="2" s="1"/>
  <c r="F82" i="2"/>
  <c r="E83" i="2"/>
  <c r="H83" i="2" s="1"/>
  <c r="F83" i="2"/>
  <c r="E84" i="2"/>
  <c r="H84" i="2" s="1"/>
  <c r="F84" i="2"/>
  <c r="E85" i="2"/>
  <c r="H85" i="2" s="1"/>
  <c r="F85" i="2"/>
  <c r="E86" i="2"/>
  <c r="H86" i="2" s="1"/>
  <c r="F86" i="2"/>
  <c r="E87" i="2"/>
  <c r="H87" i="2" s="1"/>
  <c r="F87" i="2"/>
  <c r="E88" i="2"/>
  <c r="H88" i="2" s="1"/>
  <c r="F88" i="2"/>
  <c r="E89" i="2"/>
  <c r="H89" i="2" s="1"/>
  <c r="F89" i="2"/>
  <c r="E90" i="2"/>
  <c r="H90" i="2" s="1"/>
  <c r="F90" i="2"/>
  <c r="E91" i="2"/>
  <c r="H91" i="2" s="1"/>
  <c r="F91" i="2"/>
  <c r="E92" i="2"/>
  <c r="H92" i="2" s="1"/>
  <c r="F92" i="2"/>
  <c r="E93" i="2"/>
  <c r="H93" i="2" s="1"/>
  <c r="F93" i="2"/>
  <c r="E94" i="2"/>
  <c r="H94" i="2" s="1"/>
  <c r="F94" i="2"/>
  <c r="E95" i="2"/>
  <c r="H95" i="2" s="1"/>
  <c r="F95" i="2"/>
  <c r="E96" i="2"/>
  <c r="H96" i="2" s="1"/>
  <c r="F96" i="2"/>
  <c r="E97" i="2"/>
  <c r="H97" i="2" s="1"/>
  <c r="F97" i="2"/>
  <c r="E98" i="2"/>
  <c r="H98" i="2" s="1"/>
  <c r="F98" i="2"/>
  <c r="E99" i="2"/>
  <c r="H99" i="2" s="1"/>
  <c r="F99" i="2"/>
  <c r="E100" i="2"/>
  <c r="H100" i="2" s="1"/>
  <c r="F100" i="2"/>
  <c r="E101" i="2"/>
  <c r="H101" i="2" s="1"/>
  <c r="F101" i="2"/>
  <c r="E102" i="2"/>
  <c r="H102" i="2" s="1"/>
  <c r="F102" i="2"/>
  <c r="E103" i="2"/>
  <c r="H103" i="2" s="1"/>
  <c r="F103" i="2"/>
  <c r="E104" i="2"/>
  <c r="H104" i="2" s="1"/>
  <c r="F104" i="2"/>
  <c r="E105" i="2"/>
  <c r="H105" i="2" s="1"/>
  <c r="F105" i="2"/>
  <c r="E106" i="2"/>
  <c r="H106" i="2" s="1"/>
  <c r="F106" i="2"/>
  <c r="E107" i="2"/>
  <c r="H107" i="2" s="1"/>
  <c r="F107" i="2"/>
  <c r="E108" i="2"/>
  <c r="H108" i="2" s="1"/>
  <c r="F108" i="2"/>
  <c r="E109" i="2"/>
  <c r="H109" i="2" s="1"/>
  <c r="F109" i="2"/>
  <c r="E110" i="2"/>
  <c r="H110" i="2" s="1"/>
  <c r="F110" i="2"/>
  <c r="E111" i="2"/>
  <c r="H111" i="2" s="1"/>
  <c r="F111" i="2"/>
  <c r="E112" i="2"/>
  <c r="H112" i="2" s="1"/>
  <c r="F112" i="2"/>
  <c r="E113" i="2"/>
  <c r="H113" i="2" s="1"/>
  <c r="F113" i="2"/>
  <c r="E114" i="2"/>
  <c r="H114" i="2" s="1"/>
  <c r="F114" i="2"/>
  <c r="E115" i="2"/>
  <c r="H115" i="2" s="1"/>
  <c r="F115" i="2"/>
  <c r="E116" i="2"/>
  <c r="H116" i="2" s="1"/>
  <c r="F116" i="2"/>
  <c r="E117" i="2"/>
  <c r="H117" i="2" s="1"/>
  <c r="F117" i="2"/>
  <c r="E118" i="2"/>
  <c r="H118" i="2" s="1"/>
  <c r="F118" i="2"/>
  <c r="E119" i="2"/>
  <c r="H119" i="2" s="1"/>
  <c r="F119" i="2"/>
  <c r="E120" i="2"/>
  <c r="H120" i="2" s="1"/>
  <c r="F120" i="2"/>
  <c r="E121" i="2"/>
  <c r="H121" i="2" s="1"/>
  <c r="F121" i="2"/>
  <c r="E122" i="2"/>
  <c r="H122" i="2" s="1"/>
  <c r="F122" i="2"/>
  <c r="E123" i="2"/>
  <c r="H123" i="2" s="1"/>
  <c r="F123" i="2"/>
  <c r="E124" i="2"/>
  <c r="H124" i="2" s="1"/>
  <c r="F124" i="2"/>
  <c r="E125" i="2"/>
  <c r="H125" i="2" s="1"/>
  <c r="F125" i="2"/>
  <c r="E126" i="2"/>
  <c r="H126" i="2" s="1"/>
  <c r="F126" i="2"/>
  <c r="E127" i="2"/>
  <c r="H127" i="2" s="1"/>
  <c r="F127" i="2"/>
  <c r="E128" i="2"/>
  <c r="H128" i="2" s="1"/>
  <c r="F128" i="2"/>
  <c r="E129" i="2"/>
  <c r="H129" i="2" s="1"/>
  <c r="F129" i="2"/>
  <c r="E130" i="2"/>
  <c r="H130" i="2" s="1"/>
  <c r="F130" i="2"/>
  <c r="E131" i="2"/>
  <c r="H131" i="2" s="1"/>
  <c r="F131" i="2"/>
  <c r="E132" i="2"/>
  <c r="H132" i="2" s="1"/>
  <c r="F132" i="2"/>
  <c r="E133" i="2"/>
  <c r="H133" i="2" s="1"/>
  <c r="F133" i="2"/>
  <c r="E134" i="2"/>
  <c r="H134" i="2" s="1"/>
  <c r="F134" i="2"/>
  <c r="E135" i="2"/>
  <c r="H135" i="2" s="1"/>
  <c r="F135" i="2"/>
  <c r="E136" i="2"/>
  <c r="H136" i="2" s="1"/>
  <c r="F136" i="2"/>
  <c r="E137" i="2"/>
  <c r="H137" i="2" s="1"/>
  <c r="F137" i="2"/>
  <c r="E138" i="2"/>
  <c r="H138" i="2" s="1"/>
  <c r="F138" i="2"/>
  <c r="E139" i="2"/>
  <c r="H139" i="2" s="1"/>
  <c r="F139" i="2"/>
  <c r="E140" i="2"/>
  <c r="H140" i="2" s="1"/>
  <c r="F140" i="2"/>
  <c r="E141" i="2"/>
  <c r="H141" i="2" s="1"/>
  <c r="F141" i="2"/>
  <c r="E142" i="2"/>
  <c r="H142" i="2" s="1"/>
  <c r="F142" i="2"/>
  <c r="E143" i="2"/>
  <c r="H143" i="2" s="1"/>
  <c r="F143" i="2"/>
  <c r="E144" i="2"/>
  <c r="H144" i="2" s="1"/>
  <c r="F144" i="2"/>
  <c r="E145" i="2"/>
  <c r="H145" i="2" s="1"/>
  <c r="F145" i="2"/>
  <c r="E146" i="2"/>
  <c r="H146" i="2" s="1"/>
  <c r="F146" i="2"/>
  <c r="E147" i="2"/>
  <c r="H147" i="2" s="1"/>
  <c r="F147" i="2"/>
  <c r="E148" i="2"/>
  <c r="H148" i="2" s="1"/>
  <c r="F148" i="2"/>
  <c r="E149" i="2"/>
  <c r="H149" i="2" s="1"/>
  <c r="F149" i="2"/>
  <c r="E150" i="2"/>
  <c r="H150" i="2" s="1"/>
  <c r="F150" i="2"/>
  <c r="E151" i="2"/>
  <c r="H151" i="2" s="1"/>
  <c r="F151" i="2"/>
  <c r="E152" i="2"/>
  <c r="H152" i="2" s="1"/>
  <c r="F152" i="2"/>
  <c r="E153" i="2"/>
  <c r="H153" i="2" s="1"/>
  <c r="F153" i="2"/>
  <c r="E154" i="2"/>
  <c r="H154" i="2" s="1"/>
  <c r="F154" i="2"/>
  <c r="E155" i="2"/>
  <c r="H155" i="2" s="1"/>
  <c r="F155" i="2"/>
  <c r="E156" i="2"/>
  <c r="H156" i="2" s="1"/>
  <c r="F156" i="2"/>
  <c r="E157" i="2"/>
  <c r="H157" i="2" s="1"/>
  <c r="F157" i="2"/>
  <c r="E158" i="2"/>
  <c r="H158" i="2" s="1"/>
  <c r="F158" i="2"/>
  <c r="E159" i="2"/>
  <c r="H159" i="2" s="1"/>
  <c r="F159" i="2"/>
  <c r="E160" i="2"/>
  <c r="H160" i="2" s="1"/>
  <c r="F160" i="2"/>
  <c r="E161" i="2"/>
  <c r="H161" i="2" s="1"/>
  <c r="F161" i="2"/>
  <c r="E162" i="2"/>
  <c r="H162" i="2" s="1"/>
  <c r="F162" i="2"/>
  <c r="E163" i="2"/>
  <c r="H163" i="2" s="1"/>
  <c r="F163" i="2"/>
  <c r="E164" i="2"/>
  <c r="H164" i="2" s="1"/>
  <c r="F164" i="2"/>
  <c r="E165" i="2"/>
  <c r="H165" i="2" s="1"/>
  <c r="F165" i="2"/>
  <c r="E166" i="2"/>
  <c r="H166" i="2" s="1"/>
  <c r="F166" i="2"/>
  <c r="E167" i="2"/>
  <c r="H167" i="2" s="1"/>
  <c r="F167" i="2"/>
  <c r="E168" i="2"/>
  <c r="H168" i="2" s="1"/>
  <c r="F168" i="2"/>
  <c r="E169" i="2"/>
  <c r="H169" i="2" s="1"/>
  <c r="F169" i="2"/>
  <c r="E170" i="2"/>
  <c r="H170" i="2" s="1"/>
  <c r="F170" i="2"/>
  <c r="E171" i="2"/>
  <c r="H171" i="2" s="1"/>
  <c r="F171" i="2"/>
  <c r="E172" i="2"/>
  <c r="H172" i="2" s="1"/>
  <c r="F172" i="2"/>
  <c r="E173" i="2"/>
  <c r="H173" i="2" s="1"/>
  <c r="F173" i="2"/>
  <c r="E174" i="2"/>
  <c r="H174" i="2" s="1"/>
  <c r="F174" i="2"/>
  <c r="E175" i="2"/>
  <c r="H175" i="2" s="1"/>
  <c r="F175" i="2"/>
  <c r="E176" i="2"/>
  <c r="H176" i="2" s="1"/>
  <c r="F176" i="2"/>
  <c r="E177" i="2"/>
  <c r="H177" i="2" s="1"/>
  <c r="F177" i="2"/>
  <c r="E178" i="2"/>
  <c r="H178" i="2" s="1"/>
  <c r="F178" i="2"/>
  <c r="E179" i="2"/>
  <c r="H179" i="2" s="1"/>
  <c r="F179" i="2"/>
  <c r="E180" i="2"/>
  <c r="H180" i="2" s="1"/>
  <c r="F180" i="2"/>
  <c r="E181" i="2"/>
  <c r="H181" i="2" s="1"/>
  <c r="F181" i="2"/>
  <c r="E182" i="2"/>
  <c r="H182" i="2" s="1"/>
  <c r="F182" i="2"/>
  <c r="E183" i="2"/>
  <c r="H183" i="2" s="1"/>
  <c r="F183" i="2"/>
  <c r="E184" i="2"/>
  <c r="H184" i="2" s="1"/>
  <c r="F184" i="2"/>
  <c r="E185" i="2"/>
  <c r="H185" i="2" s="1"/>
  <c r="F185" i="2"/>
  <c r="E186" i="2"/>
  <c r="H186" i="2" s="1"/>
  <c r="F186" i="2"/>
  <c r="E187" i="2"/>
  <c r="H187" i="2" s="1"/>
  <c r="F187" i="2"/>
  <c r="E188" i="2"/>
  <c r="H188" i="2" s="1"/>
  <c r="F188" i="2"/>
  <c r="E189" i="2"/>
  <c r="H189" i="2" s="1"/>
  <c r="F189" i="2"/>
  <c r="E190" i="2"/>
  <c r="H190" i="2" s="1"/>
  <c r="F190" i="2"/>
  <c r="E191" i="2"/>
  <c r="H191" i="2" s="1"/>
  <c r="F191" i="2"/>
  <c r="E192" i="2"/>
  <c r="H192" i="2" s="1"/>
  <c r="F192" i="2"/>
  <c r="E193" i="2"/>
  <c r="H193" i="2" s="1"/>
  <c r="F193" i="2"/>
  <c r="E194" i="2"/>
  <c r="H194" i="2" s="1"/>
  <c r="F194" i="2"/>
  <c r="E195" i="2"/>
  <c r="H195" i="2" s="1"/>
  <c r="F195" i="2"/>
  <c r="E196" i="2"/>
  <c r="H196" i="2" s="1"/>
  <c r="F196" i="2"/>
  <c r="E197" i="2"/>
  <c r="H197" i="2" s="1"/>
  <c r="F197" i="2"/>
  <c r="E198" i="2"/>
  <c r="H198" i="2" s="1"/>
  <c r="F198" i="2"/>
  <c r="E199" i="2"/>
  <c r="H199" i="2" s="1"/>
  <c r="F199" i="2"/>
  <c r="E200" i="2"/>
  <c r="H200" i="2" s="1"/>
  <c r="F200" i="2"/>
  <c r="E201" i="2"/>
  <c r="H201" i="2" s="1"/>
  <c r="F201" i="2"/>
  <c r="E202" i="2"/>
  <c r="H202" i="2" s="1"/>
  <c r="F202" i="2"/>
  <c r="E203" i="2"/>
  <c r="H203" i="2" s="1"/>
  <c r="F203" i="2"/>
  <c r="E204" i="2"/>
  <c r="H204" i="2" s="1"/>
  <c r="F204" i="2"/>
  <c r="E205" i="2"/>
  <c r="H205" i="2" s="1"/>
  <c r="F205" i="2"/>
  <c r="E206" i="2"/>
  <c r="H206" i="2" s="1"/>
  <c r="F206" i="2"/>
  <c r="E207" i="2"/>
  <c r="H207" i="2" s="1"/>
  <c r="F207" i="2"/>
  <c r="E208" i="2"/>
  <c r="H208" i="2" s="1"/>
  <c r="F208" i="2"/>
  <c r="E209" i="2"/>
  <c r="H209" i="2" s="1"/>
  <c r="F209" i="2"/>
  <c r="E210" i="2"/>
  <c r="H210" i="2" s="1"/>
  <c r="F210" i="2"/>
  <c r="E211" i="2"/>
  <c r="H211" i="2" s="1"/>
  <c r="F211" i="2"/>
  <c r="E212" i="2"/>
  <c r="H212" i="2" s="1"/>
  <c r="F212" i="2"/>
  <c r="E213" i="2"/>
  <c r="H213" i="2" s="1"/>
  <c r="F213" i="2"/>
  <c r="E214" i="2"/>
  <c r="H214" i="2" s="1"/>
  <c r="F214" i="2"/>
  <c r="E215" i="2"/>
  <c r="H215" i="2" s="1"/>
  <c r="F215" i="2"/>
  <c r="E216" i="2"/>
  <c r="H216" i="2" s="1"/>
  <c r="F216" i="2"/>
  <c r="E217" i="2"/>
  <c r="H217" i="2" s="1"/>
  <c r="F217" i="2"/>
  <c r="E218" i="2"/>
  <c r="H218" i="2" s="1"/>
  <c r="F218" i="2"/>
  <c r="E219" i="2"/>
  <c r="H219" i="2" s="1"/>
  <c r="F219" i="2"/>
  <c r="E220" i="2"/>
  <c r="H220" i="2" s="1"/>
  <c r="F220" i="2"/>
  <c r="E221" i="2"/>
  <c r="H221" i="2" s="1"/>
  <c r="F221" i="2"/>
  <c r="E222" i="2"/>
  <c r="H222" i="2" s="1"/>
  <c r="F222" i="2"/>
  <c r="E223" i="2"/>
  <c r="H223" i="2" s="1"/>
  <c r="F223" i="2"/>
  <c r="E224" i="2"/>
  <c r="H224" i="2" s="1"/>
  <c r="F224" i="2"/>
  <c r="E225" i="2"/>
  <c r="H225" i="2" s="1"/>
  <c r="F225" i="2"/>
  <c r="E226" i="2"/>
  <c r="H226" i="2" s="1"/>
  <c r="F226" i="2"/>
  <c r="E227" i="2"/>
  <c r="H227" i="2" s="1"/>
  <c r="F227" i="2"/>
  <c r="E228" i="2"/>
  <c r="H228" i="2" s="1"/>
  <c r="F228" i="2"/>
  <c r="E229" i="2"/>
  <c r="H229" i="2" s="1"/>
  <c r="F229" i="2"/>
  <c r="E230" i="2"/>
  <c r="H230" i="2" s="1"/>
  <c r="F230" i="2"/>
  <c r="E231" i="2"/>
  <c r="H231" i="2" s="1"/>
  <c r="F231" i="2"/>
  <c r="E232" i="2"/>
  <c r="H232" i="2" s="1"/>
  <c r="F232" i="2"/>
  <c r="E233" i="2"/>
  <c r="H233" i="2" s="1"/>
  <c r="F233" i="2"/>
  <c r="E234" i="2"/>
  <c r="H234" i="2" s="1"/>
  <c r="F234" i="2"/>
  <c r="E235" i="2"/>
  <c r="H235" i="2" s="1"/>
  <c r="F235" i="2"/>
  <c r="E236" i="2"/>
  <c r="H236" i="2" s="1"/>
  <c r="F236" i="2"/>
  <c r="E237" i="2"/>
  <c r="H237" i="2" s="1"/>
  <c r="F237" i="2"/>
  <c r="E238" i="2"/>
  <c r="H238" i="2" s="1"/>
  <c r="F238" i="2"/>
  <c r="E239" i="2"/>
  <c r="H239" i="2" s="1"/>
  <c r="F239" i="2"/>
  <c r="E240" i="2"/>
  <c r="H240" i="2" s="1"/>
  <c r="F240" i="2"/>
  <c r="E241" i="2"/>
  <c r="H241" i="2" s="1"/>
  <c r="F241" i="2"/>
  <c r="E242" i="2"/>
  <c r="H242" i="2" s="1"/>
  <c r="F242" i="2"/>
  <c r="E243" i="2"/>
  <c r="H243" i="2" s="1"/>
  <c r="F243" i="2"/>
  <c r="E244" i="2"/>
  <c r="H244" i="2" s="1"/>
  <c r="F244" i="2"/>
  <c r="E245" i="2"/>
  <c r="H245" i="2" s="1"/>
  <c r="F245" i="2"/>
  <c r="E246" i="2"/>
  <c r="H246" i="2" s="1"/>
  <c r="F246" i="2"/>
  <c r="E247" i="2"/>
  <c r="H247" i="2" s="1"/>
  <c r="F247" i="2"/>
  <c r="E248" i="2"/>
  <c r="H248" i="2" s="1"/>
  <c r="F248" i="2"/>
  <c r="E249" i="2"/>
  <c r="H249" i="2" s="1"/>
  <c r="F249" i="2"/>
  <c r="E250" i="2"/>
  <c r="H250" i="2" s="1"/>
  <c r="F250" i="2"/>
  <c r="E251" i="2"/>
  <c r="H251" i="2" s="1"/>
  <c r="F251" i="2"/>
  <c r="E252" i="2"/>
  <c r="H252" i="2" s="1"/>
  <c r="F252" i="2"/>
  <c r="E253" i="2"/>
  <c r="H253" i="2" s="1"/>
  <c r="F253" i="2"/>
  <c r="E254" i="2"/>
  <c r="H254" i="2" s="1"/>
  <c r="F254" i="2"/>
  <c r="E255" i="2"/>
  <c r="H255" i="2" s="1"/>
  <c r="F255" i="2"/>
  <c r="E256" i="2"/>
  <c r="H256" i="2" s="1"/>
  <c r="F256" i="2"/>
  <c r="E257" i="2"/>
  <c r="H257" i="2" s="1"/>
  <c r="F257" i="2"/>
  <c r="E258" i="2"/>
  <c r="H258" i="2" s="1"/>
  <c r="F258" i="2"/>
  <c r="E259" i="2"/>
  <c r="H259" i="2" s="1"/>
  <c r="F259" i="2"/>
  <c r="E260" i="2"/>
  <c r="H260" i="2" s="1"/>
  <c r="F260" i="2"/>
  <c r="E261" i="2"/>
  <c r="H261" i="2" s="1"/>
  <c r="F261" i="2"/>
  <c r="E262" i="2"/>
  <c r="H262" i="2" s="1"/>
  <c r="F262" i="2"/>
  <c r="E263" i="2"/>
  <c r="H263" i="2" s="1"/>
  <c r="F263" i="2"/>
  <c r="E264" i="2"/>
  <c r="H264" i="2" s="1"/>
  <c r="F264" i="2"/>
  <c r="E265" i="2"/>
  <c r="H265" i="2" s="1"/>
  <c r="F265" i="2"/>
  <c r="E266" i="2"/>
  <c r="H266" i="2" s="1"/>
  <c r="F266" i="2"/>
  <c r="E267" i="2"/>
  <c r="H267" i="2" s="1"/>
  <c r="F267" i="2"/>
  <c r="E268" i="2"/>
  <c r="H268" i="2" s="1"/>
  <c r="F268" i="2"/>
  <c r="E269" i="2"/>
  <c r="H269" i="2" s="1"/>
  <c r="F269" i="2"/>
  <c r="E270" i="2"/>
  <c r="H270" i="2" s="1"/>
  <c r="F270" i="2"/>
  <c r="E271" i="2"/>
  <c r="H271" i="2" s="1"/>
  <c r="F271" i="2"/>
  <c r="E272" i="2"/>
  <c r="H272" i="2" s="1"/>
  <c r="F272" i="2"/>
  <c r="E273" i="2"/>
  <c r="H273" i="2" s="1"/>
  <c r="F273" i="2"/>
  <c r="E274" i="2"/>
  <c r="H274" i="2" s="1"/>
  <c r="F274" i="2"/>
  <c r="E275" i="2"/>
  <c r="H275" i="2" s="1"/>
  <c r="F275" i="2"/>
  <c r="E276" i="2"/>
  <c r="H276" i="2" s="1"/>
  <c r="F276" i="2"/>
  <c r="E277" i="2"/>
  <c r="H277" i="2" s="1"/>
  <c r="F277" i="2"/>
  <c r="E278" i="2"/>
  <c r="H278" i="2" s="1"/>
  <c r="F278" i="2"/>
  <c r="E279" i="2"/>
  <c r="H279" i="2" s="1"/>
  <c r="F279" i="2"/>
  <c r="E280" i="2"/>
  <c r="H280" i="2" s="1"/>
  <c r="F280" i="2"/>
  <c r="E281" i="2"/>
  <c r="H281" i="2" s="1"/>
  <c r="F281" i="2"/>
  <c r="E282" i="2"/>
  <c r="H282" i="2" s="1"/>
  <c r="F282" i="2"/>
  <c r="E283" i="2"/>
  <c r="H283" i="2" s="1"/>
  <c r="F283" i="2"/>
  <c r="E284" i="2"/>
  <c r="H284" i="2" s="1"/>
  <c r="F284" i="2"/>
  <c r="E285" i="2"/>
  <c r="H285" i="2" s="1"/>
  <c r="F285" i="2"/>
  <c r="E286" i="2"/>
  <c r="H286" i="2" s="1"/>
  <c r="F286" i="2"/>
  <c r="E287" i="2"/>
  <c r="H287" i="2" s="1"/>
  <c r="F287" i="2"/>
  <c r="E288" i="2"/>
  <c r="H288" i="2" s="1"/>
  <c r="F288" i="2"/>
  <c r="E289" i="2"/>
  <c r="H289" i="2" s="1"/>
  <c r="F289" i="2"/>
  <c r="E290" i="2"/>
  <c r="H290" i="2" s="1"/>
  <c r="F290" i="2"/>
  <c r="E291" i="2"/>
  <c r="H291" i="2" s="1"/>
  <c r="F291" i="2"/>
  <c r="E292" i="2"/>
  <c r="H292" i="2" s="1"/>
  <c r="F292" i="2"/>
  <c r="E293" i="2"/>
  <c r="H293" i="2" s="1"/>
  <c r="F293" i="2"/>
  <c r="E294" i="2"/>
  <c r="H294" i="2" s="1"/>
  <c r="F294" i="2"/>
  <c r="E295" i="2"/>
  <c r="H295" i="2" s="1"/>
  <c r="F295" i="2"/>
  <c r="E296" i="2"/>
  <c r="H296" i="2" s="1"/>
  <c r="F296" i="2"/>
  <c r="E297" i="2"/>
  <c r="H297" i="2" s="1"/>
  <c r="F297" i="2"/>
  <c r="E298" i="2"/>
  <c r="H298" i="2" s="1"/>
  <c r="F298" i="2"/>
  <c r="E299" i="2"/>
  <c r="H299" i="2" s="1"/>
  <c r="F299" i="2"/>
  <c r="E300" i="2"/>
  <c r="H300" i="2" s="1"/>
  <c r="F300" i="2"/>
  <c r="E301" i="2"/>
  <c r="H301" i="2" s="1"/>
  <c r="F301" i="2"/>
  <c r="E302" i="2"/>
  <c r="H302" i="2" s="1"/>
  <c r="F302" i="2"/>
  <c r="E303" i="2"/>
  <c r="H303" i="2" s="1"/>
  <c r="F303" i="2"/>
  <c r="E304" i="2"/>
  <c r="H304" i="2" s="1"/>
  <c r="F304" i="2"/>
  <c r="E305" i="2"/>
  <c r="H305" i="2" s="1"/>
  <c r="F305" i="2"/>
  <c r="E306" i="2"/>
  <c r="H306" i="2" s="1"/>
  <c r="F306" i="2"/>
  <c r="E307" i="2"/>
  <c r="H307" i="2" s="1"/>
  <c r="F307" i="2"/>
  <c r="E308" i="2"/>
  <c r="H308" i="2" s="1"/>
  <c r="F308" i="2"/>
  <c r="E309" i="2"/>
  <c r="H309" i="2" s="1"/>
  <c r="F309" i="2"/>
  <c r="E310" i="2"/>
  <c r="H310" i="2" s="1"/>
  <c r="F310" i="2"/>
  <c r="E311" i="2"/>
  <c r="H311" i="2" s="1"/>
  <c r="F311" i="2"/>
  <c r="E312" i="2"/>
  <c r="H312" i="2" s="1"/>
  <c r="F312" i="2"/>
  <c r="E313" i="2"/>
  <c r="H313" i="2" s="1"/>
  <c r="F313" i="2"/>
  <c r="E314" i="2"/>
  <c r="H314" i="2" s="1"/>
  <c r="F314" i="2"/>
  <c r="E315" i="2"/>
  <c r="H315" i="2" s="1"/>
  <c r="F315" i="2"/>
  <c r="E316" i="2"/>
  <c r="H316" i="2" s="1"/>
  <c r="F316" i="2"/>
  <c r="E317" i="2"/>
  <c r="H317" i="2" s="1"/>
  <c r="F317" i="2"/>
  <c r="E318" i="2"/>
  <c r="H318" i="2" s="1"/>
  <c r="F318" i="2"/>
  <c r="E319" i="2"/>
  <c r="H319" i="2" s="1"/>
  <c r="F319" i="2"/>
  <c r="E320" i="2"/>
  <c r="H320" i="2" s="1"/>
  <c r="F320" i="2"/>
  <c r="E321" i="2"/>
  <c r="H321" i="2" s="1"/>
  <c r="F321" i="2"/>
  <c r="E322" i="2"/>
  <c r="H322" i="2" s="1"/>
  <c r="F322" i="2"/>
  <c r="E323" i="2"/>
  <c r="H323" i="2" s="1"/>
  <c r="F323" i="2"/>
  <c r="E324" i="2"/>
  <c r="H324" i="2" s="1"/>
  <c r="F324" i="2"/>
  <c r="E325" i="2"/>
  <c r="H325" i="2" s="1"/>
  <c r="F325" i="2"/>
  <c r="E326" i="2"/>
  <c r="H326" i="2" s="1"/>
  <c r="F326" i="2"/>
  <c r="E327" i="2"/>
  <c r="H327" i="2" s="1"/>
  <c r="F327" i="2"/>
  <c r="E328" i="2"/>
  <c r="H328" i="2" s="1"/>
  <c r="F328" i="2"/>
  <c r="E329" i="2"/>
  <c r="H329" i="2" s="1"/>
  <c r="F329" i="2"/>
  <c r="E330" i="2"/>
  <c r="H330" i="2" s="1"/>
  <c r="F330" i="2"/>
  <c r="E331" i="2"/>
  <c r="H331" i="2" s="1"/>
  <c r="F331" i="2"/>
  <c r="E332" i="2"/>
  <c r="H332" i="2" s="1"/>
  <c r="F332" i="2"/>
  <c r="E333" i="2"/>
  <c r="H333" i="2" s="1"/>
  <c r="F333" i="2"/>
  <c r="E334" i="2"/>
  <c r="H334" i="2" s="1"/>
  <c r="F334" i="2"/>
  <c r="E335" i="2"/>
  <c r="H335" i="2" s="1"/>
  <c r="F335" i="2"/>
  <c r="E336" i="2"/>
  <c r="H336" i="2" s="1"/>
  <c r="F336" i="2"/>
  <c r="E337" i="2"/>
  <c r="H337" i="2" s="1"/>
  <c r="F337" i="2"/>
  <c r="E338" i="2"/>
  <c r="H338" i="2" s="1"/>
  <c r="F338" i="2"/>
  <c r="E339" i="2"/>
  <c r="H339" i="2" s="1"/>
  <c r="F339" i="2"/>
  <c r="E340" i="2"/>
  <c r="H340" i="2" s="1"/>
  <c r="F340" i="2"/>
  <c r="E341" i="2"/>
  <c r="H341" i="2" s="1"/>
  <c r="F341" i="2"/>
  <c r="E342" i="2"/>
  <c r="H342" i="2" s="1"/>
  <c r="F342" i="2"/>
  <c r="E343" i="2"/>
  <c r="H343" i="2" s="1"/>
  <c r="F343" i="2"/>
  <c r="E344" i="2"/>
  <c r="H344" i="2" s="1"/>
  <c r="F344" i="2"/>
  <c r="E345" i="2"/>
  <c r="H345" i="2" s="1"/>
  <c r="F345" i="2"/>
  <c r="E346" i="2"/>
  <c r="H346" i="2" s="1"/>
  <c r="F346" i="2"/>
  <c r="E347" i="2"/>
  <c r="H347" i="2" s="1"/>
  <c r="F347" i="2"/>
  <c r="E348" i="2"/>
  <c r="H348" i="2" s="1"/>
  <c r="F348" i="2"/>
  <c r="E349" i="2"/>
  <c r="H349" i="2" s="1"/>
  <c r="F349" i="2"/>
  <c r="E350" i="2"/>
  <c r="H350" i="2" s="1"/>
  <c r="F350" i="2"/>
  <c r="E351" i="2"/>
  <c r="H351" i="2" s="1"/>
  <c r="F351" i="2"/>
  <c r="E352" i="2"/>
  <c r="H352" i="2" s="1"/>
  <c r="F352" i="2"/>
  <c r="E353" i="2"/>
  <c r="H353" i="2" s="1"/>
  <c r="F353" i="2"/>
  <c r="E354" i="2"/>
  <c r="H354" i="2" s="1"/>
  <c r="F354" i="2"/>
  <c r="E355" i="2"/>
  <c r="H355" i="2" s="1"/>
  <c r="F355" i="2"/>
  <c r="E356" i="2"/>
  <c r="H356" i="2" s="1"/>
  <c r="F356" i="2"/>
  <c r="E357" i="2"/>
  <c r="H357" i="2" s="1"/>
  <c r="F357" i="2"/>
  <c r="E358" i="2"/>
  <c r="H358" i="2" s="1"/>
  <c r="F358" i="2"/>
  <c r="E359" i="2"/>
  <c r="H359" i="2" s="1"/>
  <c r="F359" i="2"/>
  <c r="E360" i="2"/>
  <c r="H360" i="2" s="1"/>
  <c r="F360" i="2"/>
  <c r="E361" i="2"/>
  <c r="H361" i="2" s="1"/>
  <c r="F361" i="2"/>
  <c r="E362" i="2"/>
  <c r="H362" i="2" s="1"/>
  <c r="F362" i="2"/>
  <c r="E363" i="2"/>
  <c r="H363" i="2" s="1"/>
  <c r="F363" i="2"/>
  <c r="E364" i="2"/>
  <c r="H364" i="2" s="1"/>
  <c r="F364" i="2"/>
  <c r="E365" i="2"/>
  <c r="H365" i="2" s="1"/>
  <c r="F365" i="2"/>
  <c r="E366" i="2"/>
  <c r="H366" i="2" s="1"/>
  <c r="F366" i="2"/>
  <c r="E367" i="2"/>
  <c r="H367" i="2" s="1"/>
  <c r="F367" i="2"/>
  <c r="E368" i="2"/>
  <c r="H368" i="2" s="1"/>
  <c r="F368" i="2"/>
  <c r="E369" i="2"/>
  <c r="H369" i="2" s="1"/>
  <c r="F369" i="2"/>
  <c r="E370" i="2"/>
  <c r="H370" i="2" s="1"/>
  <c r="F370" i="2"/>
  <c r="E371" i="2"/>
  <c r="H371" i="2" s="1"/>
  <c r="F371" i="2"/>
  <c r="E372" i="2"/>
  <c r="H372" i="2" s="1"/>
  <c r="F372" i="2"/>
  <c r="E373" i="2"/>
  <c r="H373" i="2" s="1"/>
  <c r="F373" i="2"/>
  <c r="E374" i="2"/>
  <c r="H374" i="2" s="1"/>
  <c r="F374" i="2"/>
  <c r="E375" i="2"/>
  <c r="H375" i="2" s="1"/>
  <c r="F375" i="2"/>
  <c r="E376" i="2"/>
  <c r="H376" i="2" s="1"/>
  <c r="F376" i="2"/>
  <c r="E377" i="2"/>
  <c r="H377" i="2" s="1"/>
  <c r="F377" i="2"/>
  <c r="E378" i="2"/>
  <c r="H378" i="2" s="1"/>
  <c r="F378" i="2"/>
  <c r="E379" i="2"/>
  <c r="H379" i="2" s="1"/>
  <c r="F379" i="2"/>
  <c r="E380" i="2"/>
  <c r="H380" i="2" s="1"/>
  <c r="F380" i="2"/>
  <c r="E381" i="2"/>
  <c r="H381" i="2" s="1"/>
  <c r="F381" i="2"/>
  <c r="E382" i="2"/>
  <c r="H382" i="2" s="1"/>
  <c r="F382" i="2"/>
  <c r="E383" i="2"/>
  <c r="H383" i="2" s="1"/>
  <c r="F383" i="2"/>
  <c r="E384" i="2"/>
  <c r="H384" i="2" s="1"/>
  <c r="F384" i="2"/>
  <c r="E385" i="2"/>
  <c r="H385" i="2" s="1"/>
  <c r="F385" i="2"/>
  <c r="E386" i="2"/>
  <c r="H386" i="2" s="1"/>
  <c r="F386" i="2"/>
  <c r="E387" i="2"/>
  <c r="H387" i="2" s="1"/>
  <c r="F387" i="2"/>
  <c r="E388" i="2"/>
  <c r="H388" i="2" s="1"/>
  <c r="F388" i="2"/>
  <c r="E389" i="2"/>
  <c r="H389" i="2" s="1"/>
  <c r="F389" i="2"/>
  <c r="E390" i="2"/>
  <c r="H390" i="2" s="1"/>
  <c r="F390" i="2"/>
  <c r="E391" i="2"/>
  <c r="H391" i="2" s="1"/>
  <c r="F391" i="2"/>
  <c r="E392" i="2"/>
  <c r="H392" i="2" s="1"/>
  <c r="F392" i="2"/>
  <c r="E393" i="2"/>
  <c r="H393" i="2" s="1"/>
  <c r="F393" i="2"/>
  <c r="E394" i="2"/>
  <c r="H394" i="2" s="1"/>
  <c r="F394" i="2"/>
  <c r="E395" i="2"/>
  <c r="H395" i="2" s="1"/>
  <c r="F395" i="2"/>
  <c r="E396" i="2"/>
  <c r="H396" i="2" s="1"/>
  <c r="F396" i="2"/>
  <c r="E397" i="2"/>
  <c r="H397" i="2" s="1"/>
  <c r="F397" i="2"/>
  <c r="E398" i="2"/>
  <c r="H398" i="2" s="1"/>
  <c r="F398" i="2"/>
  <c r="E399" i="2"/>
  <c r="H399" i="2" s="1"/>
  <c r="F399" i="2"/>
  <c r="E400" i="2"/>
  <c r="H400" i="2" s="1"/>
  <c r="F400" i="2"/>
  <c r="E401" i="2"/>
  <c r="H401" i="2" s="1"/>
  <c r="F401" i="2"/>
  <c r="E402" i="2"/>
  <c r="H402" i="2" s="1"/>
  <c r="F402" i="2"/>
  <c r="E403" i="2"/>
  <c r="H403" i="2" s="1"/>
  <c r="F403" i="2"/>
  <c r="E404" i="2"/>
  <c r="H404" i="2" s="1"/>
  <c r="F404" i="2"/>
  <c r="E405" i="2"/>
  <c r="H405" i="2" s="1"/>
  <c r="F405" i="2"/>
  <c r="E406" i="2"/>
  <c r="H406" i="2" s="1"/>
  <c r="F406" i="2"/>
  <c r="E407" i="2"/>
  <c r="H407" i="2" s="1"/>
  <c r="F407" i="2"/>
  <c r="E408" i="2"/>
  <c r="H408" i="2" s="1"/>
  <c r="F408" i="2"/>
  <c r="E409" i="2"/>
  <c r="H409" i="2" s="1"/>
  <c r="F409" i="2"/>
  <c r="E410" i="2"/>
  <c r="H410" i="2" s="1"/>
  <c r="F410" i="2"/>
  <c r="E411" i="2"/>
  <c r="H411" i="2" s="1"/>
  <c r="F411" i="2"/>
  <c r="E412" i="2"/>
  <c r="H412" i="2" s="1"/>
  <c r="F412" i="2"/>
  <c r="E413" i="2"/>
  <c r="H413" i="2" s="1"/>
  <c r="F413" i="2"/>
  <c r="E414" i="2"/>
  <c r="H414" i="2" s="1"/>
  <c r="F414" i="2"/>
  <c r="E415" i="2"/>
  <c r="H415" i="2" s="1"/>
  <c r="F415" i="2"/>
  <c r="E416" i="2"/>
  <c r="H416" i="2" s="1"/>
  <c r="F416" i="2"/>
  <c r="E417" i="2"/>
  <c r="H417" i="2" s="1"/>
  <c r="F417" i="2"/>
  <c r="E418" i="2"/>
  <c r="H418" i="2" s="1"/>
  <c r="F418" i="2"/>
  <c r="E419" i="2"/>
  <c r="H419" i="2" s="1"/>
  <c r="F419" i="2"/>
  <c r="E420" i="2"/>
  <c r="H420" i="2" s="1"/>
  <c r="F420" i="2"/>
  <c r="E421" i="2"/>
  <c r="H421" i="2" s="1"/>
  <c r="F421" i="2"/>
  <c r="E422" i="2"/>
  <c r="H422" i="2" s="1"/>
  <c r="F422" i="2"/>
  <c r="E423" i="2"/>
  <c r="H423" i="2" s="1"/>
  <c r="F423" i="2"/>
  <c r="E424" i="2"/>
  <c r="H424" i="2" s="1"/>
  <c r="F424" i="2"/>
  <c r="E425" i="2"/>
  <c r="H425" i="2" s="1"/>
  <c r="F425" i="2"/>
  <c r="E426" i="2"/>
  <c r="H426" i="2" s="1"/>
  <c r="F426" i="2"/>
  <c r="E427" i="2"/>
  <c r="H427" i="2" s="1"/>
  <c r="F427" i="2"/>
  <c r="E428" i="2"/>
  <c r="H428" i="2" s="1"/>
  <c r="F428" i="2"/>
  <c r="E429" i="2"/>
  <c r="H429" i="2" s="1"/>
  <c r="F429" i="2"/>
  <c r="E430" i="2"/>
  <c r="H430" i="2" s="1"/>
  <c r="F430" i="2"/>
  <c r="E431" i="2"/>
  <c r="H431" i="2" s="1"/>
  <c r="F431" i="2"/>
  <c r="E432" i="2"/>
  <c r="H432" i="2" s="1"/>
  <c r="F432" i="2"/>
  <c r="E433" i="2"/>
  <c r="H433" i="2" s="1"/>
  <c r="F433" i="2"/>
  <c r="E434" i="2"/>
  <c r="H434" i="2" s="1"/>
  <c r="F434" i="2"/>
  <c r="E435" i="2"/>
  <c r="H435" i="2" s="1"/>
  <c r="F435" i="2"/>
  <c r="E436" i="2"/>
  <c r="H436" i="2" s="1"/>
  <c r="F436" i="2"/>
  <c r="E437" i="2"/>
  <c r="H437" i="2" s="1"/>
  <c r="F437" i="2"/>
  <c r="E438" i="2"/>
  <c r="H438" i="2" s="1"/>
  <c r="F438" i="2"/>
  <c r="E439" i="2"/>
  <c r="H439" i="2" s="1"/>
  <c r="F439" i="2"/>
  <c r="E440" i="2"/>
  <c r="H440" i="2" s="1"/>
  <c r="F440" i="2"/>
  <c r="E441" i="2"/>
  <c r="H441" i="2" s="1"/>
  <c r="F441" i="2"/>
  <c r="E442" i="2"/>
  <c r="H442" i="2" s="1"/>
  <c r="F442" i="2"/>
  <c r="E443" i="2"/>
  <c r="H443" i="2" s="1"/>
  <c r="F443" i="2"/>
  <c r="E444" i="2"/>
  <c r="H444" i="2" s="1"/>
  <c r="F444" i="2"/>
  <c r="E446" i="2"/>
  <c r="H446" i="2" s="1"/>
  <c r="F446" i="2"/>
  <c r="E447" i="2"/>
  <c r="H447" i="2" s="1"/>
  <c r="F447" i="2"/>
  <c r="E448" i="2"/>
  <c r="H448" i="2" s="1"/>
  <c r="F448" i="2"/>
  <c r="E449" i="2"/>
  <c r="H449" i="2" s="1"/>
  <c r="F449" i="2"/>
  <c r="E450" i="2"/>
  <c r="H450" i="2" s="1"/>
  <c r="F450" i="2"/>
  <c r="E451" i="2"/>
  <c r="H451" i="2" s="1"/>
  <c r="F451" i="2"/>
  <c r="E452" i="2"/>
  <c r="H452" i="2" s="1"/>
  <c r="F452" i="2"/>
  <c r="E453" i="2"/>
  <c r="H453" i="2" s="1"/>
  <c r="F453" i="2"/>
  <c r="E454" i="2"/>
  <c r="H454" i="2" s="1"/>
  <c r="F454" i="2"/>
  <c r="E455" i="2"/>
  <c r="H455" i="2" s="1"/>
  <c r="F455" i="2"/>
  <c r="E456" i="2"/>
  <c r="H456" i="2" s="1"/>
  <c r="F456" i="2"/>
  <c r="E457" i="2"/>
  <c r="H457" i="2" s="1"/>
  <c r="F457" i="2"/>
  <c r="E458" i="2"/>
  <c r="H458" i="2" s="1"/>
  <c r="F458" i="2"/>
  <c r="E459" i="2"/>
  <c r="H459" i="2" s="1"/>
  <c r="F459" i="2"/>
  <c r="E460" i="2"/>
  <c r="H460" i="2" s="1"/>
  <c r="F460" i="2"/>
  <c r="E461" i="2"/>
  <c r="H461" i="2" s="1"/>
  <c r="F461" i="2"/>
  <c r="E462" i="2"/>
  <c r="H462" i="2" s="1"/>
  <c r="F462" i="2"/>
  <c r="E463" i="2"/>
  <c r="H463" i="2" s="1"/>
  <c r="F463" i="2"/>
  <c r="E464" i="2"/>
  <c r="H464" i="2" s="1"/>
  <c r="F464" i="2"/>
  <c r="E465" i="2"/>
  <c r="H465" i="2" s="1"/>
  <c r="F465" i="2"/>
  <c r="E466" i="2"/>
  <c r="H466" i="2" s="1"/>
  <c r="F466" i="2"/>
  <c r="E467" i="2"/>
  <c r="H467" i="2" s="1"/>
  <c r="F467" i="2"/>
  <c r="E468" i="2"/>
  <c r="H468" i="2" s="1"/>
  <c r="F468" i="2"/>
  <c r="E469" i="2"/>
  <c r="H469" i="2" s="1"/>
  <c r="F469" i="2"/>
  <c r="E470" i="2"/>
  <c r="H470" i="2" s="1"/>
  <c r="F470" i="2"/>
  <c r="E471" i="2"/>
  <c r="H471" i="2" s="1"/>
  <c r="F471" i="2"/>
  <c r="E472" i="2"/>
  <c r="H472" i="2" s="1"/>
  <c r="F472" i="2"/>
  <c r="E473" i="2"/>
  <c r="H473" i="2" s="1"/>
  <c r="F473" i="2"/>
  <c r="E474" i="2"/>
  <c r="H474" i="2" s="1"/>
  <c r="F474" i="2"/>
  <c r="E475" i="2"/>
  <c r="H475" i="2" s="1"/>
  <c r="F475" i="2"/>
  <c r="E476" i="2"/>
  <c r="H476" i="2" s="1"/>
  <c r="F476" i="2"/>
  <c r="E477" i="2"/>
  <c r="H477" i="2" s="1"/>
  <c r="F477" i="2"/>
  <c r="E478" i="2"/>
  <c r="H478" i="2" s="1"/>
  <c r="F478" i="2"/>
  <c r="E479" i="2"/>
  <c r="H479" i="2" s="1"/>
  <c r="F479" i="2"/>
  <c r="E480" i="2"/>
  <c r="H480" i="2" s="1"/>
  <c r="F480" i="2"/>
  <c r="E481" i="2"/>
  <c r="H481" i="2" s="1"/>
  <c r="F481" i="2"/>
  <c r="E482" i="2"/>
  <c r="H482" i="2" s="1"/>
  <c r="F482" i="2"/>
  <c r="E483" i="2"/>
  <c r="H483" i="2" s="1"/>
  <c r="F483" i="2"/>
  <c r="E484" i="2"/>
  <c r="H484" i="2" s="1"/>
  <c r="F484" i="2"/>
  <c r="E485" i="2"/>
  <c r="H485" i="2" s="1"/>
  <c r="F485" i="2"/>
  <c r="E486" i="2"/>
  <c r="H486" i="2" s="1"/>
  <c r="F486" i="2"/>
  <c r="E487" i="2"/>
  <c r="H487" i="2" s="1"/>
  <c r="F487" i="2"/>
  <c r="E488" i="2"/>
  <c r="H488" i="2" s="1"/>
  <c r="F488" i="2"/>
  <c r="E489" i="2"/>
  <c r="H489" i="2" s="1"/>
  <c r="F489" i="2"/>
  <c r="E490" i="2"/>
  <c r="H490" i="2" s="1"/>
  <c r="F490" i="2"/>
  <c r="E491" i="2"/>
  <c r="H491" i="2" s="1"/>
  <c r="F491" i="2"/>
  <c r="E492" i="2"/>
  <c r="H492" i="2" s="1"/>
  <c r="F492" i="2"/>
  <c r="E493" i="2"/>
  <c r="H493" i="2" s="1"/>
  <c r="F493" i="2"/>
  <c r="E494" i="2"/>
  <c r="H494" i="2" s="1"/>
  <c r="F494" i="2"/>
  <c r="E495" i="2"/>
  <c r="H495" i="2" s="1"/>
  <c r="F495" i="2"/>
  <c r="E496" i="2"/>
  <c r="H496" i="2" s="1"/>
  <c r="F496" i="2"/>
  <c r="E497" i="2"/>
  <c r="H497" i="2" s="1"/>
  <c r="F497" i="2"/>
  <c r="E498" i="2"/>
  <c r="H498" i="2" s="1"/>
  <c r="F498" i="2"/>
  <c r="E499" i="2"/>
  <c r="H499" i="2" s="1"/>
  <c r="F499" i="2"/>
  <c r="E500" i="2"/>
  <c r="H500" i="2" s="1"/>
  <c r="F500" i="2"/>
  <c r="E501" i="2"/>
  <c r="H501" i="2" s="1"/>
  <c r="F501" i="2"/>
  <c r="E502" i="2"/>
  <c r="H502" i="2" s="1"/>
  <c r="F502" i="2"/>
  <c r="E503" i="2"/>
  <c r="H503" i="2" s="1"/>
  <c r="F503" i="2"/>
  <c r="E504" i="2"/>
  <c r="H504" i="2" s="1"/>
  <c r="F504" i="2"/>
  <c r="E505" i="2"/>
  <c r="H505" i="2" s="1"/>
  <c r="F505" i="2"/>
  <c r="E506" i="2"/>
  <c r="H506" i="2" s="1"/>
  <c r="F506" i="2"/>
  <c r="E507" i="2"/>
  <c r="H507" i="2" s="1"/>
  <c r="F507" i="2"/>
  <c r="E508" i="2"/>
  <c r="H508" i="2" s="1"/>
  <c r="F508" i="2"/>
  <c r="E509" i="2"/>
  <c r="H509" i="2" s="1"/>
  <c r="F509" i="2"/>
  <c r="E510" i="2"/>
  <c r="H510" i="2" s="1"/>
  <c r="F510" i="2"/>
  <c r="E511" i="2"/>
  <c r="H511" i="2" s="1"/>
  <c r="F511" i="2"/>
  <c r="E512" i="2"/>
  <c r="H512" i="2" s="1"/>
  <c r="F512" i="2"/>
  <c r="E513" i="2"/>
  <c r="H513" i="2" s="1"/>
  <c r="F513" i="2"/>
  <c r="E514" i="2"/>
  <c r="H514" i="2" s="1"/>
  <c r="F514" i="2"/>
  <c r="E515" i="2"/>
  <c r="H515" i="2" s="1"/>
  <c r="F515" i="2"/>
  <c r="E516" i="2"/>
  <c r="H516" i="2" s="1"/>
  <c r="F516" i="2"/>
  <c r="E517" i="2"/>
  <c r="H517" i="2" s="1"/>
  <c r="F517" i="2"/>
  <c r="E518" i="2"/>
  <c r="H518" i="2" s="1"/>
  <c r="F518" i="2"/>
  <c r="E519" i="2"/>
  <c r="H519" i="2" s="1"/>
  <c r="F519" i="2"/>
  <c r="E520" i="2"/>
  <c r="H520" i="2" s="1"/>
  <c r="F520" i="2"/>
  <c r="E521" i="2"/>
  <c r="H521" i="2" s="1"/>
  <c r="F521" i="2"/>
  <c r="E522" i="2"/>
  <c r="H522" i="2" s="1"/>
  <c r="F522" i="2"/>
  <c r="E523" i="2"/>
  <c r="H523" i="2" s="1"/>
  <c r="F523" i="2"/>
  <c r="E524" i="2"/>
  <c r="H524" i="2" s="1"/>
  <c r="F524" i="2"/>
  <c r="E525" i="2"/>
  <c r="H525" i="2" s="1"/>
  <c r="F525" i="2"/>
  <c r="E526" i="2"/>
  <c r="H526" i="2" s="1"/>
  <c r="F526" i="2"/>
  <c r="E527" i="2"/>
  <c r="H527" i="2" s="1"/>
  <c r="F527" i="2"/>
  <c r="E528" i="2"/>
  <c r="H528" i="2" s="1"/>
  <c r="F528" i="2"/>
  <c r="E529" i="2"/>
  <c r="H529" i="2" s="1"/>
  <c r="F529" i="2"/>
  <c r="E530" i="2"/>
  <c r="H530" i="2" s="1"/>
  <c r="F530" i="2"/>
  <c r="E531" i="2"/>
  <c r="H531" i="2" s="1"/>
  <c r="F531" i="2"/>
  <c r="E532" i="2"/>
  <c r="H532" i="2" s="1"/>
  <c r="F532" i="2"/>
  <c r="E533" i="2"/>
  <c r="H533" i="2" s="1"/>
  <c r="F533" i="2"/>
  <c r="E534" i="2"/>
  <c r="H534" i="2" s="1"/>
  <c r="F534" i="2"/>
  <c r="E535" i="2"/>
  <c r="H535" i="2" s="1"/>
  <c r="F535" i="2"/>
  <c r="E536" i="2"/>
  <c r="H536" i="2" s="1"/>
  <c r="F536" i="2"/>
  <c r="E537" i="2"/>
  <c r="H537" i="2" s="1"/>
  <c r="F537" i="2"/>
  <c r="E538" i="2"/>
  <c r="H538" i="2" s="1"/>
  <c r="F538" i="2"/>
  <c r="E539" i="2"/>
  <c r="H539" i="2" s="1"/>
  <c r="F539" i="2"/>
  <c r="E540" i="2"/>
  <c r="H540" i="2" s="1"/>
  <c r="F540" i="2"/>
  <c r="E541" i="2"/>
  <c r="H541" i="2" s="1"/>
  <c r="F541" i="2"/>
  <c r="E542" i="2"/>
  <c r="H542" i="2" s="1"/>
  <c r="F542" i="2"/>
  <c r="E543" i="2"/>
  <c r="H543" i="2" s="1"/>
  <c r="F543" i="2"/>
  <c r="E544" i="2"/>
  <c r="H544" i="2" s="1"/>
  <c r="F544" i="2"/>
  <c r="E545" i="2"/>
  <c r="H545" i="2" s="1"/>
  <c r="F545" i="2"/>
  <c r="E546" i="2"/>
  <c r="H546" i="2" s="1"/>
  <c r="F546" i="2"/>
  <c r="E547" i="2"/>
  <c r="H547" i="2" s="1"/>
  <c r="F547" i="2"/>
  <c r="E548" i="2"/>
  <c r="H548" i="2" s="1"/>
  <c r="F548" i="2"/>
  <c r="E549" i="2"/>
  <c r="H549" i="2" s="1"/>
  <c r="F549" i="2"/>
  <c r="E550" i="2"/>
  <c r="H550" i="2" s="1"/>
  <c r="F550" i="2"/>
  <c r="E551" i="2"/>
  <c r="H551" i="2" s="1"/>
  <c r="F551" i="2"/>
  <c r="E552" i="2"/>
  <c r="H552" i="2" s="1"/>
  <c r="F552" i="2"/>
  <c r="E553" i="2"/>
  <c r="H553" i="2" s="1"/>
  <c r="F553" i="2"/>
  <c r="E554" i="2"/>
  <c r="H554" i="2" s="1"/>
  <c r="F554" i="2"/>
  <c r="E555" i="2"/>
  <c r="H555" i="2" s="1"/>
  <c r="F555" i="2"/>
  <c r="E556" i="2"/>
  <c r="H556" i="2" s="1"/>
  <c r="F556" i="2"/>
  <c r="E557" i="2"/>
  <c r="H557" i="2" s="1"/>
  <c r="F557" i="2"/>
  <c r="E558" i="2"/>
  <c r="H558" i="2" s="1"/>
  <c r="F558" i="2"/>
  <c r="E559" i="2"/>
  <c r="H559" i="2" s="1"/>
  <c r="F559" i="2"/>
  <c r="E560" i="2"/>
  <c r="H560" i="2" s="1"/>
  <c r="F560" i="2"/>
  <c r="E561" i="2"/>
  <c r="H561" i="2" s="1"/>
  <c r="F561" i="2"/>
  <c r="E562" i="2"/>
  <c r="H562" i="2" s="1"/>
  <c r="F562" i="2"/>
  <c r="E563" i="2"/>
  <c r="H563" i="2" s="1"/>
  <c r="F563" i="2"/>
  <c r="E564" i="2"/>
  <c r="H564" i="2" s="1"/>
  <c r="F564" i="2"/>
  <c r="E565" i="2"/>
  <c r="H565" i="2" s="1"/>
  <c r="F565" i="2"/>
  <c r="E566" i="2"/>
  <c r="H566" i="2" s="1"/>
  <c r="F566" i="2"/>
  <c r="E567" i="2"/>
  <c r="H567" i="2" s="1"/>
  <c r="F567" i="2"/>
  <c r="E568" i="2"/>
  <c r="H568" i="2" s="1"/>
  <c r="F568" i="2"/>
  <c r="E569" i="2"/>
  <c r="H569" i="2" s="1"/>
  <c r="F569" i="2"/>
  <c r="E570" i="2"/>
  <c r="H570" i="2" s="1"/>
  <c r="F570" i="2"/>
  <c r="E571" i="2"/>
  <c r="H571" i="2" s="1"/>
  <c r="F571" i="2"/>
  <c r="E572" i="2"/>
  <c r="H572" i="2" s="1"/>
  <c r="F572" i="2"/>
  <c r="E573" i="2"/>
  <c r="H573" i="2" s="1"/>
  <c r="F573" i="2"/>
  <c r="E574" i="2"/>
  <c r="H574" i="2" s="1"/>
  <c r="F574" i="2"/>
  <c r="E575" i="2"/>
  <c r="H575" i="2" s="1"/>
  <c r="F575" i="2"/>
  <c r="E576" i="2"/>
  <c r="H576" i="2" s="1"/>
  <c r="F576" i="2"/>
  <c r="E577" i="2"/>
  <c r="H577" i="2" s="1"/>
  <c r="F577" i="2"/>
  <c r="E578" i="2"/>
  <c r="H578" i="2" s="1"/>
  <c r="F578" i="2"/>
  <c r="E579" i="2"/>
  <c r="H579" i="2" s="1"/>
  <c r="F579" i="2"/>
  <c r="E580" i="2"/>
  <c r="H580" i="2" s="1"/>
  <c r="F580" i="2"/>
  <c r="E581" i="2"/>
  <c r="H581" i="2" s="1"/>
  <c r="F581" i="2"/>
  <c r="E582" i="2"/>
  <c r="H582" i="2" s="1"/>
  <c r="F582" i="2"/>
  <c r="E583" i="2"/>
  <c r="H583" i="2" s="1"/>
  <c r="F583" i="2"/>
  <c r="E584" i="2"/>
  <c r="H584" i="2" s="1"/>
  <c r="F584" i="2"/>
  <c r="E585" i="2"/>
  <c r="H585" i="2" s="1"/>
  <c r="F585" i="2"/>
  <c r="E586" i="2"/>
  <c r="H586" i="2" s="1"/>
  <c r="F586" i="2"/>
  <c r="E587" i="2"/>
  <c r="H587" i="2" s="1"/>
  <c r="F587" i="2"/>
  <c r="E588" i="2"/>
  <c r="H588" i="2" s="1"/>
  <c r="F588" i="2"/>
  <c r="E589" i="2"/>
  <c r="H589" i="2" s="1"/>
  <c r="F589" i="2"/>
  <c r="E590" i="2"/>
  <c r="H590" i="2" s="1"/>
  <c r="F590" i="2"/>
  <c r="E591" i="2"/>
  <c r="H591" i="2" s="1"/>
  <c r="F591" i="2"/>
  <c r="E592" i="2"/>
  <c r="H592" i="2" s="1"/>
  <c r="F592" i="2"/>
  <c r="E593" i="2"/>
  <c r="H593" i="2" s="1"/>
  <c r="F593" i="2"/>
  <c r="E594" i="2"/>
  <c r="H594" i="2" s="1"/>
  <c r="F594" i="2"/>
  <c r="E595" i="2"/>
  <c r="H595" i="2" s="1"/>
  <c r="F595" i="2"/>
  <c r="E596" i="2"/>
  <c r="H596" i="2" s="1"/>
  <c r="F596" i="2"/>
  <c r="E597" i="2"/>
  <c r="H597" i="2" s="1"/>
  <c r="F597" i="2"/>
  <c r="E598" i="2"/>
  <c r="H598" i="2" s="1"/>
  <c r="F598" i="2"/>
  <c r="E599" i="2"/>
  <c r="H599" i="2" s="1"/>
  <c r="F599" i="2"/>
  <c r="E600" i="2"/>
  <c r="H600" i="2" s="1"/>
  <c r="F600" i="2"/>
  <c r="E601" i="2"/>
  <c r="H601" i="2" s="1"/>
  <c r="F601" i="2"/>
  <c r="E602" i="2"/>
  <c r="H602" i="2" s="1"/>
  <c r="F602" i="2"/>
  <c r="E603" i="2"/>
  <c r="H603" i="2" s="1"/>
  <c r="F603" i="2"/>
  <c r="E604" i="2"/>
  <c r="H604" i="2" s="1"/>
  <c r="F604" i="2"/>
  <c r="E605" i="2"/>
  <c r="H605" i="2" s="1"/>
  <c r="F605" i="2"/>
  <c r="E606" i="2"/>
  <c r="H606" i="2" s="1"/>
  <c r="F606" i="2"/>
  <c r="E607" i="2"/>
  <c r="H607" i="2" s="1"/>
  <c r="F607" i="2"/>
  <c r="E608" i="2"/>
  <c r="H608" i="2" s="1"/>
  <c r="F608" i="2"/>
  <c r="E609" i="2"/>
  <c r="H609" i="2" s="1"/>
  <c r="F609" i="2"/>
  <c r="E610" i="2"/>
  <c r="H610" i="2" s="1"/>
  <c r="F610" i="2"/>
  <c r="E611" i="2"/>
  <c r="H611" i="2" s="1"/>
  <c r="F611" i="2"/>
  <c r="E612" i="2"/>
  <c r="H612" i="2" s="1"/>
  <c r="F612" i="2"/>
  <c r="E613" i="2"/>
  <c r="H613" i="2" s="1"/>
  <c r="F613" i="2"/>
  <c r="E614" i="2"/>
  <c r="H614" i="2" s="1"/>
  <c r="F614" i="2"/>
  <c r="E615" i="2"/>
  <c r="H615" i="2" s="1"/>
  <c r="F615" i="2"/>
  <c r="E616" i="2"/>
  <c r="H616" i="2" s="1"/>
  <c r="F616" i="2"/>
  <c r="E617" i="2"/>
  <c r="H617" i="2" s="1"/>
  <c r="F617" i="2"/>
  <c r="E618" i="2"/>
  <c r="H618" i="2" s="1"/>
  <c r="F618" i="2"/>
  <c r="E619" i="2"/>
  <c r="H619" i="2" s="1"/>
  <c r="F619" i="2"/>
  <c r="E620" i="2"/>
  <c r="H620" i="2" s="1"/>
  <c r="F620" i="2"/>
  <c r="E621" i="2"/>
  <c r="H621" i="2" s="1"/>
  <c r="F621" i="2"/>
  <c r="E622" i="2"/>
  <c r="H622" i="2" s="1"/>
  <c r="F622" i="2"/>
  <c r="E623" i="2"/>
  <c r="H623" i="2" s="1"/>
  <c r="F623" i="2"/>
  <c r="E624" i="2"/>
  <c r="H624" i="2" s="1"/>
  <c r="F624" i="2"/>
  <c r="E625" i="2"/>
  <c r="H625" i="2" s="1"/>
  <c r="F625" i="2"/>
  <c r="E626" i="2"/>
  <c r="H626" i="2" s="1"/>
  <c r="F626" i="2"/>
  <c r="E627" i="2"/>
  <c r="H627" i="2" s="1"/>
  <c r="F627" i="2"/>
  <c r="E628" i="2"/>
  <c r="H628" i="2" s="1"/>
  <c r="F628" i="2"/>
  <c r="E629" i="2"/>
  <c r="H629" i="2" s="1"/>
  <c r="F629" i="2"/>
  <c r="E630" i="2"/>
  <c r="H630" i="2" s="1"/>
  <c r="F630" i="2"/>
  <c r="E631" i="2"/>
  <c r="H631" i="2" s="1"/>
  <c r="F631" i="2"/>
  <c r="E632" i="2"/>
  <c r="H632" i="2" s="1"/>
  <c r="F632" i="2"/>
  <c r="E633" i="2"/>
  <c r="H633" i="2" s="1"/>
  <c r="F633" i="2"/>
  <c r="E634" i="2"/>
  <c r="H634" i="2" s="1"/>
  <c r="F634" i="2"/>
  <c r="E635" i="2"/>
  <c r="H635" i="2" s="1"/>
  <c r="F635" i="2"/>
  <c r="E636" i="2"/>
  <c r="H636" i="2" s="1"/>
  <c r="F636" i="2"/>
  <c r="E637" i="2"/>
  <c r="H637" i="2" s="1"/>
  <c r="F637" i="2"/>
  <c r="E638" i="2"/>
  <c r="H638" i="2" s="1"/>
  <c r="F638" i="2"/>
  <c r="E639" i="2"/>
  <c r="H639" i="2" s="1"/>
  <c r="F639" i="2"/>
  <c r="E640" i="2"/>
  <c r="H640" i="2" s="1"/>
  <c r="F640" i="2"/>
  <c r="E641" i="2"/>
  <c r="H641" i="2" s="1"/>
  <c r="F641" i="2"/>
  <c r="E642" i="2"/>
  <c r="H642" i="2" s="1"/>
  <c r="F642" i="2"/>
  <c r="E643" i="2"/>
  <c r="H643" i="2" s="1"/>
  <c r="F643" i="2"/>
  <c r="E644" i="2"/>
  <c r="H644" i="2" s="1"/>
  <c r="F644" i="2"/>
  <c r="E645" i="2"/>
  <c r="H645" i="2" s="1"/>
  <c r="F645" i="2"/>
  <c r="E646" i="2"/>
  <c r="H646" i="2" s="1"/>
  <c r="F646" i="2"/>
  <c r="E647" i="2"/>
  <c r="H647" i="2" s="1"/>
  <c r="F647" i="2"/>
  <c r="E648" i="2"/>
  <c r="H648" i="2" s="1"/>
  <c r="F648" i="2"/>
  <c r="E649" i="2"/>
  <c r="H649" i="2" s="1"/>
  <c r="F649" i="2"/>
  <c r="E650" i="2"/>
  <c r="H650" i="2" s="1"/>
  <c r="F650" i="2"/>
  <c r="E651" i="2"/>
  <c r="H651" i="2" s="1"/>
  <c r="F651" i="2"/>
  <c r="E652" i="2"/>
  <c r="H652" i="2" s="1"/>
  <c r="F652" i="2"/>
  <c r="E653" i="2"/>
  <c r="H653" i="2" s="1"/>
  <c r="F653" i="2"/>
  <c r="E654" i="2"/>
  <c r="H654" i="2" s="1"/>
  <c r="F654" i="2"/>
  <c r="E655" i="2"/>
  <c r="H655" i="2" s="1"/>
  <c r="F655" i="2"/>
  <c r="E656" i="2"/>
  <c r="H656" i="2" s="1"/>
  <c r="F656" i="2"/>
  <c r="E657" i="2"/>
  <c r="H657" i="2" s="1"/>
  <c r="F657" i="2"/>
  <c r="E658" i="2"/>
  <c r="H658" i="2" s="1"/>
  <c r="F658" i="2"/>
  <c r="E659" i="2"/>
  <c r="H659" i="2" s="1"/>
  <c r="F659" i="2"/>
  <c r="E660" i="2"/>
  <c r="H660" i="2" s="1"/>
  <c r="F660" i="2"/>
  <c r="E661" i="2"/>
  <c r="H661" i="2" s="1"/>
  <c r="F661" i="2"/>
  <c r="E662" i="2"/>
  <c r="H662" i="2" s="1"/>
  <c r="F662" i="2"/>
  <c r="E663" i="2"/>
  <c r="H663" i="2" s="1"/>
  <c r="F663" i="2"/>
  <c r="E664" i="2"/>
  <c r="H664" i="2" s="1"/>
  <c r="F664" i="2"/>
  <c r="E665" i="2"/>
  <c r="H665" i="2" s="1"/>
  <c r="F665" i="2"/>
  <c r="E666" i="2"/>
  <c r="H666" i="2" s="1"/>
  <c r="F666" i="2"/>
  <c r="E667" i="2"/>
  <c r="H667" i="2" s="1"/>
  <c r="F667" i="2"/>
  <c r="E668" i="2"/>
  <c r="H668" i="2" s="1"/>
  <c r="F668" i="2"/>
  <c r="E669" i="2"/>
  <c r="H669" i="2" s="1"/>
  <c r="F669" i="2"/>
  <c r="E670" i="2"/>
  <c r="H670" i="2" s="1"/>
  <c r="F670" i="2"/>
  <c r="E671" i="2"/>
  <c r="H671" i="2" s="1"/>
  <c r="F671" i="2"/>
  <c r="E672" i="2"/>
  <c r="H672" i="2" s="1"/>
  <c r="F672" i="2"/>
  <c r="E673" i="2"/>
  <c r="H673" i="2" s="1"/>
  <c r="F673" i="2"/>
  <c r="E674" i="2"/>
  <c r="H674" i="2" s="1"/>
  <c r="F674" i="2"/>
  <c r="E675" i="2"/>
  <c r="H675" i="2" s="1"/>
  <c r="F675" i="2"/>
  <c r="E676" i="2"/>
  <c r="H676" i="2" s="1"/>
  <c r="F676" i="2"/>
  <c r="E677" i="2"/>
  <c r="H677" i="2" s="1"/>
  <c r="F677" i="2"/>
  <c r="E678" i="2"/>
  <c r="H678" i="2" s="1"/>
  <c r="F678" i="2"/>
  <c r="E679" i="2"/>
  <c r="H679" i="2" s="1"/>
  <c r="F679" i="2"/>
  <c r="E680" i="2"/>
  <c r="H680" i="2" s="1"/>
  <c r="F680" i="2"/>
  <c r="E681" i="2"/>
  <c r="H681" i="2" s="1"/>
  <c r="F681" i="2"/>
  <c r="E682" i="2"/>
  <c r="H682" i="2" s="1"/>
  <c r="F682" i="2"/>
  <c r="E683" i="2"/>
  <c r="H683" i="2" s="1"/>
  <c r="F683" i="2"/>
  <c r="E684" i="2"/>
  <c r="H684" i="2" s="1"/>
  <c r="F684" i="2"/>
  <c r="E685" i="2"/>
  <c r="H685" i="2" s="1"/>
  <c r="F685" i="2"/>
  <c r="E686" i="2"/>
  <c r="H686" i="2" s="1"/>
  <c r="F686" i="2"/>
  <c r="E687" i="2"/>
  <c r="H687" i="2" s="1"/>
  <c r="F687" i="2"/>
  <c r="E688" i="2"/>
  <c r="H688" i="2" s="1"/>
  <c r="F688" i="2"/>
  <c r="E689" i="2"/>
  <c r="H689" i="2" s="1"/>
  <c r="F689" i="2"/>
  <c r="E690" i="2"/>
  <c r="H690" i="2" s="1"/>
  <c r="F690" i="2"/>
  <c r="E691" i="2"/>
  <c r="H691" i="2" s="1"/>
  <c r="F691" i="2"/>
  <c r="E692" i="2"/>
  <c r="H692" i="2" s="1"/>
  <c r="F692" i="2"/>
  <c r="E693" i="2"/>
  <c r="H693" i="2" s="1"/>
  <c r="F693" i="2"/>
  <c r="E694" i="2"/>
  <c r="H694" i="2" s="1"/>
  <c r="F694" i="2"/>
  <c r="E695" i="2"/>
  <c r="H695" i="2" s="1"/>
  <c r="F695" i="2"/>
  <c r="E696" i="2"/>
  <c r="H696" i="2" s="1"/>
  <c r="F696" i="2"/>
  <c r="E697" i="2"/>
  <c r="H697" i="2" s="1"/>
  <c r="F697" i="2"/>
  <c r="E698" i="2"/>
  <c r="H698" i="2" s="1"/>
  <c r="F698" i="2"/>
  <c r="E699" i="2"/>
  <c r="H699" i="2" s="1"/>
  <c r="F699" i="2"/>
  <c r="E700" i="2"/>
  <c r="H700" i="2" s="1"/>
  <c r="F700" i="2"/>
  <c r="E701" i="2"/>
  <c r="H701" i="2" s="1"/>
  <c r="F701" i="2"/>
  <c r="E702" i="2"/>
  <c r="H702" i="2" s="1"/>
  <c r="F702" i="2"/>
  <c r="E703" i="2"/>
  <c r="H703" i="2" s="1"/>
  <c r="F703" i="2"/>
  <c r="E704" i="2"/>
  <c r="H704" i="2" s="1"/>
  <c r="F704" i="2"/>
  <c r="E705" i="2"/>
  <c r="H705" i="2" s="1"/>
  <c r="F705" i="2"/>
  <c r="E706" i="2"/>
  <c r="H706" i="2" s="1"/>
  <c r="F706" i="2"/>
  <c r="E707" i="2"/>
  <c r="H707" i="2" s="1"/>
  <c r="F707" i="2"/>
  <c r="E708" i="2"/>
  <c r="H708" i="2" s="1"/>
  <c r="F708" i="2"/>
  <c r="E709" i="2"/>
  <c r="H709" i="2" s="1"/>
  <c r="F709" i="2"/>
  <c r="E710" i="2"/>
  <c r="H710" i="2" s="1"/>
  <c r="F710" i="2"/>
  <c r="E711" i="2"/>
  <c r="H711" i="2" s="1"/>
  <c r="F711" i="2"/>
  <c r="E712" i="2"/>
  <c r="H712" i="2" s="1"/>
  <c r="F712" i="2"/>
  <c r="E713" i="2"/>
  <c r="H713" i="2" s="1"/>
  <c r="F713" i="2"/>
  <c r="E714" i="2"/>
  <c r="H714" i="2" s="1"/>
  <c r="F714" i="2"/>
  <c r="E715" i="2"/>
  <c r="H715" i="2" s="1"/>
  <c r="F715" i="2"/>
  <c r="E716" i="2"/>
  <c r="H716" i="2" s="1"/>
  <c r="F716" i="2"/>
  <c r="E717" i="2"/>
  <c r="H717" i="2" s="1"/>
  <c r="F717" i="2"/>
  <c r="E718" i="2"/>
  <c r="H718" i="2" s="1"/>
  <c r="F718" i="2"/>
  <c r="E719" i="2"/>
  <c r="H719" i="2" s="1"/>
  <c r="F719" i="2"/>
  <c r="E720" i="2"/>
  <c r="H720" i="2" s="1"/>
  <c r="F720" i="2"/>
  <c r="E721" i="2"/>
  <c r="H721" i="2" s="1"/>
  <c r="F721" i="2"/>
  <c r="E722" i="2"/>
  <c r="H722" i="2" s="1"/>
  <c r="F722" i="2"/>
  <c r="E723" i="2"/>
  <c r="H723" i="2" s="1"/>
  <c r="F723" i="2"/>
  <c r="E724" i="2"/>
  <c r="H724" i="2" s="1"/>
  <c r="F724" i="2"/>
  <c r="E725" i="2"/>
  <c r="H725" i="2" s="1"/>
  <c r="F725" i="2"/>
  <c r="E726" i="2"/>
  <c r="H726" i="2" s="1"/>
  <c r="F726" i="2"/>
  <c r="E727" i="2"/>
  <c r="H727" i="2" s="1"/>
  <c r="F727" i="2"/>
  <c r="E728" i="2"/>
  <c r="H728" i="2" s="1"/>
  <c r="F728" i="2"/>
  <c r="E729" i="2"/>
  <c r="H729" i="2" s="1"/>
  <c r="F729" i="2"/>
  <c r="E730" i="2"/>
  <c r="H730" i="2" s="1"/>
  <c r="F730" i="2"/>
  <c r="E731" i="2"/>
  <c r="H731" i="2" s="1"/>
  <c r="F731" i="2"/>
  <c r="E732" i="2"/>
  <c r="H732" i="2" s="1"/>
  <c r="F732" i="2"/>
  <c r="E733" i="2"/>
  <c r="H733" i="2" s="1"/>
  <c r="F733" i="2"/>
  <c r="E734" i="2"/>
  <c r="H734" i="2" s="1"/>
  <c r="F734" i="2"/>
  <c r="E735" i="2"/>
  <c r="H735" i="2" s="1"/>
  <c r="F735" i="2"/>
  <c r="E736" i="2"/>
  <c r="H736" i="2" s="1"/>
  <c r="F736" i="2"/>
  <c r="E737" i="2"/>
  <c r="H737" i="2" s="1"/>
  <c r="F737" i="2"/>
  <c r="E738" i="2"/>
  <c r="H738" i="2" s="1"/>
  <c r="F738" i="2"/>
  <c r="E739" i="2"/>
  <c r="H739" i="2" s="1"/>
  <c r="F739" i="2"/>
  <c r="E740" i="2"/>
  <c r="H740" i="2" s="1"/>
  <c r="F740" i="2"/>
  <c r="E741" i="2"/>
  <c r="H741" i="2" s="1"/>
  <c r="F741" i="2"/>
  <c r="E742" i="2"/>
  <c r="H742" i="2" s="1"/>
  <c r="F742" i="2"/>
  <c r="E743" i="2"/>
  <c r="H743" i="2" s="1"/>
  <c r="F743" i="2"/>
  <c r="E744" i="2"/>
  <c r="H744" i="2" s="1"/>
  <c r="F744" i="2"/>
  <c r="E745" i="2"/>
  <c r="H745" i="2" s="1"/>
  <c r="F745" i="2"/>
  <c r="E746" i="2"/>
  <c r="H746" i="2" s="1"/>
  <c r="F746" i="2"/>
  <c r="E747" i="2"/>
  <c r="H747" i="2" s="1"/>
  <c r="F747" i="2"/>
  <c r="E748" i="2"/>
  <c r="H748" i="2" s="1"/>
  <c r="F748" i="2"/>
  <c r="E749" i="2"/>
  <c r="H749" i="2" s="1"/>
  <c r="F749" i="2"/>
  <c r="E750" i="2"/>
  <c r="H750" i="2" s="1"/>
  <c r="F750" i="2"/>
  <c r="E751" i="2"/>
  <c r="H751" i="2" s="1"/>
  <c r="F751" i="2"/>
  <c r="E752" i="2"/>
  <c r="H752" i="2" s="1"/>
  <c r="F752" i="2"/>
  <c r="E753" i="2"/>
  <c r="H753" i="2" s="1"/>
  <c r="F753" i="2"/>
  <c r="E754" i="2"/>
  <c r="H754" i="2" s="1"/>
  <c r="F754" i="2"/>
  <c r="E755" i="2"/>
  <c r="H755" i="2" s="1"/>
  <c r="F755" i="2"/>
  <c r="E756" i="2"/>
  <c r="H756" i="2" s="1"/>
  <c r="F756" i="2"/>
  <c r="E757" i="2"/>
  <c r="H757" i="2" s="1"/>
  <c r="F757" i="2"/>
  <c r="E758" i="2"/>
  <c r="H758" i="2" s="1"/>
  <c r="F758" i="2"/>
  <c r="E759" i="2"/>
  <c r="H759" i="2" s="1"/>
  <c r="F759" i="2"/>
  <c r="E760" i="2"/>
  <c r="H760" i="2" s="1"/>
  <c r="F760" i="2"/>
  <c r="E761" i="2"/>
  <c r="H761" i="2" s="1"/>
  <c r="F761" i="2"/>
  <c r="E762" i="2"/>
  <c r="H762" i="2" s="1"/>
  <c r="F762" i="2"/>
  <c r="E763" i="2"/>
  <c r="H763" i="2" s="1"/>
  <c r="F763" i="2"/>
  <c r="E764" i="2"/>
  <c r="H764" i="2" s="1"/>
  <c r="F764" i="2"/>
  <c r="E765" i="2"/>
  <c r="H765" i="2" s="1"/>
  <c r="F765" i="2"/>
  <c r="E766" i="2"/>
  <c r="H766" i="2" s="1"/>
  <c r="F766" i="2"/>
  <c r="E767" i="2"/>
  <c r="H767" i="2" s="1"/>
  <c r="F767" i="2"/>
  <c r="E768" i="2"/>
  <c r="H768" i="2" s="1"/>
  <c r="F768" i="2"/>
  <c r="E769" i="2"/>
  <c r="H769" i="2" s="1"/>
  <c r="F769" i="2"/>
  <c r="E770" i="2"/>
  <c r="H770" i="2" s="1"/>
  <c r="F770" i="2"/>
  <c r="E771" i="2"/>
  <c r="H771" i="2" s="1"/>
  <c r="F771" i="2"/>
  <c r="E772" i="2"/>
  <c r="H772" i="2" s="1"/>
  <c r="F772" i="2"/>
  <c r="E773" i="2"/>
  <c r="H773" i="2" s="1"/>
  <c r="F773" i="2"/>
  <c r="E774" i="2"/>
  <c r="H774" i="2" s="1"/>
  <c r="F774" i="2"/>
  <c r="E775" i="2"/>
  <c r="H775" i="2" s="1"/>
  <c r="F775" i="2"/>
  <c r="E776" i="2"/>
  <c r="H776" i="2" s="1"/>
  <c r="F776" i="2"/>
  <c r="E777" i="2"/>
  <c r="H777" i="2" s="1"/>
  <c r="F777" i="2"/>
  <c r="E778" i="2"/>
  <c r="H778" i="2" s="1"/>
  <c r="F778" i="2"/>
  <c r="E779" i="2"/>
  <c r="H779" i="2" s="1"/>
  <c r="F779" i="2"/>
  <c r="E780" i="2"/>
  <c r="H780" i="2" s="1"/>
  <c r="F780" i="2"/>
  <c r="E781" i="2"/>
  <c r="H781" i="2" s="1"/>
  <c r="F781" i="2"/>
  <c r="E782" i="2"/>
  <c r="H782" i="2" s="1"/>
  <c r="F782" i="2"/>
  <c r="E783" i="2"/>
  <c r="H783" i="2" s="1"/>
  <c r="F783" i="2"/>
  <c r="E784" i="2"/>
  <c r="H784" i="2" s="1"/>
  <c r="F784" i="2"/>
  <c r="E785" i="2"/>
  <c r="H785" i="2" s="1"/>
  <c r="F785" i="2"/>
  <c r="E786" i="2"/>
  <c r="H786" i="2" s="1"/>
  <c r="F786" i="2"/>
  <c r="E787" i="2"/>
  <c r="H787" i="2" s="1"/>
  <c r="F787" i="2"/>
  <c r="E788" i="2"/>
  <c r="H788" i="2" s="1"/>
  <c r="F788" i="2"/>
  <c r="E789" i="2"/>
  <c r="H789" i="2" s="1"/>
  <c r="F789" i="2"/>
  <c r="E790" i="2"/>
  <c r="H790" i="2" s="1"/>
  <c r="F790" i="2"/>
  <c r="E791" i="2"/>
  <c r="H791" i="2" s="1"/>
  <c r="F791" i="2"/>
  <c r="E792" i="2"/>
  <c r="H792" i="2" s="1"/>
  <c r="F792" i="2"/>
  <c r="E793" i="2"/>
  <c r="H793" i="2" s="1"/>
  <c r="F793" i="2"/>
  <c r="E794" i="2"/>
  <c r="H794" i="2" s="1"/>
  <c r="F794" i="2"/>
  <c r="E795" i="2"/>
  <c r="H795" i="2" s="1"/>
  <c r="F795" i="2"/>
  <c r="E796" i="2"/>
  <c r="H796" i="2" s="1"/>
  <c r="F796" i="2"/>
  <c r="E797" i="2"/>
  <c r="H797" i="2" s="1"/>
  <c r="F797" i="2"/>
  <c r="E798" i="2"/>
  <c r="H798" i="2" s="1"/>
  <c r="F798" i="2"/>
  <c r="E799" i="2"/>
  <c r="H799" i="2" s="1"/>
  <c r="F799" i="2"/>
  <c r="E800" i="2"/>
  <c r="H800" i="2" s="1"/>
  <c r="F800" i="2"/>
  <c r="E801" i="2"/>
  <c r="H801" i="2" s="1"/>
  <c r="F801" i="2"/>
  <c r="E802" i="2"/>
  <c r="H802" i="2" s="1"/>
  <c r="F802" i="2"/>
  <c r="E803" i="2"/>
  <c r="H803" i="2" s="1"/>
  <c r="F803" i="2"/>
  <c r="E804" i="2"/>
  <c r="H804" i="2" s="1"/>
  <c r="F804" i="2"/>
  <c r="E805" i="2"/>
  <c r="H805" i="2" s="1"/>
  <c r="F805" i="2"/>
  <c r="E806" i="2"/>
  <c r="H806" i="2" s="1"/>
  <c r="F806" i="2"/>
  <c r="E807" i="2"/>
  <c r="H807" i="2" s="1"/>
  <c r="F807" i="2"/>
  <c r="E808" i="2"/>
  <c r="H808" i="2" s="1"/>
  <c r="F808" i="2"/>
  <c r="E809" i="2"/>
  <c r="H809" i="2" s="1"/>
  <c r="F809" i="2"/>
  <c r="E810" i="2"/>
  <c r="H810" i="2" s="1"/>
  <c r="F810" i="2"/>
  <c r="E811" i="2"/>
  <c r="H811" i="2" s="1"/>
  <c r="F811" i="2"/>
  <c r="E812" i="2"/>
  <c r="H812" i="2" s="1"/>
  <c r="F812" i="2"/>
  <c r="E813" i="2"/>
  <c r="H813" i="2" s="1"/>
  <c r="F813" i="2"/>
  <c r="E814" i="2"/>
  <c r="H814" i="2" s="1"/>
  <c r="F814" i="2"/>
  <c r="E815" i="2"/>
  <c r="H815" i="2" s="1"/>
  <c r="F815" i="2"/>
  <c r="E816" i="2"/>
  <c r="H816" i="2" s="1"/>
  <c r="F816" i="2"/>
  <c r="E817" i="2"/>
  <c r="H817" i="2" s="1"/>
  <c r="F817" i="2"/>
  <c r="E818" i="2"/>
  <c r="H818" i="2" s="1"/>
  <c r="F818" i="2"/>
  <c r="E819" i="2"/>
  <c r="H819" i="2" s="1"/>
  <c r="F819" i="2"/>
  <c r="E820" i="2"/>
  <c r="H820" i="2" s="1"/>
  <c r="F820" i="2"/>
  <c r="E821" i="2"/>
  <c r="H821" i="2" s="1"/>
  <c r="F821" i="2"/>
  <c r="E822" i="2"/>
  <c r="H822" i="2" s="1"/>
  <c r="F822" i="2"/>
  <c r="E823" i="2"/>
  <c r="H823" i="2" s="1"/>
  <c r="F823" i="2"/>
  <c r="E824" i="2"/>
  <c r="H824" i="2" s="1"/>
  <c r="F824" i="2"/>
  <c r="E825" i="2"/>
  <c r="H825" i="2" s="1"/>
  <c r="F825" i="2"/>
  <c r="E826" i="2"/>
  <c r="H826" i="2" s="1"/>
  <c r="F826" i="2"/>
  <c r="E827" i="2"/>
  <c r="H827" i="2" s="1"/>
  <c r="F827" i="2"/>
  <c r="E828" i="2"/>
  <c r="H828" i="2" s="1"/>
  <c r="F828" i="2"/>
  <c r="E829" i="2"/>
  <c r="H829" i="2" s="1"/>
  <c r="F829" i="2"/>
  <c r="E830" i="2"/>
  <c r="H830" i="2" s="1"/>
  <c r="F830" i="2"/>
  <c r="E831" i="2"/>
  <c r="H831" i="2" s="1"/>
  <c r="F831" i="2"/>
  <c r="E832" i="2"/>
  <c r="H832" i="2" s="1"/>
  <c r="F832" i="2"/>
  <c r="E833" i="2"/>
  <c r="H833" i="2" s="1"/>
  <c r="F833" i="2"/>
  <c r="F2" i="2"/>
  <c r="E2" i="2"/>
  <c r="H2" i="2" s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1" i="1"/>
  <c r="D2" i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9" i="1"/>
  <c r="D20" i="1"/>
  <c r="D21" i="1"/>
  <c r="D23" i="1"/>
  <c r="D24" i="1"/>
  <c r="D26" i="1"/>
  <c r="D27" i="1"/>
  <c r="D28" i="1"/>
  <c r="D29" i="1"/>
  <c r="D30" i="1"/>
  <c r="D31" i="1"/>
  <c r="D32" i="1"/>
  <c r="D1" i="1"/>
  <c r="C2" i="1"/>
  <c r="C3" i="1"/>
  <c r="C4" i="1"/>
  <c r="C6" i="1"/>
  <c r="C8" i="1"/>
  <c r="C9" i="1"/>
  <c r="C10" i="1"/>
  <c r="C11" i="1"/>
  <c r="C12" i="1"/>
  <c r="C13" i="1"/>
  <c r="C14" i="1"/>
  <c r="C16" i="1"/>
  <c r="C17" i="1"/>
  <c r="C20" i="1"/>
  <c r="C21" i="1"/>
  <c r="C22" i="1"/>
  <c r="C24" i="1"/>
  <c r="C29" i="1"/>
  <c r="C31" i="1"/>
  <c r="C32" i="1"/>
  <c r="C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1" i="1"/>
  <c r="O483" i="7" a="1"/>
  <c r="O495" i="7" a="1"/>
  <c r="L503" i="7" a="1"/>
  <c r="K515" i="7" a="1"/>
  <c r="O527" i="7" a="1"/>
  <c r="L535" i="7" a="1"/>
  <c r="K547" i="7" a="1"/>
  <c r="M555" i="7" a="1"/>
  <c r="K563" i="7" a="1"/>
  <c r="N567" i="7" a="1"/>
  <c r="K575" i="7" a="1"/>
  <c r="N579" i="7" a="1"/>
  <c r="M579" i="7" a="1"/>
  <c r="L583" i="7" a="1"/>
  <c r="L587" i="7" a="1"/>
  <c r="O591" i="7" a="1"/>
  <c r="O595" i="7" a="1"/>
  <c r="M595" i="7" a="1"/>
  <c r="L599" i="7" a="1"/>
  <c r="N603" i="7" a="1"/>
  <c r="M607" i="7" a="1"/>
  <c r="O611" i="7" a="1"/>
  <c r="M611" i="7" a="1"/>
  <c r="L615" i="7" a="1"/>
  <c r="N619" i="7" a="1"/>
  <c r="M623" i="7" a="1"/>
  <c r="O627" i="7" a="1"/>
  <c r="M627" i="7" a="1"/>
  <c r="L631" i="7" a="1"/>
  <c r="N635" i="7" a="1"/>
  <c r="M639" i="7" a="1"/>
  <c r="M643" i="7" a="1"/>
  <c r="N643" i="7" a="1"/>
  <c r="M647" i="7" a="1"/>
  <c r="O651" i="7" a="1"/>
  <c r="N655" i="7" a="1"/>
  <c r="L659" i="7" a="1"/>
  <c r="K659" i="7" a="1"/>
  <c r="M663" i="7" a="1"/>
  <c r="N667" i="7" a="1"/>
  <c r="M671" i="7" a="1"/>
  <c r="O675" i="7" a="1"/>
  <c r="M675" i="7" a="1"/>
  <c r="L679" i="7" a="1"/>
  <c r="N683" i="7" a="1"/>
  <c r="M687" i="7" a="1"/>
  <c r="O691" i="7" a="1"/>
  <c r="M691" i="7" a="1"/>
  <c r="L695" i="7" a="1"/>
  <c r="N699" i="7" a="1"/>
  <c r="M703" i="7" a="1"/>
  <c r="O707" i="7" a="1"/>
  <c r="M707" i="7" a="1"/>
  <c r="L711" i="7" a="1"/>
  <c r="N715" i="7" a="1"/>
  <c r="M719" i="7" a="1"/>
  <c r="O723" i="7" a="1"/>
  <c r="M723" i="7" a="1"/>
  <c r="O727" i="7" a="1"/>
  <c r="L731" i="7" a="1"/>
  <c r="K735" i="7" a="1"/>
  <c r="M739" i="7" a="1"/>
  <c r="N739" i="7" a="1"/>
  <c r="K743" i="7" a="1"/>
  <c r="K747" i="7" a="1"/>
  <c r="O751" i="7" a="1"/>
  <c r="M755" i="7" a="1"/>
  <c r="L755" i="7" a="1"/>
  <c r="O759" i="7" a="1"/>
  <c r="L763" i="7" a="1"/>
  <c r="K767" i="7" a="1"/>
  <c r="M771" i="7" a="1"/>
  <c r="K771" i="7" a="1"/>
  <c r="O775" i="7" a="1"/>
  <c r="L779" i="7" a="1"/>
  <c r="K783" i="7" a="1"/>
  <c r="M787" i="7" a="1"/>
  <c r="K787" i="7" a="1"/>
  <c r="O791" i="7" a="1"/>
  <c r="L795" i="7" a="1"/>
  <c r="K799" i="7" a="1"/>
  <c r="M803" i="7" a="1"/>
  <c r="K803" i="7" a="1"/>
  <c r="O807" i="7" a="1"/>
  <c r="L811" i="7" a="1"/>
  <c r="K815" i="7" a="1"/>
  <c r="M819" i="7" a="1"/>
  <c r="K819" i="7" a="1"/>
  <c r="O823" i="7" a="1"/>
  <c r="K827" i="7" a="1"/>
  <c r="M831" i="7" a="1"/>
  <c r="K468" i="7" a="1"/>
  <c r="K488" i="7" a="1"/>
  <c r="N500" i="7" a="1"/>
  <c r="K508" i="7" a="1"/>
  <c r="O520" i="7" a="1"/>
  <c r="N532" i="7" a="1"/>
  <c r="K540" i="7" a="1"/>
  <c r="O552" i="7" a="1"/>
  <c r="M556" i="7" a="1"/>
  <c r="K564" i="7" a="1"/>
  <c r="N572" i="7" a="1"/>
  <c r="K576" i="7" a="1"/>
  <c r="L580" i="7" a="1"/>
  <c r="M580" i="7" a="1"/>
  <c r="O584" i="7" a="1"/>
  <c r="N588" i="7" a="1"/>
  <c r="M592" i="7" a="1"/>
  <c r="O596" i="7" a="1"/>
  <c r="M596" i="7" a="1"/>
  <c r="O600" i="7" a="1"/>
  <c r="N604" i="7" a="1"/>
  <c r="K608" i="7" a="1"/>
  <c r="O612" i="7" a="1"/>
  <c r="M612" i="7" a="1"/>
  <c r="O616" i="7" a="1"/>
  <c r="N620" i="7" a="1"/>
  <c r="K624" i="7" a="1"/>
  <c r="O628" i="7" a="1"/>
  <c r="M628" i="7" a="1"/>
  <c r="O632" i="7" a="1"/>
  <c r="N636" i="7" a="1"/>
  <c r="K640" i="7" a="1"/>
  <c r="M644" i="7" a="1"/>
  <c r="L644" i="7" a="1"/>
  <c r="N648" i="7" a="1"/>
  <c r="M652" i="7" a="1"/>
  <c r="K467" i="7" a="1"/>
  <c r="K483" i="7" a="1"/>
  <c r="L495" i="7" a="1"/>
  <c r="K507" i="7" a="1"/>
  <c r="O519" i="7" a="1"/>
  <c r="L527" i="7" a="1"/>
  <c r="K539" i="7" a="1"/>
  <c r="O551" i="7" a="1"/>
  <c r="O559" i="7" a="1"/>
  <c r="M563" i="7" a="1"/>
  <c r="K571" i="7" a="1"/>
  <c r="O575" i="7" a="1"/>
  <c r="L579" i="7" a="1"/>
  <c r="M583" i="7" a="1"/>
  <c r="N583" i="7" a="1"/>
  <c r="K587" i="7" a="1"/>
  <c r="K591" i="7" a="1"/>
  <c r="L595" i="7" a="1"/>
  <c r="K599" i="7" a="1"/>
  <c r="N599" i="7" a="1"/>
  <c r="K603" i="7" a="1"/>
  <c r="O607" i="7" a="1"/>
  <c r="L611" i="7" a="1"/>
  <c r="K615" i="7" a="1"/>
  <c r="N615" i="7" a="1"/>
  <c r="K619" i="7" a="1"/>
  <c r="O623" i="7" a="1"/>
  <c r="L627" i="7" a="1"/>
  <c r="K631" i="7" a="1"/>
  <c r="N631" i="7" a="1"/>
  <c r="K635" i="7" a="1"/>
  <c r="O639" i="7" a="1"/>
  <c r="K643" i="7" a="1"/>
  <c r="L647" i="7" a="1"/>
  <c r="K647" i="7" a="1"/>
  <c r="M651" i="7" a="1"/>
  <c r="O655" i="7" a="1"/>
  <c r="N659" i="7" a="1"/>
  <c r="L663" i="7" a="1"/>
  <c r="K663" i="7" a="1"/>
  <c r="K667" i="7" a="1"/>
  <c r="O671" i="7" a="1"/>
  <c r="L675" i="7" a="1"/>
  <c r="K679" i="7" a="1"/>
  <c r="N679" i="7" a="1"/>
  <c r="K683" i="7" a="1"/>
  <c r="O687" i="7" a="1"/>
  <c r="L691" i="7" a="1"/>
  <c r="K695" i="7" a="1"/>
  <c r="N695" i="7" a="1"/>
  <c r="K699" i="7" a="1"/>
  <c r="O703" i="7" a="1"/>
  <c r="L707" i="7" a="1"/>
  <c r="K711" i="7" a="1"/>
  <c r="N711" i="7" a="1"/>
  <c r="K715" i="7" a="1"/>
  <c r="O719" i="7" a="1"/>
  <c r="L723" i="7" a="1"/>
  <c r="N727" i="7" a="1"/>
  <c r="L727" i="7" a="1"/>
  <c r="N731" i="7" a="1"/>
  <c r="M735" i="7" a="1"/>
  <c r="K739" i="7" a="1"/>
  <c r="N743" i="7" a="1"/>
  <c r="M743" i="7" a="1"/>
  <c r="N747" i="7" a="1"/>
  <c r="K751" i="7" a="1"/>
  <c r="O755" i="7" a="1"/>
  <c r="N759" i="7" a="1"/>
  <c r="L759" i="7" a="1"/>
  <c r="N763" i="7" a="1"/>
  <c r="M767" i="7" a="1"/>
  <c r="O771" i="7" a="1"/>
  <c r="N775" i="7" a="1"/>
  <c r="L775" i="7" a="1"/>
  <c r="N779" i="7" a="1"/>
  <c r="M783" i="7" a="1"/>
  <c r="O787" i="7" a="1"/>
  <c r="N791" i="7" a="1"/>
  <c r="L791" i="7" a="1"/>
  <c r="N795" i="7" a="1"/>
  <c r="M799" i="7" a="1"/>
  <c r="O803" i="7" a="1"/>
  <c r="N807" i="7" a="1"/>
  <c r="L807" i="7" a="1"/>
  <c r="N811" i="7" a="1"/>
  <c r="M815" i="7" a="1"/>
  <c r="O819" i="7" a="1"/>
  <c r="N823" i="7" a="1"/>
  <c r="L823" i="7" a="1"/>
  <c r="N827" i="7" a="1"/>
  <c r="K831" i="7" a="1"/>
  <c r="N476" i="7" a="1"/>
  <c r="N492" i="7" a="1"/>
  <c r="K500" i="7" a="1"/>
  <c r="O512" i="7" a="1"/>
  <c r="N524" i="7" a="1"/>
  <c r="K532" i="7" a="1"/>
  <c r="O544" i="7" a="1"/>
  <c r="L552" i="7" a="1"/>
  <c r="O560" i="7" a="1"/>
  <c r="M564" i="7" a="1"/>
  <c r="K572" i="7" a="1"/>
  <c r="N576" i="7" a="1"/>
  <c r="O580" i="7" a="1"/>
  <c r="N584" i="7" a="1"/>
  <c r="L584" i="7" a="1"/>
  <c r="K588" i="7" a="1"/>
  <c r="O592" i="7" a="1"/>
  <c r="L596" i="7" a="1"/>
  <c r="N600" i="7" a="1"/>
  <c r="L600" i="7" a="1"/>
  <c r="K604" i="7" a="1"/>
  <c r="M608" i="7" a="1"/>
  <c r="L612" i="7" a="1"/>
  <c r="N616" i="7" a="1"/>
  <c r="L616" i="7" a="1"/>
  <c r="K620" i="7" a="1"/>
  <c r="M624" i="7" a="1"/>
  <c r="L628" i="7" a="1"/>
  <c r="N632" i="7" a="1"/>
  <c r="L632" i="7" a="1"/>
  <c r="K636" i="7" a="1"/>
  <c r="M640" i="7" a="1"/>
  <c r="K644" i="7" a="1"/>
  <c r="O648" i="7" a="1"/>
  <c r="L648" i="7" a="1"/>
  <c r="L471" i="7" a="1"/>
  <c r="L487" i="7" a="1"/>
  <c r="K499" i="7" a="1"/>
  <c r="O511" i="7" a="1"/>
  <c r="L519" i="7" a="1"/>
  <c r="K531" i="7" a="1"/>
  <c r="O543" i="7" a="1"/>
  <c r="L551" i="7" a="1"/>
  <c r="L559" i="7" a="1"/>
  <c r="O567" i="7" a="1"/>
  <c r="M571" i="7" a="1"/>
  <c r="L575" i="7" a="1"/>
  <c r="O579" i="7" a="1"/>
  <c r="K583" i="7" a="1"/>
  <c r="O587" i="7" a="1"/>
  <c r="M587" i="7" a="1"/>
  <c r="M591" i="7" a="1"/>
  <c r="N595" i="7" a="1"/>
  <c r="M599" i="7" a="1"/>
  <c r="O603" i="7" a="1"/>
  <c r="M603" i="7" a="1"/>
  <c r="L607" i="7" a="1"/>
  <c r="N611" i="7" a="1"/>
  <c r="M615" i="7" a="1"/>
  <c r="O619" i="7" a="1"/>
  <c r="M619" i="7" a="1"/>
  <c r="L623" i="7" a="1"/>
  <c r="N627" i="7" a="1"/>
  <c r="M631" i="7" a="1"/>
  <c r="O635" i="7" a="1"/>
  <c r="M635" i="7" a="1"/>
  <c r="L639" i="7" a="1"/>
  <c r="O643" i="7" a="1"/>
  <c r="N647" i="7" a="1"/>
  <c r="L651" i="7" a="1"/>
  <c r="K651" i="7" a="1"/>
  <c r="M655" i="7" a="1"/>
  <c r="O659" i="7" a="1"/>
  <c r="N663" i="7" a="1"/>
  <c r="O667" i="7" a="1"/>
  <c r="M667" i="7" a="1"/>
  <c r="L671" i="7" a="1"/>
  <c r="N675" i="7" a="1"/>
  <c r="M679" i="7" a="1"/>
  <c r="O683" i="7" a="1"/>
  <c r="M683" i="7" a="1"/>
  <c r="L687" i="7" a="1"/>
  <c r="N691" i="7" a="1"/>
  <c r="M695" i="7" a="1"/>
  <c r="O699" i="7" a="1"/>
  <c r="M699" i="7" a="1"/>
  <c r="L703" i="7" a="1"/>
  <c r="N707" i="7" a="1"/>
  <c r="M711" i="7" a="1"/>
  <c r="O715" i="7" a="1"/>
  <c r="M715" i="7" a="1"/>
  <c r="L719" i="7" a="1"/>
  <c r="N723" i="7" a="1"/>
  <c r="K727" i="7" a="1"/>
  <c r="M731" i="7" a="1"/>
  <c r="K731" i="7" a="1"/>
  <c r="O735" i="7" a="1"/>
  <c r="O739" i="7" a="1"/>
  <c r="L743" i="7" a="1"/>
  <c r="M747" i="7" a="1"/>
  <c r="L747" i="7" a="1"/>
  <c r="N751" i="7" a="1"/>
  <c r="K755" i="7" a="1"/>
  <c r="K759" i="7" a="1"/>
  <c r="M763" i="7" a="1"/>
  <c r="K763" i="7" a="1"/>
  <c r="O767" i="7" a="1"/>
  <c r="L771" i="7" a="1"/>
  <c r="K775" i="7" a="1"/>
  <c r="M779" i="7" a="1"/>
  <c r="K779" i="7" a="1"/>
  <c r="O783" i="7" a="1"/>
  <c r="L787" i="7" a="1"/>
  <c r="K791" i="7" a="1"/>
  <c r="M795" i="7" a="1"/>
  <c r="K795" i="7" a="1"/>
  <c r="O799" i="7" a="1"/>
  <c r="L803" i="7" a="1"/>
  <c r="K807" i="7" a="1"/>
  <c r="M811" i="7" a="1"/>
  <c r="K811" i="7" a="1"/>
  <c r="O815" i="7" a="1"/>
  <c r="L819" i="7" a="1"/>
  <c r="K823" i="7" a="1"/>
  <c r="O827" i="7" a="1"/>
  <c r="L827" i="7" a="1"/>
  <c r="N831" i="7" a="1"/>
  <c r="O480" i="7" a="1"/>
  <c r="K492" i="7" a="1"/>
  <c r="O504" i="7" a="1"/>
  <c r="N516" i="7" a="1"/>
  <c r="K524" i="7" a="1"/>
  <c r="O536" i="7" a="1"/>
  <c r="N548" i="7" a="1"/>
  <c r="N556" i="7" a="1"/>
  <c r="L560" i="7" a="1"/>
  <c r="O568" i="7" a="1"/>
  <c r="M572" i="7" a="1"/>
  <c r="O576" i="7" a="1"/>
  <c r="N580" i="7" a="1"/>
  <c r="M584" i="7" a="1"/>
  <c r="L588" i="7" a="1"/>
  <c r="M588" i="7" a="1"/>
  <c r="K592" i="7" a="1"/>
  <c r="N596" i="7" a="1"/>
  <c r="K600" i="7" a="1"/>
  <c r="O604" i="7" a="1"/>
  <c r="M604" i="7" a="1"/>
  <c r="O608" i="7" a="1"/>
  <c r="N612" i="7" a="1"/>
  <c r="K616" i="7" a="1"/>
  <c r="O620" i="7" a="1"/>
  <c r="M620" i="7" a="1"/>
  <c r="O624" i="7" a="1"/>
  <c r="N628" i="7" a="1"/>
  <c r="K632" i="7" a="1"/>
  <c r="O636" i="7" a="1"/>
  <c r="M636" i="7" a="1"/>
  <c r="O640" i="7" a="1"/>
  <c r="N644" i="7" a="1"/>
  <c r="K648" i="7" a="1"/>
  <c r="O652" i="7" a="1"/>
  <c r="O479" i="7" a="1"/>
  <c r="K491" i="7" a="1"/>
  <c r="O503" i="7" a="1"/>
  <c r="L511" i="7" a="1"/>
  <c r="K523" i="7" a="1"/>
  <c r="O535" i="7" a="1"/>
  <c r="L543" i="7" a="1"/>
  <c r="K555" i="7" a="1"/>
  <c r="N559" i="7" a="1"/>
  <c r="L567" i="7" a="1"/>
  <c r="M575" i="7" a="1"/>
  <c r="N575" i="7" a="1"/>
  <c r="K579" i="7" a="1"/>
  <c r="O583" i="7" a="1"/>
  <c r="N587" i="7" a="1"/>
  <c r="L591" i="7" a="1"/>
  <c r="N591" i="7" a="1"/>
  <c r="K595" i="7" a="1"/>
  <c r="O599" i="7" a="1"/>
  <c r="L603" i="7" a="1"/>
  <c r="K607" i="7" a="1"/>
  <c r="N607" i="7" a="1"/>
  <c r="K611" i="7" a="1"/>
  <c r="O615" i="7" a="1"/>
  <c r="L619" i="7" a="1"/>
  <c r="K623" i="7" a="1"/>
  <c r="N623" i="7" a="1"/>
  <c r="K627" i="7" a="1"/>
  <c r="O631" i="7" a="1"/>
  <c r="L635" i="7" a="1"/>
  <c r="K639" i="7" a="1"/>
  <c r="N639" i="7" a="1"/>
  <c r="L643" i="7" a="1"/>
  <c r="O647" i="7" a="1"/>
  <c r="N651" i="7" a="1"/>
  <c r="L655" i="7" a="1"/>
  <c r="K655" i="7" a="1"/>
  <c r="M659" i="7" a="1"/>
  <c r="O663" i="7" a="1"/>
  <c r="L667" i="7" a="1"/>
  <c r="K671" i="7" a="1"/>
  <c r="N671" i="7" a="1"/>
  <c r="K675" i="7" a="1"/>
  <c r="O679" i="7" a="1"/>
  <c r="L683" i="7" a="1"/>
  <c r="K687" i="7" a="1"/>
  <c r="N687" i="7" a="1"/>
  <c r="K691" i="7" a="1"/>
  <c r="O695" i="7" a="1"/>
  <c r="L699" i="7" a="1"/>
  <c r="K703" i="7" a="1"/>
  <c r="N703" i="7" a="1"/>
  <c r="K707" i="7" a="1"/>
  <c r="O711" i="7" a="1"/>
  <c r="L715" i="7" a="1"/>
  <c r="K719" i="7" a="1"/>
  <c r="N719" i="7" a="1"/>
  <c r="K723" i="7" a="1"/>
  <c r="M727" i="7" a="1"/>
  <c r="O731" i="7" a="1"/>
  <c r="N735" i="7" a="1"/>
  <c r="L735" i="7" a="1"/>
  <c r="L739" i="7" a="1"/>
  <c r="O743" i="7" a="1"/>
  <c r="O747" i="7" a="1"/>
  <c r="M751" i="7" a="1"/>
  <c r="L751" i="7" a="1"/>
  <c r="N755" i="7" a="1"/>
  <c r="M759" i="7" a="1"/>
  <c r="O763" i="7" a="1"/>
  <c r="N767" i="7" a="1"/>
  <c r="L767" i="7" a="1"/>
  <c r="N771" i="7" a="1"/>
  <c r="M775" i="7" a="1"/>
  <c r="O779" i="7" a="1"/>
  <c r="N783" i="7" a="1"/>
  <c r="L783" i="7" a="1"/>
  <c r="N787" i="7" a="1"/>
  <c r="M791" i="7" a="1"/>
  <c r="O795" i="7" a="1"/>
  <c r="N799" i="7" a="1"/>
  <c r="L799" i="7" a="1"/>
  <c r="N803" i="7" a="1"/>
  <c r="M807" i="7" a="1"/>
  <c r="O811" i="7" a="1"/>
  <c r="N815" i="7" a="1"/>
  <c r="L815" i="7" a="1"/>
  <c r="N819" i="7" a="1"/>
  <c r="M823" i="7" a="1"/>
  <c r="M827" i="7" a="1"/>
  <c r="O831" i="7" a="1"/>
  <c r="L831" i="7" a="1"/>
  <c r="M484" i="7" a="1"/>
  <c r="O496" i="7" a="1"/>
  <c r="N508" i="7" a="1"/>
  <c r="K516" i="7" a="1"/>
  <c r="O528" i="7" a="1"/>
  <c r="N540" i="7" a="1"/>
  <c r="K548" i="7" a="1"/>
  <c r="K556" i="7" a="1"/>
  <c r="N564" i="7" a="1"/>
  <c r="L568" i="7" a="1"/>
  <c r="M576" i="7" a="1"/>
  <c r="L576" i="7" a="1"/>
  <c r="K580" i="7" a="1"/>
  <c r="K584" i="7" a="1"/>
  <c r="O588" i="7" a="1"/>
  <c r="N592" i="7" a="1"/>
  <c r="L592" i="7" a="1"/>
  <c r="K596" i="7" a="1"/>
  <c r="M600" i="7" a="1"/>
  <c r="L604" i="7" a="1"/>
  <c r="N608" i="7" a="1"/>
  <c r="L608" i="7" a="1"/>
  <c r="K612" i="7" a="1"/>
  <c r="M616" i="7" a="1"/>
  <c r="L620" i="7" a="1"/>
  <c r="N624" i="7" a="1"/>
  <c r="L624" i="7" a="1"/>
  <c r="K628" i="7" a="1"/>
  <c r="M632" i="7" a="1"/>
  <c r="L636" i="7" a="1"/>
  <c r="N640" i="7" a="1"/>
  <c r="L640" i="7" a="1"/>
  <c r="O644" i="7" a="1"/>
  <c r="M648" i="7" a="1"/>
  <c r="K652" i="7" a="1"/>
  <c r="N652" i="7" a="1"/>
  <c r="M656" i="7" a="1"/>
  <c r="K660" i="7" a="1"/>
  <c r="O664" i="7" a="1"/>
  <c r="L664" i="7" a="1"/>
  <c r="K668" i="7" a="1"/>
  <c r="M672" i="7" a="1"/>
  <c r="L676" i="7" a="1"/>
  <c r="N680" i="7" a="1"/>
  <c r="L680" i="7" a="1"/>
  <c r="K684" i="7" a="1"/>
  <c r="M688" i="7" a="1"/>
  <c r="L692" i="7" a="1"/>
  <c r="N696" i="7" a="1"/>
  <c r="L696" i="7" a="1"/>
  <c r="K700" i="7" a="1"/>
  <c r="M704" i="7" a="1"/>
  <c r="L708" i="7" a="1"/>
  <c r="N712" i="7" a="1"/>
  <c r="L712" i="7" a="1"/>
  <c r="K716" i="7" a="1"/>
  <c r="M720" i="7" a="1"/>
  <c r="L724" i="7" a="1"/>
  <c r="L728" i="7" a="1"/>
  <c r="O728" i="7" a="1"/>
  <c r="N732" i="7" a="1"/>
  <c r="K736" i="7" a="1"/>
  <c r="K740" i="7" a="1"/>
  <c r="L744" i="7" a="1"/>
  <c r="M744" i="7" a="1"/>
  <c r="M748" i="7" a="1"/>
  <c r="O752" i="7" a="1"/>
  <c r="N756" i="7" a="1"/>
  <c r="L760" i="7" a="1"/>
  <c r="O760" i="7" a="1"/>
  <c r="N764" i="7" a="1"/>
  <c r="K768" i="7" a="1"/>
  <c r="O772" i="7" a="1"/>
  <c r="L776" i="7" a="1"/>
  <c r="O776" i="7" a="1"/>
  <c r="N780" i="7" a="1"/>
  <c r="K784" i="7" a="1"/>
  <c r="O788" i="7" a="1"/>
  <c r="L792" i="7" a="1"/>
  <c r="O792" i="7" a="1"/>
  <c r="N796" i="7" a="1"/>
  <c r="K800" i="7" a="1"/>
  <c r="O804" i="7" a="1"/>
  <c r="L808" i="7" a="1"/>
  <c r="O808" i="7" a="1"/>
  <c r="N812" i="7" a="1"/>
  <c r="K816" i="7" a="1"/>
  <c r="O820" i="7" a="1"/>
  <c r="L824" i="7" a="1"/>
  <c r="O824" i="7" a="1"/>
  <c r="M828" i="7" a="1"/>
  <c r="O832" i="7" a="1"/>
  <c r="M473" i="7" a="1"/>
  <c r="M497" i="7" a="1"/>
  <c r="M513" i="7" a="1"/>
  <c r="M529" i="7" a="1"/>
  <c r="M545" i="7" a="1"/>
  <c r="L553" i="7" a="1"/>
  <c r="O561" i="7" a="1"/>
  <c r="M569" i="7" a="1"/>
  <c r="M573" i="7" a="1"/>
  <c r="K577" i="7" a="1"/>
  <c r="L577" i="7" a="1"/>
  <c r="N581" i="7" a="1"/>
  <c r="M585" i="7" a="1"/>
  <c r="O589" i="7" a="1"/>
  <c r="N593" i="7" a="1"/>
  <c r="L593" i="7" a="1"/>
  <c r="N597" i="7" a="1"/>
  <c r="M601" i="7" a="1"/>
  <c r="O605" i="7" a="1"/>
  <c r="N609" i="7" a="1"/>
  <c r="L609" i="7" a="1"/>
  <c r="N613" i="7" a="1"/>
  <c r="M617" i="7" a="1"/>
  <c r="O621" i="7" a="1"/>
  <c r="N625" i="7" a="1"/>
  <c r="L625" i="7" a="1"/>
  <c r="N629" i="7" a="1"/>
  <c r="M633" i="7" a="1"/>
  <c r="O637" i="7" a="1"/>
  <c r="O641" i="7" a="1"/>
  <c r="L641" i="7" a="1"/>
  <c r="O645" i="7" a="1"/>
  <c r="O649" i="7" a="1"/>
  <c r="L653" i="7" a="1"/>
  <c r="N657" i="7" a="1"/>
  <c r="K657" i="7" a="1"/>
  <c r="M661" i="7" a="1"/>
  <c r="O665" i="7" a="1"/>
  <c r="O669" i="7" a="1"/>
  <c r="N673" i="7" a="1"/>
  <c r="L673" i="7" a="1"/>
  <c r="N677" i="7" a="1"/>
  <c r="M681" i="7" a="1"/>
  <c r="O685" i="7" a="1"/>
  <c r="N689" i="7" a="1"/>
  <c r="L689" i="7" a="1"/>
  <c r="N693" i="7" a="1"/>
  <c r="M697" i="7" a="1"/>
  <c r="O701" i="7" a="1"/>
  <c r="N705" i="7" a="1"/>
  <c r="L705" i="7" a="1"/>
  <c r="N709" i="7" a="1"/>
  <c r="M713" i="7" a="1"/>
  <c r="O717" i="7" a="1"/>
  <c r="N721" i="7" a="1"/>
  <c r="L721" i="7" a="1"/>
  <c r="N725" i="7" a="1"/>
  <c r="N729" i="7" a="1"/>
  <c r="M733" i="7" a="1"/>
  <c r="L737" i="7" a="1"/>
  <c r="K737" i="7" a="1"/>
  <c r="O741" i="7" a="1"/>
  <c r="L745" i="7" a="1"/>
  <c r="K749" i="7" a="1"/>
  <c r="O753" i="7" a="1"/>
  <c r="L753" i="7" a="1"/>
  <c r="L757" i="7" a="1"/>
  <c r="N761" i="7" a="1"/>
  <c r="M765" i="7" a="1"/>
  <c r="O769" i="7" a="1"/>
  <c r="L652" i="7" a="1"/>
  <c r="N656" i="7" a="1"/>
  <c r="M660" i="7" a="1"/>
  <c r="K664" i="7" a="1"/>
  <c r="O668" i="7" a="1"/>
  <c r="M668" i="7" a="1"/>
  <c r="O672" i="7" a="1"/>
  <c r="N676" i="7" a="1"/>
  <c r="K680" i="7" a="1"/>
  <c r="O684" i="7" a="1"/>
  <c r="M684" i="7" a="1"/>
  <c r="O688" i="7" a="1"/>
  <c r="N692" i="7" a="1"/>
  <c r="K696" i="7" a="1"/>
  <c r="O700" i="7" a="1"/>
  <c r="M700" i="7" a="1"/>
  <c r="O704" i="7" a="1"/>
  <c r="N708" i="7" a="1"/>
  <c r="K712" i="7" a="1"/>
  <c r="O716" i="7" a="1"/>
  <c r="M716" i="7" a="1"/>
  <c r="O720" i="7" a="1"/>
  <c r="N724" i="7" a="1"/>
  <c r="N728" i="7" a="1"/>
  <c r="M732" i="7" a="1"/>
  <c r="K732" i="7" a="1"/>
  <c r="M736" i="7" a="1"/>
  <c r="N740" i="7" a="1"/>
  <c r="O744" i="7" a="1"/>
  <c r="L748" i="7" a="1"/>
  <c r="K748" i="7" a="1"/>
  <c r="M752" i="7" a="1"/>
  <c r="O756" i="7" a="1"/>
  <c r="N760" i="7" a="1"/>
  <c r="M764" i="7" a="1"/>
  <c r="K764" i="7" a="1"/>
  <c r="M768" i="7" a="1"/>
  <c r="L772" i="7" a="1"/>
  <c r="N776" i="7" a="1"/>
  <c r="M780" i="7" a="1"/>
  <c r="K780" i="7" a="1"/>
  <c r="M784" i="7" a="1"/>
  <c r="L788" i="7" a="1"/>
  <c r="N792" i="7" a="1"/>
  <c r="M796" i="7" a="1"/>
  <c r="K796" i="7" a="1"/>
  <c r="M800" i="7" a="1"/>
  <c r="L804" i="7" a="1"/>
  <c r="N808" i="7" a="1"/>
  <c r="M812" i="7" a="1"/>
  <c r="K812" i="7" a="1"/>
  <c r="M816" i="7" a="1"/>
  <c r="L820" i="7" a="1"/>
  <c r="N824" i="7" a="1"/>
  <c r="N828" i="7" a="1"/>
  <c r="K828" i="7" a="1"/>
  <c r="M832" i="7" a="1"/>
  <c r="N477" i="7" a="1"/>
  <c r="N501" i="7" a="1"/>
  <c r="N517" i="7" a="1"/>
  <c r="N533" i="7" a="1"/>
  <c r="N549" i="7" a="1"/>
  <c r="N557" i="7" a="1"/>
  <c r="L561" i="7" a="1"/>
  <c r="O569" i="7" a="1"/>
  <c r="N573" i="7" a="1"/>
  <c r="N577" i="7" a="1"/>
  <c r="O581" i="7" a="1"/>
  <c r="K581" i="7" a="1"/>
  <c r="O585" i="7" a="1"/>
  <c r="M589" i="7" a="1"/>
  <c r="K593" i="7" a="1"/>
  <c r="M597" i="7" a="1"/>
  <c r="K597" i="7" a="1"/>
  <c r="O601" i="7" a="1"/>
  <c r="L605" i="7" a="1"/>
  <c r="K609" i="7" a="1"/>
  <c r="M613" i="7" a="1"/>
  <c r="K613" i="7" a="1"/>
  <c r="O617" i="7" a="1"/>
  <c r="L621" i="7" a="1"/>
  <c r="K625" i="7" a="1"/>
  <c r="M629" i="7" a="1"/>
  <c r="K629" i="7" a="1"/>
  <c r="O633" i="7" a="1"/>
  <c r="L637" i="7" a="1"/>
  <c r="M641" i="7" a="1"/>
  <c r="K645" i="7" a="1"/>
  <c r="L645" i="7" a="1"/>
  <c r="M649" i="7" a="1"/>
  <c r="O653" i="7" a="1"/>
  <c r="L657" i="7" a="1"/>
  <c r="N661" i="7" a="1"/>
  <c r="K661" i="7" a="1"/>
  <c r="L665" i="7" a="1"/>
  <c r="L669" i="7" a="1"/>
  <c r="K673" i="7" a="1"/>
  <c r="M677" i="7" a="1"/>
  <c r="K677" i="7" a="1"/>
  <c r="O681" i="7" a="1"/>
  <c r="L685" i="7" a="1"/>
  <c r="K689" i="7" a="1"/>
  <c r="M693" i="7" a="1"/>
  <c r="K693" i="7" a="1"/>
  <c r="O697" i="7" a="1"/>
  <c r="L701" i="7" a="1"/>
  <c r="K705" i="7" a="1"/>
  <c r="M709" i="7" a="1"/>
  <c r="K709" i="7" a="1"/>
  <c r="O713" i="7" a="1"/>
  <c r="L717" i="7" a="1"/>
  <c r="K721" i="7" a="1"/>
  <c r="M725" i="7" a="1"/>
  <c r="K725" i="7" a="1"/>
  <c r="K729" i="7" a="1"/>
  <c r="O733" i="7" a="1"/>
  <c r="O737" i="7" a="1"/>
  <c r="K741" i="7" a="1"/>
  <c r="L741" i="7" a="1"/>
  <c r="N745" i="7" a="1"/>
  <c r="M749" i="7" a="1"/>
  <c r="K753" i="7" a="1"/>
  <c r="K757" i="7" a="1"/>
  <c r="N757" i="7" a="1"/>
  <c r="K761" i="7" a="1"/>
  <c r="O765" i="7" a="1"/>
  <c r="L769" i="7" a="1"/>
  <c r="O656" i="7" a="1"/>
  <c r="L656" i="7" a="1"/>
  <c r="N660" i="7" a="1"/>
  <c r="M664" i="7" a="1"/>
  <c r="L668" i="7" a="1"/>
  <c r="N672" i="7" a="1"/>
  <c r="L672" i="7" a="1"/>
  <c r="K676" i="7" a="1"/>
  <c r="M680" i="7" a="1"/>
  <c r="L684" i="7" a="1"/>
  <c r="N688" i="7" a="1"/>
  <c r="L688" i="7" a="1"/>
  <c r="K692" i="7" a="1"/>
  <c r="M696" i="7" a="1"/>
  <c r="L700" i="7" a="1"/>
  <c r="N704" i="7" a="1"/>
  <c r="L704" i="7" a="1"/>
  <c r="K708" i="7" a="1"/>
  <c r="M712" i="7" a="1"/>
  <c r="L716" i="7" a="1"/>
  <c r="N720" i="7" a="1"/>
  <c r="L720" i="7" a="1"/>
  <c r="K724" i="7" a="1"/>
  <c r="K728" i="7" a="1"/>
  <c r="O732" i="7" a="1"/>
  <c r="L736" i="7" a="1"/>
  <c r="O736" i="7" a="1"/>
  <c r="O740" i="7" a="1"/>
  <c r="N744" i="7" a="1"/>
  <c r="N748" i="7" a="1"/>
  <c r="L752" i="7" a="1"/>
  <c r="K752" i="7" a="1"/>
  <c r="M756" i="7" a="1"/>
  <c r="K760" i="7" a="1"/>
  <c r="O764" i="7" a="1"/>
  <c r="L768" i="7" a="1"/>
  <c r="O768" i="7" a="1"/>
  <c r="N772" i="7" a="1"/>
  <c r="K776" i="7" a="1"/>
  <c r="O780" i="7" a="1"/>
  <c r="L784" i="7" a="1"/>
  <c r="O784" i="7" a="1"/>
  <c r="N788" i="7" a="1"/>
  <c r="K792" i="7" a="1"/>
  <c r="O796" i="7" a="1"/>
  <c r="L800" i="7" a="1"/>
  <c r="O800" i="7" a="1"/>
  <c r="N804" i="7" a="1"/>
  <c r="K808" i="7" a="1"/>
  <c r="O812" i="7" a="1"/>
  <c r="L816" i="7" a="1"/>
  <c r="O816" i="7" a="1"/>
  <c r="N820" i="7" a="1"/>
  <c r="K824" i="7" a="1"/>
  <c r="L828" i="7" a="1"/>
  <c r="N832" i="7" a="1"/>
  <c r="K832" i="7" a="1"/>
  <c r="M489" i="7" a="1"/>
  <c r="M505" i="7" a="1"/>
  <c r="M521" i="7" a="1"/>
  <c r="M537" i="7" a="1"/>
  <c r="M553" i="7" a="1"/>
  <c r="K557" i="7" a="1"/>
  <c r="N565" i="7" a="1"/>
  <c r="L569" i="7" a="1"/>
  <c r="K573" i="7" a="1"/>
  <c r="M577" i="7" a="1"/>
  <c r="M581" i="7" a="1"/>
  <c r="K585" i="7" a="1"/>
  <c r="L585" i="7" a="1"/>
  <c r="N589" i="7" a="1"/>
  <c r="M593" i="7" a="1"/>
  <c r="O597" i="7" a="1"/>
  <c r="N601" i="7" a="1"/>
  <c r="L601" i="7" a="1"/>
  <c r="N605" i="7" a="1"/>
  <c r="M609" i="7" a="1"/>
  <c r="O613" i="7" a="1"/>
  <c r="N617" i="7" a="1"/>
  <c r="L617" i="7" a="1"/>
  <c r="N621" i="7" a="1"/>
  <c r="M625" i="7" a="1"/>
  <c r="O629" i="7" a="1"/>
  <c r="N633" i="7" a="1"/>
  <c r="L633" i="7" a="1"/>
  <c r="N637" i="7" a="1"/>
  <c r="N641" i="7" a="1"/>
  <c r="N645" i="7" a="1"/>
  <c r="N649" i="7" a="1"/>
  <c r="K649" i="7" a="1"/>
  <c r="M653" i="7" a="1"/>
  <c r="O657" i="7" a="1"/>
  <c r="L661" i="7" a="1"/>
  <c r="N665" i="7" a="1"/>
  <c r="K665" i="7" a="1"/>
  <c r="N669" i="7" a="1"/>
  <c r="M673" i="7" a="1"/>
  <c r="O677" i="7" a="1"/>
  <c r="N681" i="7" a="1"/>
  <c r="L681" i="7" a="1"/>
  <c r="N685" i="7" a="1"/>
  <c r="M689" i="7" a="1"/>
  <c r="O693" i="7" a="1"/>
  <c r="N697" i="7" a="1"/>
  <c r="L697" i="7" a="1"/>
  <c r="N701" i="7" a="1"/>
  <c r="M705" i="7" a="1"/>
  <c r="O709" i="7" a="1"/>
  <c r="N713" i="7" a="1"/>
  <c r="L713" i="7" a="1"/>
  <c r="N717" i="7" a="1"/>
  <c r="M721" i="7" a="1"/>
  <c r="O725" i="7" a="1"/>
  <c r="O729" i="7" a="1"/>
  <c r="M729" i="7" a="1"/>
  <c r="L733" i="7" a="1"/>
  <c r="M737" i="7" a="1"/>
  <c r="N741" i="7" a="1"/>
  <c r="O745" i="7" a="1"/>
  <c r="K745" i="7" a="1"/>
  <c r="N749" i="7" a="1"/>
  <c r="M753" i="7" a="1"/>
  <c r="M757" i="7" a="1"/>
  <c r="O761" i="7" a="1"/>
  <c r="M761" i="7" a="1"/>
  <c r="L765" i="7" a="1"/>
  <c r="N769" i="7" a="1"/>
  <c r="K656" i="7" a="1"/>
  <c r="O660" i="7" a="1"/>
  <c r="L660" i="7" a="1"/>
  <c r="N664" i="7" a="1"/>
  <c r="N668" i="7" a="1"/>
  <c r="K672" i="7" a="1"/>
  <c r="O676" i="7" a="1"/>
  <c r="M676" i="7" a="1"/>
  <c r="O680" i="7" a="1"/>
  <c r="N684" i="7" a="1"/>
  <c r="K688" i="7" a="1"/>
  <c r="O692" i="7" a="1"/>
  <c r="M692" i="7" a="1"/>
  <c r="O696" i="7" a="1"/>
  <c r="N700" i="7" a="1"/>
  <c r="K704" i="7" a="1"/>
  <c r="O708" i="7" a="1"/>
  <c r="M708" i="7" a="1"/>
  <c r="O712" i="7" a="1"/>
  <c r="N716" i="7" a="1"/>
  <c r="K720" i="7" a="1"/>
  <c r="O724" i="7" a="1"/>
  <c r="M724" i="7" a="1"/>
  <c r="M728" i="7" a="1"/>
  <c r="L732" i="7" a="1"/>
  <c r="N736" i="7" a="1"/>
  <c r="M740" i="7" a="1"/>
  <c r="L740" i="7" a="1"/>
  <c r="K744" i="7" a="1"/>
  <c r="O748" i="7" a="1"/>
  <c r="N752" i="7" a="1"/>
  <c r="L756" i="7" a="1"/>
  <c r="K756" i="7" a="1"/>
  <c r="M760" i="7" a="1"/>
  <c r="L764" i="7" a="1"/>
  <c r="N768" i="7" a="1"/>
  <c r="M772" i="7" a="1"/>
  <c r="K772" i="7" a="1"/>
  <c r="M776" i="7" a="1"/>
  <c r="L780" i="7" a="1"/>
  <c r="N784" i="7" a="1"/>
  <c r="M788" i="7" a="1"/>
  <c r="K788" i="7" a="1"/>
  <c r="M792" i="7" a="1"/>
  <c r="L796" i="7" a="1"/>
  <c r="N800" i="7" a="1"/>
  <c r="M804" i="7" a="1"/>
  <c r="K804" i="7" a="1"/>
  <c r="M808" i="7" a="1"/>
  <c r="L812" i="7" a="1"/>
  <c r="N816" i="7" a="1"/>
  <c r="M820" i="7" a="1"/>
  <c r="K820" i="7" a="1"/>
  <c r="M824" i="7" a="1"/>
  <c r="O828" i="7" a="1"/>
  <c r="L832" i="7" a="1"/>
  <c r="L461" i="7" a="1"/>
  <c r="N493" i="7" a="1"/>
  <c r="N509" i="7" a="1"/>
  <c r="N525" i="7" a="1"/>
  <c r="N541" i="7" a="1"/>
  <c r="O553" i="7" a="1"/>
  <c r="M561" i="7" a="1"/>
  <c r="K565" i="7" a="1"/>
  <c r="O573" i="7" a="1"/>
  <c r="L573" i="7" a="1"/>
  <c r="O577" i="7" a="1"/>
  <c r="L581" i="7" a="1"/>
  <c r="N585" i="7" a="1"/>
  <c r="L589" i="7" a="1"/>
  <c r="K589" i="7" a="1"/>
  <c r="O593" i="7" a="1"/>
  <c r="L597" i="7" a="1"/>
  <c r="K601" i="7" a="1"/>
  <c r="M605" i="7" a="1"/>
  <c r="K605" i="7" a="1"/>
  <c r="O609" i="7" a="1"/>
  <c r="L613" i="7" a="1"/>
  <c r="K617" i="7" a="1"/>
  <c r="M621" i="7" a="1"/>
  <c r="K621" i="7" a="1"/>
  <c r="O625" i="7" a="1"/>
  <c r="L629" i="7" a="1"/>
  <c r="K633" i="7" a="1"/>
  <c r="M637" i="7" a="1"/>
  <c r="K637" i="7" a="1"/>
  <c r="K641" i="7" a="1"/>
  <c r="M645" i="7" a="1"/>
  <c r="L649" i="7" a="1"/>
  <c r="N653" i="7" a="1"/>
  <c r="K653" i="7" a="1"/>
  <c r="M657" i="7" a="1"/>
  <c r="O661" i="7" a="1"/>
  <c r="M665" i="7" a="1"/>
  <c r="M669" i="7" a="1"/>
  <c r="K669" i="7" a="1"/>
  <c r="O673" i="7" a="1"/>
  <c r="L677" i="7" a="1"/>
  <c r="K681" i="7" a="1"/>
  <c r="M685" i="7" a="1"/>
  <c r="K685" i="7" a="1"/>
  <c r="O689" i="7" a="1"/>
  <c r="L693" i="7" a="1"/>
  <c r="K697" i="7" a="1"/>
  <c r="M701" i="7" a="1"/>
  <c r="K701" i="7" a="1"/>
  <c r="O705" i="7" a="1"/>
  <c r="L709" i="7" a="1"/>
  <c r="K713" i="7" a="1"/>
  <c r="M717" i="7" a="1"/>
  <c r="K717" i="7" a="1"/>
  <c r="O721" i="7" a="1"/>
  <c r="L725" i="7" a="1"/>
  <c r="L729" i="7" a="1"/>
  <c r="K733" i="7" a="1"/>
  <c r="N733" i="7" a="1"/>
  <c r="N737" i="7" a="1"/>
  <c r="M741" i="7" a="1"/>
  <c r="M745" i="7" a="1"/>
  <c r="O749" i="7" a="1"/>
  <c r="L749" i="7" a="1"/>
  <c r="N753" i="7" a="1"/>
  <c r="O757" i="7" a="1"/>
  <c r="L761" i="7" a="1"/>
  <c r="K765" i="7" a="1"/>
  <c r="N765" i="7" a="1"/>
  <c r="K769" i="7" a="1"/>
  <c r="M769" i="7" a="1"/>
  <c r="L773" i="7" a="1"/>
  <c r="N777" i="7" a="1"/>
  <c r="M781" i="7" a="1"/>
  <c r="O785" i="7" a="1"/>
  <c r="M785" i="7" a="1"/>
  <c r="L789" i="7" a="1"/>
  <c r="N793" i="7" a="1"/>
  <c r="M797" i="7" a="1"/>
  <c r="O801" i="7" a="1"/>
  <c r="M801" i="7" a="1"/>
  <c r="L805" i="7" a="1"/>
  <c r="N809" i="7" a="1"/>
  <c r="M813" i="7" a="1"/>
  <c r="O817" i="7" a="1"/>
  <c r="M817" i="7" a="1"/>
  <c r="L821" i="7" a="1"/>
  <c r="K825" i="7" a="1"/>
  <c r="M829" i="7" a="1"/>
  <c r="O833" i="7" a="1"/>
  <c r="L833" i="7" a="1"/>
  <c r="M490" i="7" a="1"/>
  <c r="M506" i="7" a="1"/>
  <c r="M522" i="7" a="1"/>
  <c r="M538" i="7" a="1"/>
  <c r="M554" i="7" a="1"/>
  <c r="K558" i="7" a="1"/>
  <c r="N566" i="7" a="1"/>
  <c r="O574" i="7" a="1"/>
  <c r="K574" i="7" a="1"/>
  <c r="M578" i="7" a="1"/>
  <c r="L582" i="7" a="1"/>
  <c r="N586" i="7" a="1"/>
  <c r="O590" i="7" a="1"/>
  <c r="K590" i="7" a="1"/>
  <c r="M594" i="7" a="1"/>
  <c r="L598" i="7" a="1"/>
  <c r="N602" i="7" a="1"/>
  <c r="M606" i="7" a="1"/>
  <c r="K606" i="7" a="1"/>
  <c r="M610" i="7" a="1"/>
  <c r="L614" i="7" a="1"/>
  <c r="N618" i="7" a="1"/>
  <c r="M622" i="7" a="1"/>
  <c r="K622" i="7" a="1"/>
  <c r="M626" i="7" a="1"/>
  <c r="L630" i="7" a="1"/>
  <c r="N634" i="7" a="1"/>
  <c r="M638" i="7" a="1"/>
  <c r="K638" i="7" a="1"/>
  <c r="N642" i="7" a="1"/>
  <c r="K646" i="7" a="1"/>
  <c r="O650" i="7" a="1"/>
  <c r="M654" i="7" a="1"/>
  <c r="L654" i="7" a="1"/>
  <c r="N658" i="7" a="1"/>
  <c r="K662" i="7" a="1"/>
  <c r="N666" i="7" a="1"/>
  <c r="M670" i="7" a="1"/>
  <c r="K670" i="7" a="1"/>
  <c r="M674" i="7" a="1"/>
  <c r="L678" i="7" a="1"/>
  <c r="N682" i="7" a="1"/>
  <c r="M686" i="7" a="1"/>
  <c r="K686" i="7" a="1"/>
  <c r="M690" i="7" a="1"/>
  <c r="L694" i="7" a="1"/>
  <c r="N698" i="7" a="1"/>
  <c r="M702" i="7" a="1"/>
  <c r="K702" i="7" a="1"/>
  <c r="M706" i="7" a="1"/>
  <c r="L710" i="7" a="1"/>
  <c r="N714" i="7" a="1"/>
  <c r="M718" i="7" a="1"/>
  <c r="K718" i="7" a="1"/>
  <c r="M722" i="7" a="1"/>
  <c r="L726" i="7" a="1"/>
  <c r="L730" i="7" a="1"/>
  <c r="N734" i="7" a="1"/>
  <c r="L734" i="7" a="1"/>
  <c r="N738" i="7" a="1"/>
  <c r="K742" i="7" a="1"/>
  <c r="L746" i="7" a="1"/>
  <c r="N750" i="7" a="1"/>
  <c r="K750" i="7" a="1"/>
  <c r="M754" i="7" a="1"/>
  <c r="M758" i="7" a="1"/>
  <c r="L762" i="7" a="1"/>
  <c r="N766" i="7" a="1"/>
  <c r="L766" i="7" a="1"/>
  <c r="K770" i="7" a="1"/>
  <c r="M774" i="7" a="1"/>
  <c r="L778" i="7" a="1"/>
  <c r="N782" i="7" a="1"/>
  <c r="L782" i="7" a="1"/>
  <c r="K786" i="7" a="1"/>
  <c r="M790" i="7" a="1"/>
  <c r="L794" i="7" a="1"/>
  <c r="N798" i="7" a="1"/>
  <c r="L798" i="7" a="1"/>
  <c r="K802" i="7" a="1"/>
  <c r="M806" i="7" a="1"/>
  <c r="L810" i="7" a="1"/>
  <c r="N814" i="7" a="1"/>
  <c r="L814" i="7" a="1"/>
  <c r="K818" i="7" a="1"/>
  <c r="M822" i="7" a="1"/>
  <c r="L826" i="7" a="1"/>
  <c r="N830" i="7" a="1"/>
  <c r="K830" i="7" a="1"/>
  <c r="I7" i="7" a="1"/>
  <c r="J15" i="7" a="1"/>
  <c r="I23" i="7" a="1"/>
  <c r="I31" i="7" a="1"/>
  <c r="J39" i="7" a="1"/>
  <c r="I47" i="7" a="1"/>
  <c r="I55" i="7" a="1"/>
  <c r="I63" i="7" a="1"/>
  <c r="J71" i="7" a="1"/>
  <c r="I79" i="7" a="1"/>
  <c r="I87" i="7" a="1"/>
  <c r="I95" i="7" a="1"/>
  <c r="J103" i="7" a="1"/>
  <c r="J111" i="7" a="1"/>
  <c r="J119" i="7" a="1"/>
  <c r="J127" i="7" a="1"/>
  <c r="J135" i="7" a="1"/>
  <c r="J143" i="7" a="1"/>
  <c r="K773" i="7" a="1"/>
  <c r="N773" i="7" a="1"/>
  <c r="K777" i="7" a="1"/>
  <c r="O781" i="7" a="1"/>
  <c r="L785" i="7" a="1"/>
  <c r="K789" i="7" a="1"/>
  <c r="N789" i="7" a="1"/>
  <c r="K793" i="7" a="1"/>
  <c r="O797" i="7" a="1"/>
  <c r="L801" i="7" a="1"/>
  <c r="K805" i="7" a="1"/>
  <c r="N805" i="7" a="1"/>
  <c r="K809" i="7" a="1"/>
  <c r="O813" i="7" a="1"/>
  <c r="L817" i="7" a="1"/>
  <c r="K821" i="7" a="1"/>
  <c r="N821" i="7" a="1"/>
  <c r="N825" i="7" a="1"/>
  <c r="K829" i="7" a="1"/>
  <c r="M833" i="7" a="1"/>
  <c r="L470" i="7" a="1"/>
  <c r="L494" i="7" a="1"/>
  <c r="L510" i="7" a="1"/>
  <c r="L526" i="7" a="1"/>
  <c r="L542" i="7" a="1"/>
  <c r="O554" i="7" a="1"/>
  <c r="M562" i="7" a="1"/>
  <c r="K566" i="7" a="1"/>
  <c r="M574" i="7" a="1"/>
  <c r="N578" i="7" a="1"/>
  <c r="O578" i="7" a="1"/>
  <c r="N582" i="7" a="1"/>
  <c r="L586" i="7" a="1"/>
  <c r="M590" i="7" a="1"/>
  <c r="L594" i="7" a="1"/>
  <c r="O594" i="7" a="1"/>
  <c r="N598" i="7" a="1"/>
  <c r="K602" i="7" a="1"/>
  <c r="O606" i="7" a="1"/>
  <c r="L610" i="7" a="1"/>
  <c r="O610" i="7" a="1"/>
  <c r="N614" i="7" a="1"/>
  <c r="K618" i="7" a="1"/>
  <c r="O622" i="7" a="1"/>
  <c r="L626" i="7" a="1"/>
  <c r="O626" i="7" a="1"/>
  <c r="N630" i="7" a="1"/>
  <c r="K634" i="7" a="1"/>
  <c r="O638" i="7" a="1"/>
  <c r="O642" i="7" a="1"/>
  <c r="K642" i="7" a="1"/>
  <c r="M646" i="7" a="1"/>
  <c r="K650" i="7" a="1"/>
  <c r="O654" i="7" a="1"/>
  <c r="M658" i="7" a="1"/>
  <c r="L658" i="7" a="1"/>
  <c r="N662" i="7" a="1"/>
  <c r="K666" i="7" a="1"/>
  <c r="O670" i="7" a="1"/>
  <c r="L674" i="7" a="1"/>
  <c r="O674" i="7" a="1"/>
  <c r="N678" i="7" a="1"/>
  <c r="K682" i="7" a="1"/>
  <c r="O686" i="7" a="1"/>
  <c r="L690" i="7" a="1"/>
  <c r="O690" i="7" a="1"/>
  <c r="N694" i="7" a="1"/>
  <c r="K698" i="7" a="1"/>
  <c r="O702" i="7" a="1"/>
  <c r="L706" i="7" a="1"/>
  <c r="O706" i="7" a="1"/>
  <c r="N710" i="7" a="1"/>
  <c r="K714" i="7" a="1"/>
  <c r="O718" i="7" a="1"/>
  <c r="L722" i="7" a="1"/>
  <c r="O722" i="7" a="1"/>
  <c r="N726" i="7" a="1"/>
  <c r="N730" i="7" a="1"/>
  <c r="K734" i="7" a="1"/>
  <c r="O738" i="7" a="1"/>
  <c r="K738" i="7" a="1"/>
  <c r="M742" i="7" a="1"/>
  <c r="O746" i="7" a="1"/>
  <c r="L750" i="7" a="1"/>
  <c r="N754" i="7" a="1"/>
  <c r="K754" i="7" a="1"/>
  <c r="O758" i="7" a="1"/>
  <c r="N762" i="7" a="1"/>
  <c r="K766" i="7" a="1"/>
  <c r="O770" i="7" a="1"/>
  <c r="M770" i="7" a="1"/>
  <c r="O774" i="7" a="1"/>
  <c r="N778" i="7" a="1"/>
  <c r="K782" i="7" a="1"/>
  <c r="O786" i="7" a="1"/>
  <c r="M786" i="7" a="1"/>
  <c r="O790" i="7" a="1"/>
  <c r="N794" i="7" a="1"/>
  <c r="K798" i="7" a="1"/>
  <c r="O802" i="7" a="1"/>
  <c r="M802" i="7" a="1"/>
  <c r="O806" i="7" a="1"/>
  <c r="N810" i="7" a="1"/>
  <c r="K814" i="7" a="1"/>
  <c r="O818" i="7" a="1"/>
  <c r="M818" i="7" a="1"/>
  <c r="O822" i="7" a="1"/>
  <c r="O826" i="7" a="1"/>
  <c r="L830" i="7" a="1"/>
  <c r="J3" i="7" a="1"/>
  <c r="J11" i="7" a="1"/>
  <c r="J19" i="7" a="1"/>
  <c r="J27" i="7" a="1"/>
  <c r="J35" i="7" a="1"/>
  <c r="J43" i="7" a="1"/>
  <c r="J51" i="7" a="1"/>
  <c r="J59" i="7" a="1"/>
  <c r="J67" i="7" a="1"/>
  <c r="I75" i="7" a="1"/>
  <c r="J83" i="7" a="1"/>
  <c r="I91" i="7" a="1"/>
  <c r="I99" i="7" a="1"/>
  <c r="I107" i="7" a="1"/>
  <c r="I115" i="7" a="1"/>
  <c r="I123" i="7" a="1"/>
  <c r="I131" i="7" a="1"/>
  <c r="I139" i="7" a="1"/>
  <c r="I147" i="7" a="1"/>
  <c r="M773" i="7" a="1"/>
  <c r="O777" i="7" a="1"/>
  <c r="M777" i="7" a="1"/>
  <c r="L781" i="7" a="1"/>
  <c r="N785" i="7" a="1"/>
  <c r="M789" i="7" a="1"/>
  <c r="O793" i="7" a="1"/>
  <c r="M793" i="7" a="1"/>
  <c r="L797" i="7" a="1"/>
  <c r="N801" i="7" a="1"/>
  <c r="M805" i="7" a="1"/>
  <c r="O809" i="7" a="1"/>
  <c r="M809" i="7" a="1"/>
  <c r="L813" i="7" a="1"/>
  <c r="N817" i="7" a="1"/>
  <c r="M821" i="7" a="1"/>
  <c r="O825" i="7" a="1"/>
  <c r="L825" i="7" a="1"/>
  <c r="N829" i="7" a="1"/>
  <c r="K833" i="7" a="1"/>
  <c r="M474" i="7" a="1"/>
  <c r="M498" i="7" a="1"/>
  <c r="M514" i="7" a="1"/>
  <c r="M530" i="7" a="1"/>
  <c r="M546" i="7" a="1"/>
  <c r="L558" i="7" a="1"/>
  <c r="O562" i="7" a="1"/>
  <c r="M570" i="7" a="1"/>
  <c r="L574" i="7" a="1"/>
  <c r="L578" i="7" a="1"/>
  <c r="O582" i="7" a="1"/>
  <c r="K582" i="7" a="1"/>
  <c r="M586" i="7" a="1"/>
  <c r="L590" i="7" a="1"/>
  <c r="N594" i="7" a="1"/>
  <c r="M598" i="7" a="1"/>
  <c r="K598" i="7" a="1"/>
  <c r="M602" i="7" a="1"/>
  <c r="L606" i="7" a="1"/>
  <c r="N610" i="7" a="1"/>
  <c r="M614" i="7" a="1"/>
  <c r="K614" i="7" a="1"/>
  <c r="M618" i="7" a="1"/>
  <c r="L622" i="7" a="1"/>
  <c r="N626" i="7" a="1"/>
  <c r="M630" i="7" a="1"/>
  <c r="K630" i="7" a="1"/>
  <c r="M634" i="7" a="1"/>
  <c r="L638" i="7" a="1"/>
  <c r="M642" i="7" a="1"/>
  <c r="N646" i="7" a="1"/>
  <c r="O646" i="7" a="1"/>
  <c r="N650" i="7" a="1"/>
  <c r="K654" i="7" a="1"/>
  <c r="O658" i="7" a="1"/>
  <c r="M662" i="7" a="1"/>
  <c r="L662" i="7" a="1"/>
  <c r="M666" i="7" a="1"/>
  <c r="L670" i="7" a="1"/>
  <c r="N674" i="7" a="1"/>
  <c r="M678" i="7" a="1"/>
  <c r="K678" i="7" a="1"/>
  <c r="M682" i="7" a="1"/>
  <c r="L686" i="7" a="1"/>
  <c r="N690" i="7" a="1"/>
  <c r="M694" i="7" a="1"/>
  <c r="K694" i="7" a="1"/>
  <c r="M698" i="7" a="1"/>
  <c r="L702" i="7" a="1"/>
  <c r="N706" i="7" a="1"/>
  <c r="M710" i="7" a="1"/>
  <c r="K710" i="7" a="1"/>
  <c r="M714" i="7" a="1"/>
  <c r="L718" i="7" a="1"/>
  <c r="N722" i="7" a="1"/>
  <c r="M726" i="7" a="1"/>
  <c r="K726" i="7" a="1"/>
  <c r="K730" i="7" a="1"/>
  <c r="M734" i="7" a="1"/>
  <c r="M738" i="7" a="1"/>
  <c r="N742" i="7" a="1"/>
  <c r="O742" i="7" a="1"/>
  <c r="M746" i="7" a="1"/>
  <c r="O750" i="7" a="1"/>
  <c r="L754" i="7" a="1"/>
  <c r="N758" i="7" a="1"/>
  <c r="L758" i="7" a="1"/>
  <c r="K762" i="7" a="1"/>
  <c r="M766" i="7" a="1"/>
  <c r="L770" i="7" a="1"/>
  <c r="N774" i="7" a="1"/>
  <c r="L774" i="7" a="1"/>
  <c r="K778" i="7" a="1"/>
  <c r="M782" i="7" a="1"/>
  <c r="L786" i="7" a="1"/>
  <c r="N790" i="7" a="1"/>
  <c r="L790" i="7" a="1"/>
  <c r="K794" i="7" a="1"/>
  <c r="M798" i="7" a="1"/>
  <c r="L802" i="7" a="1"/>
  <c r="N806" i="7" a="1"/>
  <c r="L806" i="7" a="1"/>
  <c r="K810" i="7" a="1"/>
  <c r="M814" i="7" a="1"/>
  <c r="L818" i="7" a="1"/>
  <c r="N822" i="7" a="1"/>
  <c r="L822" i="7" a="1"/>
  <c r="M826" i="7" a="1"/>
  <c r="O830" i="7" a="1"/>
  <c r="I3" i="7" a="1"/>
  <c r="I11" i="7" a="1"/>
  <c r="I19" i="7" a="1"/>
  <c r="I27" i="7" a="1"/>
  <c r="I35" i="7" a="1"/>
  <c r="I43" i="7" a="1"/>
  <c r="I51" i="7" a="1"/>
  <c r="I59" i="7" a="1"/>
  <c r="I67" i="7" a="1"/>
  <c r="J75" i="7" a="1"/>
  <c r="I83" i="7" a="1"/>
  <c r="J91" i="7" a="1"/>
  <c r="J99" i="7" a="1"/>
  <c r="J107" i="7" a="1"/>
  <c r="J115" i="7" a="1"/>
  <c r="J123" i="7" a="1"/>
  <c r="J131" i="7" a="1"/>
  <c r="J139" i="7" a="1"/>
  <c r="O773" i="7" a="1"/>
  <c r="L777" i="7" a="1"/>
  <c r="K781" i="7" a="1"/>
  <c r="N781" i="7" a="1"/>
  <c r="K785" i="7" a="1"/>
  <c r="O789" i="7" a="1"/>
  <c r="L793" i="7" a="1"/>
  <c r="K797" i="7" a="1"/>
  <c r="N797" i="7" a="1"/>
  <c r="K801" i="7" a="1"/>
  <c r="O805" i="7" a="1"/>
  <c r="L809" i="7" a="1"/>
  <c r="K813" i="7" a="1"/>
  <c r="N813" i="7" a="1"/>
  <c r="K817" i="7" a="1"/>
  <c r="O821" i="7" a="1"/>
  <c r="M825" i="7" a="1"/>
  <c r="O829" i="7" a="1"/>
  <c r="L829" i="7" a="1"/>
  <c r="N833" i="7" a="1"/>
  <c r="N486" i="7" a="1"/>
  <c r="L502" i="7" a="1"/>
  <c r="L518" i="7" a="1"/>
  <c r="L534" i="7" a="1"/>
  <c r="L550" i="7" a="1"/>
  <c r="N558" i="7" a="1"/>
  <c r="L566" i="7" a="1"/>
  <c r="O570" i="7" a="1"/>
  <c r="N574" i="7" a="1"/>
  <c r="K578" i="7" a="1"/>
  <c r="M582" i="7" a="1"/>
  <c r="K586" i="7" a="1"/>
  <c r="O586" i="7" a="1"/>
  <c r="N590" i="7" a="1"/>
  <c r="K594" i="7" a="1"/>
  <c r="O598" i="7" a="1"/>
  <c r="L602" i="7" a="1"/>
  <c r="O602" i="7" a="1"/>
  <c r="N606" i="7" a="1"/>
  <c r="K610" i="7" a="1"/>
  <c r="O614" i="7" a="1"/>
  <c r="L618" i="7" a="1"/>
  <c r="O618" i="7" a="1"/>
  <c r="N622" i="7" a="1"/>
  <c r="K626" i="7" a="1"/>
  <c r="O630" i="7" a="1"/>
  <c r="L634" i="7" a="1"/>
  <c r="O634" i="7" a="1"/>
  <c r="N638" i="7" a="1"/>
  <c r="L642" i="7" a="1"/>
  <c r="L646" i="7" a="1"/>
  <c r="M650" i="7" a="1"/>
  <c r="L650" i="7" a="1"/>
  <c r="N654" i="7" a="1"/>
  <c r="K658" i="7" a="1"/>
  <c r="O662" i="7" a="1"/>
  <c r="L666" i="7" a="1"/>
  <c r="O666" i="7" a="1"/>
  <c r="N670" i="7" a="1"/>
  <c r="K674" i="7" a="1"/>
  <c r="O678" i="7" a="1"/>
  <c r="L682" i="7" a="1"/>
  <c r="O682" i="7" a="1"/>
  <c r="N686" i="7" a="1"/>
  <c r="K690" i="7" a="1"/>
  <c r="O694" i="7" a="1"/>
  <c r="L698" i="7" a="1"/>
  <c r="O698" i="7" a="1"/>
  <c r="N702" i="7" a="1"/>
  <c r="K706" i="7" a="1"/>
  <c r="O710" i="7" a="1"/>
  <c r="L714" i="7" a="1"/>
  <c r="O714" i="7" a="1"/>
  <c r="N718" i="7" a="1"/>
  <c r="K722" i="7" a="1"/>
  <c r="O726" i="7" a="1"/>
  <c r="O730" i="7" a="1"/>
  <c r="M730" i="7" a="1"/>
  <c r="O734" i="7" a="1"/>
  <c r="L738" i="7" a="1"/>
  <c r="L742" i="7" a="1"/>
  <c r="N746" i="7" a="1"/>
  <c r="K746" i="7" a="1"/>
  <c r="M750" i="7" a="1"/>
  <c r="O754" i="7" a="1"/>
  <c r="K758" i="7" a="1"/>
  <c r="O762" i="7" a="1"/>
  <c r="M762" i="7" a="1"/>
  <c r="O766" i="7" a="1"/>
  <c r="N770" i="7" a="1"/>
  <c r="K774" i="7" a="1"/>
  <c r="O778" i="7" a="1"/>
  <c r="M778" i="7" a="1"/>
  <c r="O782" i="7" a="1"/>
  <c r="N786" i="7" a="1"/>
  <c r="K790" i="7" a="1"/>
  <c r="O794" i="7" a="1"/>
  <c r="M794" i="7" a="1"/>
  <c r="O798" i="7" a="1"/>
  <c r="N802" i="7" a="1"/>
  <c r="K806" i="7" a="1"/>
  <c r="O810" i="7" a="1"/>
  <c r="M810" i="7" a="1"/>
  <c r="O814" i="7" a="1"/>
  <c r="N818" i="7" a="1"/>
  <c r="K822" i="7" a="1"/>
  <c r="N826" i="7" a="1"/>
  <c r="K826" i="7" a="1"/>
  <c r="M830" i="7" a="1"/>
  <c r="J7" i="7" a="1"/>
  <c r="I15" i="7" a="1"/>
  <c r="J23" i="7" a="1"/>
  <c r="J31" i="7" a="1"/>
  <c r="I39" i="7" a="1"/>
  <c r="J47" i="7" a="1"/>
  <c r="J55" i="7" a="1"/>
  <c r="J63" i="7" a="1"/>
  <c r="I71" i="7" a="1"/>
  <c r="J79" i="7" a="1"/>
  <c r="J87" i="7" a="1"/>
  <c r="J95" i="7" a="1"/>
  <c r="I103" i="7" a="1"/>
  <c r="I111" i="7" a="1"/>
  <c r="I119" i="7" a="1"/>
  <c r="I127" i="7" a="1"/>
  <c r="I135" i="7" a="1"/>
  <c r="I143" i="7" a="1"/>
  <c r="J147" i="7" a="1"/>
  <c r="J155" i="7" a="1"/>
  <c r="J163" i="7" a="1"/>
  <c r="J171" i="7" a="1"/>
  <c r="J179" i="7" a="1"/>
  <c r="J187" i="7" a="1"/>
  <c r="J195" i="7" a="1"/>
  <c r="J203" i="7" a="1"/>
  <c r="J211" i="7" a="1"/>
  <c r="I219" i="7" a="1"/>
  <c r="I227" i="7" a="1"/>
  <c r="I235" i="7" a="1"/>
  <c r="I243" i="7" a="1"/>
  <c r="I251" i="7" a="1"/>
  <c r="I259" i="7" a="1"/>
  <c r="I267" i="7" a="1"/>
  <c r="I275" i="7" a="1"/>
  <c r="I283" i="7" a="1"/>
  <c r="I291" i="7" a="1"/>
  <c r="I299" i="7" a="1"/>
  <c r="I307" i="7" a="1"/>
  <c r="I315" i="7" a="1"/>
  <c r="I323" i="7" a="1"/>
  <c r="I331" i="7" a="1"/>
  <c r="I339" i="7" a="1"/>
  <c r="I347" i="7" a="1"/>
  <c r="I355" i="7" a="1"/>
  <c r="I363" i="7" a="1"/>
  <c r="I371" i="7" a="1"/>
  <c r="I379" i="7" a="1"/>
  <c r="I387" i="7" a="1"/>
  <c r="I395" i="7" a="1"/>
  <c r="I403" i="7" a="1"/>
  <c r="I411" i="7" a="1"/>
  <c r="J419" i="7" a="1"/>
  <c r="J427" i="7" a="1"/>
  <c r="J435" i="7" a="1"/>
  <c r="J443" i="7" a="1"/>
  <c r="J451" i="7" a="1"/>
  <c r="J459" i="7" a="1"/>
  <c r="J467" i="7" a="1"/>
  <c r="J475" i="7" a="1"/>
  <c r="J483" i="7" a="1"/>
  <c r="J491" i="7" a="1"/>
  <c r="J499" i="7" a="1"/>
  <c r="J507" i="7" a="1"/>
  <c r="J515" i="7" a="1"/>
  <c r="J523" i="7" a="1"/>
  <c r="J531" i="7" a="1"/>
  <c r="J539" i="7" a="1"/>
  <c r="J547" i="7" a="1"/>
  <c r="I555" i="7" a="1"/>
  <c r="I563" i="7" a="1"/>
  <c r="I571" i="7" a="1"/>
  <c r="I579" i="7" a="1"/>
  <c r="I587" i="7" a="1"/>
  <c r="I595" i="7" a="1"/>
  <c r="I603" i="7" a="1"/>
  <c r="I611" i="7" a="1"/>
  <c r="I619" i="7" a="1"/>
  <c r="I627" i="7" a="1"/>
  <c r="I635" i="7" a="1"/>
  <c r="I643" i="7" a="1"/>
  <c r="I651" i="7" a="1"/>
  <c r="I659" i="7" a="1"/>
  <c r="J667" i="7" a="1"/>
  <c r="J675" i="7" a="1"/>
  <c r="J683" i="7" a="1"/>
  <c r="J691" i="7" a="1"/>
  <c r="J699" i="7" a="1"/>
  <c r="J707" i="7" a="1"/>
  <c r="J715" i="7" a="1"/>
  <c r="J723" i="7" a="1"/>
  <c r="J731" i="7" a="1"/>
  <c r="J739" i="7" a="1"/>
  <c r="J747" i="7" a="1"/>
  <c r="J755" i="7" a="1"/>
  <c r="J763" i="7" a="1"/>
  <c r="I771" i="7" a="1"/>
  <c r="I779" i="7" a="1"/>
  <c r="I787" i="7" a="1"/>
  <c r="I795" i="7" a="1"/>
  <c r="I803" i="7" a="1"/>
  <c r="I811" i="7" a="1"/>
  <c r="I819" i="7" a="1"/>
  <c r="I827" i="7" a="1"/>
  <c r="I4" i="7" a="1"/>
  <c r="I12" i="7" a="1"/>
  <c r="J20" i="7" a="1"/>
  <c r="I28" i="7" a="1"/>
  <c r="I36" i="7" a="1"/>
  <c r="I44" i="7" a="1"/>
  <c r="I52" i="7" a="1"/>
  <c r="I60" i="7" a="1"/>
  <c r="J68" i="7" a="1"/>
  <c r="I76" i="7" a="1"/>
  <c r="I84" i="7" a="1"/>
  <c r="J92" i="7" a="1"/>
  <c r="I100" i="7" a="1"/>
  <c r="I108" i="7" a="1"/>
  <c r="I116" i="7" a="1"/>
  <c r="I124" i="7" a="1"/>
  <c r="I132" i="7" a="1"/>
  <c r="I140" i="7" a="1"/>
  <c r="I148" i="7" a="1"/>
  <c r="I156" i="7" a="1"/>
  <c r="I164" i="7" a="1"/>
  <c r="I172" i="7" a="1"/>
  <c r="I180" i="7" a="1"/>
  <c r="I188" i="7" a="1"/>
  <c r="I196" i="7" a="1"/>
  <c r="I204" i="7" a="1"/>
  <c r="I212" i="7" a="1"/>
  <c r="I220" i="7" a="1"/>
  <c r="I228" i="7" a="1"/>
  <c r="I236" i="7" a="1"/>
  <c r="I244" i="7" a="1"/>
  <c r="I252" i="7" a="1"/>
  <c r="I260" i="7" a="1"/>
  <c r="I268" i="7" a="1"/>
  <c r="I276" i="7" a="1"/>
  <c r="I284" i="7" a="1"/>
  <c r="I292" i="7" a="1"/>
  <c r="I300" i="7" a="1"/>
  <c r="I308" i="7" a="1"/>
  <c r="I316" i="7" a="1"/>
  <c r="I324" i="7" a="1"/>
  <c r="I332" i="7" a="1"/>
  <c r="I340" i="7" a="1"/>
  <c r="I348" i="7" a="1"/>
  <c r="I356" i="7" a="1"/>
  <c r="I364" i="7" a="1"/>
  <c r="I372" i="7" a="1"/>
  <c r="I380" i="7" a="1"/>
  <c r="I388" i="7" a="1"/>
  <c r="I396" i="7" a="1"/>
  <c r="I404" i="7" a="1"/>
  <c r="I412" i="7" a="1"/>
  <c r="J420" i="7" a="1"/>
  <c r="J428" i="7" a="1"/>
  <c r="I436" i="7" a="1"/>
  <c r="I444" i="7" a="1"/>
  <c r="I452" i="7" a="1"/>
  <c r="I460" i="7" a="1"/>
  <c r="I468" i="7" a="1"/>
  <c r="I476" i="7" a="1"/>
  <c r="I484" i="7" a="1"/>
  <c r="I492" i="7" a="1"/>
  <c r="I500" i="7" a="1"/>
  <c r="I508" i="7" a="1"/>
  <c r="I516" i="7" a="1"/>
  <c r="I524" i="7" a="1"/>
  <c r="I532" i="7" a="1"/>
  <c r="J540" i="7" a="1"/>
  <c r="J548" i="7" a="1"/>
  <c r="J556" i="7" a="1"/>
  <c r="J564" i="7" a="1"/>
  <c r="J572" i="7" a="1"/>
  <c r="J580" i="7" a="1"/>
  <c r="J588" i="7" a="1"/>
  <c r="J596" i="7" a="1"/>
  <c r="J604" i="7" a="1"/>
  <c r="J612" i="7" a="1"/>
  <c r="J620" i="7" a="1"/>
  <c r="J628" i="7" a="1"/>
  <c r="J636" i="7" a="1"/>
  <c r="J644" i="7" a="1"/>
  <c r="J652" i="7" a="1"/>
  <c r="J660" i="7" a="1"/>
  <c r="J668" i="7" a="1"/>
  <c r="J676" i="7" a="1"/>
  <c r="J684" i="7" a="1"/>
  <c r="J692" i="7" a="1"/>
  <c r="J700" i="7" a="1"/>
  <c r="J708" i="7" a="1"/>
  <c r="J716" i="7" a="1"/>
  <c r="J724" i="7" a="1"/>
  <c r="J732" i="7" a="1"/>
  <c r="J740" i="7" a="1"/>
  <c r="J748" i="7" a="1"/>
  <c r="J756" i="7" a="1"/>
  <c r="J764" i="7" a="1"/>
  <c r="I772" i="7" a="1"/>
  <c r="I780" i="7" a="1"/>
  <c r="I788" i="7" a="1"/>
  <c r="I796" i="7" a="1"/>
  <c r="I804" i="7" a="1"/>
  <c r="I812" i="7" a="1"/>
  <c r="I820" i="7" a="1"/>
  <c r="I828" i="7" a="1"/>
  <c r="I5" i="7" a="1"/>
  <c r="I13" i="7" a="1"/>
  <c r="J21" i="7" a="1"/>
  <c r="I29" i="7" a="1"/>
  <c r="I37" i="7" a="1"/>
  <c r="J45" i="7" a="1"/>
  <c r="I53" i="7" a="1"/>
  <c r="I61" i="7" a="1"/>
  <c r="I69" i="7" a="1"/>
  <c r="J77" i="7" a="1"/>
  <c r="I85" i="7" a="1"/>
  <c r="I93" i="7" a="1"/>
  <c r="I101" i="7" a="1"/>
  <c r="I109" i="7" a="1"/>
  <c r="I117" i="7" a="1"/>
  <c r="I125" i="7" a="1"/>
  <c r="I133" i="7" a="1"/>
  <c r="I141" i="7" a="1"/>
  <c r="I149" i="7" a="1"/>
  <c r="I157" i="7" a="1"/>
  <c r="I165" i="7" a="1"/>
  <c r="I173" i="7" a="1"/>
  <c r="I181" i="7" a="1"/>
  <c r="I189" i="7" a="1"/>
  <c r="I197" i="7" a="1"/>
  <c r="I205" i="7" a="1"/>
  <c r="I213" i="7" a="1"/>
  <c r="I221" i="7" a="1"/>
  <c r="I229" i="7" a="1"/>
  <c r="I237" i="7" a="1"/>
  <c r="I245" i="7" a="1"/>
  <c r="I253" i="7" a="1"/>
  <c r="I261" i="7" a="1"/>
  <c r="J269" i="7" a="1"/>
  <c r="J277" i="7" a="1"/>
  <c r="I285" i="7" a="1"/>
  <c r="I293" i="7" a="1"/>
  <c r="I301" i="7" a="1"/>
  <c r="I309" i="7" a="1"/>
  <c r="I317" i="7" a="1"/>
  <c r="I325" i="7" a="1"/>
  <c r="I333" i="7" a="1"/>
  <c r="I341" i="7" a="1"/>
  <c r="I349" i="7" a="1"/>
  <c r="I357" i="7" a="1"/>
  <c r="I365" i="7" a="1"/>
  <c r="I373" i="7" a="1"/>
  <c r="I381" i="7" a="1"/>
  <c r="I389" i="7" a="1"/>
  <c r="I397" i="7" a="1"/>
  <c r="I405" i="7" a="1"/>
  <c r="I413" i="7" a="1"/>
  <c r="J421" i="7" a="1"/>
  <c r="J429" i="7" a="1"/>
  <c r="I437" i="7" a="1"/>
  <c r="I445" i="7" a="1"/>
  <c r="I453" i="7" a="1"/>
  <c r="I461" i="7" a="1"/>
  <c r="I469" i="7" a="1"/>
  <c r="I477" i="7" a="1"/>
  <c r="I485" i="7" a="1"/>
  <c r="I493" i="7" a="1"/>
  <c r="I501" i="7" a="1"/>
  <c r="I509" i="7" a="1"/>
  <c r="I517" i="7" a="1"/>
  <c r="I151" i="7" a="1"/>
  <c r="I159" i="7" a="1"/>
  <c r="I167" i="7" a="1"/>
  <c r="I175" i="7" a="1"/>
  <c r="I183" i="7" a="1"/>
  <c r="I191" i="7" a="1"/>
  <c r="I199" i="7" a="1"/>
  <c r="I207" i="7" a="1"/>
  <c r="I215" i="7" a="1"/>
  <c r="J223" i="7" a="1"/>
  <c r="J231" i="7" a="1"/>
  <c r="J239" i="7" a="1"/>
  <c r="J247" i="7" a="1"/>
  <c r="J255" i="7" a="1"/>
  <c r="J263" i="7" a="1"/>
  <c r="J271" i="7" a="1"/>
  <c r="J279" i="7" a="1"/>
  <c r="J287" i="7" a="1"/>
  <c r="J295" i="7" a="1"/>
  <c r="J303" i="7" a="1"/>
  <c r="J311" i="7" a="1"/>
  <c r="J319" i="7" a="1"/>
  <c r="J327" i="7" a="1"/>
  <c r="J335" i="7" a="1"/>
  <c r="J343" i="7" a="1"/>
  <c r="J351" i="7" a="1"/>
  <c r="J359" i="7" a="1"/>
  <c r="J367" i="7" a="1"/>
  <c r="J375" i="7" a="1"/>
  <c r="J383" i="7" a="1"/>
  <c r="J391" i="7" a="1"/>
  <c r="J399" i="7" a="1"/>
  <c r="J407" i="7" a="1"/>
  <c r="J415" i="7" a="1"/>
  <c r="I423" i="7" a="1"/>
  <c r="I431" i="7" a="1"/>
  <c r="I439" i="7" a="1"/>
  <c r="I447" i="7" a="1"/>
  <c r="I455" i="7" a="1"/>
  <c r="I463" i="7" a="1"/>
  <c r="I471" i="7" a="1"/>
  <c r="I479" i="7" a="1"/>
  <c r="I487" i="7" a="1"/>
  <c r="I495" i="7" a="1"/>
  <c r="I503" i="7" a="1"/>
  <c r="I511" i="7" a="1"/>
  <c r="I519" i="7" a="1"/>
  <c r="I527" i="7" a="1"/>
  <c r="I535" i="7" a="1"/>
  <c r="I543" i="7" a="1"/>
  <c r="I551" i="7" a="1"/>
  <c r="J559" i="7" a="1"/>
  <c r="J567" i="7" a="1"/>
  <c r="J575" i="7" a="1"/>
  <c r="J583" i="7" a="1"/>
  <c r="J591" i="7" a="1"/>
  <c r="J599" i="7" a="1"/>
  <c r="J607" i="7" a="1"/>
  <c r="J615" i="7" a="1"/>
  <c r="J623" i="7" a="1"/>
  <c r="J631" i="7" a="1"/>
  <c r="J639" i="7" a="1"/>
  <c r="J647" i="7" a="1"/>
  <c r="J655" i="7" a="1"/>
  <c r="J663" i="7" a="1"/>
  <c r="I671" i="7" a="1"/>
  <c r="I679" i="7" a="1"/>
  <c r="I687" i="7" a="1"/>
  <c r="I695" i="7" a="1"/>
  <c r="I703" i="7" a="1"/>
  <c r="I711" i="7" a="1"/>
  <c r="I719" i="7" a="1"/>
  <c r="I727" i="7" a="1"/>
  <c r="I735" i="7" a="1"/>
  <c r="I743" i="7" a="1"/>
  <c r="I751" i="7" a="1"/>
  <c r="I759" i="7" a="1"/>
  <c r="I767" i="7" a="1"/>
  <c r="J775" i="7" a="1"/>
  <c r="J783" i="7" a="1"/>
  <c r="J791" i="7" a="1"/>
  <c r="J799" i="7" a="1"/>
  <c r="J807" i="7" a="1"/>
  <c r="J815" i="7" a="1"/>
  <c r="J823" i="7" a="1"/>
  <c r="J831" i="7" a="1"/>
  <c r="J8" i="7" a="1"/>
  <c r="J16" i="7" a="1"/>
  <c r="J24" i="7" a="1"/>
  <c r="J32" i="7" a="1"/>
  <c r="I40" i="7" a="1"/>
  <c r="I48" i="7" a="1"/>
  <c r="J56" i="7" a="1"/>
  <c r="J64" i="7" a="1"/>
  <c r="I72" i="7" a="1"/>
  <c r="J80" i="7" a="1"/>
  <c r="I88" i="7" a="1"/>
  <c r="J96" i="7" a="1"/>
  <c r="J104" i="7" a="1"/>
  <c r="J112" i="7" a="1"/>
  <c r="J120" i="7" a="1"/>
  <c r="J128" i="7" a="1"/>
  <c r="J136" i="7" a="1"/>
  <c r="J144" i="7" a="1"/>
  <c r="J152" i="7" a="1"/>
  <c r="J160" i="7" a="1"/>
  <c r="J168" i="7" a="1"/>
  <c r="J176" i="7" a="1"/>
  <c r="J184" i="7" a="1"/>
  <c r="J192" i="7" a="1"/>
  <c r="J200" i="7" a="1"/>
  <c r="J208" i="7" a="1"/>
  <c r="J216" i="7" a="1"/>
  <c r="J224" i="7" a="1"/>
  <c r="J232" i="7" a="1"/>
  <c r="J240" i="7" a="1"/>
  <c r="J248" i="7" a="1"/>
  <c r="J256" i="7" a="1"/>
  <c r="J264" i="7" a="1"/>
  <c r="J272" i="7" a="1"/>
  <c r="J280" i="7" a="1"/>
  <c r="J288" i="7" a="1"/>
  <c r="J296" i="7" a="1"/>
  <c r="J304" i="7" a="1"/>
  <c r="J312" i="7" a="1"/>
  <c r="J320" i="7" a="1"/>
  <c r="J328" i="7" a="1"/>
  <c r="J336" i="7" a="1"/>
  <c r="J344" i="7" a="1"/>
  <c r="J352" i="7" a="1"/>
  <c r="J360" i="7" a="1"/>
  <c r="J368" i="7" a="1"/>
  <c r="J376" i="7" a="1"/>
  <c r="J384" i="7" a="1"/>
  <c r="J392" i="7" a="1"/>
  <c r="J400" i="7" a="1"/>
  <c r="J408" i="7" a="1"/>
  <c r="J416" i="7" a="1"/>
  <c r="I424" i="7" a="1"/>
  <c r="I432" i="7" a="1"/>
  <c r="J440" i="7" a="1"/>
  <c r="J448" i="7" a="1"/>
  <c r="J456" i="7" a="1"/>
  <c r="J464" i="7" a="1"/>
  <c r="J472" i="7" a="1"/>
  <c r="J480" i="7" a="1"/>
  <c r="J488" i="7" a="1"/>
  <c r="J496" i="7" a="1"/>
  <c r="J504" i="7" a="1"/>
  <c r="J512" i="7" a="1"/>
  <c r="J520" i="7" a="1"/>
  <c r="J528" i="7" a="1"/>
  <c r="J536" i="7" a="1"/>
  <c r="I544" i="7" a="1"/>
  <c r="I552" i="7" a="1"/>
  <c r="I560" i="7" a="1"/>
  <c r="I568" i="7" a="1"/>
  <c r="I576" i="7" a="1"/>
  <c r="I584" i="7" a="1"/>
  <c r="I592" i="7" a="1"/>
  <c r="I600" i="7" a="1"/>
  <c r="I608" i="7" a="1"/>
  <c r="I616" i="7" a="1"/>
  <c r="I624" i="7" a="1"/>
  <c r="I632" i="7" a="1"/>
  <c r="I640" i="7" a="1"/>
  <c r="I648" i="7" a="1"/>
  <c r="I656" i="7" a="1"/>
  <c r="I664" i="7" a="1"/>
  <c r="I672" i="7" a="1"/>
  <c r="I680" i="7" a="1"/>
  <c r="I688" i="7" a="1"/>
  <c r="I696" i="7" a="1"/>
  <c r="I704" i="7" a="1"/>
  <c r="I712" i="7" a="1"/>
  <c r="I720" i="7" a="1"/>
  <c r="I728" i="7" a="1"/>
  <c r="I736" i="7" a="1"/>
  <c r="I744" i="7" a="1"/>
  <c r="I752" i="7" a="1"/>
  <c r="I760" i="7" a="1"/>
  <c r="I768" i="7" a="1"/>
  <c r="J776" i="7" a="1"/>
  <c r="J784" i="7" a="1"/>
  <c r="J792" i="7" a="1"/>
  <c r="J800" i="7" a="1"/>
  <c r="J808" i="7" a="1"/>
  <c r="J816" i="7" a="1"/>
  <c r="J824" i="7" a="1"/>
  <c r="J832" i="7" a="1"/>
  <c r="J9" i="7" a="1"/>
  <c r="I17" i="7" a="1"/>
  <c r="J25" i="7" a="1"/>
  <c r="J33" i="7" a="1"/>
  <c r="J41" i="7" a="1"/>
  <c r="J49" i="7" a="1"/>
  <c r="J57" i="7" a="1"/>
  <c r="J65" i="7" a="1"/>
  <c r="J73" i="7" a="1"/>
  <c r="J81" i="7" a="1"/>
  <c r="J89" i="7" a="1"/>
  <c r="J97" i="7" a="1"/>
  <c r="J105" i="7" a="1"/>
  <c r="J113" i="7" a="1"/>
  <c r="J121" i="7" a="1"/>
  <c r="J129" i="7" a="1"/>
  <c r="J137" i="7" a="1"/>
  <c r="J145" i="7" a="1"/>
  <c r="J153" i="7" a="1"/>
  <c r="J161" i="7" a="1"/>
  <c r="J169" i="7" a="1"/>
  <c r="J177" i="7" a="1"/>
  <c r="J185" i="7" a="1"/>
  <c r="J193" i="7" a="1"/>
  <c r="J201" i="7" a="1"/>
  <c r="J209" i="7" a="1"/>
  <c r="J217" i="7" a="1"/>
  <c r="J225" i="7" a="1"/>
  <c r="J233" i="7" a="1"/>
  <c r="J241" i="7" a="1"/>
  <c r="J249" i="7" a="1"/>
  <c r="J257" i="7" a="1"/>
  <c r="J265" i="7" a="1"/>
  <c r="I273" i="7" a="1"/>
  <c r="J281" i="7" a="1"/>
  <c r="J289" i="7" a="1"/>
  <c r="J297" i="7" a="1"/>
  <c r="J305" i="7" a="1"/>
  <c r="J313" i="7" a="1"/>
  <c r="J321" i="7" a="1"/>
  <c r="J329" i="7" a="1"/>
  <c r="J337" i="7" a="1"/>
  <c r="J345" i="7" a="1"/>
  <c r="J353" i="7" a="1"/>
  <c r="J361" i="7" a="1"/>
  <c r="J369" i="7" a="1"/>
  <c r="J377" i="7" a="1"/>
  <c r="J385" i="7" a="1"/>
  <c r="J393" i="7" a="1"/>
  <c r="J401" i="7" a="1"/>
  <c r="J409" i="7" a="1"/>
  <c r="J417" i="7" a="1"/>
  <c r="I425" i="7" a="1"/>
  <c r="I433" i="7" a="1"/>
  <c r="J441" i="7" a="1"/>
  <c r="J449" i="7" a="1"/>
  <c r="J457" i="7" a="1"/>
  <c r="J465" i="7" a="1"/>
  <c r="J473" i="7" a="1"/>
  <c r="J481" i="7" a="1"/>
  <c r="J489" i="7" a="1"/>
  <c r="J497" i="7" a="1"/>
  <c r="J505" i="7" a="1"/>
  <c r="J513" i="7" a="1"/>
  <c r="J521" i="7" a="1"/>
  <c r="J151" i="7" a="1"/>
  <c r="J159" i="7" a="1"/>
  <c r="J167" i="7" a="1"/>
  <c r="J175" i="7" a="1"/>
  <c r="J183" i="7" a="1"/>
  <c r="J191" i="7" a="1"/>
  <c r="J199" i="7" a="1"/>
  <c r="J207" i="7" a="1"/>
  <c r="J215" i="7" a="1"/>
  <c r="I223" i="7" a="1"/>
  <c r="I231" i="7" a="1"/>
  <c r="I239" i="7" a="1"/>
  <c r="I247" i="7" a="1"/>
  <c r="I255" i="7" a="1"/>
  <c r="I263" i="7" a="1"/>
  <c r="I271" i="7" a="1"/>
  <c r="I279" i="7" a="1"/>
  <c r="I287" i="7" a="1"/>
  <c r="I295" i="7" a="1"/>
  <c r="I303" i="7" a="1"/>
  <c r="I311" i="7" a="1"/>
  <c r="I319" i="7" a="1"/>
  <c r="I327" i="7" a="1"/>
  <c r="I335" i="7" a="1"/>
  <c r="I343" i="7" a="1"/>
  <c r="I351" i="7" a="1"/>
  <c r="I359" i="7" a="1"/>
  <c r="I367" i="7" a="1"/>
  <c r="I375" i="7" a="1"/>
  <c r="I383" i="7" a="1"/>
  <c r="I391" i="7" a="1"/>
  <c r="I399" i="7" a="1"/>
  <c r="I407" i="7" a="1"/>
  <c r="I415" i="7" a="1"/>
  <c r="J423" i="7" a="1"/>
  <c r="J431" i="7" a="1"/>
  <c r="J439" i="7" a="1"/>
  <c r="J447" i="7" a="1"/>
  <c r="J455" i="7" a="1"/>
  <c r="J463" i="7" a="1"/>
  <c r="J471" i="7" a="1"/>
  <c r="J479" i="7" a="1"/>
  <c r="J487" i="7" a="1"/>
  <c r="J495" i="7" a="1"/>
  <c r="J503" i="7" a="1"/>
  <c r="J511" i="7" a="1"/>
  <c r="J519" i="7" a="1"/>
  <c r="J527" i="7" a="1"/>
  <c r="J535" i="7" a="1"/>
  <c r="J543" i="7" a="1"/>
  <c r="J551" i="7" a="1"/>
  <c r="I559" i="7" a="1"/>
  <c r="I567" i="7" a="1"/>
  <c r="I575" i="7" a="1"/>
  <c r="I583" i="7" a="1"/>
  <c r="I591" i="7" a="1"/>
  <c r="I599" i="7" a="1"/>
  <c r="I607" i="7" a="1"/>
  <c r="I615" i="7" a="1"/>
  <c r="I623" i="7" a="1"/>
  <c r="I631" i="7" a="1"/>
  <c r="I639" i="7" a="1"/>
  <c r="I647" i="7" a="1"/>
  <c r="I655" i="7" a="1"/>
  <c r="I663" i="7" a="1"/>
  <c r="J671" i="7" a="1"/>
  <c r="J679" i="7" a="1"/>
  <c r="J687" i="7" a="1"/>
  <c r="J695" i="7" a="1"/>
  <c r="J703" i="7" a="1"/>
  <c r="J711" i="7" a="1"/>
  <c r="J719" i="7" a="1"/>
  <c r="J727" i="7" a="1"/>
  <c r="J735" i="7" a="1"/>
  <c r="J743" i="7" a="1"/>
  <c r="J751" i="7" a="1"/>
  <c r="J759" i="7" a="1"/>
  <c r="J767" i="7" a="1"/>
  <c r="I775" i="7" a="1"/>
  <c r="I783" i="7" a="1"/>
  <c r="I791" i="7" a="1"/>
  <c r="I799" i="7" a="1"/>
  <c r="I807" i="7" a="1"/>
  <c r="I815" i="7" a="1"/>
  <c r="I823" i="7" a="1"/>
  <c r="I831" i="7" a="1"/>
  <c r="I8" i="7" a="1"/>
  <c r="I16" i="7" a="1"/>
  <c r="I24" i="7" a="1"/>
  <c r="I32" i="7" a="1"/>
  <c r="J40" i="7" a="1"/>
  <c r="J48" i="7" a="1"/>
  <c r="I56" i="7" a="1"/>
  <c r="I64" i="7" a="1"/>
  <c r="J72" i="7" a="1"/>
  <c r="I80" i="7" a="1"/>
  <c r="J88" i="7" a="1"/>
  <c r="I96" i="7" a="1"/>
  <c r="I104" i="7" a="1"/>
  <c r="I112" i="7" a="1"/>
  <c r="I120" i="7" a="1"/>
  <c r="I128" i="7" a="1"/>
  <c r="I136" i="7" a="1"/>
  <c r="I144" i="7" a="1"/>
  <c r="I152" i="7" a="1"/>
  <c r="I160" i="7" a="1"/>
  <c r="I168" i="7" a="1"/>
  <c r="I176" i="7" a="1"/>
  <c r="I184" i="7" a="1"/>
  <c r="I192" i="7" a="1"/>
  <c r="I200" i="7" a="1"/>
  <c r="I208" i="7" a="1"/>
  <c r="I216" i="7" a="1"/>
  <c r="I224" i="7" a="1"/>
  <c r="I232" i="7" a="1"/>
  <c r="I240" i="7" a="1"/>
  <c r="I248" i="7" a="1"/>
  <c r="I256" i="7" a="1"/>
  <c r="I264" i="7" a="1"/>
  <c r="I272" i="7" a="1"/>
  <c r="I280" i="7" a="1"/>
  <c r="I288" i="7" a="1"/>
  <c r="I296" i="7" a="1"/>
  <c r="I304" i="7" a="1"/>
  <c r="I312" i="7" a="1"/>
  <c r="I320" i="7" a="1"/>
  <c r="I328" i="7" a="1"/>
  <c r="I336" i="7" a="1"/>
  <c r="I344" i="7" a="1"/>
  <c r="I352" i="7" a="1"/>
  <c r="I360" i="7" a="1"/>
  <c r="I368" i="7" a="1"/>
  <c r="I376" i="7" a="1"/>
  <c r="I384" i="7" a="1"/>
  <c r="I392" i="7" a="1"/>
  <c r="I400" i="7" a="1"/>
  <c r="I408" i="7" a="1"/>
  <c r="I416" i="7" a="1"/>
  <c r="J424" i="7" a="1"/>
  <c r="J432" i="7" a="1"/>
  <c r="I440" i="7" a="1"/>
  <c r="I448" i="7" a="1"/>
  <c r="I456" i="7" a="1"/>
  <c r="I464" i="7" a="1"/>
  <c r="I472" i="7" a="1"/>
  <c r="I480" i="7" a="1"/>
  <c r="I488" i="7" a="1"/>
  <c r="I496" i="7" a="1"/>
  <c r="I504" i="7" a="1"/>
  <c r="I512" i="7" a="1"/>
  <c r="I520" i="7" a="1"/>
  <c r="I528" i="7" a="1"/>
  <c r="I536" i="7" a="1"/>
  <c r="J544" i="7" a="1"/>
  <c r="J552" i="7" a="1"/>
  <c r="J560" i="7" a="1"/>
  <c r="J568" i="7" a="1"/>
  <c r="J576" i="7" a="1"/>
  <c r="J584" i="7" a="1"/>
  <c r="J592" i="7" a="1"/>
  <c r="J600" i="7" a="1"/>
  <c r="J608" i="7" a="1"/>
  <c r="J616" i="7" a="1"/>
  <c r="J624" i="7" a="1"/>
  <c r="J632" i="7" a="1"/>
  <c r="J640" i="7" a="1"/>
  <c r="J648" i="7" a="1"/>
  <c r="J656" i="7" a="1"/>
  <c r="J664" i="7" a="1"/>
  <c r="J672" i="7" a="1"/>
  <c r="J680" i="7" a="1"/>
  <c r="J688" i="7" a="1"/>
  <c r="J696" i="7" a="1"/>
  <c r="J704" i="7" a="1"/>
  <c r="J712" i="7" a="1"/>
  <c r="J720" i="7" a="1"/>
  <c r="J728" i="7" a="1"/>
  <c r="J736" i="7" a="1"/>
  <c r="J744" i="7" a="1"/>
  <c r="J752" i="7" a="1"/>
  <c r="J760" i="7" a="1"/>
  <c r="J768" i="7" a="1"/>
  <c r="I776" i="7" a="1"/>
  <c r="I784" i="7" a="1"/>
  <c r="I792" i="7" a="1"/>
  <c r="I800" i="7" a="1"/>
  <c r="I808" i="7" a="1"/>
  <c r="I816" i="7" a="1"/>
  <c r="I824" i="7" a="1"/>
  <c r="I832" i="7" a="1"/>
  <c r="I9" i="7" a="1"/>
  <c r="J17" i="7" a="1"/>
  <c r="I25" i="7" a="1"/>
  <c r="I33" i="7" a="1"/>
  <c r="I41" i="7" a="1"/>
  <c r="I49" i="7" a="1"/>
  <c r="I57" i="7" a="1"/>
  <c r="I65" i="7" a="1"/>
  <c r="I73" i="7" a="1"/>
  <c r="I81" i="7" a="1"/>
  <c r="I89" i="7" a="1"/>
  <c r="I97" i="7" a="1"/>
  <c r="I105" i="7" a="1"/>
  <c r="I113" i="7" a="1"/>
  <c r="I121" i="7" a="1"/>
  <c r="I129" i="7" a="1"/>
  <c r="I137" i="7" a="1"/>
  <c r="I145" i="7" a="1"/>
  <c r="I153" i="7" a="1"/>
  <c r="I161" i="7" a="1"/>
  <c r="I169" i="7" a="1"/>
  <c r="I177" i="7" a="1"/>
  <c r="I185" i="7" a="1"/>
  <c r="I193" i="7" a="1"/>
  <c r="I201" i="7" a="1"/>
  <c r="I209" i="7" a="1"/>
  <c r="I217" i="7" a="1"/>
  <c r="I225" i="7" a="1"/>
  <c r="I233" i="7" a="1"/>
  <c r="I241" i="7" a="1"/>
  <c r="I249" i="7" a="1"/>
  <c r="I257" i="7" a="1"/>
  <c r="I265" i="7" a="1"/>
  <c r="J273" i="7" a="1"/>
  <c r="I281" i="7" a="1"/>
  <c r="I289" i="7" a="1"/>
  <c r="I297" i="7" a="1"/>
  <c r="I305" i="7" a="1"/>
  <c r="I313" i="7" a="1"/>
  <c r="I321" i="7" a="1"/>
  <c r="I329" i="7" a="1"/>
  <c r="I337" i="7" a="1"/>
  <c r="I345" i="7" a="1"/>
  <c r="I353" i="7" a="1"/>
  <c r="I361" i="7" a="1"/>
  <c r="I369" i="7" a="1"/>
  <c r="I377" i="7" a="1"/>
  <c r="I385" i="7" a="1"/>
  <c r="I393" i="7" a="1"/>
  <c r="I401" i="7" a="1"/>
  <c r="I409" i="7" a="1"/>
  <c r="I417" i="7" a="1"/>
  <c r="J425" i="7" a="1"/>
  <c r="J433" i="7" a="1"/>
  <c r="I441" i="7" a="1"/>
  <c r="I449" i="7" a="1"/>
  <c r="I457" i="7" a="1"/>
  <c r="I465" i="7" a="1"/>
  <c r="I473" i="7" a="1"/>
  <c r="I481" i="7" a="1"/>
  <c r="I489" i="7" a="1"/>
  <c r="I497" i="7" a="1"/>
  <c r="I505" i="7" a="1"/>
  <c r="I513" i="7" a="1"/>
  <c r="I155" i="7" a="1"/>
  <c r="I163" i="7" a="1"/>
  <c r="I171" i="7" a="1"/>
  <c r="I179" i="7" a="1"/>
  <c r="I187" i="7" a="1"/>
  <c r="I195" i="7" a="1"/>
  <c r="I203" i="7" a="1"/>
  <c r="I211" i="7" a="1"/>
  <c r="J219" i="7" a="1"/>
  <c r="J227" i="7" a="1"/>
  <c r="J235" i="7" a="1"/>
  <c r="J243" i="7" a="1"/>
  <c r="J251" i="7" a="1"/>
  <c r="J259" i="7" a="1"/>
  <c r="J267" i="7" a="1"/>
  <c r="J275" i="7" a="1"/>
  <c r="J283" i="7" a="1"/>
  <c r="J291" i="7" a="1"/>
  <c r="J299" i="7" a="1"/>
  <c r="J307" i="7" a="1"/>
  <c r="J315" i="7" a="1"/>
  <c r="J323" i="7" a="1"/>
  <c r="J331" i="7" a="1"/>
  <c r="J339" i="7" a="1"/>
  <c r="J347" i="7" a="1"/>
  <c r="J355" i="7" a="1"/>
  <c r="J363" i="7" a="1"/>
  <c r="J371" i="7" a="1"/>
  <c r="J379" i="7" a="1"/>
  <c r="J387" i="7" a="1"/>
  <c r="J395" i="7" a="1"/>
  <c r="J403" i="7" a="1"/>
  <c r="J411" i="7" a="1"/>
  <c r="I419" i="7" a="1"/>
  <c r="I427" i="7" a="1"/>
  <c r="I435" i="7" a="1"/>
  <c r="I443" i="7" a="1"/>
  <c r="I451" i="7" a="1"/>
  <c r="I459" i="7" a="1"/>
  <c r="I467" i="7" a="1"/>
  <c r="I475" i="7" a="1"/>
  <c r="I483" i="7" a="1"/>
  <c r="I491" i="7" a="1"/>
  <c r="I499" i="7" a="1"/>
  <c r="I507" i="7" a="1"/>
  <c r="I515" i="7" a="1"/>
  <c r="I523" i="7" a="1"/>
  <c r="I531" i="7" a="1"/>
  <c r="I539" i="7" a="1"/>
  <c r="I547" i="7" a="1"/>
  <c r="J555" i="7" a="1"/>
  <c r="J563" i="7" a="1"/>
  <c r="J571" i="7" a="1"/>
  <c r="J579" i="7" a="1"/>
  <c r="J587" i="7" a="1"/>
  <c r="J595" i="7" a="1"/>
  <c r="J603" i="7" a="1"/>
  <c r="J611" i="7" a="1"/>
  <c r="J619" i="7" a="1"/>
  <c r="J627" i="7" a="1"/>
  <c r="J635" i="7" a="1"/>
  <c r="J643" i="7" a="1"/>
  <c r="J651" i="7" a="1"/>
  <c r="J659" i="7" a="1"/>
  <c r="I667" i="7" a="1"/>
  <c r="I675" i="7" a="1"/>
  <c r="I683" i="7" a="1"/>
  <c r="I691" i="7" a="1"/>
  <c r="I699" i="7" a="1"/>
  <c r="I707" i="7" a="1"/>
  <c r="I715" i="7" a="1"/>
  <c r="I723" i="7" a="1"/>
  <c r="I731" i="7" a="1"/>
  <c r="I739" i="7" a="1"/>
  <c r="I747" i="7" a="1"/>
  <c r="I755" i="7" a="1"/>
  <c r="I763" i="7" a="1"/>
  <c r="J771" i="7" a="1"/>
  <c r="J779" i="7" a="1"/>
  <c r="J787" i="7" a="1"/>
  <c r="J795" i="7" a="1"/>
  <c r="J803" i="7" a="1"/>
  <c r="J811" i="7" a="1"/>
  <c r="J819" i="7" a="1"/>
  <c r="J827" i="7" a="1"/>
  <c r="J4" i="7" a="1"/>
  <c r="J12" i="7" a="1"/>
  <c r="I20" i="7" a="1"/>
  <c r="J28" i="7" a="1"/>
  <c r="J36" i="7" a="1"/>
  <c r="J44" i="7" a="1"/>
  <c r="J52" i="7" a="1"/>
  <c r="J60" i="7" a="1"/>
  <c r="I68" i="7" a="1"/>
  <c r="J76" i="7" a="1"/>
  <c r="J84" i="7" a="1"/>
  <c r="I92" i="7" a="1"/>
  <c r="J100" i="7" a="1"/>
  <c r="J108" i="7" a="1"/>
  <c r="J116" i="7" a="1"/>
  <c r="J124" i="7" a="1"/>
  <c r="J132" i="7" a="1"/>
  <c r="J140" i="7" a="1"/>
  <c r="J148" i="7" a="1"/>
  <c r="J156" i="7" a="1"/>
  <c r="J164" i="7" a="1"/>
  <c r="J172" i="7" a="1"/>
  <c r="J180" i="7" a="1"/>
  <c r="J188" i="7" a="1"/>
  <c r="J196" i="7" a="1"/>
  <c r="J204" i="7" a="1"/>
  <c r="J212" i="7" a="1"/>
  <c r="J220" i="7" a="1"/>
  <c r="J228" i="7" a="1"/>
  <c r="J236" i="7" a="1"/>
  <c r="J244" i="7" a="1"/>
  <c r="J252" i="7" a="1"/>
  <c r="J260" i="7" a="1"/>
  <c r="J268" i="7" a="1"/>
  <c r="J276" i="7" a="1"/>
  <c r="J284" i="7" a="1"/>
  <c r="J292" i="7" a="1"/>
  <c r="J300" i="7" a="1"/>
  <c r="J308" i="7" a="1"/>
  <c r="J316" i="7" a="1"/>
  <c r="J324" i="7" a="1"/>
  <c r="J332" i="7" a="1"/>
  <c r="J340" i="7" a="1"/>
  <c r="J348" i="7" a="1"/>
  <c r="J356" i="7" a="1"/>
  <c r="J364" i="7" a="1"/>
  <c r="J372" i="7" a="1"/>
  <c r="J380" i="7" a="1"/>
  <c r="J388" i="7" a="1"/>
  <c r="J396" i="7" a="1"/>
  <c r="J404" i="7" a="1"/>
  <c r="J412" i="7" a="1"/>
  <c r="I420" i="7" a="1"/>
  <c r="I428" i="7" a="1"/>
  <c r="J436" i="7" a="1"/>
  <c r="J444" i="7" a="1"/>
  <c r="J452" i="7" a="1"/>
  <c r="J460" i="7" a="1"/>
  <c r="J468" i="7" a="1"/>
  <c r="J476" i="7" a="1"/>
  <c r="J484" i="7" a="1"/>
  <c r="J492" i="7" a="1"/>
  <c r="J500" i="7" a="1"/>
  <c r="J508" i="7" a="1"/>
  <c r="J516" i="7" a="1"/>
  <c r="J524" i="7" a="1"/>
  <c r="J532" i="7" a="1"/>
  <c r="I540" i="7" a="1"/>
  <c r="I548" i="7" a="1"/>
  <c r="I556" i="7" a="1"/>
  <c r="I564" i="7" a="1"/>
  <c r="I572" i="7" a="1"/>
  <c r="I580" i="7" a="1"/>
  <c r="I588" i="7" a="1"/>
  <c r="I596" i="7" a="1"/>
  <c r="I604" i="7" a="1"/>
  <c r="I612" i="7" a="1"/>
  <c r="I620" i="7" a="1"/>
  <c r="I628" i="7" a="1"/>
  <c r="I636" i="7" a="1"/>
  <c r="I644" i="7" a="1"/>
  <c r="I652" i="7" a="1"/>
  <c r="I660" i="7" a="1"/>
  <c r="I668" i="7" a="1"/>
  <c r="I676" i="7" a="1"/>
  <c r="I684" i="7" a="1"/>
  <c r="I692" i="7" a="1"/>
  <c r="I700" i="7" a="1"/>
  <c r="I708" i="7" a="1"/>
  <c r="I716" i="7" a="1"/>
  <c r="I724" i="7" a="1"/>
  <c r="I732" i="7" a="1"/>
  <c r="I740" i="7" a="1"/>
  <c r="I748" i="7" a="1"/>
  <c r="I756" i="7" a="1"/>
  <c r="I764" i="7" a="1"/>
  <c r="J772" i="7" a="1"/>
  <c r="J780" i="7" a="1"/>
  <c r="J788" i="7" a="1"/>
  <c r="J796" i="7" a="1"/>
  <c r="J804" i="7" a="1"/>
  <c r="J812" i="7" a="1"/>
  <c r="J820" i="7" a="1"/>
  <c r="J828" i="7" a="1"/>
  <c r="J5" i="7" a="1"/>
  <c r="J13" i="7" a="1"/>
  <c r="I21" i="7" a="1"/>
  <c r="J29" i="7" a="1"/>
  <c r="J37" i="7" a="1"/>
  <c r="I45" i="7" a="1"/>
  <c r="J53" i="7" a="1"/>
  <c r="J61" i="7" a="1"/>
  <c r="J69" i="7" a="1"/>
  <c r="I77" i="7" a="1"/>
  <c r="J85" i="7" a="1"/>
  <c r="J93" i="7" a="1"/>
  <c r="J101" i="7" a="1"/>
  <c r="J109" i="7" a="1"/>
  <c r="J117" i="7" a="1"/>
  <c r="J125" i="7" a="1"/>
  <c r="J133" i="7" a="1"/>
  <c r="J141" i="7" a="1"/>
  <c r="J149" i="7" a="1"/>
  <c r="J157" i="7" a="1"/>
  <c r="J165" i="7" a="1"/>
  <c r="J173" i="7" a="1"/>
  <c r="J181" i="7" a="1"/>
  <c r="J189" i="7" a="1"/>
  <c r="J197" i="7" a="1"/>
  <c r="J205" i="7" a="1"/>
  <c r="J213" i="7" a="1"/>
  <c r="J221" i="7" a="1"/>
  <c r="J229" i="7" a="1"/>
  <c r="J237" i="7" a="1"/>
  <c r="J245" i="7" a="1"/>
  <c r="J253" i="7" a="1"/>
  <c r="J261" i="7" a="1"/>
  <c r="I269" i="7" a="1"/>
  <c r="I277" i="7" a="1"/>
  <c r="J285" i="7" a="1"/>
  <c r="J293" i="7" a="1"/>
  <c r="J301" i="7" a="1"/>
  <c r="J309" i="7" a="1"/>
  <c r="J317" i="7" a="1"/>
  <c r="J325" i="7" a="1"/>
  <c r="J333" i="7" a="1"/>
  <c r="J341" i="7" a="1"/>
  <c r="J349" i="7" a="1"/>
  <c r="J357" i="7" a="1"/>
  <c r="J365" i="7" a="1"/>
  <c r="J373" i="7" a="1"/>
  <c r="J381" i="7" a="1"/>
  <c r="J389" i="7" a="1"/>
  <c r="J397" i="7" a="1"/>
  <c r="J405" i="7" a="1"/>
  <c r="J413" i="7" a="1"/>
  <c r="I421" i="7" a="1"/>
  <c r="I429" i="7" a="1"/>
  <c r="J437" i="7" a="1"/>
  <c r="J445" i="7" a="1"/>
  <c r="J453" i="7" a="1"/>
  <c r="J461" i="7" a="1"/>
  <c r="J469" i="7" a="1"/>
  <c r="J477" i="7" a="1"/>
  <c r="J485" i="7" a="1"/>
  <c r="J493" i="7" a="1"/>
  <c r="J501" i="7" a="1"/>
  <c r="J509" i="7" a="1"/>
  <c r="J517" i="7" a="1"/>
  <c r="I521" i="7" a="1"/>
  <c r="I529" i="7" a="1"/>
  <c r="I537" i="7" a="1"/>
  <c r="J545" i="7" a="1"/>
  <c r="I553" i="7" a="1"/>
  <c r="I561" i="7" a="1"/>
  <c r="I569" i="7" a="1"/>
  <c r="I577" i="7" a="1"/>
  <c r="I585" i="7" a="1"/>
  <c r="I593" i="7" a="1"/>
  <c r="I601" i="7" a="1"/>
  <c r="I609" i="7" a="1"/>
  <c r="I617" i="7" a="1"/>
  <c r="I625" i="7" a="1"/>
  <c r="I633" i="7" a="1"/>
  <c r="I641" i="7" a="1"/>
  <c r="I649" i="7" a="1"/>
  <c r="I657" i="7" a="1"/>
  <c r="J665" i="7" a="1"/>
  <c r="J673" i="7" a="1"/>
  <c r="J681" i="7" a="1"/>
  <c r="J689" i="7" a="1"/>
  <c r="J697" i="7" a="1"/>
  <c r="J705" i="7" a="1"/>
  <c r="J713" i="7" a="1"/>
  <c r="J721" i="7" a="1"/>
  <c r="J729" i="7" a="1"/>
  <c r="J737" i="7" a="1"/>
  <c r="J745" i="7" a="1"/>
  <c r="J753" i="7" a="1"/>
  <c r="J761" i="7" a="1"/>
  <c r="J769" i="7" a="1"/>
  <c r="I777" i="7" a="1"/>
  <c r="I785" i="7" a="1"/>
  <c r="I793" i="7" a="1"/>
  <c r="I801" i="7" a="1"/>
  <c r="I809" i="7" a="1"/>
  <c r="I817" i="7" a="1"/>
  <c r="I825" i="7" a="1"/>
  <c r="I833" i="7" a="1"/>
  <c r="I10" i="7" a="1"/>
  <c r="I18" i="7" a="1"/>
  <c r="I26" i="7" a="1"/>
  <c r="I34" i="7" a="1"/>
  <c r="J42" i="7" a="1"/>
  <c r="I50" i="7" a="1"/>
  <c r="I58" i="7" a="1"/>
  <c r="J66" i="7" a="1"/>
  <c r="J74" i="7" a="1"/>
  <c r="I82" i="7" a="1"/>
  <c r="I90" i="7" a="1"/>
  <c r="I98" i="7" a="1"/>
  <c r="I106" i="7" a="1"/>
  <c r="I114" i="7" a="1"/>
  <c r="I122" i="7" a="1"/>
  <c r="I130" i="7" a="1"/>
  <c r="I138" i="7" a="1"/>
  <c r="I146" i="7" a="1"/>
  <c r="I154" i="7" a="1"/>
  <c r="I162" i="7" a="1"/>
  <c r="I170" i="7" a="1"/>
  <c r="I178" i="7" a="1"/>
  <c r="J186" i="7" a="1"/>
  <c r="J194" i="7" a="1"/>
  <c r="J202" i="7" a="1"/>
  <c r="J210" i="7" a="1"/>
  <c r="I218" i="7" a="1"/>
  <c r="I226" i="7" a="1"/>
  <c r="I234" i="7" a="1"/>
  <c r="I242" i="7" a="1"/>
  <c r="I250" i="7" a="1"/>
  <c r="I258" i="7" a="1"/>
  <c r="I266" i="7" a="1"/>
  <c r="J274" i="7" a="1"/>
  <c r="I282" i="7" a="1"/>
  <c r="I290" i="7" a="1"/>
  <c r="I298" i="7" a="1"/>
  <c r="I306" i="7" a="1"/>
  <c r="I314" i="7" a="1"/>
  <c r="I322" i="7" a="1"/>
  <c r="I330" i="7" a="1"/>
  <c r="I338" i="7" a="1"/>
  <c r="I346" i="7" a="1"/>
  <c r="I354" i="7" a="1"/>
  <c r="I362" i="7" a="1"/>
  <c r="I370" i="7" a="1"/>
  <c r="I378" i="7" a="1"/>
  <c r="I386" i="7" a="1"/>
  <c r="I394" i="7" a="1"/>
  <c r="I402" i="7" a="1"/>
  <c r="I410" i="7" a="1"/>
  <c r="J418" i="7" a="1"/>
  <c r="J426" i="7" a="1"/>
  <c r="J434" i="7" a="1"/>
  <c r="J442" i="7" a="1"/>
  <c r="J450" i="7" a="1"/>
  <c r="J458" i="7" a="1"/>
  <c r="J466" i="7" a="1"/>
  <c r="J474" i="7" a="1"/>
  <c r="J482" i="7" a="1"/>
  <c r="J490" i="7" a="1"/>
  <c r="J498" i="7" a="1"/>
  <c r="J506" i="7" a="1"/>
  <c r="J514" i="7" a="1"/>
  <c r="J522" i="7" a="1"/>
  <c r="J530" i="7" a="1"/>
  <c r="J538" i="7" a="1"/>
  <c r="J546" i="7" a="1"/>
  <c r="J554" i="7" a="1"/>
  <c r="J562" i="7" a="1"/>
  <c r="J570" i="7" a="1"/>
  <c r="J578" i="7" a="1"/>
  <c r="J586" i="7" a="1"/>
  <c r="J594" i="7" a="1"/>
  <c r="J602" i="7" a="1"/>
  <c r="J610" i="7" a="1"/>
  <c r="J618" i="7" a="1"/>
  <c r="J626" i="7" a="1"/>
  <c r="I634" i="7" a="1"/>
  <c r="I642" i="7" a="1"/>
  <c r="I650" i="7" a="1"/>
  <c r="I658" i="7" a="1"/>
  <c r="J666" i="7" a="1"/>
  <c r="J674" i="7" a="1"/>
  <c r="J682" i="7" a="1"/>
  <c r="J690" i="7" a="1"/>
  <c r="J698" i="7" a="1"/>
  <c r="J706" i="7" a="1"/>
  <c r="J714" i="7" a="1"/>
  <c r="J722" i="7" a="1"/>
  <c r="J730" i="7" a="1"/>
  <c r="J738" i="7" a="1"/>
  <c r="J746" i="7" a="1"/>
  <c r="J754" i="7" a="1"/>
  <c r="J762" i="7" a="1"/>
  <c r="J770" i="7" a="1"/>
  <c r="I778" i="7" a="1"/>
  <c r="I786" i="7" a="1"/>
  <c r="I794" i="7" a="1"/>
  <c r="I802" i="7" a="1"/>
  <c r="I810" i="7" a="1"/>
  <c r="I818" i="7" a="1"/>
  <c r="I826" i="7" a="1"/>
  <c r="O2" i="7" a="1"/>
  <c r="J2" i="7" a="1"/>
  <c r="O3" i="7" a="1"/>
  <c r="L4" i="7" a="1"/>
  <c r="O5" i="7" a="1"/>
  <c r="M5" i="7" a="1"/>
  <c r="N6" i="7" a="1"/>
  <c r="L7" i="7" a="1"/>
  <c r="M8" i="7" a="1"/>
  <c r="N9" i="7" a="1"/>
  <c r="L9" i="7" a="1"/>
  <c r="O10" i="7" a="1"/>
  <c r="K11" i="7" a="1"/>
  <c r="O12" i="7" a="1"/>
  <c r="O13" i="7" a="1"/>
  <c r="M13" i="7" a="1"/>
  <c r="N14" i="7" a="1"/>
  <c r="L15" i="7" a="1"/>
  <c r="M16" i="7" a="1"/>
  <c r="N17" i="7" a="1"/>
  <c r="L17" i="7" a="1"/>
  <c r="O18" i="7" a="1"/>
  <c r="K19" i="7" a="1"/>
  <c r="L20" i="7" a="1"/>
  <c r="O21" i="7" a="1"/>
  <c r="M21" i="7" a="1"/>
  <c r="N22" i="7" a="1"/>
  <c r="L23" i="7" a="1"/>
  <c r="M24" i="7" a="1"/>
  <c r="K25" i="7" a="1"/>
  <c r="L25" i="7" a="1"/>
  <c r="O26" i="7" a="1"/>
  <c r="K27" i="7" a="1"/>
  <c r="L28" i="7" a="1"/>
  <c r="O29" i="7" a="1"/>
  <c r="M29" i="7" a="1"/>
  <c r="N30" i="7" a="1"/>
  <c r="L31" i="7" a="1"/>
  <c r="M32" i="7" a="1"/>
  <c r="N33" i="7" a="1"/>
  <c r="L33" i="7" a="1"/>
  <c r="O34" i="7" a="1"/>
  <c r="K35" i="7" a="1"/>
  <c r="L36" i="7" a="1"/>
  <c r="N37" i="7" a="1"/>
  <c r="K37" i="7" a="1"/>
  <c r="K38" i="7" a="1"/>
  <c r="K39" i="7" a="1"/>
  <c r="K40" i="7" a="1"/>
  <c r="N41" i="7" a="1"/>
  <c r="K41" i="7" a="1"/>
  <c r="K42" i="7" a="1"/>
  <c r="O43" i="7" a="1"/>
  <c r="K44" i="7" a="1"/>
  <c r="N45" i="7" a="1"/>
  <c r="L45" i="7" a="1"/>
  <c r="M46" i="7" a="1"/>
  <c r="N47" i="7" a="1"/>
  <c r="L48" i="7" a="1"/>
  <c r="M49" i="7" a="1"/>
  <c r="K49" i="7" a="1"/>
  <c r="N50" i="7" a="1"/>
  <c r="M51" i="7" a="1"/>
  <c r="L52" i="7" a="1"/>
  <c r="O53" i="7" a="1"/>
  <c r="L53" i="7" a="1"/>
  <c r="M54" i="7" a="1"/>
  <c r="K55" i="7" a="1"/>
  <c r="L56" i="7" a="1"/>
  <c r="O57" i="7" a="1"/>
  <c r="L57" i="7" a="1"/>
  <c r="M58" i="7" a="1"/>
  <c r="K59" i="7" a="1"/>
  <c r="L60" i="7" a="1"/>
  <c r="O61" i="7" a="1"/>
  <c r="L61" i="7" a="1"/>
  <c r="M62" i="7" a="1"/>
  <c r="L63" i="7" a="1"/>
  <c r="L64" i="7" a="1"/>
  <c r="M65" i="7" a="1"/>
  <c r="K65" i="7" a="1"/>
  <c r="N66" i="7" a="1"/>
  <c r="O67" i="7" a="1"/>
  <c r="K68" i="7" a="1"/>
  <c r="N69" i="7" a="1"/>
  <c r="L69" i="7" a="1"/>
  <c r="M70" i="7" a="1"/>
  <c r="N71" i="7" a="1"/>
  <c r="L72" i="7" a="1"/>
  <c r="M73" i="7" a="1"/>
  <c r="K73" i="7" a="1"/>
  <c r="N74" i="7" a="1"/>
  <c r="O75" i="7" a="1"/>
  <c r="K76" i="7" a="1"/>
  <c r="N77" i="7" a="1"/>
  <c r="L77" i="7" a="1"/>
  <c r="M78" i="7" a="1"/>
  <c r="N79" i="7" a="1"/>
  <c r="L80" i="7" a="1"/>
  <c r="M81" i="7" a="1"/>
  <c r="K81" i="7" a="1"/>
  <c r="N82" i="7" a="1"/>
  <c r="O83" i="7" a="1"/>
  <c r="N84" i="7" a="1"/>
  <c r="N85" i="7" a="1"/>
  <c r="L85" i="7" a="1"/>
  <c r="M86" i="7" a="1"/>
  <c r="N87" i="7" a="1"/>
  <c r="L88" i="7" a="1"/>
  <c r="M89" i="7" a="1"/>
  <c r="K89" i="7" a="1"/>
  <c r="J525" i="7" a="1"/>
  <c r="J533" i="7" a="1"/>
  <c r="I541" i="7" a="1"/>
  <c r="I549" i="7" a="1"/>
  <c r="J557" i="7" a="1"/>
  <c r="J565" i="7" a="1"/>
  <c r="J573" i="7" a="1"/>
  <c r="J581" i="7" a="1"/>
  <c r="J589" i="7" a="1"/>
  <c r="J597" i="7" a="1"/>
  <c r="J605" i="7" a="1"/>
  <c r="J613" i="7" a="1"/>
  <c r="J621" i="7" a="1"/>
  <c r="J629" i="7" a="1"/>
  <c r="J637" i="7" a="1"/>
  <c r="J645" i="7" a="1"/>
  <c r="J653" i="7" a="1"/>
  <c r="J661" i="7" a="1"/>
  <c r="I669" i="7" a="1"/>
  <c r="I677" i="7" a="1"/>
  <c r="I685" i="7" a="1"/>
  <c r="I693" i="7" a="1"/>
  <c r="I701" i="7" a="1"/>
  <c r="I709" i="7" a="1"/>
  <c r="I717" i="7" a="1"/>
  <c r="I725" i="7" a="1"/>
  <c r="I733" i="7" a="1"/>
  <c r="I741" i="7" a="1"/>
  <c r="I749" i="7" a="1"/>
  <c r="I757" i="7" a="1"/>
  <c r="I765" i="7" a="1"/>
  <c r="J773" i="7" a="1"/>
  <c r="J781" i="7" a="1"/>
  <c r="J789" i="7" a="1"/>
  <c r="J797" i="7" a="1"/>
  <c r="J805" i="7" a="1"/>
  <c r="J813" i="7" a="1"/>
  <c r="J821" i="7" a="1"/>
  <c r="J829" i="7" a="1"/>
  <c r="J6" i="7" a="1"/>
  <c r="I14" i="7" a="1"/>
  <c r="J22" i="7" a="1"/>
  <c r="J30" i="7" a="1"/>
  <c r="J38" i="7" a="1"/>
  <c r="I46" i="7" a="1"/>
  <c r="J54" i="7" a="1"/>
  <c r="J62" i="7" a="1"/>
  <c r="J70" i="7" a="1"/>
  <c r="J78" i="7" a="1"/>
  <c r="J86" i="7" a="1"/>
  <c r="J94" i="7" a="1"/>
  <c r="J102" i="7" a="1"/>
  <c r="J110" i="7" a="1"/>
  <c r="J118" i="7" a="1"/>
  <c r="J126" i="7" a="1"/>
  <c r="J134" i="7" a="1"/>
  <c r="J142" i="7" a="1"/>
  <c r="J150" i="7" a="1"/>
  <c r="J158" i="7" a="1"/>
  <c r="J166" i="7" a="1"/>
  <c r="J174" i="7" a="1"/>
  <c r="I182" i="7" a="1"/>
  <c r="I190" i="7" a="1"/>
  <c r="I198" i="7" a="1"/>
  <c r="I206" i="7" a="1"/>
  <c r="I214" i="7" a="1"/>
  <c r="J222" i="7" a="1"/>
  <c r="J230" i="7" a="1"/>
  <c r="J238" i="7" a="1"/>
  <c r="J246" i="7" a="1"/>
  <c r="J254" i="7" a="1"/>
  <c r="J262" i="7" a="1"/>
  <c r="I270" i="7" a="1"/>
  <c r="I278" i="7" a="1"/>
  <c r="J286" i="7" a="1"/>
  <c r="J294" i="7" a="1"/>
  <c r="J302" i="7" a="1"/>
  <c r="J310" i="7" a="1"/>
  <c r="J318" i="7" a="1"/>
  <c r="J326" i="7" a="1"/>
  <c r="J334" i="7" a="1"/>
  <c r="J342" i="7" a="1"/>
  <c r="J350" i="7" a="1"/>
  <c r="J358" i="7" a="1"/>
  <c r="J366" i="7" a="1"/>
  <c r="J374" i="7" a="1"/>
  <c r="J382" i="7" a="1"/>
  <c r="J390" i="7" a="1"/>
  <c r="J398" i="7" a="1"/>
  <c r="J406" i="7" a="1"/>
  <c r="J414" i="7" a="1"/>
  <c r="I422" i="7" a="1"/>
  <c r="I430" i="7" a="1"/>
  <c r="J438" i="7" a="1"/>
  <c r="I446" i="7" a="1"/>
  <c r="I454" i="7" a="1"/>
  <c r="I462" i="7" a="1"/>
  <c r="I470" i="7" a="1"/>
  <c r="I478" i="7" a="1"/>
  <c r="I486" i="7" a="1"/>
  <c r="I494" i="7" a="1"/>
  <c r="I502" i="7" a="1"/>
  <c r="I510" i="7" a="1"/>
  <c r="I518" i="7" a="1"/>
  <c r="I526" i="7" a="1"/>
  <c r="I534" i="7" a="1"/>
  <c r="I542" i="7" a="1"/>
  <c r="I550" i="7" a="1"/>
  <c r="I558" i="7" a="1"/>
  <c r="I566" i="7" a="1"/>
  <c r="I574" i="7" a="1"/>
  <c r="I582" i="7" a="1"/>
  <c r="I590" i="7" a="1"/>
  <c r="I598" i="7" a="1"/>
  <c r="I606" i="7" a="1"/>
  <c r="I614" i="7" a="1"/>
  <c r="I622" i="7" a="1"/>
  <c r="I630" i="7" a="1"/>
  <c r="J638" i="7" a="1"/>
  <c r="J646" i="7" a="1"/>
  <c r="J654" i="7" a="1"/>
  <c r="J662" i="7" a="1"/>
  <c r="I670" i="7" a="1"/>
  <c r="I678" i="7" a="1"/>
  <c r="I686" i="7" a="1"/>
  <c r="I694" i="7" a="1"/>
  <c r="I702" i="7" a="1"/>
  <c r="I710" i="7" a="1"/>
  <c r="I718" i="7" a="1"/>
  <c r="I726" i="7" a="1"/>
  <c r="I734" i="7" a="1"/>
  <c r="I742" i="7" a="1"/>
  <c r="I750" i="7" a="1"/>
  <c r="I758" i="7" a="1"/>
  <c r="I766" i="7" a="1"/>
  <c r="J774" i="7" a="1"/>
  <c r="J782" i="7" a="1"/>
  <c r="J790" i="7" a="1"/>
  <c r="J798" i="7" a="1"/>
  <c r="J806" i="7" a="1"/>
  <c r="J814" i="7" a="1"/>
  <c r="J822" i="7" a="1"/>
  <c r="J830" i="7" a="1"/>
  <c r="M2" i="7" a="1"/>
  <c r="I2" i="7" a="1"/>
  <c r="M3" i="7" a="1"/>
  <c r="N4" i="7" a="1"/>
  <c r="L5" i="7" a="1"/>
  <c r="M6" i="7" a="1"/>
  <c r="K6" i="7" a="1"/>
  <c r="N7" i="7" a="1"/>
  <c r="O8" i="7" a="1"/>
  <c r="K9" i="7" a="1"/>
  <c r="N10" i="7" a="1"/>
  <c r="L10" i="7" a="1"/>
  <c r="M11" i="7" a="1"/>
  <c r="N12" i="7" a="1"/>
  <c r="L13" i="7" a="1"/>
  <c r="M14" i="7" a="1"/>
  <c r="K14" i="7" a="1"/>
  <c r="N15" i="7" a="1"/>
  <c r="O16" i="7" a="1"/>
  <c r="K17" i="7" a="1"/>
  <c r="N18" i="7" a="1"/>
  <c r="L18" i="7" a="1"/>
  <c r="M19" i="7" a="1"/>
  <c r="N20" i="7" a="1"/>
  <c r="L21" i="7" a="1"/>
  <c r="M22" i="7" a="1"/>
  <c r="K22" i="7" a="1"/>
  <c r="N23" i="7" a="1"/>
  <c r="O24" i="7" a="1"/>
  <c r="N25" i="7" a="1"/>
  <c r="N26" i="7" a="1"/>
  <c r="L26" i="7" a="1"/>
  <c r="M27" i="7" a="1"/>
  <c r="N28" i="7" a="1"/>
  <c r="L29" i="7" a="1"/>
  <c r="M30" i="7" a="1"/>
  <c r="K30" i="7" a="1"/>
  <c r="N31" i="7" a="1"/>
  <c r="O32" i="7" a="1"/>
  <c r="K33" i="7" a="1"/>
  <c r="N34" i="7" a="1"/>
  <c r="L34" i="7" a="1"/>
  <c r="M35" i="7" a="1"/>
  <c r="N36" i="7" a="1"/>
  <c r="L37" i="7" a="1"/>
  <c r="M38" i="7" a="1"/>
  <c r="N38" i="7" a="1"/>
  <c r="N39" i="7" a="1"/>
  <c r="N40" i="7" a="1"/>
  <c r="M41" i="7" a="1"/>
  <c r="M42" i="7" a="1"/>
  <c r="N42" i="7" a="1"/>
  <c r="L43" i="7" a="1"/>
  <c r="M44" i="7" a="1"/>
  <c r="K45" i="7" a="1"/>
  <c r="L46" i="7" a="1"/>
  <c r="O46" i="7" a="1"/>
  <c r="K47" i="7" a="1"/>
  <c r="N48" i="7" a="1"/>
  <c r="O49" i="7" a="1"/>
  <c r="M50" i="7" a="1"/>
  <c r="K50" i="7" a="1"/>
  <c r="L51" i="7" a="1"/>
  <c r="O52" i="7" a="1"/>
  <c r="M53" i="7" a="1"/>
  <c r="N54" i="7" a="1"/>
  <c r="K54" i="7" a="1"/>
  <c r="N55" i="7" a="1"/>
  <c r="O56" i="7" a="1"/>
  <c r="M57" i="7" a="1"/>
  <c r="N58" i="7" a="1"/>
  <c r="K58" i="7" a="1"/>
  <c r="N59" i="7" a="1"/>
  <c r="O60" i="7" a="1"/>
  <c r="M61" i="7" a="1"/>
  <c r="N62" i="7" a="1"/>
  <c r="K62" i="7" a="1"/>
  <c r="M63" i="7" a="1"/>
  <c r="N64" i="7" a="1"/>
  <c r="O65" i="7" a="1"/>
  <c r="M66" i="7" a="1"/>
  <c r="K66" i="7" a="1"/>
  <c r="L67" i="7" a="1"/>
  <c r="M68" i="7" a="1"/>
  <c r="K69" i="7" a="1"/>
  <c r="L70" i="7" a="1"/>
  <c r="O70" i="7" a="1"/>
  <c r="K71" i="7" a="1"/>
  <c r="N72" i="7" a="1"/>
  <c r="O73" i="7" a="1"/>
  <c r="M74" i="7" a="1"/>
  <c r="K74" i="7" a="1"/>
  <c r="L75" i="7" a="1"/>
  <c r="M76" i="7" a="1"/>
  <c r="K77" i="7" a="1"/>
  <c r="L78" i="7" a="1"/>
  <c r="O78" i="7" a="1"/>
  <c r="K79" i="7" a="1"/>
  <c r="N80" i="7" a="1"/>
  <c r="O81" i="7" a="1"/>
  <c r="M82" i="7" a="1"/>
  <c r="K82" i="7" a="1"/>
  <c r="L83" i="7" a="1"/>
  <c r="M84" i="7" a="1"/>
  <c r="K85" i="7" a="1"/>
  <c r="L86" i="7" a="1"/>
  <c r="O86" i="7" a="1"/>
  <c r="K87" i="7" a="1"/>
  <c r="N88" i="7" a="1"/>
  <c r="O89" i="7" a="1"/>
  <c r="M90" i="7" a="1"/>
  <c r="I525" i="7" a="1"/>
  <c r="I533" i="7" a="1"/>
  <c r="J541" i="7" a="1"/>
  <c r="J549" i="7" a="1"/>
  <c r="I557" i="7" a="1"/>
  <c r="I565" i="7" a="1"/>
  <c r="I573" i="7" a="1"/>
  <c r="I581" i="7" a="1"/>
  <c r="I589" i="7" a="1"/>
  <c r="I597" i="7" a="1"/>
  <c r="I605" i="7" a="1"/>
  <c r="I613" i="7" a="1"/>
  <c r="I621" i="7" a="1"/>
  <c r="I629" i="7" a="1"/>
  <c r="I637" i="7" a="1"/>
  <c r="I645" i="7" a="1"/>
  <c r="I653" i="7" a="1"/>
  <c r="I661" i="7" a="1"/>
  <c r="J669" i="7" a="1"/>
  <c r="J677" i="7" a="1"/>
  <c r="J685" i="7" a="1"/>
  <c r="J693" i="7" a="1"/>
  <c r="J701" i="7" a="1"/>
  <c r="J709" i="7" a="1"/>
  <c r="J717" i="7" a="1"/>
  <c r="J725" i="7" a="1"/>
  <c r="J733" i="7" a="1"/>
  <c r="J741" i="7" a="1"/>
  <c r="J749" i="7" a="1"/>
  <c r="J757" i="7" a="1"/>
  <c r="J765" i="7" a="1"/>
  <c r="I773" i="7" a="1"/>
  <c r="I781" i="7" a="1"/>
  <c r="I789" i="7" a="1"/>
  <c r="I797" i="7" a="1"/>
  <c r="I805" i="7" a="1"/>
  <c r="I813" i="7" a="1"/>
  <c r="I821" i="7" a="1"/>
  <c r="I829" i="7" a="1"/>
  <c r="I6" i="7" a="1"/>
  <c r="J14" i="7" a="1"/>
  <c r="I22" i="7" a="1"/>
  <c r="I30" i="7" a="1"/>
  <c r="I38" i="7" a="1"/>
  <c r="J46" i="7" a="1"/>
  <c r="I54" i="7" a="1"/>
  <c r="I62" i="7" a="1"/>
  <c r="I70" i="7" a="1"/>
  <c r="I78" i="7" a="1"/>
  <c r="I86" i="7" a="1"/>
  <c r="I94" i="7" a="1"/>
  <c r="I102" i="7" a="1"/>
  <c r="I110" i="7" a="1"/>
  <c r="I118" i="7" a="1"/>
  <c r="I126" i="7" a="1"/>
  <c r="I134" i="7" a="1"/>
  <c r="I142" i="7" a="1"/>
  <c r="I150" i="7" a="1"/>
  <c r="I158" i="7" a="1"/>
  <c r="I166" i="7" a="1"/>
  <c r="I174" i="7" a="1"/>
  <c r="J182" i="7" a="1"/>
  <c r="J190" i="7" a="1"/>
  <c r="J198" i="7" a="1"/>
  <c r="J206" i="7" a="1"/>
  <c r="J214" i="7" a="1"/>
  <c r="I222" i="7" a="1"/>
  <c r="I230" i="7" a="1"/>
  <c r="I238" i="7" a="1"/>
  <c r="I246" i="7" a="1"/>
  <c r="I254" i="7" a="1"/>
  <c r="I262" i="7" a="1"/>
  <c r="J270" i="7" a="1"/>
  <c r="J278" i="7" a="1"/>
  <c r="I286" i="7" a="1"/>
  <c r="I294" i="7" a="1"/>
  <c r="I302" i="7" a="1"/>
  <c r="I310" i="7" a="1"/>
  <c r="I318" i="7" a="1"/>
  <c r="I326" i="7" a="1"/>
  <c r="I334" i="7" a="1"/>
  <c r="I342" i="7" a="1"/>
  <c r="I350" i="7" a="1"/>
  <c r="I358" i="7" a="1"/>
  <c r="I366" i="7" a="1"/>
  <c r="I374" i="7" a="1"/>
  <c r="I382" i="7" a="1"/>
  <c r="I390" i="7" a="1"/>
  <c r="I398" i="7" a="1"/>
  <c r="I406" i="7" a="1"/>
  <c r="I414" i="7" a="1"/>
  <c r="J422" i="7" a="1"/>
  <c r="J430" i="7" a="1"/>
  <c r="I438" i="7" a="1"/>
  <c r="J446" i="7" a="1"/>
  <c r="J454" i="7" a="1"/>
  <c r="J462" i="7" a="1"/>
  <c r="J470" i="7" a="1"/>
  <c r="J478" i="7" a="1"/>
  <c r="J486" i="7" a="1"/>
  <c r="J494" i="7" a="1"/>
  <c r="J502" i="7" a="1"/>
  <c r="J510" i="7" a="1"/>
  <c r="J518" i="7" a="1"/>
  <c r="J526" i="7" a="1"/>
  <c r="J534" i="7" a="1"/>
  <c r="J542" i="7" a="1"/>
  <c r="J550" i="7" a="1"/>
  <c r="J558" i="7" a="1"/>
  <c r="J566" i="7" a="1"/>
  <c r="J574" i="7" a="1"/>
  <c r="J582" i="7" a="1"/>
  <c r="J590" i="7" a="1"/>
  <c r="J598" i="7" a="1"/>
  <c r="J606" i="7" a="1"/>
  <c r="J614" i="7" a="1"/>
  <c r="J622" i="7" a="1"/>
  <c r="J630" i="7" a="1"/>
  <c r="I638" i="7" a="1"/>
  <c r="I646" i="7" a="1"/>
  <c r="I654" i="7" a="1"/>
  <c r="I662" i="7" a="1"/>
  <c r="J670" i="7" a="1"/>
  <c r="J678" i="7" a="1"/>
  <c r="J686" i="7" a="1"/>
  <c r="J694" i="7" a="1"/>
  <c r="J702" i="7" a="1"/>
  <c r="J710" i="7" a="1"/>
  <c r="J718" i="7" a="1"/>
  <c r="J726" i="7" a="1"/>
  <c r="J734" i="7" a="1"/>
  <c r="J742" i="7" a="1"/>
  <c r="J750" i="7" a="1"/>
  <c r="J758" i="7" a="1"/>
  <c r="J766" i="7" a="1"/>
  <c r="I774" i="7" a="1"/>
  <c r="I782" i="7" a="1"/>
  <c r="I790" i="7" a="1"/>
  <c r="I798" i="7" a="1"/>
  <c r="I806" i="7" a="1"/>
  <c r="I814" i="7" a="1"/>
  <c r="I822" i="7" a="1"/>
  <c r="I830" i="7" a="1"/>
  <c r="N2" i="7" a="1"/>
  <c r="N3" i="7" a="1"/>
  <c r="K3" i="7" a="1"/>
  <c r="M4" i="7" a="1"/>
  <c r="N5" i="7" a="1"/>
  <c r="O6" i="7" a="1"/>
  <c r="M7" i="7" a="1"/>
  <c r="K7" i="7" a="1"/>
  <c r="L8" i="7" a="1"/>
  <c r="M9" i="7" a="1"/>
  <c r="K10" i="7" a="1"/>
  <c r="L11" i="7" a="1"/>
  <c r="O11" i="7" a="1"/>
  <c r="K12" i="7" a="1"/>
  <c r="N13" i="7" a="1"/>
  <c r="O14" i="7" a="1"/>
  <c r="M15" i="7" a="1"/>
  <c r="K15" i="7" a="1"/>
  <c r="L16" i="7" a="1"/>
  <c r="M17" i="7" a="1"/>
  <c r="K18" i="7" a="1"/>
  <c r="L19" i="7" a="1"/>
  <c r="O19" i="7" a="1"/>
  <c r="K20" i="7" a="1"/>
  <c r="N21" i="7" a="1"/>
  <c r="O22" i="7" a="1"/>
  <c r="M23" i="7" a="1"/>
  <c r="K23" i="7" a="1"/>
  <c r="L24" i="7" a="1"/>
  <c r="M25" i="7" a="1"/>
  <c r="K26" i="7" a="1"/>
  <c r="L27" i="7" a="1"/>
  <c r="O27" i="7" a="1"/>
  <c r="K28" i="7" a="1"/>
  <c r="N29" i="7" a="1"/>
  <c r="O30" i="7" a="1"/>
  <c r="M31" i="7" a="1"/>
  <c r="K31" i="7" a="1"/>
  <c r="L32" i="7" a="1"/>
  <c r="M33" i="7" a="1"/>
  <c r="K34" i="7" a="1"/>
  <c r="L35" i="7" a="1"/>
  <c r="O35" i="7" a="1"/>
  <c r="K36" i="7" a="1"/>
  <c r="O37" i="7" a="1"/>
  <c r="L38" i="7" a="1"/>
  <c r="L39" i="7" a="1"/>
  <c r="M39" i="7" a="1"/>
  <c r="M40" i="7" a="1"/>
  <c r="L41" i="7" a="1"/>
  <c r="O42" i="7" a="1"/>
  <c r="K43" i="7" a="1"/>
  <c r="N43" i="7" a="1"/>
  <c r="O44" i="7" a="1"/>
  <c r="M45" i="7" a="1"/>
  <c r="N46" i="7" a="1"/>
  <c r="O47" i="7" a="1"/>
  <c r="M47" i="7" a="1"/>
  <c r="K48" i="7" a="1"/>
  <c r="L49" i="7" a="1"/>
  <c r="O50" i="7" a="1"/>
  <c r="K51" i="7" a="1"/>
  <c r="N51" i="7" a="1"/>
  <c r="M52" i="7" a="1"/>
  <c r="K53" i="7" a="1"/>
  <c r="L54" i="7" a="1"/>
  <c r="O55" i="7" a="1"/>
  <c r="L55" i="7" a="1"/>
  <c r="M56" i="7" a="1"/>
  <c r="K57" i="7" a="1"/>
  <c r="L58" i="7" a="1"/>
  <c r="O59" i="7" a="1"/>
  <c r="L59" i="7" a="1"/>
  <c r="M60" i="7" a="1"/>
  <c r="K61" i="7" a="1"/>
  <c r="L62" i="7" a="1"/>
  <c r="O63" i="7" a="1"/>
  <c r="K63" i="7" a="1"/>
  <c r="K64" i="7" a="1"/>
  <c r="L65" i="7" a="1"/>
  <c r="O66" i="7" a="1"/>
  <c r="K67" i="7" a="1"/>
  <c r="N67" i="7" a="1"/>
  <c r="O68" i="7" a="1"/>
  <c r="M69" i="7" a="1"/>
  <c r="N70" i="7" a="1"/>
  <c r="L71" i="7" a="1"/>
  <c r="M71" i="7" a="1"/>
  <c r="K72" i="7" a="1"/>
  <c r="L73" i="7" a="1"/>
  <c r="O74" i="7" a="1"/>
  <c r="K75" i="7" a="1"/>
  <c r="N75" i="7" a="1"/>
  <c r="O76" i="7" a="1"/>
  <c r="M77" i="7" a="1"/>
  <c r="N78" i="7" a="1"/>
  <c r="O79" i="7" a="1"/>
  <c r="M79" i="7" a="1"/>
  <c r="K80" i="7" a="1"/>
  <c r="L81" i="7" a="1"/>
  <c r="O82" i="7" a="1"/>
  <c r="K83" i="7" a="1"/>
  <c r="N83" i="7" a="1"/>
  <c r="O84" i="7" a="1"/>
  <c r="M85" i="7" a="1"/>
  <c r="N86" i="7" a="1"/>
  <c r="O87" i="7" a="1"/>
  <c r="M87" i="7" a="1"/>
  <c r="K88" i="7" a="1"/>
  <c r="L89" i="7" a="1"/>
  <c r="O90" i="7" a="1"/>
  <c r="K91" i="7" a="1"/>
  <c r="J529" i="7" a="1"/>
  <c r="J537" i="7" a="1"/>
  <c r="I545" i="7" a="1"/>
  <c r="J553" i="7" a="1"/>
  <c r="J561" i="7" a="1"/>
  <c r="J569" i="7" a="1"/>
  <c r="J577" i="7" a="1"/>
  <c r="J585" i="7" a="1"/>
  <c r="J593" i="7" a="1"/>
  <c r="J601" i="7" a="1"/>
  <c r="J609" i="7" a="1"/>
  <c r="J617" i="7" a="1"/>
  <c r="J625" i="7" a="1"/>
  <c r="J633" i="7" a="1"/>
  <c r="J641" i="7" a="1"/>
  <c r="J649" i="7" a="1"/>
  <c r="J657" i="7" a="1"/>
  <c r="I665" i="7" a="1"/>
  <c r="I673" i="7" a="1"/>
  <c r="I681" i="7" a="1"/>
  <c r="I689" i="7" a="1"/>
  <c r="I697" i="7" a="1"/>
  <c r="I705" i="7" a="1"/>
  <c r="I713" i="7" a="1"/>
  <c r="I721" i="7" a="1"/>
  <c r="I729" i="7" a="1"/>
  <c r="I737" i="7" a="1"/>
  <c r="I745" i="7" a="1"/>
  <c r="I753" i="7" a="1"/>
  <c r="I761" i="7" a="1"/>
  <c r="I769" i="7" a="1"/>
  <c r="J777" i="7" a="1"/>
  <c r="J785" i="7" a="1"/>
  <c r="J793" i="7" a="1"/>
  <c r="J801" i="7" a="1"/>
  <c r="J809" i="7" a="1"/>
  <c r="J817" i="7" a="1"/>
  <c r="J825" i="7" a="1"/>
  <c r="J833" i="7" a="1"/>
  <c r="J10" i="7" a="1"/>
  <c r="J18" i="7" a="1"/>
  <c r="J26" i="7" a="1"/>
  <c r="J34" i="7" a="1"/>
  <c r="I42" i="7" a="1"/>
  <c r="J50" i="7" a="1"/>
  <c r="J58" i="7" a="1"/>
  <c r="I66" i="7" a="1"/>
  <c r="I74" i="7" a="1"/>
  <c r="J82" i="7" a="1"/>
  <c r="J90" i="7" a="1"/>
  <c r="J98" i="7" a="1"/>
  <c r="J106" i="7" a="1"/>
  <c r="J114" i="7" a="1"/>
  <c r="J122" i="7" a="1"/>
  <c r="J130" i="7" a="1"/>
  <c r="J138" i="7" a="1"/>
  <c r="J146" i="7" a="1"/>
  <c r="J154" i="7" a="1"/>
  <c r="J162" i="7" a="1"/>
  <c r="J170" i="7" a="1"/>
  <c r="J178" i="7" a="1"/>
  <c r="I186" i="7" a="1"/>
  <c r="I194" i="7" a="1"/>
  <c r="I202" i="7" a="1"/>
  <c r="I210" i="7" a="1"/>
  <c r="J218" i="7" a="1"/>
  <c r="J226" i="7" a="1"/>
  <c r="J234" i="7" a="1"/>
  <c r="J242" i="7" a="1"/>
  <c r="J250" i="7" a="1"/>
  <c r="J258" i="7" a="1"/>
  <c r="J266" i="7" a="1"/>
  <c r="I274" i="7" a="1"/>
  <c r="J282" i="7" a="1"/>
  <c r="J290" i="7" a="1"/>
  <c r="J298" i="7" a="1"/>
  <c r="J306" i="7" a="1"/>
  <c r="J314" i="7" a="1"/>
  <c r="J322" i="7" a="1"/>
  <c r="J330" i="7" a="1"/>
  <c r="J338" i="7" a="1"/>
  <c r="J346" i="7" a="1"/>
  <c r="J354" i="7" a="1"/>
  <c r="J362" i="7" a="1"/>
  <c r="J370" i="7" a="1"/>
  <c r="J378" i="7" a="1"/>
  <c r="J386" i="7" a="1"/>
  <c r="J394" i="7" a="1"/>
  <c r="J402" i="7" a="1"/>
  <c r="J410" i="7" a="1"/>
  <c r="I418" i="7" a="1"/>
  <c r="I426" i="7" a="1"/>
  <c r="I434" i="7" a="1"/>
  <c r="I442" i="7" a="1"/>
  <c r="I450" i="7" a="1"/>
  <c r="I458" i="7" a="1"/>
  <c r="I466" i="7" a="1"/>
  <c r="I474" i="7" a="1"/>
  <c r="I482" i="7" a="1"/>
  <c r="I490" i="7" a="1"/>
  <c r="I498" i="7" a="1"/>
  <c r="I506" i="7" a="1"/>
  <c r="I514" i="7" a="1"/>
  <c r="I522" i="7" a="1"/>
  <c r="I530" i="7" a="1"/>
  <c r="I538" i="7" a="1"/>
  <c r="I546" i="7" a="1"/>
  <c r="I554" i="7" a="1"/>
  <c r="I562" i="7" a="1"/>
  <c r="I570" i="7" a="1"/>
  <c r="I578" i="7" a="1"/>
  <c r="I586" i="7" a="1"/>
  <c r="I594" i="7" a="1"/>
  <c r="I602" i="7" a="1"/>
  <c r="I610" i="7" a="1"/>
  <c r="I618" i="7" a="1"/>
  <c r="I626" i="7" a="1"/>
  <c r="J634" i="7" a="1"/>
  <c r="J642" i="7" a="1"/>
  <c r="J650" i="7" a="1"/>
  <c r="J658" i="7" a="1"/>
  <c r="I666" i="7" a="1"/>
  <c r="I674" i="7" a="1"/>
  <c r="I682" i="7" a="1"/>
  <c r="I690" i="7" a="1"/>
  <c r="I698" i="7" a="1"/>
  <c r="I706" i="7" a="1"/>
  <c r="I714" i="7" a="1"/>
  <c r="I722" i="7" a="1"/>
  <c r="I730" i="7" a="1"/>
  <c r="I738" i="7" a="1"/>
  <c r="I746" i="7" a="1"/>
  <c r="I754" i="7" a="1"/>
  <c r="I762" i="7" a="1"/>
  <c r="I770" i="7" a="1"/>
  <c r="J778" i="7" a="1"/>
  <c r="J786" i="7" a="1"/>
  <c r="J794" i="7" a="1"/>
  <c r="J802" i="7" a="1"/>
  <c r="J810" i="7" a="1"/>
  <c r="J818" i="7" a="1"/>
  <c r="J826" i="7" a="1"/>
  <c r="K2" i="7" a="1"/>
  <c r="L2" i="7" a="1"/>
  <c r="L3" i="7" a="1"/>
  <c r="O4" i="7" a="1"/>
  <c r="K4" i="7" a="1"/>
  <c r="K5" i="7" a="1"/>
  <c r="L6" i="7" a="1"/>
  <c r="O7" i="7" a="1"/>
  <c r="K8" i="7" a="1"/>
  <c r="N8" i="7" a="1"/>
  <c r="O9" i="7" a="1"/>
  <c r="M10" i="7" a="1"/>
  <c r="N11" i="7" a="1"/>
  <c r="L12" i="7" a="1"/>
  <c r="M12" i="7" a="1"/>
  <c r="K13" i="7" a="1"/>
  <c r="L14" i="7" a="1"/>
  <c r="O15" i="7" a="1"/>
  <c r="K16" i="7" a="1"/>
  <c r="N16" i="7" a="1"/>
  <c r="O17" i="7" a="1"/>
  <c r="M18" i="7" a="1"/>
  <c r="N19" i="7" a="1"/>
  <c r="O20" i="7" a="1"/>
  <c r="M20" i="7" a="1"/>
  <c r="K21" i="7" a="1"/>
  <c r="L22" i="7" a="1"/>
  <c r="O23" i="7" a="1"/>
  <c r="K24" i="7" a="1"/>
  <c r="N24" i="7" a="1"/>
  <c r="O25" i="7" a="1"/>
  <c r="M26" i="7" a="1"/>
  <c r="N27" i="7" a="1"/>
  <c r="O28" i="7" a="1"/>
  <c r="M28" i="7" a="1"/>
  <c r="K29" i="7" a="1"/>
  <c r="L30" i="7" a="1"/>
  <c r="O31" i="7" a="1"/>
  <c r="K32" i="7" a="1"/>
  <c r="N32" i="7" a="1"/>
  <c r="O33" i="7" a="1"/>
  <c r="M34" i="7" a="1"/>
  <c r="N35" i="7" a="1"/>
  <c r="O36" i="7" a="1"/>
  <c r="M36" i="7" a="1"/>
  <c r="M37" i="7" a="1"/>
  <c r="O38" i="7" a="1"/>
  <c r="O39" i="7" a="1"/>
  <c r="O40" i="7" a="1"/>
  <c r="L40" i="7" a="1"/>
  <c r="O41" i="7" a="1"/>
  <c r="L42" i="7" a="1"/>
  <c r="M43" i="7" a="1"/>
  <c r="N44" i="7" a="1"/>
  <c r="L44" i="7" a="1"/>
  <c r="O45" i="7" a="1"/>
  <c r="K46" i="7" a="1"/>
  <c r="L47" i="7" a="1"/>
  <c r="O48" i="7" a="1"/>
  <c r="M48" i="7" a="1"/>
  <c r="N49" i="7" a="1"/>
  <c r="L50" i="7" a="1"/>
  <c r="O51" i="7" a="1"/>
  <c r="N52" i="7" a="1"/>
  <c r="K52" i="7" a="1"/>
  <c r="N53" i="7" a="1"/>
  <c r="O54" i="7" a="1"/>
  <c r="M55" i="7" a="1"/>
  <c r="N56" i="7" a="1"/>
  <c r="K56" i="7" a="1"/>
  <c r="N57" i="7" a="1"/>
  <c r="O58" i="7" a="1"/>
  <c r="M59" i="7" a="1"/>
  <c r="N60" i="7" a="1"/>
  <c r="K60" i="7" a="1"/>
  <c r="N61" i="7" a="1"/>
  <c r="O62" i="7" a="1"/>
  <c r="N63" i="7" a="1"/>
  <c r="O64" i="7" a="1"/>
  <c r="M64" i="7" a="1"/>
  <c r="N65" i="7" a="1"/>
  <c r="L66" i="7" a="1"/>
  <c r="M67" i="7" a="1"/>
  <c r="N68" i="7" a="1"/>
  <c r="L68" i="7" a="1"/>
  <c r="O69" i="7" a="1"/>
  <c r="K70" i="7" a="1"/>
  <c r="O71" i="7" a="1"/>
  <c r="O72" i="7" a="1"/>
  <c r="M72" i="7" a="1"/>
  <c r="N73" i="7" a="1"/>
  <c r="L74" i="7" a="1"/>
  <c r="M75" i="7" a="1"/>
  <c r="N76" i="7" a="1"/>
  <c r="L76" i="7" a="1"/>
  <c r="O77" i="7" a="1"/>
  <c r="K78" i="7" a="1"/>
  <c r="L79" i="7" a="1"/>
  <c r="O80" i="7" a="1"/>
  <c r="M80" i="7" a="1"/>
  <c r="N81" i="7" a="1"/>
  <c r="L82" i="7" a="1"/>
  <c r="M83" i="7" a="1"/>
  <c r="K84" i="7" a="1"/>
  <c r="L84" i="7" a="1"/>
  <c r="O85" i="7" a="1"/>
  <c r="K86" i="7" a="1"/>
  <c r="L87" i="7" a="1"/>
  <c r="O88" i="7" a="1"/>
  <c r="M88" i="7" a="1"/>
  <c r="N89" i="7" a="1"/>
  <c r="L90" i="7" a="1"/>
  <c r="O91" i="7" a="1"/>
  <c r="K92" i="7" a="1"/>
  <c r="N93" i="7" a="1"/>
  <c r="L93" i="7" a="1"/>
  <c r="M94" i="7" a="1"/>
  <c r="N95" i="7" a="1"/>
  <c r="L96" i="7" a="1"/>
  <c r="M97" i="7" a="1"/>
  <c r="K97" i="7" a="1"/>
  <c r="N98" i="7" a="1"/>
  <c r="O99" i="7" a="1"/>
  <c r="K100" i="7" a="1"/>
  <c r="N101" i="7" a="1"/>
  <c r="L101" i="7" a="1"/>
  <c r="M102" i="7" a="1"/>
  <c r="N103" i="7" a="1"/>
  <c r="L104" i="7" a="1"/>
  <c r="M105" i="7" a="1"/>
  <c r="K105" i="7" a="1"/>
  <c r="N106" i="7" a="1"/>
  <c r="O107" i="7" a="1"/>
  <c r="M108" i="7" a="1"/>
  <c r="M109" i="7" a="1"/>
  <c r="N109" i="7" a="1"/>
  <c r="M110" i="7" a="1"/>
  <c r="N111" i="7" a="1"/>
  <c r="L112" i="7" a="1"/>
  <c r="M113" i="7" a="1"/>
  <c r="K113" i="7" a="1"/>
  <c r="N114" i="7" a="1"/>
  <c r="O115" i="7" a="1"/>
  <c r="K116" i="7" a="1"/>
  <c r="N117" i="7" a="1"/>
  <c r="L117" i="7" a="1"/>
  <c r="M118" i="7" a="1"/>
  <c r="N119" i="7" a="1"/>
  <c r="L120" i="7" a="1"/>
  <c r="M121" i="7" a="1"/>
  <c r="K121" i="7" a="1"/>
  <c r="N122" i="7" a="1"/>
  <c r="O123" i="7" a="1"/>
  <c r="M124" i="7" a="1"/>
  <c r="N125" i="7" a="1"/>
  <c r="K125" i="7" a="1"/>
  <c r="N126" i="7" a="1"/>
  <c r="O127" i="7" a="1"/>
  <c r="O128" i="7" a="1"/>
  <c r="N129" i="7" a="1"/>
  <c r="K129" i="7" a="1"/>
  <c r="N130" i="7" a="1"/>
  <c r="O131" i="7" a="1"/>
  <c r="M132" i="7" a="1"/>
  <c r="M133" i="7" a="1"/>
  <c r="N133" i="7" a="1"/>
  <c r="N134" i="7" a="1"/>
  <c r="N135" i="7" a="1"/>
  <c r="M136" i="7" a="1"/>
  <c r="M137" i="7" a="1"/>
  <c r="N137" i="7" a="1"/>
  <c r="N138" i="7" a="1"/>
  <c r="N139" i="7" a="1"/>
  <c r="M140" i="7" a="1"/>
  <c r="M141" i="7" a="1"/>
  <c r="N141" i="7" a="1"/>
  <c r="N142" i="7" a="1"/>
  <c r="N143" i="7" a="1"/>
  <c r="M144" i="7" a="1"/>
  <c r="M145" i="7" a="1"/>
  <c r="N145" i="7" a="1"/>
  <c r="N146" i="7" a="1"/>
  <c r="N147" i="7" a="1"/>
  <c r="M148" i="7" a="1"/>
  <c r="M149" i="7" a="1"/>
  <c r="N149" i="7" a="1"/>
  <c r="N150" i="7" a="1"/>
  <c r="N151" i="7" a="1"/>
  <c r="M152" i="7" a="1"/>
  <c r="M153" i="7" a="1"/>
  <c r="N153" i="7" a="1"/>
  <c r="N154" i="7" a="1"/>
  <c r="N155" i="7" a="1"/>
  <c r="M156" i="7" a="1"/>
  <c r="M157" i="7" a="1"/>
  <c r="N157" i="7" a="1"/>
  <c r="N158" i="7" a="1"/>
  <c r="N159" i="7" a="1"/>
  <c r="M160" i="7" a="1"/>
  <c r="M161" i="7" a="1"/>
  <c r="N161" i="7" a="1"/>
  <c r="N162" i="7" a="1"/>
  <c r="N163" i="7" a="1"/>
  <c r="M164" i="7" a="1"/>
  <c r="M165" i="7" a="1"/>
  <c r="N165" i="7" a="1"/>
  <c r="N166" i="7" a="1"/>
  <c r="N167" i="7" a="1"/>
  <c r="M168" i="7" a="1"/>
  <c r="M169" i="7" a="1"/>
  <c r="N169" i="7" a="1"/>
  <c r="N170" i="7" a="1"/>
  <c r="N171" i="7" a="1"/>
  <c r="M172" i="7" a="1"/>
  <c r="M173" i="7" a="1"/>
  <c r="N173" i="7" a="1"/>
  <c r="N174" i="7" a="1"/>
  <c r="M175" i="7" a="1"/>
  <c r="L176" i="7" a="1"/>
  <c r="O177" i="7" a="1"/>
  <c r="L177" i="7" a="1"/>
  <c r="M178" i="7" a="1"/>
  <c r="K179" i="7" a="1"/>
  <c r="L180" i="7" a="1"/>
  <c r="M181" i="7" a="1"/>
  <c r="L181" i="7" a="1"/>
  <c r="M182" i="7" a="1"/>
  <c r="M183" i="7" a="1"/>
  <c r="L184" i="7" a="1"/>
  <c r="O185" i="7" a="1"/>
  <c r="L185" i="7" a="1"/>
  <c r="M186" i="7" a="1"/>
  <c r="N187" i="7" a="1"/>
  <c r="M188" i="7" a="1"/>
  <c r="M189" i="7" a="1"/>
  <c r="N189" i="7" a="1"/>
  <c r="N190" i="7" a="1"/>
  <c r="N191" i="7" a="1"/>
  <c r="M192" i="7" a="1"/>
  <c r="M193" i="7" a="1"/>
  <c r="N193" i="7" a="1"/>
  <c r="N194" i="7" a="1"/>
  <c r="N195" i="7" a="1"/>
  <c r="M196" i="7" a="1"/>
  <c r="M197" i="7" a="1"/>
  <c r="N197" i="7" a="1"/>
  <c r="N198" i="7" a="1"/>
  <c r="N199" i="7" a="1"/>
  <c r="M200" i="7" a="1"/>
  <c r="M201" i="7" a="1"/>
  <c r="N201" i="7" a="1"/>
  <c r="N202" i="7" a="1"/>
  <c r="N203" i="7" a="1"/>
  <c r="M204" i="7" a="1"/>
  <c r="M205" i="7" a="1"/>
  <c r="N205" i="7" a="1"/>
  <c r="N206" i="7" a="1"/>
  <c r="N207" i="7" a="1"/>
  <c r="M208" i="7" a="1"/>
  <c r="M209" i="7" a="1"/>
  <c r="N209" i="7" a="1"/>
  <c r="N210" i="7" a="1"/>
  <c r="N211" i="7" a="1"/>
  <c r="M212" i="7" a="1"/>
  <c r="M213" i="7" a="1"/>
  <c r="N213" i="7" a="1"/>
  <c r="N214" i="7" a="1"/>
  <c r="N215" i="7" a="1"/>
  <c r="M216" i="7" a="1"/>
  <c r="M217" i="7" a="1"/>
  <c r="N217" i="7" a="1"/>
  <c r="N218" i="7" a="1"/>
  <c r="N219" i="7" a="1"/>
  <c r="M220" i="7" a="1"/>
  <c r="M221" i="7" a="1"/>
  <c r="N221" i="7" a="1"/>
  <c r="N222" i="7" a="1"/>
  <c r="M223" i="7" a="1"/>
  <c r="M224" i="7" a="1"/>
  <c r="N225" i="7" a="1"/>
  <c r="K225" i="7" a="1"/>
  <c r="N226" i="7" a="1"/>
  <c r="O227" i="7" a="1"/>
  <c r="M228" i="7" a="1"/>
  <c r="N229" i="7" a="1"/>
  <c r="K229" i="7" a="1"/>
  <c r="N230" i="7" a="1"/>
  <c r="O231" i="7" a="1"/>
  <c r="M232" i="7" a="1"/>
  <c r="N233" i="7" a="1"/>
  <c r="K233" i="7" a="1"/>
  <c r="N234" i="7" a="1"/>
  <c r="O235" i="7" a="1"/>
  <c r="M236" i="7" a="1"/>
  <c r="N237" i="7" a="1"/>
  <c r="K237" i="7" a="1"/>
  <c r="N238" i="7" a="1"/>
  <c r="O239" i="7" a="1"/>
  <c r="M240" i="7" a="1"/>
  <c r="N241" i="7" a="1"/>
  <c r="K241" i="7" a="1"/>
  <c r="N242" i="7" a="1"/>
  <c r="O243" i="7" a="1"/>
  <c r="M244" i="7" a="1"/>
  <c r="N245" i="7" a="1"/>
  <c r="K245" i="7" a="1"/>
  <c r="K246" i="7" a="1"/>
  <c r="M247" i="7" a="1"/>
  <c r="L248" i="7" a="1"/>
  <c r="M249" i="7" a="1"/>
  <c r="L249" i="7" a="1"/>
  <c r="M250" i="7" a="1"/>
  <c r="L251" i="7" a="1"/>
  <c r="M252" i="7" a="1"/>
  <c r="N253" i="7" a="1"/>
  <c r="L253" i="7" a="1"/>
  <c r="O254" i="7" a="1"/>
  <c r="K255" i="7" a="1"/>
  <c r="O256" i="7" a="1"/>
  <c r="O257" i="7" a="1"/>
  <c r="M257" i="7" a="1"/>
  <c r="N258" i="7" a="1"/>
  <c r="L259" i="7" a="1"/>
  <c r="M260" i="7" a="1"/>
  <c r="N261" i="7" a="1"/>
  <c r="L261" i="7" a="1"/>
  <c r="O262" i="7" a="1"/>
  <c r="K263" i="7" a="1"/>
  <c r="L264" i="7" a="1"/>
  <c r="O265" i="7" a="1"/>
  <c r="M265" i="7" a="1"/>
  <c r="N266" i="7" a="1"/>
  <c r="L267" i="7" a="1"/>
  <c r="M268" i="7" a="1"/>
  <c r="K269" i="7" a="1"/>
  <c r="L269" i="7" a="1"/>
  <c r="O270" i="7" a="1"/>
  <c r="K271" i="7" a="1"/>
  <c r="L272" i="7" a="1"/>
  <c r="O273" i="7" a="1"/>
  <c r="M273" i="7" a="1"/>
  <c r="N274" i="7" a="1"/>
  <c r="L275" i="7" a="1"/>
  <c r="M276" i="7" a="1"/>
  <c r="N277" i="7" a="1"/>
  <c r="L277" i="7" a="1"/>
  <c r="O278" i="7" a="1"/>
  <c r="K279" i="7" a="1"/>
  <c r="L280" i="7" a="1"/>
  <c r="O281" i="7" a="1"/>
  <c r="M281" i="7" a="1"/>
  <c r="N282" i="7" a="1"/>
  <c r="L283" i="7" a="1"/>
  <c r="M284" i="7" a="1"/>
  <c r="N285" i="7" a="1"/>
  <c r="L285" i="7" a="1"/>
  <c r="O286" i="7" a="1"/>
  <c r="K287" i="7" a="1"/>
  <c r="O288" i="7" a="1"/>
  <c r="O289" i="7" a="1"/>
  <c r="M289" i="7" a="1"/>
  <c r="N290" i="7" a="1"/>
  <c r="L291" i="7" a="1"/>
  <c r="M292" i="7" a="1"/>
  <c r="N293" i="7" a="1"/>
  <c r="L293" i="7" a="1"/>
  <c r="O294" i="7" a="1"/>
  <c r="N90" i="7" a="1"/>
  <c r="L91" i="7" a="1"/>
  <c r="M92" i="7" a="1"/>
  <c r="K93" i="7" a="1"/>
  <c r="L94" i="7" a="1"/>
  <c r="O94" i="7" a="1"/>
  <c r="K95" i="7" a="1"/>
  <c r="N96" i="7" a="1"/>
  <c r="O97" i="7" a="1"/>
  <c r="M98" i="7" a="1"/>
  <c r="K98" i="7" a="1"/>
  <c r="L99" i="7" a="1"/>
  <c r="M100" i="7" a="1"/>
  <c r="K101" i="7" a="1"/>
  <c r="L102" i="7" a="1"/>
  <c r="O102" i="7" a="1"/>
  <c r="K103" i="7" a="1"/>
  <c r="N104" i="7" a="1"/>
  <c r="O105" i="7" a="1"/>
  <c r="M106" i="7" a="1"/>
  <c r="K106" i="7" a="1"/>
  <c r="L107" i="7" a="1"/>
  <c r="L108" i="7" a="1"/>
  <c r="L109" i="7" a="1"/>
  <c r="L110" i="7" a="1"/>
  <c r="O110" i="7" a="1"/>
  <c r="K111" i="7" a="1"/>
  <c r="N112" i="7" a="1"/>
  <c r="O113" i="7" a="1"/>
  <c r="M114" i="7" a="1"/>
  <c r="K114" i="7" a="1"/>
  <c r="L115" i="7" a="1"/>
  <c r="M116" i="7" a="1"/>
  <c r="K117" i="7" a="1"/>
  <c r="L118" i="7" a="1"/>
  <c r="O118" i="7" a="1"/>
  <c r="K119" i="7" a="1"/>
  <c r="N120" i="7" a="1"/>
  <c r="O121" i="7" a="1"/>
  <c r="M122" i="7" a="1"/>
  <c r="K122" i="7" a="1"/>
  <c r="L123" i="7" a="1"/>
  <c r="K124" i="7" a="1"/>
  <c r="L125" i="7" a="1"/>
  <c r="M126" i="7" a="1"/>
  <c r="L126" i="7" a="1"/>
  <c r="M127" i="7" a="1"/>
  <c r="M128" i="7" a="1"/>
  <c r="L129" i="7" a="1"/>
  <c r="O130" i="7" a="1"/>
  <c r="L130" i="7" a="1"/>
  <c r="M131" i="7" a="1"/>
  <c r="K132" i="7" a="1"/>
  <c r="L133" i="7" a="1"/>
  <c r="L134" i="7" a="1"/>
  <c r="M134" i="7" a="1"/>
  <c r="M135" i="7" a="1"/>
  <c r="L136" i="7" a="1"/>
  <c r="L137" i="7" a="1"/>
  <c r="L138" i="7" a="1"/>
  <c r="M138" i="7" a="1"/>
  <c r="M139" i="7" a="1"/>
  <c r="L140" i="7" a="1"/>
  <c r="L141" i="7" a="1"/>
  <c r="L142" i="7" a="1"/>
  <c r="M142" i="7" a="1"/>
  <c r="M143" i="7" a="1"/>
  <c r="L144" i="7" a="1"/>
  <c r="L145" i="7" a="1"/>
  <c r="L146" i="7" a="1"/>
  <c r="M146" i="7" a="1"/>
  <c r="M147" i="7" a="1"/>
  <c r="L148" i="7" a="1"/>
  <c r="L149" i="7" a="1"/>
  <c r="L150" i="7" a="1"/>
  <c r="M150" i="7" a="1"/>
  <c r="M151" i="7" a="1"/>
  <c r="L152" i="7" a="1"/>
  <c r="L153" i="7" a="1"/>
  <c r="L154" i="7" a="1"/>
  <c r="M154" i="7" a="1"/>
  <c r="M155" i="7" a="1"/>
  <c r="L156" i="7" a="1"/>
  <c r="L157" i="7" a="1"/>
  <c r="L158" i="7" a="1"/>
  <c r="M158" i="7" a="1"/>
  <c r="M159" i="7" a="1"/>
  <c r="L160" i="7" a="1"/>
  <c r="L161" i="7" a="1"/>
  <c r="L162" i="7" a="1"/>
  <c r="M162" i="7" a="1"/>
  <c r="M163" i="7" a="1"/>
  <c r="L164" i="7" a="1"/>
  <c r="L165" i="7" a="1"/>
  <c r="L166" i="7" a="1"/>
  <c r="M166" i="7" a="1"/>
  <c r="M167" i="7" a="1"/>
  <c r="L168" i="7" a="1"/>
  <c r="L169" i="7" a="1"/>
  <c r="L170" i="7" a="1"/>
  <c r="M170" i="7" a="1"/>
  <c r="M171" i="7" a="1"/>
  <c r="L172" i="7" a="1"/>
  <c r="L173" i="7" a="1"/>
  <c r="L174" i="7" a="1"/>
  <c r="M174" i="7" a="1"/>
  <c r="N175" i="7" a="1"/>
  <c r="O176" i="7" a="1"/>
  <c r="M177" i="7" a="1"/>
  <c r="L178" i="7" a="1"/>
  <c r="K178" i="7" a="1"/>
  <c r="N179" i="7" a="1"/>
  <c r="O180" i="7" a="1"/>
  <c r="K181" i="7" a="1"/>
  <c r="N182" i="7" a="1"/>
  <c r="K182" i="7" a="1"/>
  <c r="N183" i="7" a="1"/>
  <c r="O184" i="7" a="1"/>
  <c r="M185" i="7" a="1"/>
  <c r="L186" i="7" a="1"/>
  <c r="K186" i="7" a="1"/>
  <c r="M187" i="7" a="1"/>
  <c r="L188" i="7" a="1"/>
  <c r="L189" i="7" a="1"/>
  <c r="L190" i="7" a="1"/>
  <c r="M190" i="7" a="1"/>
  <c r="M191" i="7" a="1"/>
  <c r="L192" i="7" a="1"/>
  <c r="L193" i="7" a="1"/>
  <c r="L194" i="7" a="1"/>
  <c r="M194" i="7" a="1"/>
  <c r="M195" i="7" a="1"/>
  <c r="L196" i="7" a="1"/>
  <c r="L197" i="7" a="1"/>
  <c r="L198" i="7" a="1"/>
  <c r="M198" i="7" a="1"/>
  <c r="M199" i="7" a="1"/>
  <c r="L200" i="7" a="1"/>
  <c r="L201" i="7" a="1"/>
  <c r="L202" i="7" a="1"/>
  <c r="M202" i="7" a="1"/>
  <c r="M203" i="7" a="1"/>
  <c r="L204" i="7" a="1"/>
  <c r="L205" i="7" a="1"/>
  <c r="L206" i="7" a="1"/>
  <c r="M206" i="7" a="1"/>
  <c r="M207" i="7" a="1"/>
  <c r="L208" i="7" a="1"/>
  <c r="L209" i="7" a="1"/>
  <c r="L210" i="7" a="1"/>
  <c r="M210" i="7" a="1"/>
  <c r="M211" i="7" a="1"/>
  <c r="L212" i="7" a="1"/>
  <c r="L213" i="7" a="1"/>
  <c r="L214" i="7" a="1"/>
  <c r="M214" i="7" a="1"/>
  <c r="M215" i="7" a="1"/>
  <c r="L216" i="7" a="1"/>
  <c r="L217" i="7" a="1"/>
  <c r="L218" i="7" a="1"/>
  <c r="M218" i="7" a="1"/>
  <c r="M219" i="7" a="1"/>
  <c r="L220" i="7" a="1"/>
  <c r="L221" i="7" a="1"/>
  <c r="L222" i="7" a="1"/>
  <c r="M222" i="7" a="1"/>
  <c r="O223" i="7" a="1"/>
  <c r="K224" i="7" a="1"/>
  <c r="L225" i="7" a="1"/>
  <c r="O226" i="7" a="1"/>
  <c r="L226" i="7" a="1"/>
  <c r="M227" i="7" a="1"/>
  <c r="K228" i="7" a="1"/>
  <c r="L229" i="7" a="1"/>
  <c r="O230" i="7" a="1"/>
  <c r="L230" i="7" a="1"/>
  <c r="M231" i="7" a="1"/>
  <c r="K232" i="7" a="1"/>
  <c r="L233" i="7" a="1"/>
  <c r="O234" i="7" a="1"/>
  <c r="L234" i="7" a="1"/>
  <c r="M235" i="7" a="1"/>
  <c r="K236" i="7" a="1"/>
  <c r="L237" i="7" a="1"/>
  <c r="O238" i="7" a="1"/>
  <c r="L238" i="7" a="1"/>
  <c r="M239" i="7" a="1"/>
  <c r="K240" i="7" a="1"/>
  <c r="L241" i="7" a="1"/>
  <c r="O242" i="7" a="1"/>
  <c r="L242" i="7" a="1"/>
  <c r="M243" i="7" a="1"/>
  <c r="K244" i="7" a="1"/>
  <c r="L245" i="7" a="1"/>
  <c r="N246" i="7" a="1"/>
  <c r="L246" i="7" a="1"/>
  <c r="N247" i="7" a="1"/>
  <c r="O248" i="7" a="1"/>
  <c r="O249" i="7" a="1"/>
  <c r="L250" i="7" a="1"/>
  <c r="K250" i="7" a="1"/>
  <c r="N251" i="7" a="1"/>
  <c r="O252" i="7" a="1"/>
  <c r="K253" i="7" a="1"/>
  <c r="N254" i="7" a="1"/>
  <c r="L254" i="7" a="1"/>
  <c r="M255" i="7" a="1"/>
  <c r="N256" i="7" a="1"/>
  <c r="L257" i="7" a="1"/>
  <c r="M258" i="7" a="1"/>
  <c r="K258" i="7" a="1"/>
  <c r="N259" i="7" a="1"/>
  <c r="O260" i="7" a="1"/>
  <c r="K261" i="7" a="1"/>
  <c r="N262" i="7" a="1"/>
  <c r="L262" i="7" a="1"/>
  <c r="M263" i="7" a="1"/>
  <c r="N264" i="7" a="1"/>
  <c r="L265" i="7" a="1"/>
  <c r="M266" i="7" a="1"/>
  <c r="K266" i="7" a="1"/>
  <c r="N267" i="7" a="1"/>
  <c r="O268" i="7" a="1"/>
  <c r="N269" i="7" a="1"/>
  <c r="N270" i="7" a="1"/>
  <c r="L270" i="7" a="1"/>
  <c r="M271" i="7" a="1"/>
  <c r="N272" i="7" a="1"/>
  <c r="L273" i="7" a="1"/>
  <c r="M274" i="7" a="1"/>
  <c r="K274" i="7" a="1"/>
  <c r="N275" i="7" a="1"/>
  <c r="O276" i="7" a="1"/>
  <c r="K277" i="7" a="1"/>
  <c r="N278" i="7" a="1"/>
  <c r="L278" i="7" a="1"/>
  <c r="M279" i="7" a="1"/>
  <c r="N280" i="7" a="1"/>
  <c r="L281" i="7" a="1"/>
  <c r="M282" i="7" a="1"/>
  <c r="K282" i="7" a="1"/>
  <c r="N283" i="7" a="1"/>
  <c r="O284" i="7" a="1"/>
  <c r="K285" i="7" a="1"/>
  <c r="N286" i="7" a="1"/>
  <c r="L286" i="7" a="1"/>
  <c r="M287" i="7" a="1"/>
  <c r="N288" i="7" a="1"/>
  <c r="L289" i="7" a="1"/>
  <c r="M290" i="7" a="1"/>
  <c r="K290" i="7" a="1"/>
  <c r="N291" i="7" a="1"/>
  <c r="O292" i="7" a="1"/>
  <c r="K293" i="7" a="1"/>
  <c r="N294" i="7" a="1"/>
  <c r="K90" i="7" a="1"/>
  <c r="N91" i="7" a="1"/>
  <c r="O92" i="7" a="1"/>
  <c r="M93" i="7" a="1"/>
  <c r="N94" i="7" a="1"/>
  <c r="O95" i="7" a="1"/>
  <c r="M95" i="7" a="1"/>
  <c r="K96" i="7" a="1"/>
  <c r="L97" i="7" a="1"/>
  <c r="O98" i="7" a="1"/>
  <c r="K99" i="7" a="1"/>
  <c r="N99" i="7" a="1"/>
  <c r="O100" i="7" a="1"/>
  <c r="M101" i="7" a="1"/>
  <c r="N102" i="7" a="1"/>
  <c r="L103" i="7" a="1"/>
  <c r="M103" i="7" a="1"/>
  <c r="K104" i="7" a="1"/>
  <c r="L105" i="7" a="1"/>
  <c r="O106" i="7" a="1"/>
  <c r="K107" i="7" a="1"/>
  <c r="N107" i="7" a="1"/>
  <c r="O108" i="7" a="1"/>
  <c r="O109" i="7" a="1"/>
  <c r="N110" i="7" a="1"/>
  <c r="O111" i="7" a="1"/>
  <c r="M111" i="7" a="1"/>
  <c r="K112" i="7" a="1"/>
  <c r="L113" i="7" a="1"/>
  <c r="O114" i="7" a="1"/>
  <c r="K115" i="7" a="1"/>
  <c r="N115" i="7" a="1"/>
  <c r="O116" i="7" a="1"/>
  <c r="M117" i="7" a="1"/>
  <c r="N118" i="7" a="1"/>
  <c r="O119" i="7" a="1"/>
  <c r="M119" i="7" a="1"/>
  <c r="K120" i="7" a="1"/>
  <c r="L121" i="7" a="1"/>
  <c r="O122" i="7" a="1"/>
  <c r="K123" i="7" a="1"/>
  <c r="N123" i="7" a="1"/>
  <c r="N124" i="7" a="1"/>
  <c r="O125" i="7" a="1"/>
  <c r="K126" i="7" a="1"/>
  <c r="N127" i="7" a="1"/>
  <c r="K127" i="7" a="1"/>
  <c r="N128" i="7" a="1"/>
  <c r="O129" i="7" a="1"/>
  <c r="M130" i="7" a="1"/>
  <c r="L131" i="7" a="1"/>
  <c r="K131" i="7" a="1"/>
  <c r="O132" i="7" a="1"/>
  <c r="O133" i="7" a="1"/>
  <c r="O134" i="7" a="1"/>
  <c r="O135" i="7" a="1"/>
  <c r="L135" i="7" a="1"/>
  <c r="O136" i="7" a="1"/>
  <c r="O137" i="7" a="1"/>
  <c r="O138" i="7" a="1"/>
  <c r="O139" i="7" a="1"/>
  <c r="L139" i="7" a="1"/>
  <c r="O140" i="7" a="1"/>
  <c r="O141" i="7" a="1"/>
  <c r="O142" i="7" a="1"/>
  <c r="K143" i="7" a="1"/>
  <c r="L143" i="7" a="1"/>
  <c r="O144" i="7" a="1"/>
  <c r="O145" i="7" a="1"/>
  <c r="O146" i="7" a="1"/>
  <c r="O147" i="7" a="1"/>
  <c r="L147" i="7" a="1"/>
  <c r="O148" i="7" a="1"/>
  <c r="O149" i="7" a="1"/>
  <c r="O150" i="7" a="1"/>
  <c r="O151" i="7" a="1"/>
  <c r="L151" i="7" a="1"/>
  <c r="O152" i="7" a="1"/>
  <c r="O153" i="7" a="1"/>
  <c r="O154" i="7" a="1"/>
  <c r="O155" i="7" a="1"/>
  <c r="L155" i="7" a="1"/>
  <c r="O156" i="7" a="1"/>
  <c r="O157" i="7" a="1"/>
  <c r="O158" i="7" a="1"/>
  <c r="K159" i="7" a="1"/>
  <c r="L159" i="7" a="1"/>
  <c r="O160" i="7" a="1"/>
  <c r="O161" i="7" a="1"/>
  <c r="O162" i="7" a="1"/>
  <c r="O163" i="7" a="1"/>
  <c r="L163" i="7" a="1"/>
  <c r="O164" i="7" a="1"/>
  <c r="O165" i="7" a="1"/>
  <c r="O166" i="7" a="1"/>
  <c r="O167" i="7" a="1"/>
  <c r="L167" i="7" a="1"/>
  <c r="O168" i="7" a="1"/>
  <c r="O169" i="7" a="1"/>
  <c r="O170" i="7" a="1"/>
  <c r="O171" i="7" a="1"/>
  <c r="L171" i="7" a="1"/>
  <c r="O172" i="7" a="1"/>
  <c r="O173" i="7" a="1"/>
  <c r="O174" i="7" a="1"/>
  <c r="K175" i="7" a="1"/>
  <c r="L175" i="7" a="1"/>
  <c r="M176" i="7" a="1"/>
  <c r="K177" i="7" a="1"/>
  <c r="N178" i="7" a="1"/>
  <c r="O179" i="7" a="1"/>
  <c r="L179" i="7" a="1"/>
  <c r="M180" i="7" a="1"/>
  <c r="O181" i="7" a="1"/>
  <c r="L182" i="7" a="1"/>
  <c r="K183" i="7" a="1"/>
  <c r="L183" i="7" a="1"/>
  <c r="M184" i="7" a="1"/>
  <c r="K185" i="7" a="1"/>
  <c r="O186" i="7" a="1"/>
  <c r="O187" i="7" a="1"/>
  <c r="L187" i="7" a="1"/>
  <c r="O188" i="7" a="1"/>
  <c r="O189" i="7" a="1"/>
  <c r="O190" i="7" a="1"/>
  <c r="O191" i="7" a="1"/>
  <c r="L191" i="7" a="1"/>
  <c r="O192" i="7" a="1"/>
  <c r="O193" i="7" a="1"/>
  <c r="O194" i="7" a="1"/>
  <c r="K195" i="7" a="1"/>
  <c r="L195" i="7" a="1"/>
  <c r="O196" i="7" a="1"/>
  <c r="O197" i="7" a="1"/>
  <c r="O198" i="7" a="1"/>
  <c r="O199" i="7" a="1"/>
  <c r="L199" i="7" a="1"/>
  <c r="O200" i="7" a="1"/>
  <c r="O201" i="7" a="1"/>
  <c r="O202" i="7" a="1"/>
  <c r="O203" i="7" a="1"/>
  <c r="L203" i="7" a="1"/>
  <c r="O204" i="7" a="1"/>
  <c r="O205" i="7" a="1"/>
  <c r="O206" i="7" a="1"/>
  <c r="O207" i="7" a="1"/>
  <c r="L207" i="7" a="1"/>
  <c r="O208" i="7" a="1"/>
  <c r="O209" i="7" a="1"/>
  <c r="O210" i="7" a="1"/>
  <c r="K211" i="7" a="1"/>
  <c r="L211" i="7" a="1"/>
  <c r="O212" i="7" a="1"/>
  <c r="O213" i="7" a="1"/>
  <c r="O214" i="7" a="1"/>
  <c r="O215" i="7" a="1"/>
  <c r="L215" i="7" a="1"/>
  <c r="O216" i="7" a="1"/>
  <c r="O217" i="7" a="1"/>
  <c r="O218" i="7" a="1"/>
  <c r="O219" i="7" a="1"/>
  <c r="L219" i="7" a="1"/>
  <c r="O220" i="7" a="1"/>
  <c r="O221" i="7" a="1"/>
  <c r="O222" i="7" a="1"/>
  <c r="K223" i="7" a="1"/>
  <c r="L223" i="7" a="1"/>
  <c r="N224" i="7" a="1"/>
  <c r="O225" i="7" a="1"/>
  <c r="M226" i="7" a="1"/>
  <c r="N227" i="7" a="1"/>
  <c r="K227" i="7" a="1"/>
  <c r="N228" i="7" a="1"/>
  <c r="O229" i="7" a="1"/>
  <c r="M230" i="7" a="1"/>
  <c r="N231" i="7" a="1"/>
  <c r="K231" i="7" a="1"/>
  <c r="N232" i="7" a="1"/>
  <c r="O233" i="7" a="1"/>
  <c r="M234" i="7" a="1"/>
  <c r="N235" i="7" a="1"/>
  <c r="K235" i="7" a="1"/>
  <c r="N236" i="7" a="1"/>
  <c r="O237" i="7" a="1"/>
  <c r="M238" i="7" a="1"/>
  <c r="N239" i="7" a="1"/>
  <c r="K239" i="7" a="1"/>
  <c r="N240" i="7" a="1"/>
  <c r="O241" i="7" a="1"/>
  <c r="M242" i="7" a="1"/>
  <c r="N243" i="7" a="1"/>
  <c r="K243" i="7" a="1"/>
  <c r="N244" i="7" a="1"/>
  <c r="O245" i="7" a="1"/>
  <c r="O246" i="7" a="1"/>
  <c r="O247" i="7" a="1"/>
  <c r="L247" i="7" a="1"/>
  <c r="M248" i="7" a="1"/>
  <c r="K249" i="7" a="1"/>
  <c r="O250" i="7" a="1"/>
  <c r="M251" i="7" a="1"/>
  <c r="K251" i="7" a="1"/>
  <c r="L252" i="7" a="1"/>
  <c r="M253" i="7" a="1"/>
  <c r="K254" i="7" a="1"/>
  <c r="L255" i="7" a="1"/>
  <c r="O255" i="7" a="1"/>
  <c r="K256" i="7" a="1"/>
  <c r="N257" i="7" a="1"/>
  <c r="O258" i="7" a="1"/>
  <c r="M259" i="7" a="1"/>
  <c r="K259" i="7" a="1"/>
  <c r="L260" i="7" a="1"/>
  <c r="M261" i="7" a="1"/>
  <c r="K262" i="7" a="1"/>
  <c r="L263" i="7" a="1"/>
  <c r="O263" i="7" a="1"/>
  <c r="K264" i="7" a="1"/>
  <c r="N265" i="7" a="1"/>
  <c r="O266" i="7" a="1"/>
  <c r="M267" i="7" a="1"/>
  <c r="K267" i="7" a="1"/>
  <c r="L268" i="7" a="1"/>
  <c r="M269" i="7" a="1"/>
  <c r="K270" i="7" a="1"/>
  <c r="L271" i="7" a="1"/>
  <c r="O271" i="7" a="1"/>
  <c r="K272" i="7" a="1"/>
  <c r="N273" i="7" a="1"/>
  <c r="O274" i="7" a="1"/>
  <c r="M275" i="7" a="1"/>
  <c r="K275" i="7" a="1"/>
  <c r="L276" i="7" a="1"/>
  <c r="M277" i="7" a="1"/>
  <c r="K278" i="7" a="1"/>
  <c r="L279" i="7" a="1"/>
  <c r="O279" i="7" a="1"/>
  <c r="K280" i="7" a="1"/>
  <c r="N281" i="7" a="1"/>
  <c r="O282" i="7" a="1"/>
  <c r="M283" i="7" a="1"/>
  <c r="K283" i="7" a="1"/>
  <c r="L284" i="7" a="1"/>
  <c r="M285" i="7" a="1"/>
  <c r="K286" i="7" a="1"/>
  <c r="L287" i="7" a="1"/>
  <c r="O287" i="7" a="1"/>
  <c r="K288" i="7" a="1"/>
  <c r="N289" i="7" a="1"/>
  <c r="O290" i="7" a="1"/>
  <c r="M291" i="7" a="1"/>
  <c r="K291" i="7" a="1"/>
  <c r="L292" i="7" a="1"/>
  <c r="M91" i="7" a="1"/>
  <c r="N92" i="7" a="1"/>
  <c r="L92" i="7" a="1"/>
  <c r="O93" i="7" a="1"/>
  <c r="K94" i="7" a="1"/>
  <c r="L95" i="7" a="1"/>
  <c r="O96" i="7" a="1"/>
  <c r="M96" i="7" a="1"/>
  <c r="N97" i="7" a="1"/>
  <c r="L98" i="7" a="1"/>
  <c r="M99" i="7" a="1"/>
  <c r="N100" i="7" a="1"/>
  <c r="L100" i="7" a="1"/>
  <c r="O101" i="7" a="1"/>
  <c r="K102" i="7" a="1"/>
  <c r="O103" i="7" a="1"/>
  <c r="O104" i="7" a="1"/>
  <c r="M104" i="7" a="1"/>
  <c r="N105" i="7" a="1"/>
  <c r="L106" i="7" a="1"/>
  <c r="M107" i="7" a="1"/>
  <c r="N108" i="7" a="1"/>
  <c r="K108" i="7" a="1"/>
  <c r="K109" i="7" a="1"/>
  <c r="K110" i="7" a="1"/>
  <c r="L111" i="7" a="1"/>
  <c r="O112" i="7" a="1"/>
  <c r="M112" i="7" a="1"/>
  <c r="N113" i="7" a="1"/>
  <c r="L114" i="7" a="1"/>
  <c r="M115" i="7" a="1"/>
  <c r="N116" i="7" a="1"/>
  <c r="L116" i="7" a="1"/>
  <c r="O117" i="7" a="1"/>
  <c r="K118" i="7" a="1"/>
  <c r="L119" i="7" a="1"/>
  <c r="O120" i="7" a="1"/>
  <c r="M120" i="7" a="1"/>
  <c r="N121" i="7" a="1"/>
  <c r="L122" i="7" a="1"/>
  <c r="M123" i="7" a="1"/>
  <c r="O124" i="7" a="1"/>
  <c r="L124" i="7" a="1"/>
  <c r="M125" i="7" a="1"/>
  <c r="O126" i="7" a="1"/>
  <c r="L127" i="7" a="1"/>
  <c r="K128" i="7" a="1"/>
  <c r="L128" i="7" a="1"/>
  <c r="M129" i="7" a="1"/>
  <c r="K130" i="7" a="1"/>
  <c r="N131" i="7" a="1"/>
  <c r="N132" i="7" a="1"/>
  <c r="L132" i="7" a="1"/>
  <c r="K133" i="7" a="1"/>
  <c r="K134" i="7" a="1"/>
  <c r="K135" i="7" a="1"/>
  <c r="N136" i="7" a="1"/>
  <c r="K136" i="7" a="1"/>
  <c r="K137" i="7" a="1"/>
  <c r="K138" i="7" a="1"/>
  <c r="K139" i="7" a="1"/>
  <c r="N140" i="7" a="1"/>
  <c r="K140" i="7" a="1"/>
  <c r="K141" i="7" a="1"/>
  <c r="K142" i="7" a="1"/>
  <c r="O143" i="7" a="1"/>
  <c r="N144" i="7" a="1"/>
  <c r="K144" i="7" a="1"/>
  <c r="K145" i="7" a="1"/>
  <c r="K146" i="7" a="1"/>
  <c r="K147" i="7" a="1"/>
  <c r="N148" i="7" a="1"/>
  <c r="K148" i="7" a="1"/>
  <c r="K149" i="7" a="1"/>
  <c r="K150" i="7" a="1"/>
  <c r="K151" i="7" a="1"/>
  <c r="N152" i="7" a="1"/>
  <c r="K152" i="7" a="1"/>
  <c r="K153" i="7" a="1"/>
  <c r="K154" i="7" a="1"/>
  <c r="K155" i="7" a="1"/>
  <c r="N156" i="7" a="1"/>
  <c r="K156" i="7" a="1"/>
  <c r="K157" i="7" a="1"/>
  <c r="K158" i="7" a="1"/>
  <c r="O159" i="7" a="1"/>
  <c r="N160" i="7" a="1"/>
  <c r="K160" i="7" a="1"/>
  <c r="K161" i="7" a="1"/>
  <c r="K162" i="7" a="1"/>
  <c r="K163" i="7" a="1"/>
  <c r="N164" i="7" a="1"/>
  <c r="K164" i="7" a="1"/>
  <c r="K165" i="7" a="1"/>
  <c r="K166" i="7" a="1"/>
  <c r="K167" i="7" a="1"/>
  <c r="N168" i="7" a="1"/>
  <c r="K168" i="7" a="1"/>
  <c r="K169" i="7" a="1"/>
  <c r="K170" i="7" a="1"/>
  <c r="K171" i="7" a="1"/>
  <c r="N172" i="7" a="1"/>
  <c r="K172" i="7" a="1"/>
  <c r="K173" i="7" a="1"/>
  <c r="K174" i="7" a="1"/>
  <c r="O175" i="7" a="1"/>
  <c r="N176" i="7" a="1"/>
  <c r="K176" i="7" a="1"/>
  <c r="N177" i="7" a="1"/>
  <c r="O178" i="7" a="1"/>
  <c r="M179" i="7" a="1"/>
  <c r="N180" i="7" a="1"/>
  <c r="K180" i="7" a="1"/>
  <c r="N181" i="7" a="1"/>
  <c r="O182" i="7" a="1"/>
  <c r="O183" i="7" a="1"/>
  <c r="N184" i="7" a="1"/>
  <c r="K184" i="7" a="1"/>
  <c r="N185" i="7" a="1"/>
  <c r="N186" i="7" a="1"/>
  <c r="K187" i="7" a="1"/>
  <c r="N188" i="7" a="1"/>
  <c r="K188" i="7" a="1"/>
  <c r="K189" i="7" a="1"/>
  <c r="K190" i="7" a="1"/>
  <c r="K191" i="7" a="1"/>
  <c r="N192" i="7" a="1"/>
  <c r="K192" i="7" a="1"/>
  <c r="K193" i="7" a="1"/>
  <c r="K194" i="7" a="1"/>
  <c r="O195" i="7" a="1"/>
  <c r="N196" i="7" a="1"/>
  <c r="K196" i="7" a="1"/>
  <c r="K197" i="7" a="1"/>
  <c r="K198" i="7" a="1"/>
  <c r="K199" i="7" a="1"/>
  <c r="N200" i="7" a="1"/>
  <c r="K200" i="7" a="1"/>
  <c r="K201" i="7" a="1"/>
  <c r="K202" i="7" a="1"/>
  <c r="K203" i="7" a="1"/>
  <c r="N204" i="7" a="1"/>
  <c r="K204" i="7" a="1"/>
  <c r="K205" i="7" a="1"/>
  <c r="K206" i="7" a="1"/>
  <c r="K207" i="7" a="1"/>
  <c r="N208" i="7" a="1"/>
  <c r="K208" i="7" a="1"/>
  <c r="K209" i="7" a="1"/>
  <c r="K210" i="7" a="1"/>
  <c r="O211" i="7" a="1"/>
  <c r="N212" i="7" a="1"/>
  <c r="K212" i="7" a="1"/>
  <c r="K213" i="7" a="1"/>
  <c r="K214" i="7" a="1"/>
  <c r="K215" i="7" a="1"/>
  <c r="N216" i="7" a="1"/>
  <c r="K216" i="7" a="1"/>
  <c r="K217" i="7" a="1"/>
  <c r="K218" i="7" a="1"/>
  <c r="K219" i="7" a="1"/>
  <c r="N220" i="7" a="1"/>
  <c r="K220" i="7" a="1"/>
  <c r="K221" i="7" a="1"/>
  <c r="K222" i="7" a="1"/>
  <c r="N223" i="7" a="1"/>
  <c r="O224" i="7" a="1"/>
  <c r="L224" i="7" a="1"/>
  <c r="M225" i="7" a="1"/>
  <c r="K226" i="7" a="1"/>
  <c r="L227" i="7" a="1"/>
  <c r="O228" i="7" a="1"/>
  <c r="L228" i="7" a="1"/>
  <c r="M229" i="7" a="1"/>
  <c r="K230" i="7" a="1"/>
  <c r="L231" i="7" a="1"/>
  <c r="O232" i="7" a="1"/>
  <c r="L232" i="7" a="1"/>
  <c r="M233" i="7" a="1"/>
  <c r="K234" i="7" a="1"/>
  <c r="L235" i="7" a="1"/>
  <c r="O236" i="7" a="1"/>
  <c r="L236" i="7" a="1"/>
  <c r="M237" i="7" a="1"/>
  <c r="K238" i="7" a="1"/>
  <c r="L239" i="7" a="1"/>
  <c r="O240" i="7" a="1"/>
  <c r="L240" i="7" a="1"/>
  <c r="M241" i="7" a="1"/>
  <c r="K242" i="7" a="1"/>
  <c r="L243" i="7" a="1"/>
  <c r="O244" i="7" a="1"/>
  <c r="L244" i="7" a="1"/>
  <c r="M245" i="7" a="1"/>
  <c r="M246" i="7" a="1"/>
  <c r="K247" i="7" a="1"/>
  <c r="N248" i="7" a="1"/>
  <c r="K248" i="7" a="1"/>
  <c r="N249" i="7" a="1"/>
  <c r="N250" i="7" a="1"/>
  <c r="O251" i="7" a="1"/>
  <c r="K252" i="7" a="1"/>
  <c r="N252" i="7" a="1"/>
  <c r="O253" i="7" a="1"/>
  <c r="M254" i="7" a="1"/>
  <c r="N255" i="7" a="1"/>
  <c r="L256" i="7" a="1"/>
  <c r="M256" i="7" a="1"/>
  <c r="K257" i="7" a="1"/>
  <c r="L258" i="7" a="1"/>
  <c r="O259" i="7" a="1"/>
  <c r="K260" i="7" a="1"/>
  <c r="N260" i="7" a="1"/>
  <c r="O261" i="7" a="1"/>
  <c r="M262" i="7" a="1"/>
  <c r="N263" i="7" a="1"/>
  <c r="O264" i="7" a="1"/>
  <c r="M264" i="7" a="1"/>
  <c r="K265" i="7" a="1"/>
  <c r="L266" i="7" a="1"/>
  <c r="O267" i="7" a="1"/>
  <c r="K268" i="7" a="1"/>
  <c r="N268" i="7" a="1"/>
  <c r="O269" i="7" a="1"/>
  <c r="M270" i="7" a="1"/>
  <c r="N271" i="7" a="1"/>
  <c r="O272" i="7" a="1"/>
  <c r="M272" i="7" a="1"/>
  <c r="K273" i="7" a="1"/>
  <c r="L274" i="7" a="1"/>
  <c r="O275" i="7" a="1"/>
  <c r="K276" i="7" a="1"/>
  <c r="N276" i="7" a="1"/>
  <c r="O277" i="7" a="1"/>
  <c r="M278" i="7" a="1"/>
  <c r="N279" i="7" a="1"/>
  <c r="O280" i="7" a="1"/>
  <c r="M280" i="7" a="1"/>
  <c r="K281" i="7" a="1"/>
  <c r="L282" i="7" a="1"/>
  <c r="O283" i="7" a="1"/>
  <c r="K284" i="7" a="1"/>
  <c r="N284" i="7" a="1"/>
  <c r="O285" i="7" a="1"/>
  <c r="M286" i="7" a="1"/>
  <c r="N287" i="7" a="1"/>
  <c r="L288" i="7" a="1"/>
  <c r="M288" i="7" a="1"/>
  <c r="K289" i="7" a="1"/>
  <c r="L290" i="7" a="1"/>
  <c r="O291" i="7" a="1"/>
  <c r="K292" i="7" a="1"/>
  <c r="N292" i="7" a="1"/>
  <c r="M293" i="7" a="1"/>
  <c r="L294" i="7" a="1"/>
  <c r="M295" i="7" a="1"/>
  <c r="N296" i="7" a="1"/>
  <c r="L297" i="7" a="1"/>
  <c r="M298" i="7" a="1"/>
  <c r="K298" i="7" a="1"/>
  <c r="N299" i="7" a="1"/>
  <c r="O300" i="7" a="1"/>
  <c r="N301" i="7" a="1"/>
  <c r="N302" i="7" a="1"/>
  <c r="L302" i="7" a="1"/>
  <c r="M303" i="7" a="1"/>
  <c r="N304" i="7" a="1"/>
  <c r="L305" i="7" a="1"/>
  <c r="M306" i="7" a="1"/>
  <c r="K306" i="7" a="1"/>
  <c r="N307" i="7" a="1"/>
  <c r="O308" i="7" a="1"/>
  <c r="K309" i="7" a="1"/>
  <c r="N310" i="7" a="1"/>
  <c r="L310" i="7" a="1"/>
  <c r="M311" i="7" a="1"/>
  <c r="N312" i="7" a="1"/>
  <c r="L313" i="7" a="1"/>
  <c r="M314" i="7" a="1"/>
  <c r="K314" i="7" a="1"/>
  <c r="N315" i="7" a="1"/>
  <c r="O316" i="7" a="1"/>
  <c r="K317" i="7" a="1"/>
  <c r="N318" i="7" a="1"/>
  <c r="L318" i="7" a="1"/>
  <c r="M319" i="7" a="1"/>
  <c r="N320" i="7" a="1"/>
  <c r="L321" i="7" a="1"/>
  <c r="M322" i="7" a="1"/>
  <c r="K322" i="7" a="1"/>
  <c r="N323" i="7" a="1"/>
  <c r="O324" i="7" a="1"/>
  <c r="K325" i="7" a="1"/>
  <c r="N326" i="7" a="1"/>
  <c r="L326" i="7" a="1"/>
  <c r="M327" i="7" a="1"/>
  <c r="N328" i="7" a="1"/>
  <c r="L329" i="7" a="1"/>
  <c r="M330" i="7" a="1"/>
  <c r="K330" i="7" a="1"/>
  <c r="N331" i="7" a="1"/>
  <c r="O332" i="7" a="1"/>
  <c r="N333" i="7" a="1"/>
  <c r="N334" i="7" a="1"/>
  <c r="L334" i="7" a="1"/>
  <c r="M335" i="7" a="1"/>
  <c r="N336" i="7" a="1"/>
  <c r="L337" i="7" a="1"/>
  <c r="M338" i="7" a="1"/>
  <c r="K338" i="7" a="1"/>
  <c r="N339" i="7" a="1"/>
  <c r="O340" i="7" a="1"/>
  <c r="K341" i="7" a="1"/>
  <c r="N342" i="7" a="1"/>
  <c r="K342" i="7" a="1"/>
  <c r="N343" i="7" a="1"/>
  <c r="O344" i="7" a="1"/>
  <c r="M345" i="7" a="1"/>
  <c r="L346" i="7" a="1"/>
  <c r="K346" i="7" a="1"/>
  <c r="N347" i="7" a="1"/>
  <c r="O348" i="7" a="1"/>
  <c r="K349" i="7" a="1"/>
  <c r="N350" i="7" a="1"/>
  <c r="K350" i="7" a="1"/>
  <c r="N351" i="7" a="1"/>
  <c r="O352" i="7" a="1"/>
  <c r="M353" i="7" a="1"/>
  <c r="L354" i="7" a="1"/>
  <c r="K354" i="7" a="1"/>
  <c r="O355" i="7" a="1"/>
  <c r="O356" i="7" a="1"/>
  <c r="O357" i="7" a="1"/>
  <c r="K358" i="7" a="1"/>
  <c r="L358" i="7" a="1"/>
  <c r="O359" i="7" a="1"/>
  <c r="O360" i="7" a="1"/>
  <c r="O361" i="7" a="1"/>
  <c r="O362" i="7" a="1"/>
  <c r="L362" i="7" a="1"/>
  <c r="O363" i="7" a="1"/>
  <c r="O364" i="7" a="1"/>
  <c r="O365" i="7" a="1"/>
  <c r="O366" i="7" a="1"/>
  <c r="L366" i="7" a="1"/>
  <c r="O367" i="7" a="1"/>
  <c r="O368" i="7" a="1"/>
  <c r="O369" i="7" a="1"/>
  <c r="O370" i="7" a="1"/>
  <c r="L370" i="7" a="1"/>
  <c r="O371" i="7" a="1"/>
  <c r="O372" i="7" a="1"/>
  <c r="O373" i="7" a="1"/>
  <c r="K374" i="7" a="1"/>
  <c r="L374" i="7" a="1"/>
  <c r="O375" i="7" a="1"/>
  <c r="O376" i="7" a="1"/>
  <c r="O377" i="7" a="1"/>
  <c r="O378" i="7" a="1"/>
  <c r="L378" i="7" a="1"/>
  <c r="O379" i="7" a="1"/>
  <c r="O380" i="7" a="1"/>
  <c r="O381" i="7" a="1"/>
  <c r="O382" i="7" a="1"/>
  <c r="L382" i="7" a="1"/>
  <c r="O383" i="7" a="1"/>
  <c r="O384" i="7" a="1"/>
  <c r="O385" i="7" a="1"/>
  <c r="O386" i="7" a="1"/>
  <c r="L386" i="7" a="1"/>
  <c r="O387" i="7" a="1"/>
  <c r="O388" i="7" a="1"/>
  <c r="O389" i="7" a="1"/>
  <c r="K390" i="7" a="1"/>
  <c r="L390" i="7" a="1"/>
  <c r="O391" i="7" a="1"/>
  <c r="O392" i="7" a="1"/>
  <c r="O393" i="7" a="1"/>
  <c r="O394" i="7" a="1"/>
  <c r="L394" i="7" a="1"/>
  <c r="O395" i="7" a="1"/>
  <c r="O396" i="7" a="1"/>
  <c r="O397" i="7" a="1"/>
  <c r="O398" i="7" a="1"/>
  <c r="L398" i="7" a="1"/>
  <c r="O399" i="7" a="1"/>
  <c r="O400" i="7" a="1"/>
  <c r="O401" i="7" a="1"/>
  <c r="O402" i="7" a="1"/>
  <c r="L402" i="7" a="1"/>
  <c r="O403" i="7" a="1"/>
  <c r="O404" i="7" a="1"/>
  <c r="O405" i="7" a="1"/>
  <c r="K406" i="7" a="1"/>
  <c r="L406" i="7" a="1"/>
  <c r="O407" i="7" a="1"/>
  <c r="O408" i="7" a="1"/>
  <c r="O409" i="7" a="1"/>
  <c r="O410" i="7" a="1"/>
  <c r="L410" i="7" a="1"/>
  <c r="N411" i="7" a="1"/>
  <c r="O412" i="7" a="1"/>
  <c r="M413" i="7" a="1"/>
  <c r="N414" i="7" a="1"/>
  <c r="K414" i="7" a="1"/>
  <c r="N415" i="7" a="1"/>
  <c r="O416" i="7" a="1"/>
  <c r="M417" i="7" a="1"/>
  <c r="N418" i="7" a="1"/>
  <c r="K418" i="7" a="1"/>
  <c r="N419" i="7" a="1"/>
  <c r="O420" i="7" a="1"/>
  <c r="M421" i="7" a="1"/>
  <c r="N422" i="7" a="1"/>
  <c r="K422" i="7" a="1"/>
  <c r="N423" i="7" a="1"/>
  <c r="O424" i="7" a="1"/>
  <c r="M425" i="7" a="1"/>
  <c r="N426" i="7" a="1"/>
  <c r="K426" i="7" a="1"/>
  <c r="N427" i="7" a="1"/>
  <c r="O428" i="7" a="1"/>
  <c r="M429" i="7" a="1"/>
  <c r="N430" i="7" a="1"/>
  <c r="K430" i="7" a="1"/>
  <c r="N431" i="7" a="1"/>
  <c r="O432" i="7" a="1"/>
  <c r="M433" i="7" a="1"/>
  <c r="N434" i="7" a="1"/>
  <c r="K434" i="7" a="1"/>
  <c r="N435" i="7" a="1"/>
  <c r="O436" i="7" a="1"/>
  <c r="M437" i="7" a="1"/>
  <c r="N438" i="7" a="1"/>
  <c r="K438" i="7" a="1"/>
  <c r="N439" i="7" a="1"/>
  <c r="O440" i="7" a="1"/>
  <c r="M441" i="7" a="1"/>
  <c r="N442" i="7" a="1"/>
  <c r="K442" i="7" a="1"/>
  <c r="N443" i="7" a="1"/>
  <c r="O444" i="7" a="1"/>
  <c r="M445" i="7" a="1"/>
  <c r="N446" i="7" a="1"/>
  <c r="K446" i="7" a="1"/>
  <c r="N447" i="7" a="1"/>
  <c r="O448" i="7" a="1"/>
  <c r="M449" i="7" a="1"/>
  <c r="N450" i="7" a="1"/>
  <c r="K450" i="7" a="1"/>
  <c r="N451" i="7" a="1"/>
  <c r="O452" i="7" a="1"/>
  <c r="M453" i="7" a="1"/>
  <c r="N454" i="7" a="1"/>
  <c r="K454" i="7" a="1"/>
  <c r="K455" i="7" a="1"/>
  <c r="M456" i="7" a="1"/>
  <c r="L457" i="7" a="1"/>
  <c r="O458" i="7" a="1"/>
  <c r="L458" i="7" a="1"/>
  <c r="M459" i="7" a="1"/>
  <c r="K460" i="7" a="1"/>
  <c r="O461" i="7" a="1"/>
  <c r="K462" i="7" a="1"/>
  <c r="N463" i="7" a="1"/>
  <c r="K463" i="7" a="1"/>
  <c r="M464" i="7" a="1"/>
  <c r="N465" i="7" a="1"/>
  <c r="M466" i="7" a="1"/>
  <c r="M467" i="7" a="1"/>
  <c r="N468" i="7" a="1"/>
  <c r="K469" i="7" a="1"/>
  <c r="L469" i="7" a="1"/>
  <c r="O470" i="7" a="1"/>
  <c r="M471" i="7" a="1"/>
  <c r="K472" i="7" a="1"/>
  <c r="N473" i="7" a="1"/>
  <c r="N474" i="7" a="1"/>
  <c r="O475" i="7" a="1"/>
  <c r="K476" i="7" a="1"/>
  <c r="M477" i="7" a="1"/>
  <c r="L478" i="7" a="1"/>
  <c r="N479" i="7" a="1"/>
  <c r="L480" i="7" a="1"/>
  <c r="O481" i="7" a="1"/>
  <c r="K481" i="7" a="1"/>
  <c r="N482" i="7" a="1"/>
  <c r="N483" i="7" a="1"/>
  <c r="L484" i="7" a="1"/>
  <c r="O485" i="7" a="1"/>
  <c r="K486" i="7" a="1"/>
  <c r="K487" i="7" a="1"/>
  <c r="L488" i="7" a="1"/>
  <c r="N489" i="7" a="1"/>
  <c r="N490" i="7" a="1"/>
  <c r="L491" i="7" a="1"/>
  <c r="L492" i="7" a="1"/>
  <c r="L493" i="7" a="1"/>
  <c r="O494" i="7" a="1"/>
  <c r="L496" i="7" a="1"/>
  <c r="O497" i="7" a="1"/>
  <c r="O498" i="7" a="1"/>
  <c r="M499" i="7" a="1"/>
  <c r="M500" i="7" a="1"/>
  <c r="M501" i="7" a="1"/>
  <c r="K502" i="7" a="1"/>
  <c r="O293" i="7" a="1"/>
  <c r="L295" i="7" a="1"/>
  <c r="O295" i="7" a="1"/>
  <c r="K296" i="7" a="1"/>
  <c r="N297" i="7" a="1"/>
  <c r="O298" i="7" a="1"/>
  <c r="M299" i="7" a="1"/>
  <c r="K299" i="7" a="1"/>
  <c r="L300" i="7" a="1"/>
  <c r="M301" i="7" a="1"/>
  <c r="K302" i="7" a="1"/>
  <c r="L303" i="7" a="1"/>
  <c r="O303" i="7" a="1"/>
  <c r="K304" i="7" a="1"/>
  <c r="N305" i="7" a="1"/>
  <c r="O306" i="7" a="1"/>
  <c r="M307" i="7" a="1"/>
  <c r="K307" i="7" a="1"/>
  <c r="L308" i="7" a="1"/>
  <c r="M309" i="7" a="1"/>
  <c r="K310" i="7" a="1"/>
  <c r="L311" i="7" a="1"/>
  <c r="O311" i="7" a="1"/>
  <c r="K312" i="7" a="1"/>
  <c r="N313" i="7" a="1"/>
  <c r="O314" i="7" a="1"/>
  <c r="M315" i="7" a="1"/>
  <c r="K315" i="7" a="1"/>
  <c r="L316" i="7" a="1"/>
  <c r="M317" i="7" a="1"/>
  <c r="K318" i="7" a="1"/>
  <c r="L319" i="7" a="1"/>
  <c r="O319" i="7" a="1"/>
  <c r="K320" i="7" a="1"/>
  <c r="N321" i="7" a="1"/>
  <c r="O322" i="7" a="1"/>
  <c r="M323" i="7" a="1"/>
  <c r="K323" i="7" a="1"/>
  <c r="L324" i="7" a="1"/>
  <c r="M325" i="7" a="1"/>
  <c r="K326" i="7" a="1"/>
  <c r="L327" i="7" a="1"/>
  <c r="O327" i="7" a="1"/>
  <c r="K328" i="7" a="1"/>
  <c r="N329" i="7" a="1"/>
  <c r="O330" i="7" a="1"/>
  <c r="M331" i="7" a="1"/>
  <c r="K331" i="7" a="1"/>
  <c r="L332" i="7" a="1"/>
  <c r="M333" i="7" a="1"/>
  <c r="K334" i="7" a="1"/>
  <c r="L335" i="7" a="1"/>
  <c r="O335" i="7" a="1"/>
  <c r="K336" i="7" a="1"/>
  <c r="N337" i="7" a="1"/>
  <c r="O338" i="7" a="1"/>
  <c r="M339" i="7" a="1"/>
  <c r="K339" i="7" a="1"/>
  <c r="L340" i="7" a="1"/>
  <c r="O341" i="7" a="1"/>
  <c r="L342" i="7" a="1"/>
  <c r="K343" i="7" a="1"/>
  <c r="L343" i="7" a="1"/>
  <c r="M344" i="7" a="1"/>
  <c r="K345" i="7" a="1"/>
  <c r="N346" i="7" a="1"/>
  <c r="O347" i="7" a="1"/>
  <c r="L347" i="7" a="1"/>
  <c r="M348" i="7" a="1"/>
  <c r="O349" i="7" a="1"/>
  <c r="L350" i="7" a="1"/>
  <c r="K351" i="7" a="1"/>
  <c r="L351" i="7" a="1"/>
  <c r="M352" i="7" a="1"/>
  <c r="K353" i="7" a="1"/>
  <c r="N354" i="7" a="1"/>
  <c r="N355" i="7" a="1"/>
  <c r="L355" i="7" a="1"/>
  <c r="K356" i="7" a="1"/>
  <c r="K357" i="7" a="1"/>
  <c r="O358" i="7" a="1"/>
  <c r="N359" i="7" a="1"/>
  <c r="K359" i="7" a="1"/>
  <c r="K360" i="7" a="1"/>
  <c r="K361" i="7" a="1"/>
  <c r="K362" i="7" a="1"/>
  <c r="N363" i="7" a="1"/>
  <c r="K363" i="7" a="1"/>
  <c r="K364" i="7" a="1"/>
  <c r="K365" i="7" a="1"/>
  <c r="K366" i="7" a="1"/>
  <c r="N367" i="7" a="1"/>
  <c r="K367" i="7" a="1"/>
  <c r="K368" i="7" a="1"/>
  <c r="K369" i="7" a="1"/>
  <c r="K370" i="7" a="1"/>
  <c r="N371" i="7" a="1"/>
  <c r="K371" i="7" a="1"/>
  <c r="K372" i="7" a="1"/>
  <c r="K373" i="7" a="1"/>
  <c r="O374" i="7" a="1"/>
  <c r="N375" i="7" a="1"/>
  <c r="K375" i="7" a="1"/>
  <c r="K376" i="7" a="1"/>
  <c r="K377" i="7" a="1"/>
  <c r="K378" i="7" a="1"/>
  <c r="N379" i="7" a="1"/>
  <c r="K379" i="7" a="1"/>
  <c r="K380" i="7" a="1"/>
  <c r="K381" i="7" a="1"/>
  <c r="K382" i="7" a="1"/>
  <c r="N383" i="7" a="1"/>
  <c r="K383" i="7" a="1"/>
  <c r="K384" i="7" a="1"/>
  <c r="K385" i="7" a="1"/>
  <c r="K386" i="7" a="1"/>
  <c r="N387" i="7" a="1"/>
  <c r="K387" i="7" a="1"/>
  <c r="K388" i="7" a="1"/>
  <c r="K389" i="7" a="1"/>
  <c r="O390" i="7" a="1"/>
  <c r="N391" i="7" a="1"/>
  <c r="K391" i="7" a="1"/>
  <c r="K392" i="7" a="1"/>
  <c r="K393" i="7" a="1"/>
  <c r="K394" i="7" a="1"/>
  <c r="N395" i="7" a="1"/>
  <c r="K395" i="7" a="1"/>
  <c r="K396" i="7" a="1"/>
  <c r="K397" i="7" a="1"/>
  <c r="K398" i="7" a="1"/>
  <c r="N399" i="7" a="1"/>
  <c r="K399" i="7" a="1"/>
  <c r="K400" i="7" a="1"/>
  <c r="K401" i="7" a="1"/>
  <c r="K402" i="7" a="1"/>
  <c r="N403" i="7" a="1"/>
  <c r="K403" i="7" a="1"/>
  <c r="K404" i="7" a="1"/>
  <c r="K405" i="7" a="1"/>
  <c r="O406" i="7" a="1"/>
  <c r="N407" i="7" a="1"/>
  <c r="K407" i="7" a="1"/>
  <c r="K408" i="7" a="1"/>
  <c r="K409" i="7" a="1"/>
  <c r="K410" i="7" a="1"/>
  <c r="M411" i="7" a="1"/>
  <c r="K411" i="7" a="1"/>
  <c r="M412" i="7" a="1"/>
  <c r="K413" i="7" a="1"/>
  <c r="L414" i="7" a="1"/>
  <c r="O415" i="7" a="1"/>
  <c r="L415" i="7" a="1"/>
  <c r="M416" i="7" a="1"/>
  <c r="K417" i="7" a="1"/>
  <c r="L418" i="7" a="1"/>
  <c r="O419" i="7" a="1"/>
  <c r="L419" i="7" a="1"/>
  <c r="M420" i="7" a="1"/>
  <c r="K421" i="7" a="1"/>
  <c r="L422" i="7" a="1"/>
  <c r="O423" i="7" a="1"/>
  <c r="L423" i="7" a="1"/>
  <c r="M424" i="7" a="1"/>
  <c r="K425" i="7" a="1"/>
  <c r="L426" i="7" a="1"/>
  <c r="O427" i="7" a="1"/>
  <c r="L427" i="7" a="1"/>
  <c r="M428" i="7" a="1"/>
  <c r="K429" i="7" a="1"/>
  <c r="L430" i="7" a="1"/>
  <c r="O431" i="7" a="1"/>
  <c r="L431" i="7" a="1"/>
  <c r="M432" i="7" a="1"/>
  <c r="K433" i="7" a="1"/>
  <c r="L434" i="7" a="1"/>
  <c r="O435" i="7" a="1"/>
  <c r="L435" i="7" a="1"/>
  <c r="M436" i="7" a="1"/>
  <c r="K437" i="7" a="1"/>
  <c r="L438" i="7" a="1"/>
  <c r="O439" i="7" a="1"/>
  <c r="L439" i="7" a="1"/>
  <c r="M440" i="7" a="1"/>
  <c r="K441" i="7" a="1"/>
  <c r="L442" i="7" a="1"/>
  <c r="O443" i="7" a="1"/>
  <c r="L443" i="7" a="1"/>
  <c r="M444" i="7" a="1"/>
  <c r="K445" i="7" a="1"/>
  <c r="L446" i="7" a="1"/>
  <c r="O447" i="7" a="1"/>
  <c r="L447" i="7" a="1"/>
  <c r="M448" i="7" a="1"/>
  <c r="K449" i="7" a="1"/>
  <c r="L450" i="7" a="1"/>
  <c r="O451" i="7" a="1"/>
  <c r="L451" i="7" a="1"/>
  <c r="M452" i="7" a="1"/>
  <c r="K453" i="7" a="1"/>
  <c r="L454" i="7" a="1"/>
  <c r="N455" i="7" a="1"/>
  <c r="L455" i="7" a="1"/>
  <c r="N456" i="7" a="1"/>
  <c r="O457" i="7" a="1"/>
  <c r="M458" i="7" a="1"/>
  <c r="N459" i="7" a="1"/>
  <c r="K459" i="7" a="1"/>
  <c r="N460" i="7" a="1"/>
  <c r="M461" i="7" a="1"/>
  <c r="M462" i="7" a="1"/>
  <c r="L463" i="7" a="1"/>
  <c r="O464" i="7" a="1"/>
  <c r="L464" i="7" a="1"/>
  <c r="K465" i="7" a="1"/>
  <c r="L466" i="7" a="1"/>
  <c r="O467" i="7" a="1"/>
  <c r="M468" i="7" a="1"/>
  <c r="N469" i="7" a="1"/>
  <c r="K470" i="7" a="1"/>
  <c r="O471" i="7" a="1"/>
  <c r="L472" i="7" a="1"/>
  <c r="M472" i="7" a="1"/>
  <c r="K473" i="7" a="1"/>
  <c r="K474" i="7" a="1"/>
  <c r="L475" i="7" a="1"/>
  <c r="O476" i="7" a="1"/>
  <c r="O477" i="7" a="1"/>
  <c r="K478" i="7" a="1"/>
  <c r="L479" i="7" a="1"/>
  <c r="N480" i="7" a="1"/>
  <c r="M481" i="7" a="1"/>
  <c r="O482" i="7" a="1"/>
  <c r="K482" i="7" a="1"/>
  <c r="O484" i="7" a="1"/>
  <c r="N485" i="7" a="1"/>
  <c r="L485" i="7" a="1"/>
  <c r="O486" i="7" a="1"/>
  <c r="M487" i="7" a="1"/>
  <c r="M488" i="7" a="1"/>
  <c r="K489" i="7" a="1"/>
  <c r="K490" i="7" a="1"/>
  <c r="N491" i="7" a="1"/>
  <c r="K493" i="7" a="1"/>
  <c r="N494" i="7" a="1"/>
  <c r="N495" i="7" a="1"/>
  <c r="N496" i="7" a="1"/>
  <c r="L497" i="7" a="1"/>
  <c r="L498" i="7" a="1"/>
  <c r="O499" i="7" a="1"/>
  <c r="O500" i="7" a="1"/>
  <c r="O501" i="7" a="1"/>
  <c r="M502" i="7" a="1"/>
  <c r="M503" i="7" a="1"/>
  <c r="M504" i="7" a="1"/>
  <c r="K505" i="7" a="1"/>
  <c r="K294" i="7" a="1"/>
  <c r="N295" i="7" a="1"/>
  <c r="O296" i="7" a="1"/>
  <c r="M296" i="7" a="1"/>
  <c r="K297" i="7" a="1"/>
  <c r="L298" i="7" a="1"/>
  <c r="O299" i="7" a="1"/>
  <c r="K300" i="7" a="1"/>
  <c r="N300" i="7" a="1"/>
  <c r="O301" i="7" a="1"/>
  <c r="M302" i="7" a="1"/>
  <c r="N303" i="7" a="1"/>
  <c r="O304" i="7" a="1"/>
  <c r="M304" i="7" a="1"/>
  <c r="K305" i="7" a="1"/>
  <c r="L306" i="7" a="1"/>
  <c r="O307" i="7" a="1"/>
  <c r="K308" i="7" a="1"/>
  <c r="N308" i="7" a="1"/>
  <c r="O309" i="7" a="1"/>
  <c r="M310" i="7" a="1"/>
  <c r="N311" i="7" a="1"/>
  <c r="O312" i="7" a="1"/>
  <c r="M312" i="7" a="1"/>
  <c r="K313" i="7" a="1"/>
  <c r="L314" i="7" a="1"/>
  <c r="O315" i="7" a="1"/>
  <c r="K316" i="7" a="1"/>
  <c r="N316" i="7" a="1"/>
  <c r="O317" i="7" a="1"/>
  <c r="M318" i="7" a="1"/>
  <c r="N319" i="7" a="1"/>
  <c r="L320" i="7" a="1"/>
  <c r="M320" i="7" a="1"/>
  <c r="K321" i="7" a="1"/>
  <c r="L322" i="7" a="1"/>
  <c r="O323" i="7" a="1"/>
  <c r="K324" i="7" a="1"/>
  <c r="N324" i="7" a="1"/>
  <c r="O325" i="7" a="1"/>
  <c r="M326" i="7" a="1"/>
  <c r="N327" i="7" a="1"/>
  <c r="O328" i="7" a="1"/>
  <c r="M328" i="7" a="1"/>
  <c r="K329" i="7" a="1"/>
  <c r="L330" i="7" a="1"/>
  <c r="O331" i="7" a="1"/>
  <c r="K332" i="7" a="1"/>
  <c r="N332" i="7" a="1"/>
  <c r="O333" i="7" a="1"/>
  <c r="M334" i="7" a="1"/>
  <c r="N335" i="7" a="1"/>
  <c r="O336" i="7" a="1"/>
  <c r="M336" i="7" a="1"/>
  <c r="K337" i="7" a="1"/>
  <c r="L338" i="7" a="1"/>
  <c r="O339" i="7" a="1"/>
  <c r="K340" i="7" a="1"/>
  <c r="N340" i="7" a="1"/>
  <c r="N341" i="7" a="1"/>
  <c r="O342" i="7" a="1"/>
  <c r="O343" i="7" a="1"/>
  <c r="N344" i="7" a="1"/>
  <c r="K344" i="7" a="1"/>
  <c r="N345" i="7" a="1"/>
  <c r="O346" i="7" a="1"/>
  <c r="M347" i="7" a="1"/>
  <c r="N348" i="7" a="1"/>
  <c r="K348" i="7" a="1"/>
  <c r="N349" i="7" a="1"/>
  <c r="O350" i="7" a="1"/>
  <c r="O351" i="7" a="1"/>
  <c r="N352" i="7" a="1"/>
  <c r="K352" i="7" a="1"/>
  <c r="N353" i="7" a="1"/>
  <c r="O354" i="7" a="1"/>
  <c r="M355" i="7" a="1"/>
  <c r="M356" i="7" a="1"/>
  <c r="N356" i="7" a="1"/>
  <c r="N357" i="7" a="1"/>
  <c r="N358" i="7" a="1"/>
  <c r="M359" i="7" a="1"/>
  <c r="M360" i="7" a="1"/>
  <c r="N360" i="7" a="1"/>
  <c r="N361" i="7" a="1"/>
  <c r="N362" i="7" a="1"/>
  <c r="M363" i="7" a="1"/>
  <c r="M364" i="7" a="1"/>
  <c r="N364" i="7" a="1"/>
  <c r="N365" i="7" a="1"/>
  <c r="N366" i="7" a="1"/>
  <c r="M367" i="7" a="1"/>
  <c r="M368" i="7" a="1"/>
  <c r="N368" i="7" a="1"/>
  <c r="N369" i="7" a="1"/>
  <c r="N370" i="7" a="1"/>
  <c r="M371" i="7" a="1"/>
  <c r="M372" i="7" a="1"/>
  <c r="N372" i="7" a="1"/>
  <c r="N373" i="7" a="1"/>
  <c r="N374" i="7" a="1"/>
  <c r="M375" i="7" a="1"/>
  <c r="M376" i="7" a="1"/>
  <c r="N376" i="7" a="1"/>
  <c r="N377" i="7" a="1"/>
  <c r="N378" i="7" a="1"/>
  <c r="M379" i="7" a="1"/>
  <c r="M380" i="7" a="1"/>
  <c r="N380" i="7" a="1"/>
  <c r="N381" i="7" a="1"/>
  <c r="N382" i="7" a="1"/>
  <c r="M383" i="7" a="1"/>
  <c r="M384" i="7" a="1"/>
  <c r="N384" i="7" a="1"/>
  <c r="N385" i="7" a="1"/>
  <c r="N386" i="7" a="1"/>
  <c r="M387" i="7" a="1"/>
  <c r="M388" i="7" a="1"/>
  <c r="N388" i="7" a="1"/>
  <c r="N389" i="7" a="1"/>
  <c r="N390" i="7" a="1"/>
  <c r="M391" i="7" a="1"/>
  <c r="M392" i="7" a="1"/>
  <c r="N392" i="7" a="1"/>
  <c r="N393" i="7" a="1"/>
  <c r="N394" i="7" a="1"/>
  <c r="M395" i="7" a="1"/>
  <c r="M396" i="7" a="1"/>
  <c r="N396" i="7" a="1"/>
  <c r="N397" i="7" a="1"/>
  <c r="N398" i="7" a="1"/>
  <c r="M399" i="7" a="1"/>
  <c r="M400" i="7" a="1"/>
  <c r="N400" i="7" a="1"/>
  <c r="N401" i="7" a="1"/>
  <c r="N402" i="7" a="1"/>
  <c r="M403" i="7" a="1"/>
  <c r="M404" i="7" a="1"/>
  <c r="N404" i="7" a="1"/>
  <c r="N405" i="7" a="1"/>
  <c r="N406" i="7" a="1"/>
  <c r="M407" i="7" a="1"/>
  <c r="M408" i="7" a="1"/>
  <c r="N408" i="7" a="1"/>
  <c r="N409" i="7" a="1"/>
  <c r="N410" i="7" a="1"/>
  <c r="O411" i="7" a="1"/>
  <c r="N412" i="7" a="1"/>
  <c r="K412" i="7" a="1"/>
  <c r="N413" i="7" a="1"/>
  <c r="O414" i="7" a="1"/>
  <c r="M415" i="7" a="1"/>
  <c r="N416" i="7" a="1"/>
  <c r="K416" i="7" a="1"/>
  <c r="N417" i="7" a="1"/>
  <c r="O418" i="7" a="1"/>
  <c r="M419" i="7" a="1"/>
  <c r="N420" i="7" a="1"/>
  <c r="K420" i="7" a="1"/>
  <c r="N421" i="7" a="1"/>
  <c r="O422" i="7" a="1"/>
  <c r="M423" i="7" a="1"/>
  <c r="N424" i="7" a="1"/>
  <c r="K424" i="7" a="1"/>
  <c r="N425" i="7" a="1"/>
  <c r="O426" i="7" a="1"/>
  <c r="M427" i="7" a="1"/>
  <c r="N428" i="7" a="1"/>
  <c r="K428" i="7" a="1"/>
  <c r="N429" i="7" a="1"/>
  <c r="O430" i="7" a="1"/>
  <c r="M431" i="7" a="1"/>
  <c r="N432" i="7" a="1"/>
  <c r="K432" i="7" a="1"/>
  <c r="N433" i="7" a="1"/>
  <c r="O434" i="7" a="1"/>
  <c r="M435" i="7" a="1"/>
  <c r="N436" i="7" a="1"/>
  <c r="K436" i="7" a="1"/>
  <c r="N437" i="7" a="1"/>
  <c r="O438" i="7" a="1"/>
  <c r="M439" i="7" a="1"/>
  <c r="N440" i="7" a="1"/>
  <c r="K440" i="7" a="1"/>
  <c r="N441" i="7" a="1"/>
  <c r="O442" i="7" a="1"/>
  <c r="M443" i="7" a="1"/>
  <c r="N444" i="7" a="1"/>
  <c r="K444" i="7" a="1"/>
  <c r="N445" i="7" a="1"/>
  <c r="O446" i="7" a="1"/>
  <c r="M447" i="7" a="1"/>
  <c r="N448" i="7" a="1"/>
  <c r="K448" i="7" a="1"/>
  <c r="N449" i="7" a="1"/>
  <c r="O450" i="7" a="1"/>
  <c r="M451" i="7" a="1"/>
  <c r="N452" i="7" a="1"/>
  <c r="K452" i="7" a="1"/>
  <c r="N453" i="7" a="1"/>
  <c r="O454" i="7" a="1"/>
  <c r="O455" i="7" a="1"/>
  <c r="O456" i="7" a="1"/>
  <c r="L456" i="7" a="1"/>
  <c r="M457" i="7" a="1"/>
  <c r="K458" i="7" a="1"/>
  <c r="L459" i="7" a="1"/>
  <c r="M460" i="7" a="1"/>
  <c r="L460" i="7" a="1"/>
  <c r="K461" i="7" a="1"/>
  <c r="N462" i="7" a="1"/>
  <c r="O463" i="7" a="1"/>
  <c r="N464" i="7" a="1"/>
  <c r="O465" i="7" a="1"/>
  <c r="L465" i="7" a="1"/>
  <c r="N466" i="7" a="1"/>
  <c r="L467" i="7" a="1"/>
  <c r="O468" i="7" a="1"/>
  <c r="M469" i="7" a="1"/>
  <c r="N470" i="7" a="1"/>
  <c r="N471" i="7" a="1"/>
  <c r="O472" i="7" a="1"/>
  <c r="L473" i="7" a="1"/>
  <c r="O474" i="7" a="1"/>
  <c r="M475" i="7" a="1"/>
  <c r="N475" i="7" a="1"/>
  <c r="L476" i="7" a="1"/>
  <c r="L477" i="7" a="1"/>
  <c r="M478" i="7" a="1"/>
  <c r="K479" i="7" a="1"/>
  <c r="K480" i="7" a="1"/>
  <c r="L481" i="7" a="1"/>
  <c r="M482" i="7" a="1"/>
  <c r="M483" i="7" a="1"/>
  <c r="K484" i="7" a="1"/>
  <c r="K485" i="7" a="1"/>
  <c r="M486" i="7" a="1"/>
  <c r="O487" i="7" a="1"/>
  <c r="N488" i="7" a="1"/>
  <c r="O489" i="7" a="1"/>
  <c r="O490" i="7" a="1"/>
  <c r="M491" i="7" a="1"/>
  <c r="M492" i="7" a="1"/>
  <c r="M493" i="7" a="1"/>
  <c r="K494" i="7" a="1"/>
  <c r="K495" i="7" a="1"/>
  <c r="K496" i="7" a="1"/>
  <c r="N497" i="7" a="1"/>
  <c r="N498" i="7" a="1"/>
  <c r="L499" i="7" a="1"/>
  <c r="L500" i="7" a="1"/>
  <c r="L501" i="7" a="1"/>
  <c r="M294" i="7" a="1"/>
  <c r="K295" i="7" a="1"/>
  <c r="L296" i="7" a="1"/>
  <c r="O297" i="7" a="1"/>
  <c r="M297" i="7" a="1"/>
  <c r="N298" i="7" a="1"/>
  <c r="L299" i="7" a="1"/>
  <c r="M300" i="7" a="1"/>
  <c r="K301" i="7" a="1"/>
  <c r="L301" i="7" a="1"/>
  <c r="O302" i="7" a="1"/>
  <c r="K303" i="7" a="1"/>
  <c r="L304" i="7" a="1"/>
  <c r="O305" i="7" a="1"/>
  <c r="M305" i="7" a="1"/>
  <c r="N306" i="7" a="1"/>
  <c r="L307" i="7" a="1"/>
  <c r="M308" i="7" a="1"/>
  <c r="N309" i="7" a="1"/>
  <c r="L309" i="7" a="1"/>
  <c r="O310" i="7" a="1"/>
  <c r="K311" i="7" a="1"/>
  <c r="L312" i="7" a="1"/>
  <c r="O313" i="7" a="1"/>
  <c r="M313" i="7" a="1"/>
  <c r="N314" i="7" a="1"/>
  <c r="L315" i="7" a="1"/>
  <c r="M316" i="7" a="1"/>
  <c r="N317" i="7" a="1"/>
  <c r="L317" i="7" a="1"/>
  <c r="O318" i="7" a="1"/>
  <c r="K319" i="7" a="1"/>
  <c r="O320" i="7" a="1"/>
  <c r="O321" i="7" a="1"/>
  <c r="M321" i="7" a="1"/>
  <c r="N322" i="7" a="1"/>
  <c r="L323" i="7" a="1"/>
  <c r="M324" i="7" a="1"/>
  <c r="N325" i="7" a="1"/>
  <c r="L325" i="7" a="1"/>
  <c r="O326" i="7" a="1"/>
  <c r="K327" i="7" a="1"/>
  <c r="L328" i="7" a="1"/>
  <c r="O329" i="7" a="1"/>
  <c r="M329" i="7" a="1"/>
  <c r="N330" i="7" a="1"/>
  <c r="L331" i="7" a="1"/>
  <c r="M332" i="7" a="1"/>
  <c r="K333" i="7" a="1"/>
  <c r="L333" i="7" a="1"/>
  <c r="O334" i="7" a="1"/>
  <c r="K335" i="7" a="1"/>
  <c r="L336" i="7" a="1"/>
  <c r="O337" i="7" a="1"/>
  <c r="M337" i="7" a="1"/>
  <c r="N338" i="7" a="1"/>
  <c r="L339" i="7" a="1"/>
  <c r="M340" i="7" a="1"/>
  <c r="M341" i="7" a="1"/>
  <c r="L341" i="7" a="1"/>
  <c r="M342" i="7" a="1"/>
  <c r="M343" i="7" a="1"/>
  <c r="L344" i="7" a="1"/>
  <c r="O345" i="7" a="1"/>
  <c r="L345" i="7" a="1"/>
  <c r="M346" i="7" a="1"/>
  <c r="K347" i="7" a="1"/>
  <c r="L348" i="7" a="1"/>
  <c r="M349" i="7" a="1"/>
  <c r="L349" i="7" a="1"/>
  <c r="M350" i="7" a="1"/>
  <c r="M351" i="7" a="1"/>
  <c r="L352" i="7" a="1"/>
  <c r="O353" i="7" a="1"/>
  <c r="L353" i="7" a="1"/>
  <c r="M354" i="7" a="1"/>
  <c r="K355" i="7" a="1"/>
  <c r="L356" i="7" a="1"/>
  <c r="L357" i="7" a="1"/>
  <c r="M357" i="7" a="1"/>
  <c r="M358" i="7" a="1"/>
  <c r="L359" i="7" a="1"/>
  <c r="L360" i="7" a="1"/>
  <c r="L361" i="7" a="1"/>
  <c r="M361" i="7" a="1"/>
  <c r="M362" i="7" a="1"/>
  <c r="L363" i="7" a="1"/>
  <c r="L364" i="7" a="1"/>
  <c r="L365" i="7" a="1"/>
  <c r="M365" i="7" a="1"/>
  <c r="M366" i="7" a="1"/>
  <c r="L367" i="7" a="1"/>
  <c r="L368" i="7" a="1"/>
  <c r="L369" i="7" a="1"/>
  <c r="M369" i="7" a="1"/>
  <c r="M370" i="7" a="1"/>
  <c r="L371" i="7" a="1"/>
  <c r="L372" i="7" a="1"/>
  <c r="L373" i="7" a="1"/>
  <c r="M373" i="7" a="1"/>
  <c r="M374" i="7" a="1"/>
  <c r="L375" i="7" a="1"/>
  <c r="L376" i="7" a="1"/>
  <c r="L377" i="7" a="1"/>
  <c r="M377" i="7" a="1"/>
  <c r="M378" i="7" a="1"/>
  <c r="L379" i="7" a="1"/>
  <c r="L380" i="7" a="1"/>
  <c r="L381" i="7" a="1"/>
  <c r="M381" i="7" a="1"/>
  <c r="M382" i="7" a="1"/>
  <c r="L383" i="7" a="1"/>
  <c r="L384" i="7" a="1"/>
  <c r="L385" i="7" a="1"/>
  <c r="M385" i="7" a="1"/>
  <c r="M386" i="7" a="1"/>
  <c r="L387" i="7" a="1"/>
  <c r="L388" i="7" a="1"/>
  <c r="L389" i="7" a="1"/>
  <c r="M389" i="7" a="1"/>
  <c r="M390" i="7" a="1"/>
  <c r="L391" i="7" a="1"/>
  <c r="L392" i="7" a="1"/>
  <c r="L393" i="7" a="1"/>
  <c r="M393" i="7" a="1"/>
  <c r="M394" i="7" a="1"/>
  <c r="L395" i="7" a="1"/>
  <c r="L396" i="7" a="1"/>
  <c r="L397" i="7" a="1"/>
  <c r="M397" i="7" a="1"/>
  <c r="M398" i="7" a="1"/>
  <c r="L399" i="7" a="1"/>
  <c r="L400" i="7" a="1"/>
  <c r="L401" i="7" a="1"/>
  <c r="M401" i="7" a="1"/>
  <c r="M402" i="7" a="1"/>
  <c r="L403" i="7" a="1"/>
  <c r="L404" i="7" a="1"/>
  <c r="L405" i="7" a="1"/>
  <c r="M405" i="7" a="1"/>
  <c r="M406" i="7" a="1"/>
  <c r="L407" i="7" a="1"/>
  <c r="L408" i="7" a="1"/>
  <c r="L409" i="7" a="1"/>
  <c r="M409" i="7" a="1"/>
  <c r="M410" i="7" a="1"/>
  <c r="L411" i="7" a="1"/>
  <c r="L412" i="7" a="1"/>
  <c r="O413" i="7" a="1"/>
  <c r="L413" i="7" a="1"/>
  <c r="M414" i="7" a="1"/>
  <c r="K415" i="7" a="1"/>
  <c r="L416" i="7" a="1"/>
  <c r="O417" i="7" a="1"/>
  <c r="L417" i="7" a="1"/>
  <c r="M418" i="7" a="1"/>
  <c r="K419" i="7" a="1"/>
  <c r="L420" i="7" a="1"/>
  <c r="O421" i="7" a="1"/>
  <c r="L421" i="7" a="1"/>
  <c r="M422" i="7" a="1"/>
  <c r="K423" i="7" a="1"/>
  <c r="L424" i="7" a="1"/>
  <c r="O425" i="7" a="1"/>
  <c r="L425" i="7" a="1"/>
  <c r="M426" i="7" a="1"/>
  <c r="K427" i="7" a="1"/>
  <c r="L428" i="7" a="1"/>
  <c r="O429" i="7" a="1"/>
  <c r="L429" i="7" a="1"/>
  <c r="M430" i="7" a="1"/>
  <c r="K431" i="7" a="1"/>
  <c r="L432" i="7" a="1"/>
  <c r="O433" i="7" a="1"/>
  <c r="L433" i="7" a="1"/>
  <c r="M434" i="7" a="1"/>
  <c r="K435" i="7" a="1"/>
  <c r="L436" i="7" a="1"/>
  <c r="O437" i="7" a="1"/>
  <c r="L437" i="7" a="1"/>
  <c r="M438" i="7" a="1"/>
  <c r="K439" i="7" a="1"/>
  <c r="L440" i="7" a="1"/>
  <c r="O441" i="7" a="1"/>
  <c r="L441" i="7" a="1"/>
  <c r="M442" i="7" a="1"/>
  <c r="K443" i="7" a="1"/>
  <c r="L444" i="7" a="1"/>
  <c r="O445" i="7" a="1"/>
  <c r="L445" i="7" a="1"/>
  <c r="M446" i="7" a="1"/>
  <c r="K447" i="7" a="1"/>
  <c r="L448" i="7" a="1"/>
  <c r="O449" i="7" a="1"/>
  <c r="L449" i="7" a="1"/>
  <c r="M450" i="7" a="1"/>
  <c r="K451" i="7" a="1"/>
  <c r="L452" i="7" a="1"/>
  <c r="O453" i="7" a="1"/>
  <c r="L453" i="7" a="1"/>
  <c r="M454" i="7" a="1"/>
  <c r="M455" i="7" a="1"/>
  <c r="K456" i="7" a="1"/>
  <c r="N457" i="7" a="1"/>
  <c r="K457" i="7" a="1"/>
  <c r="N458" i="7" a="1"/>
  <c r="O459" i="7" a="1"/>
  <c r="O460" i="7" a="1"/>
  <c r="N461" i="7" a="1"/>
  <c r="O462" i="7" a="1"/>
  <c r="L462" i="7" a="1"/>
  <c r="M463" i="7" a="1"/>
  <c r="K464" i="7" a="1"/>
  <c r="M465" i="7" a="1"/>
  <c r="O466" i="7" a="1"/>
  <c r="K466" i="7" a="1"/>
  <c r="N467" i="7" a="1"/>
  <c r="L468" i="7" a="1"/>
  <c r="O469" i="7" a="1"/>
  <c r="M470" i="7" a="1"/>
  <c r="K471" i="7" a="1"/>
  <c r="N472" i="7" a="1"/>
  <c r="O473" i="7" a="1"/>
  <c r="L474" i="7" a="1"/>
  <c r="K475" i="7" a="1"/>
  <c r="M476" i="7" a="1"/>
  <c r="K477" i="7" a="1"/>
  <c r="N478" i="7" a="1"/>
  <c r="O478" i="7" a="1"/>
  <c r="M479" i="7" a="1"/>
  <c r="M480" i="7" a="1"/>
  <c r="N481" i="7" a="1"/>
  <c r="L482" i="7" a="1"/>
  <c r="L483" i="7" a="1"/>
  <c r="N484" i="7" a="1"/>
  <c r="M485" i="7" a="1"/>
  <c r="L486" i="7" a="1"/>
  <c r="N487" i="7" a="1"/>
  <c r="O488" i="7" a="1"/>
  <c r="L489" i="7" a="1"/>
  <c r="L490" i="7" a="1"/>
  <c r="O491" i="7" a="1"/>
  <c r="O492" i="7" a="1"/>
  <c r="O493" i="7" a="1"/>
  <c r="M494" i="7" a="1"/>
  <c r="M495" i="7" a="1"/>
  <c r="M496" i="7" a="1"/>
  <c r="K497" i="7" a="1"/>
  <c r="K498" i="7" a="1"/>
  <c r="N499" i="7" a="1"/>
  <c r="K501" i="7" a="1"/>
  <c r="N502" i="7" a="1"/>
  <c r="N503" i="7" a="1"/>
  <c r="N504" i="7" a="1"/>
  <c r="L505" i="7" a="1"/>
  <c r="O502" i="7" a="1"/>
  <c r="O505" i="7" a="1"/>
  <c r="N506" i="7" a="1"/>
  <c r="L507" i="7" a="1"/>
  <c r="L508" i="7" a="1"/>
  <c r="L509" i="7" a="1"/>
  <c r="O510" i="7" a="1"/>
  <c r="L512" i="7" a="1"/>
  <c r="O513" i="7" a="1"/>
  <c r="O514" i="7" a="1"/>
  <c r="M515" i="7" a="1"/>
  <c r="M516" i="7" a="1"/>
  <c r="M517" i="7" a="1"/>
  <c r="K518" i="7" a="1"/>
  <c r="K519" i="7" a="1"/>
  <c r="K520" i="7" a="1"/>
  <c r="N521" i="7" a="1"/>
  <c r="N522" i="7" a="1"/>
  <c r="L523" i="7" a="1"/>
  <c r="L524" i="7" a="1"/>
  <c r="L525" i="7" a="1"/>
  <c r="O526" i="7" a="1"/>
  <c r="L528" i="7" a="1"/>
  <c r="O529" i="7" a="1"/>
  <c r="O530" i="7" a="1"/>
  <c r="M531" i="7" a="1"/>
  <c r="M532" i="7" a="1"/>
  <c r="M533" i="7" a="1"/>
  <c r="K534" i="7" a="1"/>
  <c r="K535" i="7" a="1"/>
  <c r="K536" i="7" a="1"/>
  <c r="N537" i="7" a="1"/>
  <c r="N538" i="7" a="1"/>
  <c r="L539" i="7" a="1"/>
  <c r="L540" i="7" a="1"/>
  <c r="L541" i="7" a="1"/>
  <c r="O542" i="7" a="1"/>
  <c r="L544" i="7" a="1"/>
  <c r="O545" i="7" a="1"/>
  <c r="O546" i="7" a="1"/>
  <c r="M547" i="7" a="1"/>
  <c r="M548" i="7" a="1"/>
  <c r="M549" i="7" a="1"/>
  <c r="K550" i="7" a="1"/>
  <c r="K551" i="7" a="1"/>
  <c r="M552" i="7" a="1"/>
  <c r="N554" i="7" a="1"/>
  <c r="N555" i="7" a="1"/>
  <c r="O557" i="7" a="1"/>
  <c r="K559" i="7" a="1"/>
  <c r="M560" i="7" a="1"/>
  <c r="N562" i="7" a="1"/>
  <c r="N563" i="7" a="1"/>
  <c r="O565" i="7" a="1"/>
  <c r="K567" i="7" a="1"/>
  <c r="M568" i="7" a="1"/>
  <c r="N570" i="7" a="1"/>
  <c r="K503" i="7" a="1"/>
  <c r="N505" i="7" a="1"/>
  <c r="K506" i="7" a="1"/>
  <c r="N507" i="7" a="1"/>
  <c r="K509" i="7" a="1"/>
  <c r="N510" i="7" a="1"/>
  <c r="N511" i="7" a="1"/>
  <c r="N512" i="7" a="1"/>
  <c r="L513" i="7" a="1"/>
  <c r="L514" i="7" a="1"/>
  <c r="O515" i="7" a="1"/>
  <c r="O516" i="7" a="1"/>
  <c r="O517" i="7" a="1"/>
  <c r="M518" i="7" a="1"/>
  <c r="M519" i="7" a="1"/>
  <c r="M520" i="7" a="1"/>
  <c r="K521" i="7" a="1"/>
  <c r="K522" i="7" a="1"/>
  <c r="N523" i="7" a="1"/>
  <c r="K525" i="7" a="1"/>
  <c r="N526" i="7" a="1"/>
  <c r="N527" i="7" a="1"/>
  <c r="N528" i="7" a="1"/>
  <c r="L529" i="7" a="1"/>
  <c r="L530" i="7" a="1"/>
  <c r="O531" i="7" a="1"/>
  <c r="O532" i="7" a="1"/>
  <c r="O533" i="7" a="1"/>
  <c r="M534" i="7" a="1"/>
  <c r="M535" i="7" a="1"/>
  <c r="M536" i="7" a="1"/>
  <c r="K537" i="7" a="1"/>
  <c r="K538" i="7" a="1"/>
  <c r="N539" i="7" a="1"/>
  <c r="K541" i="7" a="1"/>
  <c r="N542" i="7" a="1"/>
  <c r="N543" i="7" a="1"/>
  <c r="N544" i="7" a="1"/>
  <c r="L545" i="7" a="1"/>
  <c r="L546" i="7" a="1"/>
  <c r="O547" i="7" a="1"/>
  <c r="O548" i="7" a="1"/>
  <c r="O549" i="7" a="1"/>
  <c r="M550" i="7" a="1"/>
  <c r="M551" i="7" a="1"/>
  <c r="N553" i="7" a="1"/>
  <c r="K554" i="7" a="1"/>
  <c r="O556" i="7" a="1"/>
  <c r="L557" i="7" a="1"/>
  <c r="M559" i="7" a="1"/>
  <c r="N561" i="7" a="1"/>
  <c r="K562" i="7" a="1"/>
  <c r="O564" i="7" a="1"/>
  <c r="L565" i="7" a="1"/>
  <c r="M567" i="7" a="1"/>
  <c r="N569" i="7" a="1"/>
  <c r="K570" i="7" a="1"/>
  <c r="O572" i="7" a="1"/>
  <c r="O571" i="7" a="1"/>
  <c r="L504" i="7" a="1"/>
  <c r="O506" i="7" a="1"/>
  <c r="M507" i="7" a="1"/>
  <c r="M508" i="7" a="1"/>
  <c r="M509" i="7" a="1"/>
  <c r="K510" i="7" a="1"/>
  <c r="K511" i="7" a="1"/>
  <c r="K512" i="7" a="1"/>
  <c r="N513" i="7" a="1"/>
  <c r="N514" i="7" a="1"/>
  <c r="L515" i="7" a="1"/>
  <c r="L516" i="7" a="1"/>
  <c r="L517" i="7" a="1"/>
  <c r="O518" i="7" a="1"/>
  <c r="L520" i="7" a="1"/>
  <c r="O521" i="7" a="1"/>
  <c r="O522" i="7" a="1"/>
  <c r="M523" i="7" a="1"/>
  <c r="M524" i="7" a="1"/>
  <c r="M525" i="7" a="1"/>
  <c r="K526" i="7" a="1"/>
  <c r="K527" i="7" a="1"/>
  <c r="K528" i="7" a="1"/>
  <c r="N529" i="7" a="1"/>
  <c r="N530" i="7" a="1"/>
  <c r="L531" i="7" a="1"/>
  <c r="L532" i="7" a="1"/>
  <c r="L533" i="7" a="1"/>
  <c r="O534" i="7" a="1"/>
  <c r="L536" i="7" a="1"/>
  <c r="O537" i="7" a="1"/>
  <c r="O538" i="7" a="1"/>
  <c r="M539" i="7" a="1"/>
  <c r="M540" i="7" a="1"/>
  <c r="M541" i="7" a="1"/>
  <c r="K542" i="7" a="1"/>
  <c r="K543" i="7" a="1"/>
  <c r="K544" i="7" a="1"/>
  <c r="N545" i="7" a="1"/>
  <c r="N546" i="7" a="1"/>
  <c r="L547" i="7" a="1"/>
  <c r="L548" i="7" a="1"/>
  <c r="L549" i="7" a="1"/>
  <c r="O550" i="7" a="1"/>
  <c r="N552" i="7" a="1"/>
  <c r="K553" i="7" a="1"/>
  <c r="O555" i="7" a="1"/>
  <c r="L556" i="7" a="1"/>
  <c r="M558" i="7" a="1"/>
  <c r="N560" i="7" a="1"/>
  <c r="K561" i="7" a="1"/>
  <c r="O563" i="7" a="1"/>
  <c r="L564" i="7" a="1"/>
  <c r="M566" i="7" a="1"/>
  <c r="N568" i="7" a="1"/>
  <c r="K569" i="7" a="1"/>
  <c r="L572" i="7" a="1"/>
  <c r="K504" i="7" a="1"/>
  <c r="L506" i="7" a="1"/>
  <c r="O507" i="7" a="1"/>
  <c r="O508" i="7" a="1"/>
  <c r="O509" i="7" a="1"/>
  <c r="M510" i="7" a="1"/>
  <c r="M511" i="7" a="1"/>
  <c r="M512" i="7" a="1"/>
  <c r="K513" i="7" a="1"/>
  <c r="K514" i="7" a="1"/>
  <c r="N515" i="7" a="1"/>
  <c r="K517" i="7" a="1"/>
  <c r="N518" i="7" a="1"/>
  <c r="N519" i="7" a="1"/>
  <c r="N520" i="7" a="1"/>
  <c r="L521" i="7" a="1"/>
  <c r="L522" i="7" a="1"/>
  <c r="O523" i="7" a="1"/>
  <c r="O524" i="7" a="1"/>
  <c r="O525" i="7" a="1"/>
  <c r="M526" i="7" a="1"/>
  <c r="M527" i="7" a="1"/>
  <c r="M528" i="7" a="1"/>
  <c r="K529" i="7" a="1"/>
  <c r="K530" i="7" a="1"/>
  <c r="N531" i="7" a="1"/>
  <c r="K533" i="7" a="1"/>
  <c r="N534" i="7" a="1"/>
  <c r="N535" i="7" a="1"/>
  <c r="N536" i="7" a="1"/>
  <c r="L537" i="7" a="1"/>
  <c r="L538" i="7" a="1"/>
  <c r="O539" i="7" a="1"/>
  <c r="O540" i="7" a="1"/>
  <c r="O541" i="7" a="1"/>
  <c r="M542" i="7" a="1"/>
  <c r="M543" i="7" a="1"/>
  <c r="M544" i="7" a="1"/>
  <c r="K545" i="7" a="1"/>
  <c r="K546" i="7" a="1"/>
  <c r="N547" i="7" a="1"/>
  <c r="K549" i="7" a="1"/>
  <c r="N550" i="7" a="1"/>
  <c r="N551" i="7" a="1"/>
  <c r="K552" i="7" a="1"/>
  <c r="L554" i="7" a="1"/>
  <c r="L555" i="7" a="1"/>
  <c r="M557" i="7" a="1"/>
  <c r="O558" i="7" a="1"/>
  <c r="K560" i="7" a="1"/>
  <c r="L562" i="7" a="1"/>
  <c r="L563" i="7" a="1"/>
  <c r="M565" i="7" a="1"/>
  <c r="O566" i="7" a="1"/>
  <c r="K568" i="7" a="1"/>
  <c r="L570" i="7" a="1"/>
  <c r="L571" i="7" a="1"/>
  <c r="N571" i="7" a="1"/>
  <c r="N571" i="7" l="1"/>
  <c r="L571" i="7"/>
  <c r="L570" i="7"/>
  <c r="K568" i="7"/>
  <c r="O566" i="7"/>
  <c r="M565" i="7"/>
  <c r="L563" i="7"/>
  <c r="L562" i="7"/>
  <c r="K560" i="7"/>
  <c r="O558" i="7"/>
  <c r="M557" i="7"/>
  <c r="L555" i="7"/>
  <c r="L554" i="7"/>
  <c r="K552" i="7"/>
  <c r="N551" i="7"/>
  <c r="N550" i="7"/>
  <c r="K549" i="7"/>
  <c r="N547" i="7"/>
  <c r="K546" i="7"/>
  <c r="K545" i="7"/>
  <c r="M544" i="7"/>
  <c r="M543" i="7"/>
  <c r="M542" i="7"/>
  <c r="O541" i="7"/>
  <c r="O540" i="7"/>
  <c r="O539" i="7"/>
  <c r="L538" i="7"/>
  <c r="L537" i="7"/>
  <c r="N536" i="7"/>
  <c r="N535" i="7"/>
  <c r="N534" i="7"/>
  <c r="K533" i="7"/>
  <c r="N531" i="7"/>
  <c r="K530" i="7"/>
  <c r="K529" i="7"/>
  <c r="M528" i="7"/>
  <c r="M527" i="7"/>
  <c r="M526" i="7"/>
  <c r="O525" i="7"/>
  <c r="O524" i="7"/>
  <c r="O523" i="7"/>
  <c r="L522" i="7"/>
  <c r="L521" i="7"/>
  <c r="N520" i="7"/>
  <c r="N519" i="7"/>
  <c r="N518" i="7"/>
  <c r="K517" i="7"/>
  <c r="N515" i="7"/>
  <c r="K514" i="7"/>
  <c r="K513" i="7"/>
  <c r="M512" i="7"/>
  <c r="M511" i="7"/>
  <c r="M510" i="7"/>
  <c r="O509" i="7"/>
  <c r="O508" i="7"/>
  <c r="O507" i="7"/>
  <c r="L506" i="7"/>
  <c r="K504" i="7"/>
  <c r="L572" i="7"/>
  <c r="K569" i="7"/>
  <c r="N568" i="7"/>
  <c r="M566" i="7"/>
  <c r="L564" i="7"/>
  <c r="O563" i="7"/>
  <c r="K561" i="7"/>
  <c r="N560" i="7"/>
  <c r="M558" i="7"/>
  <c r="L556" i="7"/>
  <c r="O555" i="7"/>
  <c r="K553" i="7"/>
  <c r="N552" i="7"/>
  <c r="O550" i="7"/>
  <c r="L549" i="7"/>
  <c r="L548" i="7"/>
  <c r="L547" i="7"/>
  <c r="N546" i="7"/>
  <c r="N545" i="7"/>
  <c r="K544" i="7"/>
  <c r="K543" i="7"/>
  <c r="K542" i="7"/>
  <c r="M541" i="7"/>
  <c r="M540" i="7"/>
  <c r="M539" i="7"/>
  <c r="O538" i="7"/>
  <c r="O537" i="7"/>
  <c r="L536" i="7"/>
  <c r="O534" i="7"/>
  <c r="L533" i="7"/>
  <c r="L532" i="7"/>
  <c r="L531" i="7"/>
  <c r="N530" i="7"/>
  <c r="N529" i="7"/>
  <c r="K528" i="7"/>
  <c r="K527" i="7"/>
  <c r="K526" i="7"/>
  <c r="M525" i="7"/>
  <c r="M524" i="7"/>
  <c r="M523" i="7"/>
  <c r="O522" i="7"/>
  <c r="O521" i="7"/>
  <c r="L520" i="7"/>
  <c r="O518" i="7"/>
  <c r="L517" i="7"/>
  <c r="L516" i="7"/>
  <c r="L515" i="7"/>
  <c r="N514" i="7"/>
  <c r="N513" i="7"/>
  <c r="K512" i="7"/>
  <c r="K511" i="7"/>
  <c r="K510" i="7"/>
  <c r="M509" i="7"/>
  <c r="M508" i="7"/>
  <c r="M507" i="7"/>
  <c r="O506" i="7"/>
  <c r="L504" i="7"/>
  <c r="O571" i="7"/>
  <c r="O572" i="7"/>
  <c r="K570" i="7"/>
  <c r="N569" i="7"/>
  <c r="M567" i="7"/>
  <c r="L565" i="7"/>
  <c r="O564" i="7"/>
  <c r="K562" i="7"/>
  <c r="N561" i="7"/>
  <c r="M559" i="7"/>
  <c r="L557" i="7"/>
  <c r="O556" i="7"/>
  <c r="K554" i="7"/>
  <c r="N553" i="7"/>
  <c r="M551" i="7"/>
  <c r="M550" i="7"/>
  <c r="O549" i="7"/>
  <c r="O548" i="7"/>
  <c r="O547" i="7"/>
  <c r="L546" i="7"/>
  <c r="L545" i="7"/>
  <c r="N544" i="7"/>
  <c r="N543" i="7"/>
  <c r="N542" i="7"/>
  <c r="K541" i="7"/>
  <c r="N539" i="7"/>
  <c r="K538" i="7"/>
  <c r="K537" i="7"/>
  <c r="M536" i="7"/>
  <c r="M535" i="7"/>
  <c r="M534" i="7"/>
  <c r="O533" i="7"/>
  <c r="O532" i="7"/>
  <c r="O531" i="7"/>
  <c r="L530" i="7"/>
  <c r="L529" i="7"/>
  <c r="N528" i="7"/>
  <c r="N527" i="7"/>
  <c r="N526" i="7"/>
  <c r="K525" i="7"/>
  <c r="N523" i="7"/>
  <c r="K522" i="7"/>
  <c r="K521" i="7"/>
  <c r="M520" i="7"/>
  <c r="M519" i="7"/>
  <c r="M518" i="7"/>
  <c r="O517" i="7"/>
  <c r="O516" i="7"/>
  <c r="O515" i="7"/>
  <c r="L514" i="7"/>
  <c r="L513" i="7"/>
  <c r="N512" i="7"/>
  <c r="N511" i="7"/>
  <c r="N510" i="7"/>
  <c r="K509" i="7"/>
  <c r="N507" i="7"/>
  <c r="K506" i="7"/>
  <c r="N505" i="7"/>
  <c r="K503" i="7"/>
  <c r="N570" i="7"/>
  <c r="M568" i="7"/>
  <c r="K567" i="7"/>
  <c r="O565" i="7"/>
  <c r="N563" i="7"/>
  <c r="N562" i="7"/>
  <c r="M560" i="7"/>
  <c r="K559" i="7"/>
  <c r="O557" i="7"/>
  <c r="N555" i="7"/>
  <c r="N554" i="7"/>
  <c r="M552" i="7"/>
  <c r="K551" i="7"/>
  <c r="K550" i="7"/>
  <c r="M549" i="7"/>
  <c r="M548" i="7"/>
  <c r="M547" i="7"/>
  <c r="O546" i="7"/>
  <c r="O545" i="7"/>
  <c r="L544" i="7"/>
  <c r="O542" i="7"/>
  <c r="L541" i="7"/>
  <c r="L540" i="7"/>
  <c r="L539" i="7"/>
  <c r="N538" i="7"/>
  <c r="N537" i="7"/>
  <c r="K536" i="7"/>
  <c r="K535" i="7"/>
  <c r="K534" i="7"/>
  <c r="M533" i="7"/>
  <c r="M532" i="7"/>
  <c r="M531" i="7"/>
  <c r="O530" i="7"/>
  <c r="O529" i="7"/>
  <c r="L528" i="7"/>
  <c r="O526" i="7"/>
  <c r="L525" i="7"/>
  <c r="L524" i="7"/>
  <c r="L523" i="7"/>
  <c r="N522" i="7"/>
  <c r="N521" i="7"/>
  <c r="K520" i="7"/>
  <c r="K519" i="7"/>
  <c r="K518" i="7"/>
  <c r="M517" i="7"/>
  <c r="M516" i="7"/>
  <c r="M515" i="7"/>
  <c r="O514" i="7"/>
  <c r="O513" i="7"/>
  <c r="L512" i="7"/>
  <c r="O510" i="7"/>
  <c r="L509" i="7"/>
  <c r="L508" i="7"/>
  <c r="L507" i="7"/>
  <c r="N506" i="7"/>
  <c r="O505" i="7"/>
  <c r="O502" i="7"/>
  <c r="L505" i="7"/>
  <c r="N504" i="7"/>
  <c r="N503" i="7"/>
  <c r="N502" i="7"/>
  <c r="K501" i="7"/>
  <c r="N499" i="7"/>
  <c r="K498" i="7"/>
  <c r="K497" i="7"/>
  <c r="M496" i="7"/>
  <c r="M495" i="7"/>
  <c r="M494" i="7"/>
  <c r="O493" i="7"/>
  <c r="O492" i="7"/>
  <c r="O491" i="7"/>
  <c r="L490" i="7"/>
  <c r="L489" i="7"/>
  <c r="O488" i="7"/>
  <c r="N487" i="7"/>
  <c r="L486" i="7"/>
  <c r="M485" i="7"/>
  <c r="N484" i="7"/>
  <c r="L483" i="7"/>
  <c r="L482" i="7"/>
  <c r="N481" i="7"/>
  <c r="M480" i="7"/>
  <c r="M479" i="7"/>
  <c r="O478" i="7"/>
  <c r="N478" i="7"/>
  <c r="K477" i="7"/>
  <c r="M476" i="7"/>
  <c r="K475" i="7"/>
  <c r="L474" i="7"/>
  <c r="O473" i="7"/>
  <c r="N472" i="7"/>
  <c r="K471" i="7"/>
  <c r="M470" i="7"/>
  <c r="O469" i="7"/>
  <c r="L468" i="7"/>
  <c r="N467" i="7"/>
  <c r="K466" i="7"/>
  <c r="O466" i="7"/>
  <c r="M465" i="7"/>
  <c r="K464" i="7"/>
  <c r="M463" i="7"/>
  <c r="L462" i="7"/>
  <c r="O462" i="7"/>
  <c r="N461" i="7"/>
  <c r="O460" i="7"/>
  <c r="O459" i="7"/>
  <c r="N458" i="7"/>
  <c r="K457" i="7"/>
  <c r="N457" i="7"/>
  <c r="K456" i="7"/>
  <c r="M455" i="7"/>
  <c r="M454" i="7"/>
  <c r="L453" i="7"/>
  <c r="O453" i="7"/>
  <c r="L452" i="7"/>
  <c r="K451" i="7"/>
  <c r="M450" i="7"/>
  <c r="L449" i="7"/>
  <c r="O449" i="7"/>
  <c r="L448" i="7"/>
  <c r="K447" i="7"/>
  <c r="M446" i="7"/>
  <c r="L445" i="7"/>
  <c r="O445" i="7"/>
  <c r="L444" i="7"/>
  <c r="K443" i="7"/>
  <c r="M442" i="7"/>
  <c r="L441" i="7"/>
  <c r="O441" i="7"/>
  <c r="L440" i="7"/>
  <c r="K439" i="7"/>
  <c r="M438" i="7"/>
  <c r="L437" i="7"/>
  <c r="O437" i="7"/>
  <c r="L436" i="7"/>
  <c r="K435" i="7"/>
  <c r="M434" i="7"/>
  <c r="L433" i="7"/>
  <c r="O433" i="7"/>
  <c r="L432" i="7"/>
  <c r="K431" i="7"/>
  <c r="M430" i="7"/>
  <c r="L429" i="7"/>
  <c r="O429" i="7"/>
  <c r="L428" i="7"/>
  <c r="K427" i="7"/>
  <c r="M426" i="7"/>
  <c r="L425" i="7"/>
  <c r="O425" i="7"/>
  <c r="L424" i="7"/>
  <c r="K423" i="7"/>
  <c r="M422" i="7"/>
  <c r="L421" i="7"/>
  <c r="O421" i="7"/>
  <c r="L420" i="7"/>
  <c r="K419" i="7"/>
  <c r="M418" i="7"/>
  <c r="L417" i="7"/>
  <c r="O417" i="7"/>
  <c r="L416" i="7"/>
  <c r="K415" i="7"/>
  <c r="M414" i="7"/>
  <c r="L413" i="7"/>
  <c r="O413" i="7"/>
  <c r="L412" i="7"/>
  <c r="L411" i="7"/>
  <c r="M410" i="7"/>
  <c r="M409" i="7"/>
  <c r="L409" i="7"/>
  <c r="L408" i="7"/>
  <c r="L407" i="7"/>
  <c r="M406" i="7"/>
  <c r="M405" i="7"/>
  <c r="L405" i="7"/>
  <c r="L404" i="7"/>
  <c r="L403" i="7"/>
  <c r="M402" i="7"/>
  <c r="M401" i="7"/>
  <c r="L401" i="7"/>
  <c r="L400" i="7"/>
  <c r="L399" i="7"/>
  <c r="M398" i="7"/>
  <c r="M397" i="7"/>
  <c r="L397" i="7"/>
  <c r="L396" i="7"/>
  <c r="L395" i="7"/>
  <c r="M394" i="7"/>
  <c r="M393" i="7"/>
  <c r="L393" i="7"/>
  <c r="L392" i="7"/>
  <c r="L391" i="7"/>
  <c r="M390" i="7"/>
  <c r="M389" i="7"/>
  <c r="L389" i="7"/>
  <c r="L388" i="7"/>
  <c r="L387" i="7"/>
  <c r="M386" i="7"/>
  <c r="M385" i="7"/>
  <c r="L385" i="7"/>
  <c r="L384" i="7"/>
  <c r="L383" i="7"/>
  <c r="M382" i="7"/>
  <c r="M381" i="7"/>
  <c r="L381" i="7"/>
  <c r="L380" i="7"/>
  <c r="L379" i="7"/>
  <c r="M378" i="7"/>
  <c r="M377" i="7"/>
  <c r="L377" i="7"/>
  <c r="L376" i="7"/>
  <c r="L375" i="7"/>
  <c r="M374" i="7"/>
  <c r="M373" i="7"/>
  <c r="L373" i="7"/>
  <c r="L372" i="7"/>
  <c r="L371" i="7"/>
  <c r="M370" i="7"/>
  <c r="M369" i="7"/>
  <c r="L369" i="7"/>
  <c r="L368" i="7"/>
  <c r="L367" i="7"/>
  <c r="M366" i="7"/>
  <c r="M365" i="7"/>
  <c r="L365" i="7"/>
  <c r="L364" i="7"/>
  <c r="L363" i="7"/>
  <c r="M362" i="7"/>
  <c r="M361" i="7"/>
  <c r="L361" i="7"/>
  <c r="L360" i="7"/>
  <c r="L359" i="7"/>
  <c r="M358" i="7"/>
  <c r="M357" i="7"/>
  <c r="L357" i="7"/>
  <c r="L356" i="7"/>
  <c r="K355" i="7"/>
  <c r="M354" i="7"/>
  <c r="L353" i="7"/>
  <c r="O353" i="7"/>
  <c r="L352" i="7"/>
  <c r="M351" i="7"/>
  <c r="M350" i="7"/>
  <c r="L349" i="7"/>
  <c r="M349" i="7"/>
  <c r="L348" i="7"/>
  <c r="K347" i="7"/>
  <c r="M346" i="7"/>
  <c r="L345" i="7"/>
  <c r="O345" i="7"/>
  <c r="L344" i="7"/>
  <c r="M343" i="7"/>
  <c r="M342" i="7"/>
  <c r="L341" i="7"/>
  <c r="M341" i="7"/>
  <c r="M340" i="7"/>
  <c r="L339" i="7"/>
  <c r="N338" i="7"/>
  <c r="M337" i="7"/>
  <c r="O337" i="7"/>
  <c r="L336" i="7"/>
  <c r="K335" i="7"/>
  <c r="O334" i="7"/>
  <c r="L333" i="7"/>
  <c r="K333" i="7"/>
  <c r="M332" i="7"/>
  <c r="L331" i="7"/>
  <c r="N330" i="7"/>
  <c r="M329" i="7"/>
  <c r="O329" i="7"/>
  <c r="L328" i="7"/>
  <c r="K327" i="7"/>
  <c r="O326" i="7"/>
  <c r="L325" i="7"/>
  <c r="N325" i="7"/>
  <c r="M324" i="7"/>
  <c r="L323" i="7"/>
  <c r="N322" i="7"/>
  <c r="M321" i="7"/>
  <c r="O321" i="7"/>
  <c r="O320" i="7"/>
  <c r="K319" i="7"/>
  <c r="O318" i="7"/>
  <c r="L317" i="7"/>
  <c r="N317" i="7"/>
  <c r="M316" i="7"/>
  <c r="L315" i="7"/>
  <c r="N314" i="7"/>
  <c r="M313" i="7"/>
  <c r="O313" i="7"/>
  <c r="L312" i="7"/>
  <c r="K311" i="7"/>
  <c r="O310" i="7"/>
  <c r="L309" i="7"/>
  <c r="N309" i="7"/>
  <c r="M308" i="7"/>
  <c r="L307" i="7"/>
  <c r="N306" i="7"/>
  <c r="M305" i="7"/>
  <c r="O305" i="7"/>
  <c r="L304" i="7"/>
  <c r="K303" i="7"/>
  <c r="O302" i="7"/>
  <c r="L301" i="7"/>
  <c r="K301" i="7"/>
  <c r="M300" i="7"/>
  <c r="L299" i="7"/>
  <c r="N298" i="7"/>
  <c r="M297" i="7"/>
  <c r="O297" i="7"/>
  <c r="L296" i="7"/>
  <c r="K295" i="7"/>
  <c r="M294" i="7"/>
  <c r="L501" i="7"/>
  <c r="L500" i="7"/>
  <c r="L499" i="7"/>
  <c r="N498" i="7"/>
  <c r="N497" i="7"/>
  <c r="K496" i="7"/>
  <c r="K495" i="7"/>
  <c r="K494" i="7"/>
  <c r="M493" i="7"/>
  <c r="M492" i="7"/>
  <c r="M491" i="7"/>
  <c r="O490" i="7"/>
  <c r="O489" i="7"/>
  <c r="N488" i="7"/>
  <c r="O487" i="7"/>
  <c r="M486" i="7"/>
  <c r="K485" i="7"/>
  <c r="K484" i="7"/>
  <c r="M483" i="7"/>
  <c r="M482" i="7"/>
  <c r="L481" i="7"/>
  <c r="K480" i="7"/>
  <c r="K479" i="7"/>
  <c r="M478" i="7"/>
  <c r="L477" i="7"/>
  <c r="L476" i="7"/>
  <c r="N475" i="7"/>
  <c r="M475" i="7"/>
  <c r="O474" i="7"/>
  <c r="L473" i="7"/>
  <c r="O472" i="7"/>
  <c r="N471" i="7"/>
  <c r="N470" i="7"/>
  <c r="M469" i="7"/>
  <c r="O468" i="7"/>
  <c r="L467" i="7"/>
  <c r="N466" i="7"/>
  <c r="L465" i="7"/>
  <c r="O465" i="7"/>
  <c r="N464" i="7"/>
  <c r="O463" i="7"/>
  <c r="N462" i="7"/>
  <c r="K461" i="7"/>
  <c r="L460" i="7"/>
  <c r="M460" i="7"/>
  <c r="L459" i="7"/>
  <c r="K458" i="7"/>
  <c r="M457" i="7"/>
  <c r="L456" i="7"/>
  <c r="O456" i="7"/>
  <c r="O455" i="7"/>
  <c r="O454" i="7"/>
  <c r="N453" i="7"/>
  <c r="K452" i="7"/>
  <c r="N452" i="7"/>
  <c r="M451" i="7"/>
  <c r="O450" i="7"/>
  <c r="N449" i="7"/>
  <c r="K448" i="7"/>
  <c r="N448" i="7"/>
  <c r="M447" i="7"/>
  <c r="O446" i="7"/>
  <c r="N445" i="7"/>
  <c r="K444" i="7"/>
  <c r="N444" i="7"/>
  <c r="M443" i="7"/>
  <c r="O442" i="7"/>
  <c r="N441" i="7"/>
  <c r="K440" i="7"/>
  <c r="N440" i="7"/>
  <c r="M439" i="7"/>
  <c r="O438" i="7"/>
  <c r="N437" i="7"/>
  <c r="K436" i="7"/>
  <c r="N436" i="7"/>
  <c r="M435" i="7"/>
  <c r="O434" i="7"/>
  <c r="N433" i="7"/>
  <c r="K432" i="7"/>
  <c r="N432" i="7"/>
  <c r="M431" i="7"/>
  <c r="O430" i="7"/>
  <c r="N429" i="7"/>
  <c r="K428" i="7"/>
  <c r="N428" i="7"/>
  <c r="M427" i="7"/>
  <c r="O426" i="7"/>
  <c r="N425" i="7"/>
  <c r="K424" i="7"/>
  <c r="N424" i="7"/>
  <c r="M423" i="7"/>
  <c r="O422" i="7"/>
  <c r="N421" i="7"/>
  <c r="K420" i="7"/>
  <c r="N420" i="7"/>
  <c r="M419" i="7"/>
  <c r="O418" i="7"/>
  <c r="N417" i="7"/>
  <c r="K416" i="7"/>
  <c r="N416" i="7"/>
  <c r="M415" i="7"/>
  <c r="O414" i="7"/>
  <c r="N413" i="7"/>
  <c r="K412" i="7"/>
  <c r="N412" i="7"/>
  <c r="O411" i="7"/>
  <c r="N410" i="7"/>
  <c r="N409" i="7"/>
  <c r="N408" i="7"/>
  <c r="M408" i="7"/>
  <c r="M407" i="7"/>
  <c r="N406" i="7"/>
  <c r="N405" i="7"/>
  <c r="N404" i="7"/>
  <c r="M404" i="7"/>
  <c r="M403" i="7"/>
  <c r="N402" i="7"/>
  <c r="N401" i="7"/>
  <c r="N400" i="7"/>
  <c r="M400" i="7"/>
  <c r="M399" i="7"/>
  <c r="N398" i="7"/>
  <c r="N397" i="7"/>
  <c r="N396" i="7"/>
  <c r="M396" i="7"/>
  <c r="M395" i="7"/>
  <c r="N394" i="7"/>
  <c r="N393" i="7"/>
  <c r="N392" i="7"/>
  <c r="M392" i="7"/>
  <c r="M391" i="7"/>
  <c r="N390" i="7"/>
  <c r="N389" i="7"/>
  <c r="N388" i="7"/>
  <c r="M388" i="7"/>
  <c r="M387" i="7"/>
  <c r="N386" i="7"/>
  <c r="N385" i="7"/>
  <c r="N384" i="7"/>
  <c r="M384" i="7"/>
  <c r="M383" i="7"/>
  <c r="N382" i="7"/>
  <c r="N381" i="7"/>
  <c r="N380" i="7"/>
  <c r="M380" i="7"/>
  <c r="M379" i="7"/>
  <c r="N378" i="7"/>
  <c r="N377" i="7"/>
  <c r="N376" i="7"/>
  <c r="M376" i="7"/>
  <c r="M375" i="7"/>
  <c r="N374" i="7"/>
  <c r="N373" i="7"/>
  <c r="N372" i="7"/>
  <c r="M372" i="7"/>
  <c r="M371" i="7"/>
  <c r="N370" i="7"/>
  <c r="N369" i="7"/>
  <c r="N368" i="7"/>
  <c r="M368" i="7"/>
  <c r="M367" i="7"/>
  <c r="N366" i="7"/>
  <c r="N365" i="7"/>
  <c r="N364" i="7"/>
  <c r="M364" i="7"/>
  <c r="M363" i="7"/>
  <c r="N362" i="7"/>
  <c r="N361" i="7"/>
  <c r="N360" i="7"/>
  <c r="M360" i="7"/>
  <c r="M359" i="7"/>
  <c r="N358" i="7"/>
  <c r="N357" i="7"/>
  <c r="N356" i="7"/>
  <c r="M356" i="7"/>
  <c r="M355" i="7"/>
  <c r="O354" i="7"/>
  <c r="N353" i="7"/>
  <c r="K352" i="7"/>
  <c r="N352" i="7"/>
  <c r="O351" i="7"/>
  <c r="O350" i="7"/>
  <c r="N349" i="7"/>
  <c r="K348" i="7"/>
  <c r="N348" i="7"/>
  <c r="M347" i="7"/>
  <c r="O346" i="7"/>
  <c r="N345" i="7"/>
  <c r="K344" i="7"/>
  <c r="N344" i="7"/>
  <c r="O343" i="7"/>
  <c r="O342" i="7"/>
  <c r="N341" i="7"/>
  <c r="N340" i="7"/>
  <c r="K340" i="7"/>
  <c r="O339" i="7"/>
  <c r="L338" i="7"/>
  <c r="K337" i="7"/>
  <c r="M336" i="7"/>
  <c r="O336" i="7"/>
  <c r="N335" i="7"/>
  <c r="M334" i="7"/>
  <c r="O333" i="7"/>
  <c r="N332" i="7"/>
  <c r="K332" i="7"/>
  <c r="O331" i="7"/>
  <c r="L330" i="7"/>
  <c r="K329" i="7"/>
  <c r="M328" i="7"/>
  <c r="O328" i="7"/>
  <c r="N327" i="7"/>
  <c r="M326" i="7"/>
  <c r="O325" i="7"/>
  <c r="N324" i="7"/>
  <c r="K324" i="7"/>
  <c r="O323" i="7"/>
  <c r="L322" i="7"/>
  <c r="K321" i="7"/>
  <c r="M320" i="7"/>
  <c r="L320" i="7"/>
  <c r="N319" i="7"/>
  <c r="M318" i="7"/>
  <c r="O317" i="7"/>
  <c r="N316" i="7"/>
  <c r="K316" i="7"/>
  <c r="O315" i="7"/>
  <c r="L314" i="7"/>
  <c r="K313" i="7"/>
  <c r="M312" i="7"/>
  <c r="O312" i="7"/>
  <c r="N311" i="7"/>
  <c r="M310" i="7"/>
  <c r="O309" i="7"/>
  <c r="N308" i="7"/>
  <c r="K308" i="7"/>
  <c r="O307" i="7"/>
  <c r="L306" i="7"/>
  <c r="K305" i="7"/>
  <c r="M304" i="7"/>
  <c r="O304" i="7"/>
  <c r="N303" i="7"/>
  <c r="M302" i="7"/>
  <c r="O301" i="7"/>
  <c r="N300" i="7"/>
  <c r="K300" i="7"/>
  <c r="O299" i="7"/>
  <c r="L298" i="7"/>
  <c r="K297" i="7"/>
  <c r="M296" i="7"/>
  <c r="O296" i="7"/>
  <c r="N295" i="7"/>
  <c r="K294" i="7"/>
  <c r="K505" i="7"/>
  <c r="M504" i="7"/>
  <c r="M503" i="7"/>
  <c r="M502" i="7"/>
  <c r="O501" i="7"/>
  <c r="O500" i="7"/>
  <c r="O499" i="7"/>
  <c r="L498" i="7"/>
  <c r="L497" i="7"/>
  <c r="N496" i="7"/>
  <c r="N495" i="7"/>
  <c r="N494" i="7"/>
  <c r="K493" i="7"/>
  <c r="N491" i="7"/>
  <c r="K490" i="7"/>
  <c r="K489" i="7"/>
  <c r="M488" i="7"/>
  <c r="M487" i="7"/>
  <c r="O486" i="7"/>
  <c r="L485" i="7"/>
  <c r="N485" i="7"/>
  <c r="O484" i="7"/>
  <c r="K482" i="7"/>
  <c r="O482" i="7"/>
  <c r="M481" i="7"/>
  <c r="N480" i="7"/>
  <c r="L479" i="7"/>
  <c r="K478" i="7"/>
  <c r="O477" i="7"/>
  <c r="O476" i="7"/>
  <c r="L475" i="7"/>
  <c r="K474" i="7"/>
  <c r="K473" i="7"/>
  <c r="M472" i="7"/>
  <c r="L472" i="7"/>
  <c r="O471" i="7"/>
  <c r="K470" i="7"/>
  <c r="N469" i="7"/>
  <c r="M468" i="7"/>
  <c r="O467" i="7"/>
  <c r="L466" i="7"/>
  <c r="K465" i="7"/>
  <c r="L464" i="7"/>
  <c r="O464" i="7"/>
  <c r="L463" i="7"/>
  <c r="M462" i="7"/>
  <c r="M461" i="7"/>
  <c r="N460" i="7"/>
  <c r="K459" i="7"/>
  <c r="N459" i="7"/>
  <c r="M458" i="7"/>
  <c r="O457" i="7"/>
  <c r="N456" i="7"/>
  <c r="L455" i="7"/>
  <c r="N455" i="7"/>
  <c r="L454" i="7"/>
  <c r="K453" i="7"/>
  <c r="M452" i="7"/>
  <c r="L451" i="7"/>
  <c r="O451" i="7"/>
  <c r="L450" i="7"/>
  <c r="K449" i="7"/>
  <c r="M448" i="7"/>
  <c r="L447" i="7"/>
  <c r="O447" i="7"/>
  <c r="L446" i="7"/>
  <c r="K445" i="7"/>
  <c r="M444" i="7"/>
  <c r="L443" i="7"/>
  <c r="O443" i="7"/>
  <c r="L442" i="7"/>
  <c r="K441" i="7"/>
  <c r="M440" i="7"/>
  <c r="L439" i="7"/>
  <c r="O439" i="7"/>
  <c r="L438" i="7"/>
  <c r="K437" i="7"/>
  <c r="M436" i="7"/>
  <c r="L435" i="7"/>
  <c r="O435" i="7"/>
  <c r="L434" i="7"/>
  <c r="K433" i="7"/>
  <c r="M432" i="7"/>
  <c r="L431" i="7"/>
  <c r="O431" i="7"/>
  <c r="L430" i="7"/>
  <c r="K429" i="7"/>
  <c r="M428" i="7"/>
  <c r="L427" i="7"/>
  <c r="O427" i="7"/>
  <c r="L426" i="7"/>
  <c r="K425" i="7"/>
  <c r="M424" i="7"/>
  <c r="L423" i="7"/>
  <c r="O423" i="7"/>
  <c r="L422" i="7"/>
  <c r="K421" i="7"/>
  <c r="M420" i="7"/>
  <c r="L419" i="7"/>
  <c r="O419" i="7"/>
  <c r="L418" i="7"/>
  <c r="K417" i="7"/>
  <c r="M416" i="7"/>
  <c r="L415" i="7"/>
  <c r="O415" i="7"/>
  <c r="L414" i="7"/>
  <c r="K413" i="7"/>
  <c r="M412" i="7"/>
  <c r="K411" i="7"/>
  <c r="M411" i="7"/>
  <c r="K410" i="7"/>
  <c r="K409" i="7"/>
  <c r="K408" i="7"/>
  <c r="K407" i="7"/>
  <c r="N407" i="7"/>
  <c r="O406" i="7"/>
  <c r="K405" i="7"/>
  <c r="K404" i="7"/>
  <c r="K403" i="7"/>
  <c r="N403" i="7"/>
  <c r="K402" i="7"/>
  <c r="K401" i="7"/>
  <c r="K400" i="7"/>
  <c r="K399" i="7"/>
  <c r="N399" i="7"/>
  <c r="K398" i="7"/>
  <c r="K397" i="7"/>
  <c r="K396" i="7"/>
  <c r="K395" i="7"/>
  <c r="N395" i="7"/>
  <c r="K394" i="7"/>
  <c r="K393" i="7"/>
  <c r="K392" i="7"/>
  <c r="K391" i="7"/>
  <c r="N391" i="7"/>
  <c r="O390" i="7"/>
  <c r="K389" i="7"/>
  <c r="K388" i="7"/>
  <c r="K387" i="7"/>
  <c r="N387" i="7"/>
  <c r="K386" i="7"/>
  <c r="K385" i="7"/>
  <c r="K384" i="7"/>
  <c r="K383" i="7"/>
  <c r="N383" i="7"/>
  <c r="K382" i="7"/>
  <c r="K381" i="7"/>
  <c r="K380" i="7"/>
  <c r="K379" i="7"/>
  <c r="N379" i="7"/>
  <c r="K378" i="7"/>
  <c r="K377" i="7"/>
  <c r="K376" i="7"/>
  <c r="K375" i="7"/>
  <c r="N375" i="7"/>
  <c r="O374" i="7"/>
  <c r="K373" i="7"/>
  <c r="K372" i="7"/>
  <c r="K371" i="7"/>
  <c r="N371" i="7"/>
  <c r="K370" i="7"/>
  <c r="K369" i="7"/>
  <c r="K368" i="7"/>
  <c r="K367" i="7"/>
  <c r="N367" i="7"/>
  <c r="K366" i="7"/>
  <c r="K365" i="7"/>
  <c r="K364" i="7"/>
  <c r="K363" i="7"/>
  <c r="N363" i="7"/>
  <c r="K362" i="7"/>
  <c r="K361" i="7"/>
  <c r="K360" i="7"/>
  <c r="K359" i="7"/>
  <c r="N359" i="7"/>
  <c r="O358" i="7"/>
  <c r="K357" i="7"/>
  <c r="K356" i="7"/>
  <c r="L355" i="7"/>
  <c r="N355" i="7"/>
  <c r="N354" i="7"/>
  <c r="K353" i="7"/>
  <c r="M352" i="7"/>
  <c r="L351" i="7"/>
  <c r="K351" i="7"/>
  <c r="L350" i="7"/>
  <c r="O349" i="7"/>
  <c r="M348" i="7"/>
  <c r="L347" i="7"/>
  <c r="O347" i="7"/>
  <c r="N346" i="7"/>
  <c r="K345" i="7"/>
  <c r="M344" i="7"/>
  <c r="L343" i="7"/>
  <c r="K343" i="7"/>
  <c r="L342" i="7"/>
  <c r="O341" i="7"/>
  <c r="L340" i="7"/>
  <c r="K339" i="7"/>
  <c r="M339" i="7"/>
  <c r="O338" i="7"/>
  <c r="N337" i="7"/>
  <c r="K336" i="7"/>
  <c r="O335" i="7"/>
  <c r="L335" i="7"/>
  <c r="K334" i="7"/>
  <c r="M333" i="7"/>
  <c r="L332" i="7"/>
  <c r="K331" i="7"/>
  <c r="M331" i="7"/>
  <c r="O330" i="7"/>
  <c r="N329" i="7"/>
  <c r="K328" i="7"/>
  <c r="O327" i="7"/>
  <c r="L327" i="7"/>
  <c r="K326" i="7"/>
  <c r="M325" i="7"/>
  <c r="L324" i="7"/>
  <c r="K323" i="7"/>
  <c r="M323" i="7"/>
  <c r="O322" i="7"/>
  <c r="N321" i="7"/>
  <c r="K320" i="7"/>
  <c r="O319" i="7"/>
  <c r="L319" i="7"/>
  <c r="K318" i="7"/>
  <c r="M317" i="7"/>
  <c r="L316" i="7"/>
  <c r="K315" i="7"/>
  <c r="M315" i="7"/>
  <c r="O314" i="7"/>
  <c r="N313" i="7"/>
  <c r="K312" i="7"/>
  <c r="O311" i="7"/>
  <c r="L311" i="7"/>
  <c r="K310" i="7"/>
  <c r="M309" i="7"/>
  <c r="L308" i="7"/>
  <c r="K307" i="7"/>
  <c r="M307" i="7"/>
  <c r="O306" i="7"/>
  <c r="N305" i="7"/>
  <c r="K304" i="7"/>
  <c r="O303" i="7"/>
  <c r="L303" i="7"/>
  <c r="K302" i="7"/>
  <c r="M301" i="7"/>
  <c r="L300" i="7"/>
  <c r="K299" i="7"/>
  <c r="M299" i="7"/>
  <c r="O298" i="7"/>
  <c r="N297" i="7"/>
  <c r="K296" i="7"/>
  <c r="O295" i="7"/>
  <c r="L295" i="7"/>
  <c r="O293" i="7"/>
  <c r="K502" i="7"/>
  <c r="M501" i="7"/>
  <c r="M500" i="7"/>
  <c r="M499" i="7"/>
  <c r="O498" i="7"/>
  <c r="O497" i="7"/>
  <c r="L496" i="7"/>
  <c r="O494" i="7"/>
  <c r="L493" i="7"/>
  <c r="L492" i="7"/>
  <c r="L491" i="7"/>
  <c r="N490" i="7"/>
  <c r="N489" i="7"/>
  <c r="L488" i="7"/>
  <c r="K487" i="7"/>
  <c r="K486" i="7"/>
  <c r="O485" i="7"/>
  <c r="L484" i="7"/>
  <c r="N483" i="7"/>
  <c r="N482" i="7"/>
  <c r="K481" i="7"/>
  <c r="O481" i="7"/>
  <c r="L480" i="7"/>
  <c r="N479" i="7"/>
  <c r="L478" i="7"/>
  <c r="M477" i="7"/>
  <c r="K476" i="7"/>
  <c r="O475" i="7"/>
  <c r="N474" i="7"/>
  <c r="N473" i="7"/>
  <c r="K472" i="7"/>
  <c r="M471" i="7"/>
  <c r="O470" i="7"/>
  <c r="L469" i="7"/>
  <c r="K469" i="7"/>
  <c r="N468" i="7"/>
  <c r="M467" i="7"/>
  <c r="M466" i="7"/>
  <c r="N465" i="7"/>
  <c r="M464" i="7"/>
  <c r="K463" i="7"/>
  <c r="N463" i="7"/>
  <c r="K462" i="7"/>
  <c r="O461" i="7"/>
  <c r="K460" i="7"/>
  <c r="M459" i="7"/>
  <c r="L458" i="7"/>
  <c r="O458" i="7"/>
  <c r="L457" i="7"/>
  <c r="M456" i="7"/>
  <c r="K455" i="7"/>
  <c r="K454" i="7"/>
  <c r="N454" i="7"/>
  <c r="M453" i="7"/>
  <c r="O452" i="7"/>
  <c r="N451" i="7"/>
  <c r="K450" i="7"/>
  <c r="N450" i="7"/>
  <c r="M449" i="7"/>
  <c r="O448" i="7"/>
  <c r="N447" i="7"/>
  <c r="K446" i="7"/>
  <c r="N446" i="7"/>
  <c r="M445" i="7"/>
  <c r="O444" i="7"/>
  <c r="N443" i="7"/>
  <c r="K442" i="7"/>
  <c r="N442" i="7"/>
  <c r="M441" i="7"/>
  <c r="O440" i="7"/>
  <c r="N439" i="7"/>
  <c r="K438" i="7"/>
  <c r="N438" i="7"/>
  <c r="M437" i="7"/>
  <c r="O436" i="7"/>
  <c r="N435" i="7"/>
  <c r="K434" i="7"/>
  <c r="N434" i="7"/>
  <c r="M433" i="7"/>
  <c r="O432" i="7"/>
  <c r="N431" i="7"/>
  <c r="K430" i="7"/>
  <c r="N430" i="7"/>
  <c r="M429" i="7"/>
  <c r="O428" i="7"/>
  <c r="N427" i="7"/>
  <c r="K426" i="7"/>
  <c r="N426" i="7"/>
  <c r="M425" i="7"/>
  <c r="O424" i="7"/>
  <c r="N423" i="7"/>
  <c r="K422" i="7"/>
  <c r="N422" i="7"/>
  <c r="M421" i="7"/>
  <c r="O420" i="7"/>
  <c r="N419" i="7"/>
  <c r="K418" i="7"/>
  <c r="N418" i="7"/>
  <c r="M417" i="7"/>
  <c r="O416" i="7"/>
  <c r="N415" i="7"/>
  <c r="K414" i="7"/>
  <c r="N414" i="7"/>
  <c r="M413" i="7"/>
  <c r="O412" i="7"/>
  <c r="N411" i="7"/>
  <c r="L410" i="7"/>
  <c r="O410" i="7"/>
  <c r="O409" i="7"/>
  <c r="O408" i="7"/>
  <c r="O407" i="7"/>
  <c r="L406" i="7"/>
  <c r="K406" i="7"/>
  <c r="O405" i="7"/>
  <c r="O404" i="7"/>
  <c r="O403" i="7"/>
  <c r="L402" i="7"/>
  <c r="O402" i="7"/>
  <c r="O401" i="7"/>
  <c r="O400" i="7"/>
  <c r="O399" i="7"/>
  <c r="L398" i="7"/>
  <c r="O398" i="7"/>
  <c r="O397" i="7"/>
  <c r="O396" i="7"/>
  <c r="O395" i="7"/>
  <c r="L394" i="7"/>
  <c r="O394" i="7"/>
  <c r="O393" i="7"/>
  <c r="O392" i="7"/>
  <c r="O391" i="7"/>
  <c r="L390" i="7"/>
  <c r="K390" i="7"/>
  <c r="O389" i="7"/>
  <c r="O388" i="7"/>
  <c r="O387" i="7"/>
  <c r="L386" i="7"/>
  <c r="O386" i="7"/>
  <c r="O385" i="7"/>
  <c r="O384" i="7"/>
  <c r="O383" i="7"/>
  <c r="L382" i="7"/>
  <c r="O382" i="7"/>
  <c r="O381" i="7"/>
  <c r="O380" i="7"/>
  <c r="O379" i="7"/>
  <c r="L378" i="7"/>
  <c r="O378" i="7"/>
  <c r="O377" i="7"/>
  <c r="O376" i="7"/>
  <c r="O375" i="7"/>
  <c r="L374" i="7"/>
  <c r="K374" i="7"/>
  <c r="O373" i="7"/>
  <c r="O372" i="7"/>
  <c r="O371" i="7"/>
  <c r="L370" i="7"/>
  <c r="O370" i="7"/>
  <c r="O369" i="7"/>
  <c r="O368" i="7"/>
  <c r="O367" i="7"/>
  <c r="L366" i="7"/>
  <c r="O366" i="7"/>
  <c r="O365" i="7"/>
  <c r="O364" i="7"/>
  <c r="O363" i="7"/>
  <c r="L362" i="7"/>
  <c r="O362" i="7"/>
  <c r="O361" i="7"/>
  <c r="O360" i="7"/>
  <c r="O359" i="7"/>
  <c r="L358" i="7"/>
  <c r="K358" i="7"/>
  <c r="O357" i="7"/>
  <c r="O356" i="7"/>
  <c r="O355" i="7"/>
  <c r="K354" i="7"/>
  <c r="L354" i="7"/>
  <c r="M353" i="7"/>
  <c r="O352" i="7"/>
  <c r="N351" i="7"/>
  <c r="K350" i="7"/>
  <c r="N350" i="7"/>
  <c r="K349" i="7"/>
  <c r="O348" i="7"/>
  <c r="N347" i="7"/>
  <c r="K346" i="7"/>
  <c r="L346" i="7"/>
  <c r="M345" i="7"/>
  <c r="O344" i="7"/>
  <c r="N343" i="7"/>
  <c r="K342" i="7"/>
  <c r="N342" i="7"/>
  <c r="K341" i="7"/>
  <c r="O340" i="7"/>
  <c r="N339" i="7"/>
  <c r="K338" i="7"/>
  <c r="M338" i="7"/>
  <c r="L337" i="7"/>
  <c r="N336" i="7"/>
  <c r="M335" i="7"/>
  <c r="L334" i="7"/>
  <c r="N334" i="7"/>
  <c r="N333" i="7"/>
  <c r="O332" i="7"/>
  <c r="N331" i="7"/>
  <c r="K330" i="7"/>
  <c r="M330" i="7"/>
  <c r="L329" i="7"/>
  <c r="N328" i="7"/>
  <c r="M327" i="7"/>
  <c r="L326" i="7"/>
  <c r="N326" i="7"/>
  <c r="K325" i="7"/>
  <c r="O324" i="7"/>
  <c r="N323" i="7"/>
  <c r="K322" i="7"/>
  <c r="M322" i="7"/>
  <c r="L321" i="7"/>
  <c r="N320" i="7"/>
  <c r="M319" i="7"/>
  <c r="L318" i="7"/>
  <c r="N318" i="7"/>
  <c r="K317" i="7"/>
  <c r="O316" i="7"/>
  <c r="N315" i="7"/>
  <c r="K314" i="7"/>
  <c r="M314" i="7"/>
  <c r="L313" i="7"/>
  <c r="N312" i="7"/>
  <c r="M311" i="7"/>
  <c r="L310" i="7"/>
  <c r="N310" i="7"/>
  <c r="K309" i="7"/>
  <c r="O308" i="7"/>
  <c r="N307" i="7"/>
  <c r="K306" i="7"/>
  <c r="M306" i="7"/>
  <c r="L305" i="7"/>
  <c r="N304" i="7"/>
  <c r="M303" i="7"/>
  <c r="L302" i="7"/>
  <c r="N302" i="7"/>
  <c r="N301" i="7"/>
  <c r="O300" i="7"/>
  <c r="N299" i="7"/>
  <c r="K298" i="7"/>
  <c r="M298" i="7"/>
  <c r="L297" i="7"/>
  <c r="N296" i="7"/>
  <c r="M295" i="7"/>
  <c r="L294" i="7"/>
  <c r="M293" i="7"/>
  <c r="N292" i="7"/>
  <c r="K292" i="7"/>
  <c r="O291" i="7"/>
  <c r="L290" i="7"/>
  <c r="K289" i="7"/>
  <c r="M288" i="7"/>
  <c r="L288" i="7"/>
  <c r="N287" i="7"/>
  <c r="M286" i="7"/>
  <c r="O285" i="7"/>
  <c r="N284" i="7"/>
  <c r="K284" i="7"/>
  <c r="O283" i="7"/>
  <c r="L282" i="7"/>
  <c r="K281" i="7"/>
  <c r="M280" i="7"/>
  <c r="O280" i="7"/>
  <c r="N279" i="7"/>
  <c r="M278" i="7"/>
  <c r="O277" i="7"/>
  <c r="N276" i="7"/>
  <c r="K276" i="7"/>
  <c r="O275" i="7"/>
  <c r="L274" i="7"/>
  <c r="K273" i="7"/>
  <c r="M272" i="7"/>
  <c r="O272" i="7"/>
  <c r="N271" i="7"/>
  <c r="M270" i="7"/>
  <c r="O269" i="7"/>
  <c r="N268" i="7"/>
  <c r="K268" i="7"/>
  <c r="O267" i="7"/>
  <c r="L266" i="7"/>
  <c r="K265" i="7"/>
  <c r="M264" i="7"/>
  <c r="O264" i="7"/>
  <c r="N263" i="7"/>
  <c r="M262" i="7"/>
  <c r="O261" i="7"/>
  <c r="N260" i="7"/>
  <c r="K260" i="7"/>
  <c r="O259" i="7"/>
  <c r="L258" i="7"/>
  <c r="K257" i="7"/>
  <c r="M256" i="7"/>
  <c r="L256" i="7"/>
  <c r="N255" i="7"/>
  <c r="M254" i="7"/>
  <c r="O253" i="7"/>
  <c r="N252" i="7"/>
  <c r="K252" i="7"/>
  <c r="O251" i="7"/>
  <c r="N250" i="7"/>
  <c r="N249" i="7"/>
  <c r="K248" i="7"/>
  <c r="N248" i="7"/>
  <c r="K247" i="7"/>
  <c r="M246" i="7"/>
  <c r="M245" i="7"/>
  <c r="L244" i="7"/>
  <c r="O244" i="7"/>
  <c r="L243" i="7"/>
  <c r="K242" i="7"/>
  <c r="M241" i="7"/>
  <c r="L240" i="7"/>
  <c r="O240" i="7"/>
  <c r="L239" i="7"/>
  <c r="K238" i="7"/>
  <c r="M237" i="7"/>
  <c r="L236" i="7"/>
  <c r="O236" i="7"/>
  <c r="L235" i="7"/>
  <c r="K234" i="7"/>
  <c r="M233" i="7"/>
  <c r="L232" i="7"/>
  <c r="O232" i="7"/>
  <c r="L231" i="7"/>
  <c r="K230" i="7"/>
  <c r="M229" i="7"/>
  <c r="L228" i="7"/>
  <c r="O228" i="7"/>
  <c r="L227" i="7"/>
  <c r="K226" i="7"/>
  <c r="M225" i="7"/>
  <c r="L224" i="7"/>
  <c r="O224" i="7"/>
  <c r="N223" i="7"/>
  <c r="K222" i="7"/>
  <c r="K221" i="7"/>
  <c r="K220" i="7"/>
  <c r="N220" i="7"/>
  <c r="K219" i="7"/>
  <c r="K218" i="7"/>
  <c r="K217" i="7"/>
  <c r="K216" i="7"/>
  <c r="N216" i="7"/>
  <c r="K215" i="7"/>
  <c r="K214" i="7"/>
  <c r="K213" i="7"/>
  <c r="K212" i="7"/>
  <c r="N212" i="7"/>
  <c r="O211" i="7"/>
  <c r="K210" i="7"/>
  <c r="K209" i="7"/>
  <c r="K208" i="7"/>
  <c r="N208" i="7"/>
  <c r="K207" i="7"/>
  <c r="K206" i="7"/>
  <c r="K205" i="7"/>
  <c r="K204" i="7"/>
  <c r="N204" i="7"/>
  <c r="K203" i="7"/>
  <c r="K202" i="7"/>
  <c r="K201" i="7"/>
  <c r="K200" i="7"/>
  <c r="N200" i="7"/>
  <c r="K199" i="7"/>
  <c r="K198" i="7"/>
  <c r="K197" i="7"/>
  <c r="K196" i="7"/>
  <c r="N196" i="7"/>
  <c r="O195" i="7"/>
  <c r="K194" i="7"/>
  <c r="K193" i="7"/>
  <c r="K192" i="7"/>
  <c r="N192" i="7"/>
  <c r="K191" i="7"/>
  <c r="K190" i="7"/>
  <c r="K189" i="7"/>
  <c r="K188" i="7"/>
  <c r="N188" i="7"/>
  <c r="K187" i="7"/>
  <c r="N186" i="7"/>
  <c r="N185" i="7"/>
  <c r="K184" i="7"/>
  <c r="N184" i="7"/>
  <c r="O183" i="7"/>
  <c r="O182" i="7"/>
  <c r="N181" i="7"/>
  <c r="K180" i="7"/>
  <c r="N180" i="7"/>
  <c r="M179" i="7"/>
  <c r="O178" i="7"/>
  <c r="N177" i="7"/>
  <c r="K176" i="7"/>
  <c r="N176" i="7"/>
  <c r="O175" i="7"/>
  <c r="K174" i="7"/>
  <c r="K173" i="7"/>
  <c r="K172" i="7"/>
  <c r="N172" i="7"/>
  <c r="K171" i="7"/>
  <c r="K170" i="7"/>
  <c r="K169" i="7"/>
  <c r="K168" i="7"/>
  <c r="N168" i="7"/>
  <c r="K167" i="7"/>
  <c r="K166" i="7"/>
  <c r="K165" i="7"/>
  <c r="K164" i="7"/>
  <c r="N164" i="7"/>
  <c r="K163" i="7"/>
  <c r="K162" i="7"/>
  <c r="K161" i="7"/>
  <c r="K160" i="7"/>
  <c r="N160" i="7"/>
  <c r="O159" i="7"/>
  <c r="K158" i="7"/>
  <c r="K157" i="7"/>
  <c r="K156" i="7"/>
  <c r="N156" i="7"/>
  <c r="K155" i="7"/>
  <c r="K154" i="7"/>
  <c r="K153" i="7"/>
  <c r="K152" i="7"/>
  <c r="N152" i="7"/>
  <c r="K151" i="7"/>
  <c r="K150" i="7"/>
  <c r="K149" i="7"/>
  <c r="K148" i="7"/>
  <c r="N148" i="7"/>
  <c r="K147" i="7"/>
  <c r="K146" i="7"/>
  <c r="K145" i="7"/>
  <c r="K144" i="7"/>
  <c r="N144" i="7"/>
  <c r="O143" i="7"/>
  <c r="K142" i="7"/>
  <c r="K141" i="7"/>
  <c r="K140" i="7"/>
  <c r="N140" i="7"/>
  <c r="K139" i="7"/>
  <c r="K138" i="7"/>
  <c r="K137" i="7"/>
  <c r="K136" i="7"/>
  <c r="N136" i="7"/>
  <c r="K135" i="7"/>
  <c r="K134" i="7"/>
  <c r="K133" i="7"/>
  <c r="L132" i="7"/>
  <c r="N132" i="7"/>
  <c r="N131" i="7"/>
  <c r="K130" i="7"/>
  <c r="M129" i="7"/>
  <c r="L128" i="7"/>
  <c r="K128" i="7"/>
  <c r="L127" i="7"/>
  <c r="O126" i="7"/>
  <c r="M125" i="7"/>
  <c r="L124" i="7"/>
  <c r="O124" i="7"/>
  <c r="M123" i="7"/>
  <c r="L122" i="7"/>
  <c r="N121" i="7"/>
  <c r="M120" i="7"/>
  <c r="O120" i="7"/>
  <c r="L119" i="7"/>
  <c r="K118" i="7"/>
  <c r="O117" i="7"/>
  <c r="L116" i="7"/>
  <c r="N116" i="7"/>
  <c r="M115" i="7"/>
  <c r="L114" i="7"/>
  <c r="N113" i="7"/>
  <c r="M112" i="7"/>
  <c r="O112" i="7"/>
  <c r="L111" i="7"/>
  <c r="K110" i="7"/>
  <c r="K109" i="7"/>
  <c r="K108" i="7"/>
  <c r="N108" i="7"/>
  <c r="M107" i="7"/>
  <c r="L106" i="7"/>
  <c r="N105" i="7"/>
  <c r="M104" i="7"/>
  <c r="O104" i="7"/>
  <c r="O103" i="7"/>
  <c r="K102" i="7"/>
  <c r="O101" i="7"/>
  <c r="L100" i="7"/>
  <c r="N100" i="7"/>
  <c r="M99" i="7"/>
  <c r="L98" i="7"/>
  <c r="N97" i="7"/>
  <c r="M96" i="7"/>
  <c r="O96" i="7"/>
  <c r="L95" i="7"/>
  <c r="K94" i="7"/>
  <c r="O93" i="7"/>
  <c r="L92" i="7"/>
  <c r="N92" i="7"/>
  <c r="M91" i="7"/>
  <c r="L292" i="7"/>
  <c r="K291" i="7"/>
  <c r="M291" i="7"/>
  <c r="O290" i="7"/>
  <c r="N289" i="7"/>
  <c r="K288" i="7"/>
  <c r="O287" i="7"/>
  <c r="L287" i="7"/>
  <c r="K286" i="7"/>
  <c r="M285" i="7"/>
  <c r="L284" i="7"/>
  <c r="K283" i="7"/>
  <c r="M283" i="7"/>
  <c r="O282" i="7"/>
  <c r="N281" i="7"/>
  <c r="K280" i="7"/>
  <c r="O279" i="7"/>
  <c r="L279" i="7"/>
  <c r="K278" i="7"/>
  <c r="M277" i="7"/>
  <c r="L276" i="7"/>
  <c r="K275" i="7"/>
  <c r="M275" i="7"/>
  <c r="O274" i="7"/>
  <c r="N273" i="7"/>
  <c r="K272" i="7"/>
  <c r="O271" i="7"/>
  <c r="L271" i="7"/>
  <c r="K270" i="7"/>
  <c r="M269" i="7"/>
  <c r="L268" i="7"/>
  <c r="K267" i="7"/>
  <c r="M267" i="7"/>
  <c r="O266" i="7"/>
  <c r="N265" i="7"/>
  <c r="K264" i="7"/>
  <c r="O263" i="7"/>
  <c r="L263" i="7"/>
  <c r="K262" i="7"/>
  <c r="M261" i="7"/>
  <c r="L260" i="7"/>
  <c r="K259" i="7"/>
  <c r="M259" i="7"/>
  <c r="O258" i="7"/>
  <c r="N257" i="7"/>
  <c r="K256" i="7"/>
  <c r="O255" i="7"/>
  <c r="L255" i="7"/>
  <c r="K254" i="7"/>
  <c r="M253" i="7"/>
  <c r="L252" i="7"/>
  <c r="K251" i="7"/>
  <c r="M251" i="7"/>
  <c r="O250" i="7"/>
  <c r="K249" i="7"/>
  <c r="M248" i="7"/>
  <c r="L247" i="7"/>
  <c r="O247" i="7"/>
  <c r="O246" i="7"/>
  <c r="O245" i="7"/>
  <c r="N244" i="7"/>
  <c r="K243" i="7"/>
  <c r="N243" i="7"/>
  <c r="M242" i="7"/>
  <c r="O241" i="7"/>
  <c r="N240" i="7"/>
  <c r="K239" i="7"/>
  <c r="N239" i="7"/>
  <c r="M238" i="7"/>
  <c r="O237" i="7"/>
  <c r="N236" i="7"/>
  <c r="K235" i="7"/>
  <c r="N235" i="7"/>
  <c r="M234" i="7"/>
  <c r="O233" i="7"/>
  <c r="N232" i="7"/>
  <c r="K231" i="7"/>
  <c r="N231" i="7"/>
  <c r="M230" i="7"/>
  <c r="O229" i="7"/>
  <c r="N228" i="7"/>
  <c r="K227" i="7"/>
  <c r="N227" i="7"/>
  <c r="M226" i="7"/>
  <c r="O225" i="7"/>
  <c r="N224" i="7"/>
  <c r="L223" i="7"/>
  <c r="K223" i="7"/>
  <c r="O222" i="7"/>
  <c r="O221" i="7"/>
  <c r="O220" i="7"/>
  <c r="L219" i="7"/>
  <c r="O219" i="7"/>
  <c r="O218" i="7"/>
  <c r="O217" i="7"/>
  <c r="O216" i="7"/>
  <c r="L215" i="7"/>
  <c r="O215" i="7"/>
  <c r="O214" i="7"/>
  <c r="O213" i="7"/>
  <c r="O212" i="7"/>
  <c r="L211" i="7"/>
  <c r="K211" i="7"/>
  <c r="O210" i="7"/>
  <c r="O209" i="7"/>
  <c r="O208" i="7"/>
  <c r="L207" i="7"/>
  <c r="O207" i="7"/>
  <c r="O206" i="7"/>
  <c r="O205" i="7"/>
  <c r="O204" i="7"/>
  <c r="L203" i="7"/>
  <c r="O203" i="7"/>
  <c r="O202" i="7"/>
  <c r="O201" i="7"/>
  <c r="O200" i="7"/>
  <c r="L199" i="7"/>
  <c r="O199" i="7"/>
  <c r="O198" i="7"/>
  <c r="O197" i="7"/>
  <c r="O196" i="7"/>
  <c r="L195" i="7"/>
  <c r="K195" i="7"/>
  <c r="O194" i="7"/>
  <c r="O193" i="7"/>
  <c r="O192" i="7"/>
  <c r="L191" i="7"/>
  <c r="O191" i="7"/>
  <c r="O190" i="7"/>
  <c r="O189" i="7"/>
  <c r="O188" i="7"/>
  <c r="L187" i="7"/>
  <c r="O187" i="7"/>
  <c r="O186" i="7"/>
  <c r="K185" i="7"/>
  <c r="M184" i="7"/>
  <c r="L183" i="7"/>
  <c r="K183" i="7"/>
  <c r="L182" i="7"/>
  <c r="O181" i="7"/>
  <c r="M180" i="7"/>
  <c r="L179" i="7"/>
  <c r="O179" i="7"/>
  <c r="N178" i="7"/>
  <c r="K177" i="7"/>
  <c r="M176" i="7"/>
  <c r="L175" i="7"/>
  <c r="K175" i="7"/>
  <c r="O174" i="7"/>
  <c r="O173" i="7"/>
  <c r="O172" i="7"/>
  <c r="L171" i="7"/>
  <c r="O171" i="7"/>
  <c r="O170" i="7"/>
  <c r="O169" i="7"/>
  <c r="O168" i="7"/>
  <c r="L167" i="7"/>
  <c r="O167" i="7"/>
  <c r="O166" i="7"/>
  <c r="O165" i="7"/>
  <c r="O164" i="7"/>
  <c r="L163" i="7"/>
  <c r="O163" i="7"/>
  <c r="O162" i="7"/>
  <c r="O161" i="7"/>
  <c r="O160" i="7"/>
  <c r="L159" i="7"/>
  <c r="K159" i="7"/>
  <c r="O158" i="7"/>
  <c r="O157" i="7"/>
  <c r="O156" i="7"/>
  <c r="L155" i="7"/>
  <c r="O155" i="7"/>
  <c r="O154" i="7"/>
  <c r="O153" i="7"/>
  <c r="O152" i="7"/>
  <c r="L151" i="7"/>
  <c r="O151" i="7"/>
  <c r="O150" i="7"/>
  <c r="O149" i="7"/>
  <c r="O148" i="7"/>
  <c r="L147" i="7"/>
  <c r="O147" i="7"/>
  <c r="O146" i="7"/>
  <c r="O145" i="7"/>
  <c r="O144" i="7"/>
  <c r="L143" i="7"/>
  <c r="K143" i="7"/>
  <c r="O142" i="7"/>
  <c r="O141" i="7"/>
  <c r="O140" i="7"/>
  <c r="L139" i="7"/>
  <c r="O139" i="7"/>
  <c r="O138" i="7"/>
  <c r="O137" i="7"/>
  <c r="O136" i="7"/>
  <c r="L135" i="7"/>
  <c r="O135" i="7"/>
  <c r="O134" i="7"/>
  <c r="O133" i="7"/>
  <c r="O132" i="7"/>
  <c r="K131" i="7"/>
  <c r="L131" i="7"/>
  <c r="M130" i="7"/>
  <c r="O129" i="7"/>
  <c r="N128" i="7"/>
  <c r="K127" i="7"/>
  <c r="N127" i="7"/>
  <c r="K126" i="7"/>
  <c r="O125" i="7"/>
  <c r="N124" i="7"/>
  <c r="N123" i="7"/>
  <c r="K123" i="7"/>
  <c r="O122" i="7"/>
  <c r="L121" i="7"/>
  <c r="K120" i="7"/>
  <c r="M119" i="7"/>
  <c r="O119" i="7"/>
  <c r="N118" i="7"/>
  <c r="M117" i="7"/>
  <c r="O116" i="7"/>
  <c r="N115" i="7"/>
  <c r="K115" i="7"/>
  <c r="O114" i="7"/>
  <c r="L113" i="7"/>
  <c r="K112" i="7"/>
  <c r="M111" i="7"/>
  <c r="O111" i="7"/>
  <c r="N110" i="7"/>
  <c r="O109" i="7"/>
  <c r="O108" i="7"/>
  <c r="N107" i="7"/>
  <c r="K107" i="7"/>
  <c r="O106" i="7"/>
  <c r="L105" i="7"/>
  <c r="K104" i="7"/>
  <c r="M103" i="7"/>
  <c r="L103" i="7"/>
  <c r="N102" i="7"/>
  <c r="M101" i="7"/>
  <c r="O100" i="7"/>
  <c r="N99" i="7"/>
  <c r="K99" i="7"/>
  <c r="O98" i="7"/>
  <c r="L97" i="7"/>
  <c r="K96" i="7"/>
  <c r="M95" i="7"/>
  <c r="O95" i="7"/>
  <c r="N94" i="7"/>
  <c r="M93" i="7"/>
  <c r="O92" i="7"/>
  <c r="N91" i="7"/>
  <c r="K90" i="7"/>
  <c r="N294" i="7"/>
  <c r="K293" i="7"/>
  <c r="O292" i="7"/>
  <c r="N291" i="7"/>
  <c r="K290" i="7"/>
  <c r="M290" i="7"/>
  <c r="L289" i="7"/>
  <c r="N288" i="7"/>
  <c r="M287" i="7"/>
  <c r="L286" i="7"/>
  <c r="N286" i="7"/>
  <c r="K285" i="7"/>
  <c r="O284" i="7"/>
  <c r="N283" i="7"/>
  <c r="K282" i="7"/>
  <c r="M282" i="7"/>
  <c r="L281" i="7"/>
  <c r="N280" i="7"/>
  <c r="M279" i="7"/>
  <c r="L278" i="7"/>
  <c r="N278" i="7"/>
  <c r="K277" i="7"/>
  <c r="O276" i="7"/>
  <c r="N275" i="7"/>
  <c r="K274" i="7"/>
  <c r="M274" i="7"/>
  <c r="L273" i="7"/>
  <c r="N272" i="7"/>
  <c r="M271" i="7"/>
  <c r="L270" i="7"/>
  <c r="N270" i="7"/>
  <c r="N269" i="7"/>
  <c r="O268" i="7"/>
  <c r="N267" i="7"/>
  <c r="K266" i="7"/>
  <c r="M266" i="7"/>
  <c r="L265" i="7"/>
  <c r="N264" i="7"/>
  <c r="M263" i="7"/>
  <c r="L262" i="7"/>
  <c r="N262" i="7"/>
  <c r="K261" i="7"/>
  <c r="O260" i="7"/>
  <c r="N259" i="7"/>
  <c r="K258" i="7"/>
  <c r="M258" i="7"/>
  <c r="L257" i="7"/>
  <c r="N256" i="7"/>
  <c r="M255" i="7"/>
  <c r="L254" i="7"/>
  <c r="N254" i="7"/>
  <c r="K253" i="7"/>
  <c r="O252" i="7"/>
  <c r="N251" i="7"/>
  <c r="K250" i="7"/>
  <c r="L250" i="7"/>
  <c r="O249" i="7"/>
  <c r="O248" i="7"/>
  <c r="N247" i="7"/>
  <c r="L246" i="7"/>
  <c r="N246" i="7"/>
  <c r="L245" i="7"/>
  <c r="K244" i="7"/>
  <c r="M243" i="7"/>
  <c r="L242" i="7"/>
  <c r="O242" i="7"/>
  <c r="L241" i="7"/>
  <c r="K240" i="7"/>
  <c r="M239" i="7"/>
  <c r="L238" i="7"/>
  <c r="O238" i="7"/>
  <c r="L237" i="7"/>
  <c r="K236" i="7"/>
  <c r="M235" i="7"/>
  <c r="L234" i="7"/>
  <c r="O234" i="7"/>
  <c r="L233" i="7"/>
  <c r="K232" i="7"/>
  <c r="M231" i="7"/>
  <c r="L230" i="7"/>
  <c r="O230" i="7"/>
  <c r="L229" i="7"/>
  <c r="K228" i="7"/>
  <c r="M227" i="7"/>
  <c r="L226" i="7"/>
  <c r="O226" i="7"/>
  <c r="L225" i="7"/>
  <c r="K224" i="7"/>
  <c r="O223" i="7"/>
  <c r="M222" i="7"/>
  <c r="L222" i="7"/>
  <c r="L221" i="7"/>
  <c r="L220" i="7"/>
  <c r="M219" i="7"/>
  <c r="M218" i="7"/>
  <c r="L218" i="7"/>
  <c r="L217" i="7"/>
  <c r="L216" i="7"/>
  <c r="M215" i="7"/>
  <c r="M214" i="7"/>
  <c r="L214" i="7"/>
  <c r="L213" i="7"/>
  <c r="L212" i="7"/>
  <c r="M211" i="7"/>
  <c r="M210" i="7"/>
  <c r="L210" i="7"/>
  <c r="L209" i="7"/>
  <c r="L208" i="7"/>
  <c r="M207" i="7"/>
  <c r="M206" i="7"/>
  <c r="L206" i="7"/>
  <c r="L205" i="7"/>
  <c r="L204" i="7"/>
  <c r="M203" i="7"/>
  <c r="M202" i="7"/>
  <c r="L202" i="7"/>
  <c r="L201" i="7"/>
  <c r="L200" i="7"/>
  <c r="M199" i="7"/>
  <c r="M198" i="7"/>
  <c r="L198" i="7"/>
  <c r="L197" i="7"/>
  <c r="L196" i="7"/>
  <c r="M195" i="7"/>
  <c r="M194" i="7"/>
  <c r="L194" i="7"/>
  <c r="L193" i="7"/>
  <c r="L192" i="7"/>
  <c r="M191" i="7"/>
  <c r="M190" i="7"/>
  <c r="L190" i="7"/>
  <c r="L189" i="7"/>
  <c r="L188" i="7"/>
  <c r="M187" i="7"/>
  <c r="K186" i="7"/>
  <c r="L186" i="7"/>
  <c r="M185" i="7"/>
  <c r="O184" i="7"/>
  <c r="N183" i="7"/>
  <c r="K182" i="7"/>
  <c r="N182" i="7"/>
  <c r="K181" i="7"/>
  <c r="O180" i="7"/>
  <c r="N179" i="7"/>
  <c r="K178" i="7"/>
  <c r="L178" i="7"/>
  <c r="M177" i="7"/>
  <c r="O176" i="7"/>
  <c r="N175" i="7"/>
  <c r="M174" i="7"/>
  <c r="L174" i="7"/>
  <c r="L173" i="7"/>
  <c r="L172" i="7"/>
  <c r="M171" i="7"/>
  <c r="M170" i="7"/>
  <c r="L170" i="7"/>
  <c r="L169" i="7"/>
  <c r="L168" i="7"/>
  <c r="M167" i="7"/>
  <c r="M166" i="7"/>
  <c r="L166" i="7"/>
  <c r="L165" i="7"/>
  <c r="L164" i="7"/>
  <c r="M163" i="7"/>
  <c r="M162" i="7"/>
  <c r="L162" i="7"/>
  <c r="L161" i="7"/>
  <c r="L160" i="7"/>
  <c r="M159" i="7"/>
  <c r="M158" i="7"/>
  <c r="L158" i="7"/>
  <c r="L157" i="7"/>
  <c r="L156" i="7"/>
  <c r="M155" i="7"/>
  <c r="M154" i="7"/>
  <c r="L154" i="7"/>
  <c r="L153" i="7"/>
  <c r="L152" i="7"/>
  <c r="M151" i="7"/>
  <c r="M150" i="7"/>
  <c r="L150" i="7"/>
  <c r="L149" i="7"/>
  <c r="L148" i="7"/>
  <c r="M147" i="7"/>
  <c r="M146" i="7"/>
  <c r="L146" i="7"/>
  <c r="L145" i="7"/>
  <c r="L144" i="7"/>
  <c r="M143" i="7"/>
  <c r="M142" i="7"/>
  <c r="L142" i="7"/>
  <c r="L141" i="7"/>
  <c r="L140" i="7"/>
  <c r="M139" i="7"/>
  <c r="M138" i="7"/>
  <c r="L138" i="7"/>
  <c r="L137" i="7"/>
  <c r="L136" i="7"/>
  <c r="M135" i="7"/>
  <c r="M134" i="7"/>
  <c r="L134" i="7"/>
  <c r="L133" i="7"/>
  <c r="K132" i="7"/>
  <c r="M131" i="7"/>
  <c r="L130" i="7"/>
  <c r="O130" i="7"/>
  <c r="L129" i="7"/>
  <c r="M128" i="7"/>
  <c r="M127" i="7"/>
  <c r="L126" i="7"/>
  <c r="M126" i="7"/>
  <c r="L125" i="7"/>
  <c r="K124" i="7"/>
  <c r="L123" i="7"/>
  <c r="K122" i="7"/>
  <c r="M122" i="7"/>
  <c r="O121" i="7"/>
  <c r="N120" i="7"/>
  <c r="K119" i="7"/>
  <c r="O118" i="7"/>
  <c r="L118" i="7"/>
  <c r="K117" i="7"/>
  <c r="M116" i="7"/>
  <c r="L115" i="7"/>
  <c r="K114" i="7"/>
  <c r="M114" i="7"/>
  <c r="O113" i="7"/>
  <c r="N112" i="7"/>
  <c r="K111" i="7"/>
  <c r="O110" i="7"/>
  <c r="L110" i="7"/>
  <c r="L109" i="7"/>
  <c r="L108" i="7"/>
  <c r="L107" i="7"/>
  <c r="K106" i="7"/>
  <c r="M106" i="7"/>
  <c r="O105" i="7"/>
  <c r="N104" i="7"/>
  <c r="K103" i="7"/>
  <c r="O102" i="7"/>
  <c r="L102" i="7"/>
  <c r="K101" i="7"/>
  <c r="M100" i="7"/>
  <c r="L99" i="7"/>
  <c r="K98" i="7"/>
  <c r="M98" i="7"/>
  <c r="O97" i="7"/>
  <c r="N96" i="7"/>
  <c r="K95" i="7"/>
  <c r="O94" i="7"/>
  <c r="L94" i="7"/>
  <c r="K93" i="7"/>
  <c r="M92" i="7"/>
  <c r="L91" i="7"/>
  <c r="N90" i="7"/>
  <c r="O294" i="7"/>
  <c r="L293" i="7"/>
  <c r="N293" i="7"/>
  <c r="M292" i="7"/>
  <c r="L291" i="7"/>
  <c r="N290" i="7"/>
  <c r="M289" i="7"/>
  <c r="O289" i="7"/>
  <c r="O288" i="7"/>
  <c r="K287" i="7"/>
  <c r="O286" i="7"/>
  <c r="L285" i="7"/>
  <c r="N285" i="7"/>
  <c r="M284" i="7"/>
  <c r="L283" i="7"/>
  <c r="N282" i="7"/>
  <c r="M281" i="7"/>
  <c r="O281" i="7"/>
  <c r="L280" i="7"/>
  <c r="K279" i="7"/>
  <c r="O278" i="7"/>
  <c r="L277" i="7"/>
  <c r="N277" i="7"/>
  <c r="M276" i="7"/>
  <c r="L275" i="7"/>
  <c r="N274" i="7"/>
  <c r="M273" i="7"/>
  <c r="O273" i="7"/>
  <c r="L272" i="7"/>
  <c r="K271" i="7"/>
  <c r="O270" i="7"/>
  <c r="L269" i="7"/>
  <c r="K269" i="7"/>
  <c r="M268" i="7"/>
  <c r="L267" i="7"/>
  <c r="N266" i="7"/>
  <c r="M265" i="7"/>
  <c r="O265" i="7"/>
  <c r="L264" i="7"/>
  <c r="K263" i="7"/>
  <c r="O262" i="7"/>
  <c r="L261" i="7"/>
  <c r="N261" i="7"/>
  <c r="M260" i="7"/>
  <c r="L259" i="7"/>
  <c r="N258" i="7"/>
  <c r="M257" i="7"/>
  <c r="O257" i="7"/>
  <c r="O256" i="7"/>
  <c r="K255" i="7"/>
  <c r="O254" i="7"/>
  <c r="L253" i="7"/>
  <c r="N253" i="7"/>
  <c r="M252" i="7"/>
  <c r="L251" i="7"/>
  <c r="M250" i="7"/>
  <c r="L249" i="7"/>
  <c r="M249" i="7"/>
  <c r="L248" i="7"/>
  <c r="M247" i="7"/>
  <c r="K246" i="7"/>
  <c r="K245" i="7"/>
  <c r="N245" i="7"/>
  <c r="M244" i="7"/>
  <c r="O243" i="7"/>
  <c r="N242" i="7"/>
  <c r="K241" i="7"/>
  <c r="N241" i="7"/>
  <c r="M240" i="7"/>
  <c r="O239" i="7"/>
  <c r="N238" i="7"/>
  <c r="K237" i="7"/>
  <c r="N237" i="7"/>
  <c r="M236" i="7"/>
  <c r="O235" i="7"/>
  <c r="N234" i="7"/>
  <c r="K233" i="7"/>
  <c r="N233" i="7"/>
  <c r="M232" i="7"/>
  <c r="O231" i="7"/>
  <c r="N230" i="7"/>
  <c r="K229" i="7"/>
  <c r="N229" i="7"/>
  <c r="M228" i="7"/>
  <c r="O227" i="7"/>
  <c r="N226" i="7"/>
  <c r="K225" i="7"/>
  <c r="N225" i="7"/>
  <c r="M224" i="7"/>
  <c r="M223" i="7"/>
  <c r="N222" i="7"/>
  <c r="N221" i="7"/>
  <c r="M221" i="7"/>
  <c r="M220" i="7"/>
  <c r="N219" i="7"/>
  <c r="N218" i="7"/>
  <c r="N217" i="7"/>
  <c r="M217" i="7"/>
  <c r="M216" i="7"/>
  <c r="N215" i="7"/>
  <c r="N214" i="7"/>
  <c r="N213" i="7"/>
  <c r="M213" i="7"/>
  <c r="M212" i="7"/>
  <c r="N211" i="7"/>
  <c r="N210" i="7"/>
  <c r="N209" i="7"/>
  <c r="M209" i="7"/>
  <c r="M208" i="7"/>
  <c r="N207" i="7"/>
  <c r="N206" i="7"/>
  <c r="N205" i="7"/>
  <c r="M205" i="7"/>
  <c r="M204" i="7"/>
  <c r="N203" i="7"/>
  <c r="N202" i="7"/>
  <c r="N201" i="7"/>
  <c r="M201" i="7"/>
  <c r="M200" i="7"/>
  <c r="N199" i="7"/>
  <c r="N198" i="7"/>
  <c r="N197" i="7"/>
  <c r="M197" i="7"/>
  <c r="M196" i="7"/>
  <c r="N195" i="7"/>
  <c r="N194" i="7"/>
  <c r="N193" i="7"/>
  <c r="M193" i="7"/>
  <c r="M192" i="7"/>
  <c r="N191" i="7"/>
  <c r="N190" i="7"/>
  <c r="N189" i="7"/>
  <c r="M189" i="7"/>
  <c r="M188" i="7"/>
  <c r="N187" i="7"/>
  <c r="M186" i="7"/>
  <c r="L185" i="7"/>
  <c r="O185" i="7"/>
  <c r="L184" i="7"/>
  <c r="M183" i="7"/>
  <c r="M182" i="7"/>
  <c r="L181" i="7"/>
  <c r="M181" i="7"/>
  <c r="L180" i="7"/>
  <c r="K179" i="7"/>
  <c r="M178" i="7"/>
  <c r="L177" i="7"/>
  <c r="O177" i="7"/>
  <c r="L176" i="7"/>
  <c r="M175" i="7"/>
  <c r="N174" i="7"/>
  <c r="N173" i="7"/>
  <c r="M173" i="7"/>
  <c r="M172" i="7"/>
  <c r="N171" i="7"/>
  <c r="N170" i="7"/>
  <c r="N169" i="7"/>
  <c r="M169" i="7"/>
  <c r="M168" i="7"/>
  <c r="N167" i="7"/>
  <c r="N166" i="7"/>
  <c r="N165" i="7"/>
  <c r="M165" i="7"/>
  <c r="M164" i="7"/>
  <c r="N163" i="7"/>
  <c r="N162" i="7"/>
  <c r="N161" i="7"/>
  <c r="M161" i="7"/>
  <c r="M160" i="7"/>
  <c r="N159" i="7"/>
  <c r="N158" i="7"/>
  <c r="N157" i="7"/>
  <c r="M157" i="7"/>
  <c r="M156" i="7"/>
  <c r="N155" i="7"/>
  <c r="N154" i="7"/>
  <c r="N153" i="7"/>
  <c r="M153" i="7"/>
  <c r="M152" i="7"/>
  <c r="N151" i="7"/>
  <c r="N150" i="7"/>
  <c r="N149" i="7"/>
  <c r="M149" i="7"/>
  <c r="M148" i="7"/>
  <c r="N147" i="7"/>
  <c r="N146" i="7"/>
  <c r="N145" i="7"/>
  <c r="M145" i="7"/>
  <c r="M144" i="7"/>
  <c r="N143" i="7"/>
  <c r="N142" i="7"/>
  <c r="N141" i="7"/>
  <c r="M141" i="7"/>
  <c r="M140" i="7"/>
  <c r="N139" i="7"/>
  <c r="N138" i="7"/>
  <c r="N137" i="7"/>
  <c r="M137" i="7"/>
  <c r="M136" i="7"/>
  <c r="N135" i="7"/>
  <c r="N134" i="7"/>
  <c r="N133" i="7"/>
  <c r="M133" i="7"/>
  <c r="M132" i="7"/>
  <c r="O131" i="7"/>
  <c r="N130" i="7"/>
  <c r="K129" i="7"/>
  <c r="N129" i="7"/>
  <c r="O128" i="7"/>
  <c r="O127" i="7"/>
  <c r="N126" i="7"/>
  <c r="K125" i="7"/>
  <c r="N125" i="7"/>
  <c r="M124" i="7"/>
  <c r="O123" i="7"/>
  <c r="N122" i="7"/>
  <c r="K121" i="7"/>
  <c r="M121" i="7"/>
  <c r="L120" i="7"/>
  <c r="N119" i="7"/>
  <c r="M118" i="7"/>
  <c r="L117" i="7"/>
  <c r="N117" i="7"/>
  <c r="K116" i="7"/>
  <c r="O115" i="7"/>
  <c r="N114" i="7"/>
  <c r="K113" i="7"/>
  <c r="M113" i="7"/>
  <c r="L112" i="7"/>
  <c r="N111" i="7"/>
  <c r="M110" i="7"/>
  <c r="N109" i="7"/>
  <c r="M109" i="7"/>
  <c r="M108" i="7"/>
  <c r="O107" i="7"/>
  <c r="N106" i="7"/>
  <c r="K105" i="7"/>
  <c r="M105" i="7"/>
  <c r="L104" i="7"/>
  <c r="N103" i="7"/>
  <c r="M102" i="7"/>
  <c r="L101" i="7"/>
  <c r="N101" i="7"/>
  <c r="K100" i="7"/>
  <c r="O99" i="7"/>
  <c r="N98" i="7"/>
  <c r="K97" i="7"/>
  <c r="M97" i="7"/>
  <c r="L96" i="7"/>
  <c r="N95" i="7"/>
  <c r="M94" i="7"/>
  <c r="L93" i="7"/>
  <c r="N93" i="7"/>
  <c r="K92" i="7"/>
  <c r="O91" i="7"/>
  <c r="L90" i="7"/>
  <c r="N89" i="7"/>
  <c r="M88" i="7"/>
  <c r="O88" i="7"/>
  <c r="L87" i="7"/>
  <c r="K86" i="7"/>
  <c r="O85" i="7"/>
  <c r="L84" i="7"/>
  <c r="K84" i="7"/>
  <c r="M83" i="7"/>
  <c r="L82" i="7"/>
  <c r="N81" i="7"/>
  <c r="M80" i="7"/>
  <c r="O80" i="7"/>
  <c r="L79" i="7"/>
  <c r="K78" i="7"/>
  <c r="O77" i="7"/>
  <c r="L76" i="7"/>
  <c r="N76" i="7"/>
  <c r="M75" i="7"/>
  <c r="L74" i="7"/>
  <c r="N73" i="7"/>
  <c r="M72" i="7"/>
  <c r="O72" i="7"/>
  <c r="O71" i="7"/>
  <c r="K70" i="7"/>
  <c r="O69" i="7"/>
  <c r="L68" i="7"/>
  <c r="N68" i="7"/>
  <c r="M67" i="7"/>
  <c r="L66" i="7"/>
  <c r="N65" i="7"/>
  <c r="M64" i="7"/>
  <c r="O64" i="7"/>
  <c r="N63" i="7"/>
  <c r="O62" i="7"/>
  <c r="N61" i="7"/>
  <c r="K60" i="7"/>
  <c r="N60" i="7"/>
  <c r="M59" i="7"/>
  <c r="O58" i="7"/>
  <c r="N57" i="7"/>
  <c r="K56" i="7"/>
  <c r="N56" i="7"/>
  <c r="M55" i="7"/>
  <c r="O54" i="7"/>
  <c r="N53" i="7"/>
  <c r="K52" i="7"/>
  <c r="N52" i="7"/>
  <c r="O51" i="7"/>
  <c r="L50" i="7"/>
  <c r="N49" i="7"/>
  <c r="M48" i="7"/>
  <c r="O48" i="7"/>
  <c r="L47" i="7"/>
  <c r="K46" i="7"/>
  <c r="O45" i="7"/>
  <c r="L44" i="7"/>
  <c r="N44" i="7"/>
  <c r="M43" i="7"/>
  <c r="L42" i="7"/>
  <c r="O41" i="7"/>
  <c r="L40" i="7"/>
  <c r="O40" i="7"/>
  <c r="O39" i="7"/>
  <c r="O38" i="7"/>
  <c r="M37" i="7"/>
  <c r="M36" i="7"/>
  <c r="O36" i="7"/>
  <c r="N35" i="7"/>
  <c r="M34" i="7"/>
  <c r="O33" i="7"/>
  <c r="N32" i="7"/>
  <c r="K32" i="7"/>
  <c r="O31" i="7"/>
  <c r="L30" i="7"/>
  <c r="K29" i="7"/>
  <c r="M28" i="7"/>
  <c r="O28" i="7"/>
  <c r="N27" i="7"/>
  <c r="M26" i="7"/>
  <c r="O25" i="7"/>
  <c r="N24" i="7"/>
  <c r="K24" i="7"/>
  <c r="O23" i="7"/>
  <c r="L22" i="7"/>
  <c r="K21" i="7"/>
  <c r="M20" i="7"/>
  <c r="O20" i="7"/>
  <c r="N19" i="7"/>
  <c r="M18" i="7"/>
  <c r="O17" i="7"/>
  <c r="N16" i="7"/>
  <c r="K16" i="7"/>
  <c r="O15" i="7"/>
  <c r="L14" i="7"/>
  <c r="K13" i="7"/>
  <c r="H14" i="10" s="1"/>
  <c r="M12" i="7"/>
  <c r="J13" i="10" s="1"/>
  <c r="L12" i="7"/>
  <c r="I13" i="10" s="1"/>
  <c r="N11" i="7"/>
  <c r="M10" i="7"/>
  <c r="J11" i="10" s="1"/>
  <c r="O9" i="7"/>
  <c r="N8" i="7"/>
  <c r="K8" i="7"/>
  <c r="H9" i="10" s="1"/>
  <c r="O7" i="7"/>
  <c r="L6" i="7"/>
  <c r="I6" i="10" s="1"/>
  <c r="K5" i="7"/>
  <c r="H5" i="10" s="1"/>
  <c r="K4" i="7"/>
  <c r="H7" i="10" s="1"/>
  <c r="O4" i="7"/>
  <c r="L3" i="7"/>
  <c r="I4" i="10" s="1"/>
  <c r="L2" i="7"/>
  <c r="K2" i="7"/>
  <c r="J826" i="7"/>
  <c r="J818" i="7"/>
  <c r="J810" i="7"/>
  <c r="J802" i="7"/>
  <c r="J794" i="7"/>
  <c r="J786" i="7"/>
  <c r="J778" i="7"/>
  <c r="I770" i="7"/>
  <c r="I762" i="7"/>
  <c r="I754" i="7"/>
  <c r="I746" i="7"/>
  <c r="I738" i="7"/>
  <c r="I730" i="7"/>
  <c r="I722" i="7"/>
  <c r="I714" i="7"/>
  <c r="I706" i="7"/>
  <c r="I698" i="7"/>
  <c r="I690" i="7"/>
  <c r="I682" i="7"/>
  <c r="I674" i="7"/>
  <c r="I666" i="7"/>
  <c r="J658" i="7"/>
  <c r="J650" i="7"/>
  <c r="J642" i="7"/>
  <c r="J634" i="7"/>
  <c r="I626" i="7"/>
  <c r="I618" i="7"/>
  <c r="I610" i="7"/>
  <c r="I602" i="7"/>
  <c r="I594" i="7"/>
  <c r="I586" i="7"/>
  <c r="I578" i="7"/>
  <c r="I570" i="7"/>
  <c r="I562" i="7"/>
  <c r="I554" i="7"/>
  <c r="I546" i="7"/>
  <c r="I538" i="7"/>
  <c r="I530" i="7"/>
  <c r="I522" i="7"/>
  <c r="I514" i="7"/>
  <c r="I506" i="7"/>
  <c r="I498" i="7"/>
  <c r="I490" i="7"/>
  <c r="I482" i="7"/>
  <c r="I474" i="7"/>
  <c r="I466" i="7"/>
  <c r="I458" i="7"/>
  <c r="I450" i="7"/>
  <c r="I442" i="7"/>
  <c r="I434" i="7"/>
  <c r="I426" i="7"/>
  <c r="I418" i="7"/>
  <c r="J410" i="7"/>
  <c r="J402" i="7"/>
  <c r="J394" i="7"/>
  <c r="J386" i="7"/>
  <c r="J378" i="7"/>
  <c r="J370" i="7"/>
  <c r="J362" i="7"/>
  <c r="J354" i="7"/>
  <c r="J346" i="7"/>
  <c r="J338" i="7"/>
  <c r="J330" i="7"/>
  <c r="J322" i="7"/>
  <c r="J314" i="7"/>
  <c r="J306" i="7"/>
  <c r="J298" i="7"/>
  <c r="J290" i="7"/>
  <c r="J282" i="7"/>
  <c r="I274" i="7"/>
  <c r="J266" i="7"/>
  <c r="J258" i="7"/>
  <c r="J250" i="7"/>
  <c r="J242" i="7"/>
  <c r="J234" i="7"/>
  <c r="J226" i="7"/>
  <c r="J218" i="7"/>
  <c r="I210" i="7"/>
  <c r="I202" i="7"/>
  <c r="I194" i="7"/>
  <c r="I186" i="7"/>
  <c r="J178" i="7"/>
  <c r="J170" i="7"/>
  <c r="J162" i="7"/>
  <c r="J154" i="7"/>
  <c r="J146" i="7"/>
  <c r="J138" i="7"/>
  <c r="J130" i="7"/>
  <c r="J122" i="7"/>
  <c r="J114" i="7"/>
  <c r="J106" i="7"/>
  <c r="J98" i="7"/>
  <c r="J90" i="7"/>
  <c r="J82" i="7"/>
  <c r="I74" i="7"/>
  <c r="I66" i="7"/>
  <c r="J58" i="7"/>
  <c r="J50" i="7"/>
  <c r="I42" i="7"/>
  <c r="J34" i="7"/>
  <c r="J26" i="7"/>
  <c r="J18" i="7"/>
  <c r="J10" i="7"/>
  <c r="G11" i="10" s="1"/>
  <c r="J833" i="7"/>
  <c r="J825" i="7"/>
  <c r="J817" i="7"/>
  <c r="J809" i="7"/>
  <c r="J801" i="7"/>
  <c r="J793" i="7"/>
  <c r="J785" i="7"/>
  <c r="J777" i="7"/>
  <c r="I769" i="7"/>
  <c r="I761" i="7"/>
  <c r="I753" i="7"/>
  <c r="I745" i="7"/>
  <c r="I737" i="7"/>
  <c r="I729" i="7"/>
  <c r="I721" i="7"/>
  <c r="I713" i="7"/>
  <c r="I705" i="7"/>
  <c r="I697" i="7"/>
  <c r="I689" i="7"/>
  <c r="I681" i="7"/>
  <c r="I673" i="7"/>
  <c r="I665" i="7"/>
  <c r="J657" i="7"/>
  <c r="J649" i="7"/>
  <c r="J641" i="7"/>
  <c r="J633" i="7"/>
  <c r="J625" i="7"/>
  <c r="J617" i="7"/>
  <c r="J609" i="7"/>
  <c r="J601" i="7"/>
  <c r="J593" i="7"/>
  <c r="J585" i="7"/>
  <c r="J577" i="7"/>
  <c r="J569" i="7"/>
  <c r="J561" i="7"/>
  <c r="J553" i="7"/>
  <c r="I545" i="7"/>
  <c r="J537" i="7"/>
  <c r="J529" i="7"/>
  <c r="K91" i="7"/>
  <c r="O90" i="7"/>
  <c r="L89" i="7"/>
  <c r="K88" i="7"/>
  <c r="M87" i="7"/>
  <c r="O87" i="7"/>
  <c r="N86" i="7"/>
  <c r="M85" i="7"/>
  <c r="O84" i="7"/>
  <c r="N83" i="7"/>
  <c r="K83" i="7"/>
  <c r="O82" i="7"/>
  <c r="L81" i="7"/>
  <c r="K80" i="7"/>
  <c r="M79" i="7"/>
  <c r="O79" i="7"/>
  <c r="N78" i="7"/>
  <c r="M77" i="7"/>
  <c r="O76" i="7"/>
  <c r="N75" i="7"/>
  <c r="K75" i="7"/>
  <c r="O74" i="7"/>
  <c r="L73" i="7"/>
  <c r="K72" i="7"/>
  <c r="M71" i="7"/>
  <c r="L71" i="7"/>
  <c r="N70" i="7"/>
  <c r="M69" i="7"/>
  <c r="O68" i="7"/>
  <c r="N67" i="7"/>
  <c r="K67" i="7"/>
  <c r="O66" i="7"/>
  <c r="L65" i="7"/>
  <c r="K64" i="7"/>
  <c r="K63" i="7"/>
  <c r="O63" i="7"/>
  <c r="L62" i="7"/>
  <c r="K61" i="7"/>
  <c r="M60" i="7"/>
  <c r="L59" i="7"/>
  <c r="O59" i="7"/>
  <c r="L58" i="7"/>
  <c r="K57" i="7"/>
  <c r="M56" i="7"/>
  <c r="L55" i="7"/>
  <c r="O55" i="7"/>
  <c r="L54" i="7"/>
  <c r="K53" i="7"/>
  <c r="M52" i="7"/>
  <c r="N51" i="7"/>
  <c r="K51" i="7"/>
  <c r="O50" i="7"/>
  <c r="L49" i="7"/>
  <c r="K48" i="7"/>
  <c r="M47" i="7"/>
  <c r="O47" i="7"/>
  <c r="N46" i="7"/>
  <c r="M45" i="7"/>
  <c r="O44" i="7"/>
  <c r="N43" i="7"/>
  <c r="K43" i="7"/>
  <c r="O42" i="7"/>
  <c r="L41" i="7"/>
  <c r="M40" i="7"/>
  <c r="M39" i="7"/>
  <c r="L39" i="7"/>
  <c r="L38" i="7"/>
  <c r="O37" i="7"/>
  <c r="K36" i="7"/>
  <c r="O35" i="7"/>
  <c r="L35" i="7"/>
  <c r="K34" i="7"/>
  <c r="M33" i="7"/>
  <c r="L32" i="7"/>
  <c r="K31" i="7"/>
  <c r="M31" i="7"/>
  <c r="O30" i="7"/>
  <c r="N29" i="7"/>
  <c r="K28" i="7"/>
  <c r="O27" i="7"/>
  <c r="L27" i="7"/>
  <c r="K26" i="7"/>
  <c r="M25" i="7"/>
  <c r="L24" i="7"/>
  <c r="K23" i="7"/>
  <c r="M23" i="7"/>
  <c r="O22" i="7"/>
  <c r="N21" i="7"/>
  <c r="K20" i="7"/>
  <c r="O19" i="7"/>
  <c r="L19" i="7"/>
  <c r="K18" i="7"/>
  <c r="M17" i="7"/>
  <c r="L16" i="7"/>
  <c r="K15" i="7"/>
  <c r="M15" i="7"/>
  <c r="O14" i="7"/>
  <c r="N13" i="7"/>
  <c r="K12" i="7"/>
  <c r="H13" i="10" s="1"/>
  <c r="O11" i="7"/>
  <c r="L11" i="7"/>
  <c r="I12" i="10" s="1"/>
  <c r="K10" i="7"/>
  <c r="H11" i="10" s="1"/>
  <c r="M9" i="7"/>
  <c r="J10" i="10" s="1"/>
  <c r="L8" i="7"/>
  <c r="I9" i="10" s="1"/>
  <c r="K7" i="7"/>
  <c r="H8" i="10" s="1"/>
  <c r="M7" i="7"/>
  <c r="J8" i="10" s="1"/>
  <c r="O6" i="7"/>
  <c r="N5" i="7"/>
  <c r="M4" i="7"/>
  <c r="J7" i="10" s="1"/>
  <c r="K3" i="7"/>
  <c r="N3" i="7"/>
  <c r="N2" i="7"/>
  <c r="I830" i="7"/>
  <c r="I822" i="7"/>
  <c r="I814" i="7"/>
  <c r="I806" i="7"/>
  <c r="I798" i="7"/>
  <c r="I790" i="7"/>
  <c r="I782" i="7"/>
  <c r="I774" i="7"/>
  <c r="J766" i="7"/>
  <c r="J758" i="7"/>
  <c r="J750" i="7"/>
  <c r="J742" i="7"/>
  <c r="J734" i="7"/>
  <c r="J726" i="7"/>
  <c r="J718" i="7"/>
  <c r="J710" i="7"/>
  <c r="J702" i="7"/>
  <c r="J694" i="7"/>
  <c r="J686" i="7"/>
  <c r="J678" i="7"/>
  <c r="J670" i="7"/>
  <c r="I662" i="7"/>
  <c r="I654" i="7"/>
  <c r="I646" i="7"/>
  <c r="I638" i="7"/>
  <c r="J630" i="7"/>
  <c r="J622" i="7"/>
  <c r="J614" i="7"/>
  <c r="J606" i="7"/>
  <c r="J598" i="7"/>
  <c r="J590" i="7"/>
  <c r="J582" i="7"/>
  <c r="J574" i="7"/>
  <c r="J566" i="7"/>
  <c r="J558" i="7"/>
  <c r="J550" i="7"/>
  <c r="J542" i="7"/>
  <c r="J534" i="7"/>
  <c r="J526" i="7"/>
  <c r="J518" i="7"/>
  <c r="J510" i="7"/>
  <c r="J502" i="7"/>
  <c r="J494" i="7"/>
  <c r="J486" i="7"/>
  <c r="J478" i="7"/>
  <c r="J470" i="7"/>
  <c r="J462" i="7"/>
  <c r="J454" i="7"/>
  <c r="J446" i="7"/>
  <c r="I438" i="7"/>
  <c r="J430" i="7"/>
  <c r="J422" i="7"/>
  <c r="I414" i="7"/>
  <c r="I406" i="7"/>
  <c r="I398" i="7"/>
  <c r="I390" i="7"/>
  <c r="I382" i="7"/>
  <c r="I374" i="7"/>
  <c r="I366" i="7"/>
  <c r="I358" i="7"/>
  <c r="I350" i="7"/>
  <c r="I342" i="7"/>
  <c r="I334" i="7"/>
  <c r="I326" i="7"/>
  <c r="I318" i="7"/>
  <c r="I310" i="7"/>
  <c r="I302" i="7"/>
  <c r="I294" i="7"/>
  <c r="I286" i="7"/>
  <c r="J278" i="7"/>
  <c r="J270" i="7"/>
  <c r="I262" i="7"/>
  <c r="I254" i="7"/>
  <c r="I246" i="7"/>
  <c r="I238" i="7"/>
  <c r="I230" i="7"/>
  <c r="I222" i="7"/>
  <c r="J214" i="7"/>
  <c r="J206" i="7"/>
  <c r="J198" i="7"/>
  <c r="J190" i="7"/>
  <c r="J182" i="7"/>
  <c r="I174" i="7"/>
  <c r="I166" i="7"/>
  <c r="I158" i="7"/>
  <c r="I150" i="7"/>
  <c r="I142" i="7"/>
  <c r="I134" i="7"/>
  <c r="I126" i="7"/>
  <c r="I118" i="7"/>
  <c r="I110" i="7"/>
  <c r="I102" i="7"/>
  <c r="I94" i="7"/>
  <c r="I86" i="7"/>
  <c r="I78" i="7"/>
  <c r="I70" i="7"/>
  <c r="I62" i="7"/>
  <c r="I54" i="7"/>
  <c r="J46" i="7"/>
  <c r="I38" i="7"/>
  <c r="I30" i="7"/>
  <c r="I22" i="7"/>
  <c r="J14" i="7"/>
  <c r="I6" i="7"/>
  <c r="I829" i="7"/>
  <c r="I821" i="7"/>
  <c r="I813" i="7"/>
  <c r="I805" i="7"/>
  <c r="I797" i="7"/>
  <c r="I789" i="7"/>
  <c r="I781" i="7"/>
  <c r="I773" i="7"/>
  <c r="J765" i="7"/>
  <c r="J757" i="7"/>
  <c r="J749" i="7"/>
  <c r="J741" i="7"/>
  <c r="J733" i="7"/>
  <c r="J725" i="7"/>
  <c r="J717" i="7"/>
  <c r="J709" i="7"/>
  <c r="J701" i="7"/>
  <c r="J693" i="7"/>
  <c r="J685" i="7"/>
  <c r="J677" i="7"/>
  <c r="J669" i="7"/>
  <c r="I661" i="7"/>
  <c r="I653" i="7"/>
  <c r="I645" i="7"/>
  <c r="I637" i="7"/>
  <c r="I629" i="7"/>
  <c r="I621" i="7"/>
  <c r="I613" i="7"/>
  <c r="I605" i="7"/>
  <c r="I597" i="7"/>
  <c r="I589" i="7"/>
  <c r="I581" i="7"/>
  <c r="I573" i="7"/>
  <c r="I565" i="7"/>
  <c r="I557" i="7"/>
  <c r="J549" i="7"/>
  <c r="J541" i="7"/>
  <c r="I533" i="7"/>
  <c r="I525" i="7"/>
  <c r="M90" i="7"/>
  <c r="O89" i="7"/>
  <c r="N88" i="7"/>
  <c r="K87" i="7"/>
  <c r="O86" i="7"/>
  <c r="L86" i="7"/>
  <c r="K85" i="7"/>
  <c r="M84" i="7"/>
  <c r="L83" i="7"/>
  <c r="K82" i="7"/>
  <c r="M82" i="7"/>
  <c r="O81" i="7"/>
  <c r="N80" i="7"/>
  <c r="K79" i="7"/>
  <c r="O78" i="7"/>
  <c r="L78" i="7"/>
  <c r="K77" i="7"/>
  <c r="M76" i="7"/>
  <c r="L75" i="7"/>
  <c r="K74" i="7"/>
  <c r="M74" i="7"/>
  <c r="O73" i="7"/>
  <c r="N72" i="7"/>
  <c r="K71" i="7"/>
  <c r="O70" i="7"/>
  <c r="L70" i="7"/>
  <c r="K69" i="7"/>
  <c r="M68" i="7"/>
  <c r="L67" i="7"/>
  <c r="K66" i="7"/>
  <c r="M66" i="7"/>
  <c r="O65" i="7"/>
  <c r="N64" i="7"/>
  <c r="M63" i="7"/>
  <c r="K62" i="7"/>
  <c r="N62" i="7"/>
  <c r="M61" i="7"/>
  <c r="O60" i="7"/>
  <c r="N59" i="7"/>
  <c r="K58" i="7"/>
  <c r="N58" i="7"/>
  <c r="M57" i="7"/>
  <c r="O56" i="7"/>
  <c r="N55" i="7"/>
  <c r="K54" i="7"/>
  <c r="N54" i="7"/>
  <c r="M53" i="7"/>
  <c r="O52" i="7"/>
  <c r="L51" i="7"/>
  <c r="K50" i="7"/>
  <c r="M50" i="7"/>
  <c r="O49" i="7"/>
  <c r="N48" i="7"/>
  <c r="K47" i="7"/>
  <c r="O46" i="7"/>
  <c r="L46" i="7"/>
  <c r="K45" i="7"/>
  <c r="M44" i="7"/>
  <c r="L43" i="7"/>
  <c r="N42" i="7"/>
  <c r="M42" i="7"/>
  <c r="M41" i="7"/>
  <c r="N40" i="7"/>
  <c r="N39" i="7"/>
  <c r="N38" i="7"/>
  <c r="M38" i="7"/>
  <c r="L37" i="7"/>
  <c r="N36" i="7"/>
  <c r="M35" i="7"/>
  <c r="L34" i="7"/>
  <c r="N34" i="7"/>
  <c r="K33" i="7"/>
  <c r="O32" i="7"/>
  <c r="N31" i="7"/>
  <c r="K30" i="7"/>
  <c r="M30" i="7"/>
  <c r="L29" i="7"/>
  <c r="N28" i="7"/>
  <c r="M27" i="7"/>
  <c r="L26" i="7"/>
  <c r="N26" i="7"/>
  <c r="N25" i="7"/>
  <c r="O24" i="7"/>
  <c r="N23" i="7"/>
  <c r="K22" i="7"/>
  <c r="M22" i="7"/>
  <c r="L21" i="7"/>
  <c r="N20" i="7"/>
  <c r="M19" i="7"/>
  <c r="L18" i="7"/>
  <c r="N18" i="7"/>
  <c r="K17" i="7"/>
  <c r="O16" i="7"/>
  <c r="N15" i="7"/>
  <c r="K14" i="7"/>
  <c r="M14" i="7"/>
  <c r="L13" i="7"/>
  <c r="I14" i="10" s="1"/>
  <c r="N12" i="7"/>
  <c r="M11" i="7"/>
  <c r="J12" i="10" s="1"/>
  <c r="L10" i="7"/>
  <c r="I11" i="10" s="1"/>
  <c r="N10" i="7"/>
  <c r="K9" i="7"/>
  <c r="H10" i="10" s="1"/>
  <c r="O8" i="7"/>
  <c r="N7" i="7"/>
  <c r="K6" i="7"/>
  <c r="H6" i="10" s="1"/>
  <c r="M6" i="7"/>
  <c r="J6" i="10" s="1"/>
  <c r="L5" i="7"/>
  <c r="I5" i="10" s="1"/>
  <c r="N4" i="7"/>
  <c r="M3" i="7"/>
  <c r="J4" i="10" s="1"/>
  <c r="I2" i="7"/>
  <c r="M2" i="7"/>
  <c r="J830" i="7"/>
  <c r="J822" i="7"/>
  <c r="J814" i="7"/>
  <c r="J806" i="7"/>
  <c r="J798" i="7"/>
  <c r="J790" i="7"/>
  <c r="J782" i="7"/>
  <c r="J774" i="7"/>
  <c r="I766" i="7"/>
  <c r="I758" i="7"/>
  <c r="I750" i="7"/>
  <c r="I742" i="7"/>
  <c r="I734" i="7"/>
  <c r="I726" i="7"/>
  <c r="I718" i="7"/>
  <c r="I710" i="7"/>
  <c r="I702" i="7"/>
  <c r="I694" i="7"/>
  <c r="I686" i="7"/>
  <c r="I678" i="7"/>
  <c r="I670" i="7"/>
  <c r="J662" i="7"/>
  <c r="J654" i="7"/>
  <c r="J646" i="7"/>
  <c r="J638" i="7"/>
  <c r="I630" i="7"/>
  <c r="I622" i="7"/>
  <c r="I614" i="7"/>
  <c r="I606" i="7"/>
  <c r="I598" i="7"/>
  <c r="I590" i="7"/>
  <c r="I582" i="7"/>
  <c r="I574" i="7"/>
  <c r="I566" i="7"/>
  <c r="I558" i="7"/>
  <c r="I550" i="7"/>
  <c r="I542" i="7"/>
  <c r="I534" i="7"/>
  <c r="I526" i="7"/>
  <c r="I518" i="7"/>
  <c r="I510" i="7"/>
  <c r="I502" i="7"/>
  <c r="I494" i="7"/>
  <c r="I486" i="7"/>
  <c r="I478" i="7"/>
  <c r="Q478" i="7" s="1"/>
  <c r="I470" i="7"/>
  <c r="I462" i="7"/>
  <c r="Q462" i="7" s="1"/>
  <c r="I454" i="7"/>
  <c r="Q454" i="7" s="1"/>
  <c r="I446" i="7"/>
  <c r="Q446" i="7" s="1"/>
  <c r="J438" i="7"/>
  <c r="I430" i="7"/>
  <c r="Q430" i="7" s="1"/>
  <c r="I422" i="7"/>
  <c r="Q422" i="7" s="1"/>
  <c r="J414" i="7"/>
  <c r="J406" i="7"/>
  <c r="J398" i="7"/>
  <c r="J390" i="7"/>
  <c r="J382" i="7"/>
  <c r="J374" i="7"/>
  <c r="J366" i="7"/>
  <c r="J358" i="7"/>
  <c r="J350" i="7"/>
  <c r="J342" i="7"/>
  <c r="J334" i="7"/>
  <c r="J326" i="7"/>
  <c r="J318" i="7"/>
  <c r="J310" i="7"/>
  <c r="J302" i="7"/>
  <c r="J294" i="7"/>
  <c r="J286" i="7"/>
  <c r="I278" i="7"/>
  <c r="Q278" i="7" s="1"/>
  <c r="I270" i="7"/>
  <c r="Q270" i="7" s="1"/>
  <c r="J262" i="7"/>
  <c r="J254" i="7"/>
  <c r="J246" i="7"/>
  <c r="J238" i="7"/>
  <c r="J230" i="7"/>
  <c r="J222" i="7"/>
  <c r="I214" i="7"/>
  <c r="Q214" i="7" s="1"/>
  <c r="I206" i="7"/>
  <c r="Q206" i="7" s="1"/>
  <c r="I198" i="7"/>
  <c r="Q198" i="7" s="1"/>
  <c r="I190" i="7"/>
  <c r="Q190" i="7" s="1"/>
  <c r="I182" i="7"/>
  <c r="Q182" i="7" s="1"/>
  <c r="J174" i="7"/>
  <c r="J166" i="7"/>
  <c r="J158" i="7"/>
  <c r="J150" i="7"/>
  <c r="J142" i="7"/>
  <c r="J134" i="7"/>
  <c r="J126" i="7"/>
  <c r="J118" i="7"/>
  <c r="J110" i="7"/>
  <c r="J102" i="7"/>
  <c r="J94" i="7"/>
  <c r="J86" i="7"/>
  <c r="J78" i="7"/>
  <c r="J70" i="7"/>
  <c r="J62" i="7"/>
  <c r="J54" i="7"/>
  <c r="I46" i="7"/>
  <c r="J38" i="7"/>
  <c r="J30" i="7"/>
  <c r="J22" i="7"/>
  <c r="I14" i="7"/>
  <c r="J6" i="7"/>
  <c r="G6" i="10" s="1"/>
  <c r="J829" i="7"/>
  <c r="J821" i="7"/>
  <c r="J813" i="7"/>
  <c r="J805" i="7"/>
  <c r="J797" i="7"/>
  <c r="J789" i="7"/>
  <c r="J781" i="7"/>
  <c r="J773" i="7"/>
  <c r="I765" i="7"/>
  <c r="I757" i="7"/>
  <c r="I749" i="7"/>
  <c r="I741" i="7"/>
  <c r="I733" i="7"/>
  <c r="I725" i="7"/>
  <c r="I717" i="7"/>
  <c r="I709" i="7"/>
  <c r="I701" i="7"/>
  <c r="I693" i="7"/>
  <c r="I685" i="7"/>
  <c r="I677" i="7"/>
  <c r="I669" i="7"/>
  <c r="J661" i="7"/>
  <c r="J653" i="7"/>
  <c r="J645" i="7"/>
  <c r="J637" i="7"/>
  <c r="J629" i="7"/>
  <c r="J621" i="7"/>
  <c r="J613" i="7"/>
  <c r="J605" i="7"/>
  <c r="J597" i="7"/>
  <c r="J589" i="7"/>
  <c r="J581" i="7"/>
  <c r="J573" i="7"/>
  <c r="J565" i="7"/>
  <c r="J557" i="7"/>
  <c r="I549" i="7"/>
  <c r="I541" i="7"/>
  <c r="J533" i="7"/>
  <c r="J525" i="7"/>
  <c r="K89" i="7"/>
  <c r="M89" i="7"/>
  <c r="L88" i="7"/>
  <c r="N87" i="7"/>
  <c r="M86" i="7"/>
  <c r="L85" i="7"/>
  <c r="N85" i="7"/>
  <c r="N84" i="7"/>
  <c r="O83" i="7"/>
  <c r="N82" i="7"/>
  <c r="K81" i="7"/>
  <c r="M81" i="7"/>
  <c r="L80" i="7"/>
  <c r="N79" i="7"/>
  <c r="M78" i="7"/>
  <c r="L77" i="7"/>
  <c r="N77" i="7"/>
  <c r="K76" i="7"/>
  <c r="O75" i="7"/>
  <c r="N74" i="7"/>
  <c r="K73" i="7"/>
  <c r="M73" i="7"/>
  <c r="L72" i="7"/>
  <c r="N71" i="7"/>
  <c r="M70" i="7"/>
  <c r="L69" i="7"/>
  <c r="N69" i="7"/>
  <c r="K68" i="7"/>
  <c r="O67" i="7"/>
  <c r="N66" i="7"/>
  <c r="K65" i="7"/>
  <c r="M65" i="7"/>
  <c r="L64" i="7"/>
  <c r="L63" i="7"/>
  <c r="M62" i="7"/>
  <c r="L61" i="7"/>
  <c r="O61" i="7"/>
  <c r="L60" i="7"/>
  <c r="K59" i="7"/>
  <c r="M58" i="7"/>
  <c r="L57" i="7"/>
  <c r="O57" i="7"/>
  <c r="L56" i="7"/>
  <c r="K55" i="7"/>
  <c r="M54" i="7"/>
  <c r="L53" i="7"/>
  <c r="O53" i="7"/>
  <c r="L52" i="7"/>
  <c r="M51" i="7"/>
  <c r="N50" i="7"/>
  <c r="K49" i="7"/>
  <c r="M49" i="7"/>
  <c r="L48" i="7"/>
  <c r="N47" i="7"/>
  <c r="M46" i="7"/>
  <c r="L45" i="7"/>
  <c r="N45" i="7"/>
  <c r="K44" i="7"/>
  <c r="O43" i="7"/>
  <c r="K42" i="7"/>
  <c r="K41" i="7"/>
  <c r="N41" i="7"/>
  <c r="K40" i="7"/>
  <c r="K39" i="7"/>
  <c r="K38" i="7"/>
  <c r="K37" i="7"/>
  <c r="N37" i="7"/>
  <c r="L36" i="7"/>
  <c r="K35" i="7"/>
  <c r="O34" i="7"/>
  <c r="L33" i="7"/>
  <c r="N33" i="7"/>
  <c r="M32" i="7"/>
  <c r="L31" i="7"/>
  <c r="N30" i="7"/>
  <c r="M29" i="7"/>
  <c r="O29" i="7"/>
  <c r="L28" i="7"/>
  <c r="K27" i="7"/>
  <c r="O26" i="7"/>
  <c r="L25" i="7"/>
  <c r="K25" i="7"/>
  <c r="M24" i="7"/>
  <c r="L23" i="7"/>
  <c r="N22" i="7"/>
  <c r="M21" i="7"/>
  <c r="O21" i="7"/>
  <c r="L20" i="7"/>
  <c r="K19" i="7"/>
  <c r="O18" i="7"/>
  <c r="L17" i="7"/>
  <c r="N17" i="7"/>
  <c r="M16" i="7"/>
  <c r="L15" i="7"/>
  <c r="N14" i="7"/>
  <c r="M13" i="7"/>
  <c r="J14" i="10" s="1"/>
  <c r="O13" i="7"/>
  <c r="O12" i="7"/>
  <c r="K11" i="7"/>
  <c r="H12" i="10" s="1"/>
  <c r="O10" i="7"/>
  <c r="L9" i="7"/>
  <c r="I10" i="10" s="1"/>
  <c r="N9" i="7"/>
  <c r="M8" i="7"/>
  <c r="J9" i="10" s="1"/>
  <c r="L7" i="7"/>
  <c r="I8" i="10" s="1"/>
  <c r="N6" i="7"/>
  <c r="M5" i="7"/>
  <c r="J5" i="10" s="1"/>
  <c r="O5" i="7"/>
  <c r="L4" i="7"/>
  <c r="I7" i="10" s="1"/>
  <c r="O3" i="7"/>
  <c r="J2" i="7"/>
  <c r="O2" i="7"/>
  <c r="I826" i="7"/>
  <c r="I818" i="7"/>
  <c r="I810" i="7"/>
  <c r="I802" i="7"/>
  <c r="I794" i="7"/>
  <c r="I786" i="7"/>
  <c r="I778" i="7"/>
  <c r="J770" i="7"/>
  <c r="J762" i="7"/>
  <c r="J754" i="7"/>
  <c r="J746" i="7"/>
  <c r="J738" i="7"/>
  <c r="J730" i="7"/>
  <c r="J722" i="7"/>
  <c r="J714" i="7"/>
  <c r="J706" i="7"/>
  <c r="J698" i="7"/>
  <c r="J690" i="7"/>
  <c r="J682" i="7"/>
  <c r="J674" i="7"/>
  <c r="J666" i="7"/>
  <c r="I658" i="7"/>
  <c r="I650" i="7"/>
  <c r="I642" i="7"/>
  <c r="I634" i="7"/>
  <c r="J626" i="7"/>
  <c r="J618" i="7"/>
  <c r="J610" i="7"/>
  <c r="J602" i="7"/>
  <c r="J594" i="7"/>
  <c r="J586" i="7"/>
  <c r="J578" i="7"/>
  <c r="J570" i="7"/>
  <c r="J562" i="7"/>
  <c r="J554" i="7"/>
  <c r="J546" i="7"/>
  <c r="J538" i="7"/>
  <c r="J530" i="7"/>
  <c r="J522" i="7"/>
  <c r="J514" i="7"/>
  <c r="J506" i="7"/>
  <c r="J498" i="7"/>
  <c r="J490" i="7"/>
  <c r="J482" i="7"/>
  <c r="J474" i="7"/>
  <c r="J466" i="7"/>
  <c r="J458" i="7"/>
  <c r="J450" i="7"/>
  <c r="J442" i="7"/>
  <c r="J434" i="7"/>
  <c r="J426" i="7"/>
  <c r="J418" i="7"/>
  <c r="I410" i="7"/>
  <c r="Q410" i="7" s="1"/>
  <c r="I402" i="7"/>
  <c r="Q402" i="7" s="1"/>
  <c r="I394" i="7"/>
  <c r="Q394" i="7" s="1"/>
  <c r="I386" i="7"/>
  <c r="Q386" i="7" s="1"/>
  <c r="I378" i="7"/>
  <c r="Q378" i="7" s="1"/>
  <c r="I370" i="7"/>
  <c r="Q370" i="7" s="1"/>
  <c r="I362" i="7"/>
  <c r="Q362" i="7" s="1"/>
  <c r="I354" i="7"/>
  <c r="Q354" i="7" s="1"/>
  <c r="I346" i="7"/>
  <c r="Q346" i="7" s="1"/>
  <c r="I338" i="7"/>
  <c r="Q338" i="7" s="1"/>
  <c r="I330" i="7"/>
  <c r="Q330" i="7" s="1"/>
  <c r="I322" i="7"/>
  <c r="Q322" i="7" s="1"/>
  <c r="I314" i="7"/>
  <c r="Q314" i="7" s="1"/>
  <c r="I306" i="7"/>
  <c r="Q306" i="7" s="1"/>
  <c r="I298" i="7"/>
  <c r="Q298" i="7" s="1"/>
  <c r="I290" i="7"/>
  <c r="Q290" i="7" s="1"/>
  <c r="I282" i="7"/>
  <c r="Q282" i="7" s="1"/>
  <c r="J274" i="7"/>
  <c r="I266" i="7"/>
  <c r="Q266" i="7" s="1"/>
  <c r="I258" i="7"/>
  <c r="Q258" i="7" s="1"/>
  <c r="I250" i="7"/>
  <c r="Q250" i="7" s="1"/>
  <c r="I242" i="7"/>
  <c r="Q242" i="7" s="1"/>
  <c r="I234" i="7"/>
  <c r="Q234" i="7" s="1"/>
  <c r="I226" i="7"/>
  <c r="Q226" i="7" s="1"/>
  <c r="I218" i="7"/>
  <c r="Q218" i="7" s="1"/>
  <c r="J210" i="7"/>
  <c r="J202" i="7"/>
  <c r="J194" i="7"/>
  <c r="J186" i="7"/>
  <c r="I178" i="7"/>
  <c r="Q178" i="7" s="1"/>
  <c r="I170" i="7"/>
  <c r="Q170" i="7" s="1"/>
  <c r="I162" i="7"/>
  <c r="Q162" i="7" s="1"/>
  <c r="I154" i="7"/>
  <c r="I146" i="7"/>
  <c r="I138" i="7"/>
  <c r="I130" i="7"/>
  <c r="I122" i="7"/>
  <c r="I114" i="7"/>
  <c r="I106" i="7"/>
  <c r="I98" i="7"/>
  <c r="I90" i="7"/>
  <c r="Q90" i="7" s="1"/>
  <c r="I82" i="7"/>
  <c r="Q82" i="7" s="1"/>
  <c r="J74" i="7"/>
  <c r="J66" i="7"/>
  <c r="I58" i="7"/>
  <c r="Q58" i="7" s="1"/>
  <c r="I50" i="7"/>
  <c r="Q50" i="7" s="1"/>
  <c r="J42" i="7"/>
  <c r="I34" i="7"/>
  <c r="Q34" i="7" s="1"/>
  <c r="I26" i="7"/>
  <c r="Q26" i="7" s="1"/>
  <c r="I18" i="7"/>
  <c r="Q18" i="7" s="1"/>
  <c r="I10" i="7"/>
  <c r="I833" i="7"/>
  <c r="I825" i="7"/>
  <c r="I817" i="7"/>
  <c r="I809" i="7"/>
  <c r="I801" i="7"/>
  <c r="I793" i="7"/>
  <c r="I785" i="7"/>
  <c r="I777" i="7"/>
  <c r="J769" i="7"/>
  <c r="J761" i="7"/>
  <c r="J753" i="7"/>
  <c r="J745" i="7"/>
  <c r="J737" i="7"/>
  <c r="J729" i="7"/>
  <c r="J721" i="7"/>
  <c r="J713" i="7"/>
  <c r="J705" i="7"/>
  <c r="J697" i="7"/>
  <c r="J689" i="7"/>
  <c r="J681" i="7"/>
  <c r="J673" i="7"/>
  <c r="J665" i="7"/>
  <c r="I657" i="7"/>
  <c r="I649" i="7"/>
  <c r="I641" i="7"/>
  <c r="I633" i="7"/>
  <c r="I625" i="7"/>
  <c r="I617" i="7"/>
  <c r="I609" i="7"/>
  <c r="I601" i="7"/>
  <c r="I593" i="7"/>
  <c r="I585" i="7"/>
  <c r="I577" i="7"/>
  <c r="I569" i="7"/>
  <c r="I561" i="7"/>
  <c r="I553" i="7"/>
  <c r="J545" i="7"/>
  <c r="I537" i="7"/>
  <c r="I529" i="7"/>
  <c r="I521" i="7"/>
  <c r="J517" i="7"/>
  <c r="J509" i="7"/>
  <c r="J501" i="7"/>
  <c r="J493" i="7"/>
  <c r="J485" i="7"/>
  <c r="J477" i="7"/>
  <c r="J469" i="7"/>
  <c r="J461" i="7"/>
  <c r="J453" i="7"/>
  <c r="J445" i="7"/>
  <c r="J437" i="7"/>
  <c r="I429" i="7"/>
  <c r="I421" i="7"/>
  <c r="J413" i="7"/>
  <c r="J405" i="7"/>
  <c r="J397" i="7"/>
  <c r="J389" i="7"/>
  <c r="J381" i="7"/>
  <c r="J373" i="7"/>
  <c r="J365" i="7"/>
  <c r="J357" i="7"/>
  <c r="J349" i="7"/>
  <c r="J341" i="7"/>
  <c r="J333" i="7"/>
  <c r="J325" i="7"/>
  <c r="J317" i="7"/>
  <c r="J309" i="7"/>
  <c r="J301" i="7"/>
  <c r="J293" i="7"/>
  <c r="J285" i="7"/>
  <c r="I277" i="7"/>
  <c r="I269" i="7"/>
  <c r="J261" i="7"/>
  <c r="J253" i="7"/>
  <c r="J245" i="7"/>
  <c r="J237" i="7"/>
  <c r="J229" i="7"/>
  <c r="J221" i="7"/>
  <c r="J213" i="7"/>
  <c r="J205" i="7"/>
  <c r="J197" i="7"/>
  <c r="J189" i="7"/>
  <c r="J181" i="7"/>
  <c r="J173" i="7"/>
  <c r="J165" i="7"/>
  <c r="J157" i="7"/>
  <c r="J149" i="7"/>
  <c r="J141" i="7"/>
  <c r="J133" i="7"/>
  <c r="J125" i="7"/>
  <c r="J117" i="7"/>
  <c r="J109" i="7"/>
  <c r="J101" i="7"/>
  <c r="J93" i="7"/>
  <c r="J85" i="7"/>
  <c r="I77" i="7"/>
  <c r="J69" i="7"/>
  <c r="J61" i="7"/>
  <c r="J53" i="7"/>
  <c r="I45" i="7"/>
  <c r="J37" i="7"/>
  <c r="J29" i="7"/>
  <c r="I21" i="7"/>
  <c r="J13" i="7"/>
  <c r="G14" i="10" s="1"/>
  <c r="J5" i="7"/>
  <c r="G5" i="10" s="1"/>
  <c r="J828" i="7"/>
  <c r="J820" i="7"/>
  <c r="J812" i="7"/>
  <c r="J804" i="7"/>
  <c r="J796" i="7"/>
  <c r="J788" i="7"/>
  <c r="J780" i="7"/>
  <c r="J772" i="7"/>
  <c r="I764" i="7"/>
  <c r="I756" i="7"/>
  <c r="I748" i="7"/>
  <c r="I740" i="7"/>
  <c r="I732" i="7"/>
  <c r="I724" i="7"/>
  <c r="I716" i="7"/>
  <c r="I708" i="7"/>
  <c r="I700" i="7"/>
  <c r="I692" i="7"/>
  <c r="I684" i="7"/>
  <c r="I676" i="7"/>
  <c r="I668" i="7"/>
  <c r="I660" i="7"/>
  <c r="I652" i="7"/>
  <c r="I644" i="7"/>
  <c r="I636" i="7"/>
  <c r="I628" i="7"/>
  <c r="I620" i="7"/>
  <c r="I612" i="7"/>
  <c r="I604" i="7"/>
  <c r="I596" i="7"/>
  <c r="I588" i="7"/>
  <c r="I580" i="7"/>
  <c r="I572" i="7"/>
  <c r="I564" i="7"/>
  <c r="I556" i="7"/>
  <c r="I548" i="7"/>
  <c r="I540" i="7"/>
  <c r="J532" i="7"/>
  <c r="J524" i="7"/>
  <c r="J516" i="7"/>
  <c r="J508" i="7"/>
  <c r="J500" i="7"/>
  <c r="J492" i="7"/>
  <c r="J484" i="7"/>
  <c r="J476" i="7"/>
  <c r="J468" i="7"/>
  <c r="J460" i="7"/>
  <c r="J452" i="7"/>
  <c r="J444" i="7"/>
  <c r="J436" i="7"/>
  <c r="I428" i="7"/>
  <c r="I420" i="7"/>
  <c r="J412" i="7"/>
  <c r="J404" i="7"/>
  <c r="J396" i="7"/>
  <c r="J388" i="7"/>
  <c r="J380" i="7"/>
  <c r="J372" i="7"/>
  <c r="J364" i="7"/>
  <c r="J356" i="7"/>
  <c r="J348" i="7"/>
  <c r="J340" i="7"/>
  <c r="J332" i="7"/>
  <c r="J324" i="7"/>
  <c r="J316" i="7"/>
  <c r="J308" i="7"/>
  <c r="J300" i="7"/>
  <c r="J292" i="7"/>
  <c r="J284" i="7"/>
  <c r="J276" i="7"/>
  <c r="J268" i="7"/>
  <c r="J260" i="7"/>
  <c r="J252" i="7"/>
  <c r="J244" i="7"/>
  <c r="J236" i="7"/>
  <c r="J228" i="7"/>
  <c r="J220" i="7"/>
  <c r="J212" i="7"/>
  <c r="J204" i="7"/>
  <c r="J196" i="7"/>
  <c r="J188" i="7"/>
  <c r="J180" i="7"/>
  <c r="J172" i="7"/>
  <c r="J164" i="7"/>
  <c r="J156" i="7"/>
  <c r="J148" i="7"/>
  <c r="J140" i="7"/>
  <c r="J132" i="7"/>
  <c r="J124" i="7"/>
  <c r="J116" i="7"/>
  <c r="J108" i="7"/>
  <c r="J100" i="7"/>
  <c r="I92" i="7"/>
  <c r="J84" i="7"/>
  <c r="J76" i="7"/>
  <c r="I68" i="7"/>
  <c r="J60" i="7"/>
  <c r="J52" i="7"/>
  <c r="J44" i="7"/>
  <c r="J36" i="7"/>
  <c r="J28" i="7"/>
  <c r="I20" i="7"/>
  <c r="J12" i="7"/>
  <c r="G13" i="10" s="1"/>
  <c r="J4" i="7"/>
  <c r="G7" i="10" s="1"/>
  <c r="J827" i="7"/>
  <c r="J819" i="7"/>
  <c r="J811" i="7"/>
  <c r="J803" i="7"/>
  <c r="J795" i="7"/>
  <c r="J787" i="7"/>
  <c r="J779" i="7"/>
  <c r="J771" i="7"/>
  <c r="I763" i="7"/>
  <c r="I755" i="7"/>
  <c r="I747" i="7"/>
  <c r="I739" i="7"/>
  <c r="I731" i="7"/>
  <c r="I723" i="7"/>
  <c r="I715" i="7"/>
  <c r="I707" i="7"/>
  <c r="I699" i="7"/>
  <c r="I691" i="7"/>
  <c r="I683" i="7"/>
  <c r="I675" i="7"/>
  <c r="I667" i="7"/>
  <c r="J659" i="7"/>
  <c r="J651" i="7"/>
  <c r="J643" i="7"/>
  <c r="J635" i="7"/>
  <c r="J627" i="7"/>
  <c r="J619" i="7"/>
  <c r="J611" i="7"/>
  <c r="J603" i="7"/>
  <c r="J595" i="7"/>
  <c r="J587" i="7"/>
  <c r="J579" i="7"/>
  <c r="J571" i="7"/>
  <c r="J563" i="7"/>
  <c r="J555" i="7"/>
  <c r="I547" i="7"/>
  <c r="I539" i="7"/>
  <c r="I531" i="7"/>
  <c r="I523" i="7"/>
  <c r="I515" i="7"/>
  <c r="I507" i="7"/>
  <c r="I499" i="7"/>
  <c r="I491" i="7"/>
  <c r="I483" i="7"/>
  <c r="I475" i="7"/>
  <c r="I467" i="7"/>
  <c r="I459" i="7"/>
  <c r="I451" i="7"/>
  <c r="I443" i="7"/>
  <c r="I435" i="7"/>
  <c r="I427" i="7"/>
  <c r="I419" i="7"/>
  <c r="J411" i="7"/>
  <c r="J403" i="7"/>
  <c r="J395" i="7"/>
  <c r="J387" i="7"/>
  <c r="J379" i="7"/>
  <c r="J371" i="7"/>
  <c r="J363" i="7"/>
  <c r="J355" i="7"/>
  <c r="J347" i="7"/>
  <c r="J339" i="7"/>
  <c r="J331" i="7"/>
  <c r="J323" i="7"/>
  <c r="J315" i="7"/>
  <c r="J307" i="7"/>
  <c r="J299" i="7"/>
  <c r="J291" i="7"/>
  <c r="J283" i="7"/>
  <c r="J275" i="7"/>
  <c r="J267" i="7"/>
  <c r="J259" i="7"/>
  <c r="J251" i="7"/>
  <c r="J243" i="7"/>
  <c r="J235" i="7"/>
  <c r="J227" i="7"/>
  <c r="J219" i="7"/>
  <c r="I211" i="7"/>
  <c r="I203" i="7"/>
  <c r="I195" i="7"/>
  <c r="I187" i="7"/>
  <c r="I179" i="7"/>
  <c r="I171" i="7"/>
  <c r="I163" i="7"/>
  <c r="I155" i="7"/>
  <c r="I513" i="7"/>
  <c r="I505" i="7"/>
  <c r="I497" i="7"/>
  <c r="I489" i="7"/>
  <c r="I481" i="7"/>
  <c r="I473" i="7"/>
  <c r="I465" i="7"/>
  <c r="I457" i="7"/>
  <c r="I449" i="7"/>
  <c r="I441" i="7"/>
  <c r="J433" i="7"/>
  <c r="J425" i="7"/>
  <c r="I417" i="7"/>
  <c r="I409" i="7"/>
  <c r="I401" i="7"/>
  <c r="I393" i="7"/>
  <c r="I385" i="7"/>
  <c r="I377" i="7"/>
  <c r="I369" i="7"/>
  <c r="I361" i="7"/>
  <c r="I353" i="7"/>
  <c r="I345" i="7"/>
  <c r="I337" i="7"/>
  <c r="I329" i="7"/>
  <c r="I321" i="7"/>
  <c r="I313" i="7"/>
  <c r="I305" i="7"/>
  <c r="I297" i="7"/>
  <c r="I289" i="7"/>
  <c r="I281" i="7"/>
  <c r="J273" i="7"/>
  <c r="I265" i="7"/>
  <c r="I257" i="7"/>
  <c r="I249" i="7"/>
  <c r="I241" i="7"/>
  <c r="I233" i="7"/>
  <c r="I225" i="7"/>
  <c r="I217" i="7"/>
  <c r="I209" i="7"/>
  <c r="I201" i="7"/>
  <c r="I193" i="7"/>
  <c r="I185" i="7"/>
  <c r="I177" i="7"/>
  <c r="I169" i="7"/>
  <c r="I161" i="7"/>
  <c r="I153" i="7"/>
  <c r="I145" i="7"/>
  <c r="I137" i="7"/>
  <c r="I129" i="7"/>
  <c r="I121" i="7"/>
  <c r="I113" i="7"/>
  <c r="I105" i="7"/>
  <c r="I97" i="7"/>
  <c r="I89" i="7"/>
  <c r="I81" i="7"/>
  <c r="I73" i="7"/>
  <c r="I65" i="7"/>
  <c r="I57" i="7"/>
  <c r="I49" i="7"/>
  <c r="I41" i="7"/>
  <c r="I33" i="7"/>
  <c r="I25" i="7"/>
  <c r="J17" i="7"/>
  <c r="I9" i="7"/>
  <c r="I832" i="7"/>
  <c r="I824" i="7"/>
  <c r="I816" i="7"/>
  <c r="I808" i="7"/>
  <c r="I800" i="7"/>
  <c r="I792" i="7"/>
  <c r="I784" i="7"/>
  <c r="I776" i="7"/>
  <c r="J768" i="7"/>
  <c r="J760" i="7"/>
  <c r="J752" i="7"/>
  <c r="J744" i="7"/>
  <c r="J736" i="7"/>
  <c r="J728" i="7"/>
  <c r="J720" i="7"/>
  <c r="J712" i="7"/>
  <c r="J704" i="7"/>
  <c r="J696" i="7"/>
  <c r="J688" i="7"/>
  <c r="J680" i="7"/>
  <c r="J672" i="7"/>
  <c r="J664" i="7"/>
  <c r="J656" i="7"/>
  <c r="J648" i="7"/>
  <c r="J640" i="7"/>
  <c r="J632" i="7"/>
  <c r="J624" i="7"/>
  <c r="J616" i="7"/>
  <c r="J608" i="7"/>
  <c r="J600" i="7"/>
  <c r="J592" i="7"/>
  <c r="J584" i="7"/>
  <c r="J576" i="7"/>
  <c r="J568" i="7"/>
  <c r="J560" i="7"/>
  <c r="J552" i="7"/>
  <c r="J544" i="7"/>
  <c r="I536" i="7"/>
  <c r="I528" i="7"/>
  <c r="I520" i="7"/>
  <c r="I512" i="7"/>
  <c r="I504" i="7"/>
  <c r="I496" i="7"/>
  <c r="I488" i="7"/>
  <c r="I480" i="7"/>
  <c r="I472" i="7"/>
  <c r="I464" i="7"/>
  <c r="I456" i="7"/>
  <c r="I448" i="7"/>
  <c r="I440" i="7"/>
  <c r="J432" i="7"/>
  <c r="J424" i="7"/>
  <c r="I416" i="7"/>
  <c r="I408" i="7"/>
  <c r="I400" i="7"/>
  <c r="I392" i="7"/>
  <c r="I384" i="7"/>
  <c r="I376" i="7"/>
  <c r="I368" i="7"/>
  <c r="I360" i="7"/>
  <c r="I352" i="7"/>
  <c r="I344" i="7"/>
  <c r="I336" i="7"/>
  <c r="I328" i="7"/>
  <c r="I320" i="7"/>
  <c r="I312" i="7"/>
  <c r="I304" i="7"/>
  <c r="I296" i="7"/>
  <c r="I288" i="7"/>
  <c r="I280" i="7"/>
  <c r="I272" i="7"/>
  <c r="I264" i="7"/>
  <c r="I256" i="7"/>
  <c r="I248" i="7"/>
  <c r="I240" i="7"/>
  <c r="I232" i="7"/>
  <c r="I224" i="7"/>
  <c r="I216" i="7"/>
  <c r="I208" i="7"/>
  <c r="I200" i="7"/>
  <c r="I192" i="7"/>
  <c r="I184" i="7"/>
  <c r="I176" i="7"/>
  <c r="I168" i="7"/>
  <c r="I160" i="7"/>
  <c r="I152" i="7"/>
  <c r="I144" i="7"/>
  <c r="I136" i="7"/>
  <c r="I128" i="7"/>
  <c r="I120" i="7"/>
  <c r="I112" i="7"/>
  <c r="I104" i="7"/>
  <c r="I96" i="7"/>
  <c r="J88" i="7"/>
  <c r="I80" i="7"/>
  <c r="J72" i="7"/>
  <c r="I64" i="7"/>
  <c r="I56" i="7"/>
  <c r="J48" i="7"/>
  <c r="J40" i="7"/>
  <c r="I32" i="7"/>
  <c r="I24" i="7"/>
  <c r="I16" i="7"/>
  <c r="I8" i="7"/>
  <c r="I831" i="7"/>
  <c r="I823" i="7"/>
  <c r="I815" i="7"/>
  <c r="I807" i="7"/>
  <c r="I799" i="7"/>
  <c r="I791" i="7"/>
  <c r="I783" i="7"/>
  <c r="I775" i="7"/>
  <c r="J767" i="7"/>
  <c r="J759" i="7"/>
  <c r="J751" i="7"/>
  <c r="J743" i="7"/>
  <c r="J735" i="7"/>
  <c r="J727" i="7"/>
  <c r="J719" i="7"/>
  <c r="J711" i="7"/>
  <c r="J703" i="7"/>
  <c r="J695" i="7"/>
  <c r="J687" i="7"/>
  <c r="J679" i="7"/>
  <c r="J671" i="7"/>
  <c r="I663" i="7"/>
  <c r="I655" i="7"/>
  <c r="I647" i="7"/>
  <c r="I639" i="7"/>
  <c r="I631" i="7"/>
  <c r="I623" i="7"/>
  <c r="I615" i="7"/>
  <c r="I607" i="7"/>
  <c r="I599" i="7"/>
  <c r="I591" i="7"/>
  <c r="I583" i="7"/>
  <c r="I575" i="7"/>
  <c r="I567" i="7"/>
  <c r="I559" i="7"/>
  <c r="J551" i="7"/>
  <c r="J543" i="7"/>
  <c r="J535" i="7"/>
  <c r="J527" i="7"/>
  <c r="J519" i="7"/>
  <c r="J511" i="7"/>
  <c r="J503" i="7"/>
  <c r="J495" i="7"/>
  <c r="J487" i="7"/>
  <c r="J479" i="7"/>
  <c r="J471" i="7"/>
  <c r="J463" i="7"/>
  <c r="J455" i="7"/>
  <c r="J447" i="7"/>
  <c r="J439" i="7"/>
  <c r="J431" i="7"/>
  <c r="J423" i="7"/>
  <c r="I415" i="7"/>
  <c r="I407" i="7"/>
  <c r="I399" i="7"/>
  <c r="I391" i="7"/>
  <c r="I383" i="7"/>
  <c r="I375" i="7"/>
  <c r="I367" i="7"/>
  <c r="I359" i="7"/>
  <c r="I351" i="7"/>
  <c r="I343" i="7"/>
  <c r="I335" i="7"/>
  <c r="I327" i="7"/>
  <c r="I319" i="7"/>
  <c r="I311" i="7"/>
  <c r="I303" i="7"/>
  <c r="I295" i="7"/>
  <c r="I287" i="7"/>
  <c r="I279" i="7"/>
  <c r="I271" i="7"/>
  <c r="I263" i="7"/>
  <c r="I255" i="7"/>
  <c r="I247" i="7"/>
  <c r="I239" i="7"/>
  <c r="I231" i="7"/>
  <c r="I223" i="7"/>
  <c r="J215" i="7"/>
  <c r="J207" i="7"/>
  <c r="J199" i="7"/>
  <c r="J191" i="7"/>
  <c r="J183" i="7"/>
  <c r="J175" i="7"/>
  <c r="J167" i="7"/>
  <c r="J159" i="7"/>
  <c r="J151" i="7"/>
  <c r="J521" i="7"/>
  <c r="J513" i="7"/>
  <c r="J505" i="7"/>
  <c r="J497" i="7"/>
  <c r="J489" i="7"/>
  <c r="J481" i="7"/>
  <c r="J473" i="7"/>
  <c r="J465" i="7"/>
  <c r="J457" i="7"/>
  <c r="J449" i="7"/>
  <c r="J441" i="7"/>
  <c r="I433" i="7"/>
  <c r="Q433" i="7" s="1"/>
  <c r="I425" i="7"/>
  <c r="Q425" i="7" s="1"/>
  <c r="J417" i="7"/>
  <c r="J409" i="7"/>
  <c r="J401" i="7"/>
  <c r="J393" i="7"/>
  <c r="J385" i="7"/>
  <c r="J377" i="7"/>
  <c r="J369" i="7"/>
  <c r="J361" i="7"/>
  <c r="J353" i="7"/>
  <c r="J345" i="7"/>
  <c r="J337" i="7"/>
  <c r="J329" i="7"/>
  <c r="J321" i="7"/>
  <c r="J313" i="7"/>
  <c r="J305" i="7"/>
  <c r="J297" i="7"/>
  <c r="J289" i="7"/>
  <c r="J281" i="7"/>
  <c r="I273" i="7"/>
  <c r="Q273" i="7" s="1"/>
  <c r="J265" i="7"/>
  <c r="J257" i="7"/>
  <c r="J249" i="7"/>
  <c r="J241" i="7"/>
  <c r="J233" i="7"/>
  <c r="J225" i="7"/>
  <c r="J217" i="7"/>
  <c r="J209" i="7"/>
  <c r="J201" i="7"/>
  <c r="J193" i="7"/>
  <c r="J185" i="7"/>
  <c r="J177" i="7"/>
  <c r="J169" i="7"/>
  <c r="J161" i="7"/>
  <c r="J153" i="7"/>
  <c r="J145" i="7"/>
  <c r="J137" i="7"/>
  <c r="J129" i="7"/>
  <c r="J121" i="7"/>
  <c r="J113" i="7"/>
  <c r="J105" i="7"/>
  <c r="J97" i="7"/>
  <c r="J89" i="7"/>
  <c r="J81" i="7"/>
  <c r="J73" i="7"/>
  <c r="Q73" i="7" s="1"/>
  <c r="J65" i="7"/>
  <c r="J57" i="7"/>
  <c r="J49" i="7"/>
  <c r="J41" i="7"/>
  <c r="J33" i="7"/>
  <c r="J25" i="7"/>
  <c r="I17" i="7"/>
  <c r="Q17" i="7" s="1"/>
  <c r="J9" i="7"/>
  <c r="G10" i="10" s="1"/>
  <c r="J832" i="7"/>
  <c r="J824" i="7"/>
  <c r="J816" i="7"/>
  <c r="J808" i="7"/>
  <c r="J800" i="7"/>
  <c r="J792" i="7"/>
  <c r="J784" i="7"/>
  <c r="J776" i="7"/>
  <c r="I768" i="7"/>
  <c r="I760" i="7"/>
  <c r="I752" i="7"/>
  <c r="I744" i="7"/>
  <c r="I736" i="7"/>
  <c r="I728" i="7"/>
  <c r="I720" i="7"/>
  <c r="I712" i="7"/>
  <c r="I704" i="7"/>
  <c r="I696" i="7"/>
  <c r="I688" i="7"/>
  <c r="I680" i="7"/>
  <c r="I672" i="7"/>
  <c r="I664" i="7"/>
  <c r="I656" i="7"/>
  <c r="I648" i="7"/>
  <c r="I640" i="7"/>
  <c r="I632" i="7"/>
  <c r="I624" i="7"/>
  <c r="I616" i="7"/>
  <c r="I608" i="7"/>
  <c r="I600" i="7"/>
  <c r="I592" i="7"/>
  <c r="I584" i="7"/>
  <c r="I576" i="7"/>
  <c r="I568" i="7"/>
  <c r="I560" i="7"/>
  <c r="I552" i="7"/>
  <c r="I544" i="7"/>
  <c r="J536" i="7"/>
  <c r="J528" i="7"/>
  <c r="J520" i="7"/>
  <c r="J512" i="7"/>
  <c r="J504" i="7"/>
  <c r="J496" i="7"/>
  <c r="J488" i="7"/>
  <c r="J480" i="7"/>
  <c r="J472" i="7"/>
  <c r="J464" i="7"/>
  <c r="J456" i="7"/>
  <c r="J448" i="7"/>
  <c r="J440" i="7"/>
  <c r="I432" i="7"/>
  <c r="Q432" i="7" s="1"/>
  <c r="I424" i="7"/>
  <c r="Q424" i="7" s="1"/>
  <c r="J416" i="7"/>
  <c r="J408" i="7"/>
  <c r="J400" i="7"/>
  <c r="J392" i="7"/>
  <c r="J384" i="7"/>
  <c r="J376" i="7"/>
  <c r="J368" i="7"/>
  <c r="J360" i="7"/>
  <c r="J352" i="7"/>
  <c r="J344" i="7"/>
  <c r="J336" i="7"/>
  <c r="J328" i="7"/>
  <c r="J320" i="7"/>
  <c r="J312" i="7"/>
  <c r="J304" i="7"/>
  <c r="J296" i="7"/>
  <c r="J288" i="7"/>
  <c r="J280" i="7"/>
  <c r="J272" i="7"/>
  <c r="J264" i="7"/>
  <c r="J256" i="7"/>
  <c r="J248" i="7"/>
  <c r="J240" i="7"/>
  <c r="J232" i="7"/>
  <c r="J224" i="7"/>
  <c r="J216" i="7"/>
  <c r="J208" i="7"/>
  <c r="J200" i="7"/>
  <c r="J192" i="7"/>
  <c r="J184" i="7"/>
  <c r="J176" i="7"/>
  <c r="J168" i="7"/>
  <c r="J160" i="7"/>
  <c r="J152" i="7"/>
  <c r="J144" i="7"/>
  <c r="J136" i="7"/>
  <c r="J128" i="7"/>
  <c r="J120" i="7"/>
  <c r="J112" i="7"/>
  <c r="J104" i="7"/>
  <c r="J96" i="7"/>
  <c r="I88" i="7"/>
  <c r="Q88" i="7" s="1"/>
  <c r="J80" i="7"/>
  <c r="I72" i="7"/>
  <c r="Q72" i="7" s="1"/>
  <c r="J64" i="7"/>
  <c r="J56" i="7"/>
  <c r="I48" i="7"/>
  <c r="Q48" i="7" s="1"/>
  <c r="I40" i="7"/>
  <c r="Q40" i="7" s="1"/>
  <c r="J32" i="7"/>
  <c r="Q32" i="7" s="1"/>
  <c r="J24" i="7"/>
  <c r="Q24" i="7" s="1"/>
  <c r="J16" i="7"/>
  <c r="Q16" i="7" s="1"/>
  <c r="J8" i="7"/>
  <c r="G9" i="10" s="1"/>
  <c r="J831" i="7"/>
  <c r="J823" i="7"/>
  <c r="J815" i="7"/>
  <c r="J807" i="7"/>
  <c r="J799" i="7"/>
  <c r="J791" i="7"/>
  <c r="J783" i="7"/>
  <c r="J775" i="7"/>
  <c r="I767" i="7"/>
  <c r="I759" i="7"/>
  <c r="I751" i="7"/>
  <c r="I743" i="7"/>
  <c r="I735" i="7"/>
  <c r="I727" i="7"/>
  <c r="I719" i="7"/>
  <c r="I711" i="7"/>
  <c r="I703" i="7"/>
  <c r="I695" i="7"/>
  <c r="I687" i="7"/>
  <c r="I679" i="7"/>
  <c r="I671" i="7"/>
  <c r="J663" i="7"/>
  <c r="J655" i="7"/>
  <c r="J647" i="7"/>
  <c r="J639" i="7"/>
  <c r="J631" i="7"/>
  <c r="J623" i="7"/>
  <c r="J615" i="7"/>
  <c r="J607" i="7"/>
  <c r="J599" i="7"/>
  <c r="J591" i="7"/>
  <c r="J583" i="7"/>
  <c r="J575" i="7"/>
  <c r="J567" i="7"/>
  <c r="J559" i="7"/>
  <c r="I551" i="7"/>
  <c r="I543" i="7"/>
  <c r="I535" i="7"/>
  <c r="I527" i="7"/>
  <c r="I519" i="7"/>
  <c r="I511" i="7"/>
  <c r="I503" i="7"/>
  <c r="I495" i="7"/>
  <c r="I487" i="7"/>
  <c r="I479" i="7"/>
  <c r="I471" i="7"/>
  <c r="I463" i="7"/>
  <c r="Q463" i="7" s="1"/>
  <c r="I455" i="7"/>
  <c r="Q455" i="7" s="1"/>
  <c r="I447" i="7"/>
  <c r="Q447" i="7" s="1"/>
  <c r="I439" i="7"/>
  <c r="Q439" i="7" s="1"/>
  <c r="I431" i="7"/>
  <c r="Q431" i="7" s="1"/>
  <c r="I423" i="7"/>
  <c r="Q423" i="7" s="1"/>
  <c r="J415" i="7"/>
  <c r="J407" i="7"/>
  <c r="J399" i="7"/>
  <c r="J391" i="7"/>
  <c r="J383" i="7"/>
  <c r="J375" i="7"/>
  <c r="J367" i="7"/>
  <c r="J359" i="7"/>
  <c r="J351" i="7"/>
  <c r="J343" i="7"/>
  <c r="J335" i="7"/>
  <c r="J327" i="7"/>
  <c r="J319" i="7"/>
  <c r="J311" i="7"/>
  <c r="J303" i="7"/>
  <c r="J295" i="7"/>
  <c r="J287" i="7"/>
  <c r="J279" i="7"/>
  <c r="J271" i="7"/>
  <c r="J263" i="7"/>
  <c r="J255" i="7"/>
  <c r="J247" i="7"/>
  <c r="J239" i="7"/>
  <c r="J231" i="7"/>
  <c r="J223" i="7"/>
  <c r="I215" i="7"/>
  <c r="Q215" i="7" s="1"/>
  <c r="I207" i="7"/>
  <c r="Q207" i="7" s="1"/>
  <c r="I199" i="7"/>
  <c r="Q199" i="7" s="1"/>
  <c r="I191" i="7"/>
  <c r="Q191" i="7" s="1"/>
  <c r="I183" i="7"/>
  <c r="Q183" i="7" s="1"/>
  <c r="I175" i="7"/>
  <c r="Q175" i="7" s="1"/>
  <c r="I167" i="7"/>
  <c r="Q167" i="7" s="1"/>
  <c r="I159" i="7"/>
  <c r="Q159" i="7" s="1"/>
  <c r="I151" i="7"/>
  <c r="Q151" i="7" s="1"/>
  <c r="I517" i="7"/>
  <c r="I509" i="7"/>
  <c r="I501" i="7"/>
  <c r="I493" i="7"/>
  <c r="I485" i="7"/>
  <c r="Q485" i="7" s="1"/>
  <c r="I477" i="7"/>
  <c r="I469" i="7"/>
  <c r="Q469" i="7" s="1"/>
  <c r="I461" i="7"/>
  <c r="I453" i="7"/>
  <c r="Q453" i="7" s="1"/>
  <c r="I445" i="7"/>
  <c r="Q445" i="7" s="1"/>
  <c r="I437" i="7"/>
  <c r="Q437" i="7" s="1"/>
  <c r="J429" i="7"/>
  <c r="J421" i="7"/>
  <c r="I413" i="7"/>
  <c r="Q413" i="7" s="1"/>
  <c r="I405" i="7"/>
  <c r="Q405" i="7" s="1"/>
  <c r="I397" i="7"/>
  <c r="Q397" i="7" s="1"/>
  <c r="I389" i="7"/>
  <c r="Q389" i="7" s="1"/>
  <c r="I381" i="7"/>
  <c r="Q381" i="7" s="1"/>
  <c r="I373" i="7"/>
  <c r="Q373" i="7" s="1"/>
  <c r="I365" i="7"/>
  <c r="Q365" i="7" s="1"/>
  <c r="I357" i="7"/>
  <c r="Q357" i="7" s="1"/>
  <c r="I349" i="7"/>
  <c r="Q349" i="7" s="1"/>
  <c r="I341" i="7"/>
  <c r="Q341" i="7" s="1"/>
  <c r="I333" i="7"/>
  <c r="Q333" i="7" s="1"/>
  <c r="I325" i="7"/>
  <c r="Q325" i="7" s="1"/>
  <c r="I317" i="7"/>
  <c r="Q317" i="7" s="1"/>
  <c r="I309" i="7"/>
  <c r="Q309" i="7" s="1"/>
  <c r="I301" i="7"/>
  <c r="Q301" i="7" s="1"/>
  <c r="I293" i="7"/>
  <c r="Q293" i="7" s="1"/>
  <c r="I285" i="7"/>
  <c r="Q285" i="7" s="1"/>
  <c r="J277" i="7"/>
  <c r="J269" i="7"/>
  <c r="I261" i="7"/>
  <c r="Q261" i="7" s="1"/>
  <c r="I253" i="7"/>
  <c r="Q253" i="7" s="1"/>
  <c r="I245" i="7"/>
  <c r="Q245" i="7" s="1"/>
  <c r="I237" i="7"/>
  <c r="Q237" i="7" s="1"/>
  <c r="I229" i="7"/>
  <c r="Q229" i="7" s="1"/>
  <c r="I221" i="7"/>
  <c r="Q221" i="7" s="1"/>
  <c r="I213" i="7"/>
  <c r="Q213" i="7" s="1"/>
  <c r="I205" i="7"/>
  <c r="Q205" i="7" s="1"/>
  <c r="I197" i="7"/>
  <c r="Q197" i="7" s="1"/>
  <c r="I189" i="7"/>
  <c r="Q189" i="7" s="1"/>
  <c r="I181" i="7"/>
  <c r="Q181" i="7" s="1"/>
  <c r="I173" i="7"/>
  <c r="Q173" i="7" s="1"/>
  <c r="I165" i="7"/>
  <c r="Q165" i="7" s="1"/>
  <c r="I157" i="7"/>
  <c r="Q157" i="7" s="1"/>
  <c r="I149" i="7"/>
  <c r="Q149" i="7" s="1"/>
  <c r="I141" i="7"/>
  <c r="Q141" i="7" s="1"/>
  <c r="I133" i="7"/>
  <c r="Q133" i="7" s="1"/>
  <c r="I125" i="7"/>
  <c r="Q125" i="7" s="1"/>
  <c r="I117" i="7"/>
  <c r="Q117" i="7" s="1"/>
  <c r="I109" i="7"/>
  <c r="Q109" i="7" s="1"/>
  <c r="I101" i="7"/>
  <c r="Q101" i="7" s="1"/>
  <c r="I93" i="7"/>
  <c r="Q93" i="7" s="1"/>
  <c r="I85" i="7"/>
  <c r="Q85" i="7" s="1"/>
  <c r="J77" i="7"/>
  <c r="I69" i="7"/>
  <c r="Q69" i="7" s="1"/>
  <c r="I61" i="7"/>
  <c r="Q61" i="7" s="1"/>
  <c r="I53" i="7"/>
  <c r="Q53" i="7" s="1"/>
  <c r="J45" i="7"/>
  <c r="I37" i="7"/>
  <c r="Q37" i="7" s="1"/>
  <c r="I29" i="7"/>
  <c r="Q29" i="7" s="1"/>
  <c r="J21" i="7"/>
  <c r="I13" i="7"/>
  <c r="I5" i="7"/>
  <c r="I828" i="7"/>
  <c r="I820" i="7"/>
  <c r="I812" i="7"/>
  <c r="I804" i="7"/>
  <c r="I796" i="7"/>
  <c r="I788" i="7"/>
  <c r="I780" i="7"/>
  <c r="I772" i="7"/>
  <c r="J764" i="7"/>
  <c r="J756" i="7"/>
  <c r="J748" i="7"/>
  <c r="J740" i="7"/>
  <c r="J732" i="7"/>
  <c r="J724" i="7"/>
  <c r="J716" i="7"/>
  <c r="J708" i="7"/>
  <c r="J700" i="7"/>
  <c r="J692" i="7"/>
  <c r="J684" i="7"/>
  <c r="J676" i="7"/>
  <c r="J668" i="7"/>
  <c r="J660" i="7"/>
  <c r="J652" i="7"/>
  <c r="J644" i="7"/>
  <c r="J636" i="7"/>
  <c r="J628" i="7"/>
  <c r="J620" i="7"/>
  <c r="J612" i="7"/>
  <c r="J604" i="7"/>
  <c r="J596" i="7"/>
  <c r="J588" i="7"/>
  <c r="J580" i="7"/>
  <c r="J572" i="7"/>
  <c r="J564" i="7"/>
  <c r="J556" i="7"/>
  <c r="J548" i="7"/>
  <c r="J540" i="7"/>
  <c r="I532" i="7"/>
  <c r="I524" i="7"/>
  <c r="I516" i="7"/>
  <c r="I508" i="7"/>
  <c r="I500" i="7"/>
  <c r="I492" i="7"/>
  <c r="I484" i="7"/>
  <c r="I476" i="7"/>
  <c r="I468" i="7"/>
  <c r="I460" i="7"/>
  <c r="Q460" i="7" s="1"/>
  <c r="I452" i="7"/>
  <c r="Q452" i="7" s="1"/>
  <c r="I444" i="7"/>
  <c r="Q444" i="7" s="1"/>
  <c r="I436" i="7"/>
  <c r="Q436" i="7" s="1"/>
  <c r="J428" i="7"/>
  <c r="J420" i="7"/>
  <c r="I412" i="7"/>
  <c r="Q412" i="7" s="1"/>
  <c r="I404" i="7"/>
  <c r="Q404" i="7" s="1"/>
  <c r="I396" i="7"/>
  <c r="Q396" i="7" s="1"/>
  <c r="I388" i="7"/>
  <c r="Q388" i="7" s="1"/>
  <c r="I380" i="7"/>
  <c r="Q380" i="7" s="1"/>
  <c r="I372" i="7"/>
  <c r="Q372" i="7" s="1"/>
  <c r="I364" i="7"/>
  <c r="Q364" i="7" s="1"/>
  <c r="I356" i="7"/>
  <c r="Q356" i="7" s="1"/>
  <c r="I348" i="7"/>
  <c r="Q348" i="7" s="1"/>
  <c r="I340" i="7"/>
  <c r="Q340" i="7" s="1"/>
  <c r="I332" i="7"/>
  <c r="Q332" i="7" s="1"/>
  <c r="I324" i="7"/>
  <c r="Q324" i="7" s="1"/>
  <c r="I316" i="7"/>
  <c r="Q316" i="7" s="1"/>
  <c r="I308" i="7"/>
  <c r="Q308" i="7" s="1"/>
  <c r="I300" i="7"/>
  <c r="Q300" i="7" s="1"/>
  <c r="I292" i="7"/>
  <c r="Q292" i="7" s="1"/>
  <c r="I284" i="7"/>
  <c r="Q284" i="7" s="1"/>
  <c r="I276" i="7"/>
  <c r="Q276" i="7" s="1"/>
  <c r="I268" i="7"/>
  <c r="Q268" i="7" s="1"/>
  <c r="I260" i="7"/>
  <c r="Q260" i="7" s="1"/>
  <c r="I252" i="7"/>
  <c r="Q252" i="7" s="1"/>
  <c r="I244" i="7"/>
  <c r="Q244" i="7" s="1"/>
  <c r="I236" i="7"/>
  <c r="Q236" i="7" s="1"/>
  <c r="I228" i="7"/>
  <c r="Q228" i="7" s="1"/>
  <c r="I220" i="7"/>
  <c r="Q220" i="7" s="1"/>
  <c r="I212" i="7"/>
  <c r="Q212" i="7" s="1"/>
  <c r="I204" i="7"/>
  <c r="Q204" i="7" s="1"/>
  <c r="I196" i="7"/>
  <c r="Q196" i="7" s="1"/>
  <c r="I188" i="7"/>
  <c r="Q188" i="7" s="1"/>
  <c r="I180" i="7"/>
  <c r="Q180" i="7" s="1"/>
  <c r="I172" i="7"/>
  <c r="Q172" i="7" s="1"/>
  <c r="I164" i="7"/>
  <c r="Q164" i="7" s="1"/>
  <c r="I156" i="7"/>
  <c r="Q156" i="7" s="1"/>
  <c r="I148" i="7"/>
  <c r="Q148" i="7" s="1"/>
  <c r="I140" i="7"/>
  <c r="Q140" i="7" s="1"/>
  <c r="I132" i="7"/>
  <c r="Q132" i="7" s="1"/>
  <c r="I124" i="7"/>
  <c r="Q124" i="7" s="1"/>
  <c r="I116" i="7"/>
  <c r="Q116" i="7" s="1"/>
  <c r="I108" i="7"/>
  <c r="Q108" i="7" s="1"/>
  <c r="I100" i="7"/>
  <c r="Q100" i="7" s="1"/>
  <c r="J92" i="7"/>
  <c r="Q92" i="7" s="1"/>
  <c r="I84" i="7"/>
  <c r="Q84" i="7" s="1"/>
  <c r="I76" i="7"/>
  <c r="Q76" i="7" s="1"/>
  <c r="J68" i="7"/>
  <c r="I60" i="7"/>
  <c r="Q60" i="7" s="1"/>
  <c r="I52" i="7"/>
  <c r="Q52" i="7" s="1"/>
  <c r="I44" i="7"/>
  <c r="Q44" i="7" s="1"/>
  <c r="I36" i="7"/>
  <c r="Q36" i="7" s="1"/>
  <c r="I28" i="7"/>
  <c r="Q28" i="7" s="1"/>
  <c r="J20" i="7"/>
  <c r="I12" i="7"/>
  <c r="I4" i="7"/>
  <c r="I827" i="7"/>
  <c r="I819" i="7"/>
  <c r="I811" i="7"/>
  <c r="I803" i="7"/>
  <c r="I795" i="7"/>
  <c r="I787" i="7"/>
  <c r="I779" i="7"/>
  <c r="I771" i="7"/>
  <c r="J763" i="7"/>
  <c r="J755" i="7"/>
  <c r="J747" i="7"/>
  <c r="J739" i="7"/>
  <c r="J731" i="7"/>
  <c r="J723" i="7"/>
  <c r="J715" i="7"/>
  <c r="J707" i="7"/>
  <c r="J699" i="7"/>
  <c r="J691" i="7"/>
  <c r="J683" i="7"/>
  <c r="J675" i="7"/>
  <c r="J667" i="7"/>
  <c r="I659" i="7"/>
  <c r="I651" i="7"/>
  <c r="I643" i="7"/>
  <c r="I635" i="7"/>
  <c r="I627" i="7"/>
  <c r="I619" i="7"/>
  <c r="I611" i="7"/>
  <c r="I603" i="7"/>
  <c r="I595" i="7"/>
  <c r="I587" i="7"/>
  <c r="I579" i="7"/>
  <c r="I571" i="7"/>
  <c r="I563" i="7"/>
  <c r="I555" i="7"/>
  <c r="J547" i="7"/>
  <c r="J539" i="7"/>
  <c r="J531" i="7"/>
  <c r="J523" i="7"/>
  <c r="J515" i="7"/>
  <c r="J507" i="7"/>
  <c r="J499" i="7"/>
  <c r="J491" i="7"/>
  <c r="J483" i="7"/>
  <c r="J475" i="7"/>
  <c r="J467" i="7"/>
  <c r="J459" i="7"/>
  <c r="J451" i="7"/>
  <c r="J443" i="7"/>
  <c r="J435" i="7"/>
  <c r="Q435" i="7" s="1"/>
  <c r="J427" i="7"/>
  <c r="Q427" i="7" s="1"/>
  <c r="J419" i="7"/>
  <c r="Q419" i="7" s="1"/>
  <c r="I411" i="7"/>
  <c r="Q411" i="7" s="1"/>
  <c r="I403" i="7"/>
  <c r="Q403" i="7" s="1"/>
  <c r="I395" i="7"/>
  <c r="Q395" i="7" s="1"/>
  <c r="I387" i="7"/>
  <c r="Q387" i="7" s="1"/>
  <c r="I379" i="7"/>
  <c r="Q379" i="7" s="1"/>
  <c r="I371" i="7"/>
  <c r="Q371" i="7" s="1"/>
  <c r="I363" i="7"/>
  <c r="Q363" i="7" s="1"/>
  <c r="I355" i="7"/>
  <c r="Q355" i="7" s="1"/>
  <c r="I347" i="7"/>
  <c r="Q347" i="7" s="1"/>
  <c r="I339" i="7"/>
  <c r="Q339" i="7" s="1"/>
  <c r="I331" i="7"/>
  <c r="Q331" i="7" s="1"/>
  <c r="I323" i="7"/>
  <c r="Q323" i="7" s="1"/>
  <c r="I315" i="7"/>
  <c r="Q315" i="7" s="1"/>
  <c r="I307" i="7"/>
  <c r="Q307" i="7" s="1"/>
  <c r="I299" i="7"/>
  <c r="Q299" i="7" s="1"/>
  <c r="I291" i="7"/>
  <c r="Q291" i="7" s="1"/>
  <c r="I283" i="7"/>
  <c r="Q283" i="7" s="1"/>
  <c r="I275" i="7"/>
  <c r="Q275" i="7" s="1"/>
  <c r="I267" i="7"/>
  <c r="Q267" i="7" s="1"/>
  <c r="I259" i="7"/>
  <c r="Q259" i="7" s="1"/>
  <c r="I251" i="7"/>
  <c r="Q251" i="7" s="1"/>
  <c r="I243" i="7"/>
  <c r="Q243" i="7" s="1"/>
  <c r="I235" i="7"/>
  <c r="Q235" i="7" s="1"/>
  <c r="I227" i="7"/>
  <c r="Q227" i="7" s="1"/>
  <c r="I219" i="7"/>
  <c r="Q219" i="7" s="1"/>
  <c r="J211" i="7"/>
  <c r="J203" i="7"/>
  <c r="J195" i="7"/>
  <c r="J187" i="7"/>
  <c r="J179" i="7"/>
  <c r="J171" i="7"/>
  <c r="J163" i="7"/>
  <c r="J155" i="7"/>
  <c r="J147" i="7"/>
  <c r="I143" i="7"/>
  <c r="I135" i="7"/>
  <c r="I127" i="7"/>
  <c r="I119" i="7"/>
  <c r="I111" i="7"/>
  <c r="I103" i="7"/>
  <c r="J95" i="7"/>
  <c r="J87" i="7"/>
  <c r="J79" i="7"/>
  <c r="I71" i="7"/>
  <c r="J63" i="7"/>
  <c r="J55" i="7"/>
  <c r="J47" i="7"/>
  <c r="I39" i="7"/>
  <c r="J31" i="7"/>
  <c r="J23" i="7"/>
  <c r="I15" i="7"/>
  <c r="J7" i="7"/>
  <c r="G8" i="10" s="1"/>
  <c r="M830" i="7"/>
  <c r="K826" i="7"/>
  <c r="N826" i="7"/>
  <c r="K822" i="7"/>
  <c r="N818" i="7"/>
  <c r="O814" i="7"/>
  <c r="M810" i="7"/>
  <c r="O810" i="7"/>
  <c r="K806" i="7"/>
  <c r="N802" i="7"/>
  <c r="O798" i="7"/>
  <c r="M794" i="7"/>
  <c r="O794" i="7"/>
  <c r="K790" i="7"/>
  <c r="N786" i="7"/>
  <c r="O782" i="7"/>
  <c r="M778" i="7"/>
  <c r="O778" i="7"/>
  <c r="K774" i="7"/>
  <c r="N770" i="7"/>
  <c r="O766" i="7"/>
  <c r="M762" i="7"/>
  <c r="O762" i="7"/>
  <c r="K758" i="7"/>
  <c r="O754" i="7"/>
  <c r="M750" i="7"/>
  <c r="K746" i="7"/>
  <c r="N746" i="7"/>
  <c r="L742" i="7"/>
  <c r="L738" i="7"/>
  <c r="O734" i="7"/>
  <c r="M730" i="7"/>
  <c r="O730" i="7"/>
  <c r="O726" i="7"/>
  <c r="K722" i="7"/>
  <c r="N718" i="7"/>
  <c r="O714" i="7"/>
  <c r="L714" i="7"/>
  <c r="O710" i="7"/>
  <c r="K706" i="7"/>
  <c r="N702" i="7"/>
  <c r="O698" i="7"/>
  <c r="L698" i="7"/>
  <c r="O694" i="7"/>
  <c r="K690" i="7"/>
  <c r="N686" i="7"/>
  <c r="O682" i="7"/>
  <c r="L682" i="7"/>
  <c r="O678" i="7"/>
  <c r="K674" i="7"/>
  <c r="N670" i="7"/>
  <c r="O666" i="7"/>
  <c r="L666" i="7"/>
  <c r="O662" i="7"/>
  <c r="K658" i="7"/>
  <c r="N654" i="7"/>
  <c r="L650" i="7"/>
  <c r="M650" i="7"/>
  <c r="L646" i="7"/>
  <c r="L642" i="7"/>
  <c r="N638" i="7"/>
  <c r="O634" i="7"/>
  <c r="L634" i="7"/>
  <c r="O630" i="7"/>
  <c r="K626" i="7"/>
  <c r="N622" i="7"/>
  <c r="O618" i="7"/>
  <c r="L618" i="7"/>
  <c r="O614" i="7"/>
  <c r="K610" i="7"/>
  <c r="N606" i="7"/>
  <c r="O602" i="7"/>
  <c r="L602" i="7"/>
  <c r="O598" i="7"/>
  <c r="K594" i="7"/>
  <c r="N590" i="7"/>
  <c r="O586" i="7"/>
  <c r="K586" i="7"/>
  <c r="M582" i="7"/>
  <c r="K578" i="7"/>
  <c r="N574" i="7"/>
  <c r="O570" i="7"/>
  <c r="L566" i="7"/>
  <c r="N558" i="7"/>
  <c r="L550" i="7"/>
  <c r="L534" i="7"/>
  <c r="L518" i="7"/>
  <c r="L502" i="7"/>
  <c r="N486" i="7"/>
  <c r="N833" i="7"/>
  <c r="L829" i="7"/>
  <c r="O829" i="7"/>
  <c r="M825" i="7"/>
  <c r="O821" i="7"/>
  <c r="K817" i="7"/>
  <c r="N813" i="7"/>
  <c r="K813" i="7"/>
  <c r="L809" i="7"/>
  <c r="O805" i="7"/>
  <c r="K801" i="7"/>
  <c r="N797" i="7"/>
  <c r="K797" i="7"/>
  <c r="L793" i="7"/>
  <c r="O789" i="7"/>
  <c r="K785" i="7"/>
  <c r="N781" i="7"/>
  <c r="K781" i="7"/>
  <c r="L777" i="7"/>
  <c r="O773" i="7"/>
  <c r="J139" i="7"/>
  <c r="J131" i="7"/>
  <c r="J123" i="7"/>
  <c r="J115" i="7"/>
  <c r="J107" i="7"/>
  <c r="J99" i="7"/>
  <c r="J91" i="7"/>
  <c r="I83" i="7"/>
  <c r="J75" i="7"/>
  <c r="I67" i="7"/>
  <c r="I59" i="7"/>
  <c r="I51" i="7"/>
  <c r="I43" i="7"/>
  <c r="I35" i="7"/>
  <c r="I27" i="7"/>
  <c r="I19" i="7"/>
  <c r="I11" i="7"/>
  <c r="I3" i="7"/>
  <c r="O830" i="7"/>
  <c r="M826" i="7"/>
  <c r="L822" i="7"/>
  <c r="N822" i="7"/>
  <c r="L818" i="7"/>
  <c r="M814" i="7"/>
  <c r="K810" i="7"/>
  <c r="L806" i="7"/>
  <c r="N806" i="7"/>
  <c r="L802" i="7"/>
  <c r="M798" i="7"/>
  <c r="K794" i="7"/>
  <c r="L790" i="7"/>
  <c r="N790" i="7"/>
  <c r="L786" i="7"/>
  <c r="M782" i="7"/>
  <c r="K778" i="7"/>
  <c r="L774" i="7"/>
  <c r="N774" i="7"/>
  <c r="L770" i="7"/>
  <c r="M766" i="7"/>
  <c r="K762" i="7"/>
  <c r="L758" i="7"/>
  <c r="N758" i="7"/>
  <c r="L754" i="7"/>
  <c r="O750" i="7"/>
  <c r="M746" i="7"/>
  <c r="O742" i="7"/>
  <c r="N742" i="7"/>
  <c r="M738" i="7"/>
  <c r="M734" i="7"/>
  <c r="K730" i="7"/>
  <c r="K726" i="7"/>
  <c r="M726" i="7"/>
  <c r="N722" i="7"/>
  <c r="L718" i="7"/>
  <c r="M714" i="7"/>
  <c r="K710" i="7"/>
  <c r="M710" i="7"/>
  <c r="N706" i="7"/>
  <c r="L702" i="7"/>
  <c r="M698" i="7"/>
  <c r="K694" i="7"/>
  <c r="M694" i="7"/>
  <c r="N690" i="7"/>
  <c r="L686" i="7"/>
  <c r="M682" i="7"/>
  <c r="K678" i="7"/>
  <c r="M678" i="7"/>
  <c r="N674" i="7"/>
  <c r="L670" i="7"/>
  <c r="M666" i="7"/>
  <c r="L662" i="7"/>
  <c r="M662" i="7"/>
  <c r="O658" i="7"/>
  <c r="K654" i="7"/>
  <c r="N650" i="7"/>
  <c r="O646" i="7"/>
  <c r="N646" i="7"/>
  <c r="M642" i="7"/>
  <c r="L638" i="7"/>
  <c r="M634" i="7"/>
  <c r="K630" i="7"/>
  <c r="M630" i="7"/>
  <c r="N626" i="7"/>
  <c r="L622" i="7"/>
  <c r="M618" i="7"/>
  <c r="K614" i="7"/>
  <c r="M614" i="7"/>
  <c r="N610" i="7"/>
  <c r="L606" i="7"/>
  <c r="M602" i="7"/>
  <c r="K598" i="7"/>
  <c r="M598" i="7"/>
  <c r="N594" i="7"/>
  <c r="L590" i="7"/>
  <c r="M586" i="7"/>
  <c r="K582" i="7"/>
  <c r="O582" i="7"/>
  <c r="L578" i="7"/>
  <c r="L574" i="7"/>
  <c r="M570" i="7"/>
  <c r="O562" i="7"/>
  <c r="L558" i="7"/>
  <c r="M546" i="7"/>
  <c r="M530" i="7"/>
  <c r="M514" i="7"/>
  <c r="M498" i="7"/>
  <c r="M474" i="7"/>
  <c r="K833" i="7"/>
  <c r="N829" i="7"/>
  <c r="L825" i="7"/>
  <c r="O825" i="7"/>
  <c r="M821" i="7"/>
  <c r="N817" i="7"/>
  <c r="L813" i="7"/>
  <c r="M809" i="7"/>
  <c r="O809" i="7"/>
  <c r="M805" i="7"/>
  <c r="N801" i="7"/>
  <c r="L797" i="7"/>
  <c r="M793" i="7"/>
  <c r="O793" i="7"/>
  <c r="M789" i="7"/>
  <c r="N785" i="7"/>
  <c r="L781" i="7"/>
  <c r="M777" i="7"/>
  <c r="O777" i="7"/>
  <c r="M773" i="7"/>
  <c r="I147" i="7"/>
  <c r="Q147" i="7" s="1"/>
  <c r="I139" i="7"/>
  <c r="Q139" i="7" s="1"/>
  <c r="I131" i="7"/>
  <c r="Q131" i="7" s="1"/>
  <c r="I123" i="7"/>
  <c r="Q123" i="7" s="1"/>
  <c r="I115" i="7"/>
  <c r="Q115" i="7" s="1"/>
  <c r="I107" i="7"/>
  <c r="Q107" i="7" s="1"/>
  <c r="I99" i="7"/>
  <c r="Q99" i="7" s="1"/>
  <c r="I91" i="7"/>
  <c r="Q91" i="7" s="1"/>
  <c r="J83" i="7"/>
  <c r="I75" i="7"/>
  <c r="J67" i="7"/>
  <c r="J59" i="7"/>
  <c r="J51" i="7"/>
  <c r="J43" i="7"/>
  <c r="J35" i="7"/>
  <c r="J27" i="7"/>
  <c r="J19" i="7"/>
  <c r="J11" i="7"/>
  <c r="G12" i="10" s="1"/>
  <c r="J3" i="7"/>
  <c r="G4" i="10" s="1"/>
  <c r="G15" i="10" s="1"/>
  <c r="L830" i="7"/>
  <c r="O826" i="7"/>
  <c r="O822" i="7"/>
  <c r="M818" i="7"/>
  <c r="O818" i="7"/>
  <c r="K814" i="7"/>
  <c r="N810" i="7"/>
  <c r="O806" i="7"/>
  <c r="M802" i="7"/>
  <c r="O802" i="7"/>
  <c r="K798" i="7"/>
  <c r="N794" i="7"/>
  <c r="O790" i="7"/>
  <c r="M786" i="7"/>
  <c r="O786" i="7"/>
  <c r="K782" i="7"/>
  <c r="N778" i="7"/>
  <c r="O774" i="7"/>
  <c r="M770" i="7"/>
  <c r="O770" i="7"/>
  <c r="K766" i="7"/>
  <c r="N762" i="7"/>
  <c r="O758" i="7"/>
  <c r="K754" i="7"/>
  <c r="N754" i="7"/>
  <c r="L750" i="7"/>
  <c r="O746" i="7"/>
  <c r="M742" i="7"/>
  <c r="K738" i="7"/>
  <c r="O738" i="7"/>
  <c r="K734" i="7"/>
  <c r="N730" i="7"/>
  <c r="N726" i="7"/>
  <c r="O722" i="7"/>
  <c r="L722" i="7"/>
  <c r="O718" i="7"/>
  <c r="K714" i="7"/>
  <c r="N710" i="7"/>
  <c r="O706" i="7"/>
  <c r="L706" i="7"/>
  <c r="O702" i="7"/>
  <c r="K698" i="7"/>
  <c r="N694" i="7"/>
  <c r="O690" i="7"/>
  <c r="L690" i="7"/>
  <c r="O686" i="7"/>
  <c r="K682" i="7"/>
  <c r="N678" i="7"/>
  <c r="O674" i="7"/>
  <c r="L674" i="7"/>
  <c r="O670" i="7"/>
  <c r="K666" i="7"/>
  <c r="N662" i="7"/>
  <c r="L658" i="7"/>
  <c r="M658" i="7"/>
  <c r="O654" i="7"/>
  <c r="K650" i="7"/>
  <c r="M646" i="7"/>
  <c r="K642" i="7"/>
  <c r="O642" i="7"/>
  <c r="O638" i="7"/>
  <c r="K634" i="7"/>
  <c r="N630" i="7"/>
  <c r="O626" i="7"/>
  <c r="L626" i="7"/>
  <c r="O622" i="7"/>
  <c r="K618" i="7"/>
  <c r="N614" i="7"/>
  <c r="O610" i="7"/>
  <c r="L610" i="7"/>
  <c r="O606" i="7"/>
  <c r="K602" i="7"/>
  <c r="N598" i="7"/>
  <c r="O594" i="7"/>
  <c r="L594" i="7"/>
  <c r="M590" i="7"/>
  <c r="L586" i="7"/>
  <c r="N582" i="7"/>
  <c r="O578" i="7"/>
  <c r="N578" i="7"/>
  <c r="M574" i="7"/>
  <c r="K566" i="7"/>
  <c r="M562" i="7"/>
  <c r="O554" i="7"/>
  <c r="L542" i="7"/>
  <c r="L526" i="7"/>
  <c r="L510" i="7"/>
  <c r="L494" i="7"/>
  <c r="L470" i="7"/>
  <c r="M833" i="7"/>
  <c r="K829" i="7"/>
  <c r="N825" i="7"/>
  <c r="N821" i="7"/>
  <c r="K821" i="7"/>
  <c r="L817" i="7"/>
  <c r="O813" i="7"/>
  <c r="K809" i="7"/>
  <c r="N805" i="7"/>
  <c r="K805" i="7"/>
  <c r="L801" i="7"/>
  <c r="O797" i="7"/>
  <c r="K793" i="7"/>
  <c r="N789" i="7"/>
  <c r="K789" i="7"/>
  <c r="L785" i="7"/>
  <c r="O781" i="7"/>
  <c r="K777" i="7"/>
  <c r="N773" i="7"/>
  <c r="K773" i="7"/>
  <c r="J143" i="7"/>
  <c r="J135" i="7"/>
  <c r="J127" i="7"/>
  <c r="J119" i="7"/>
  <c r="J111" i="7"/>
  <c r="J103" i="7"/>
  <c r="I95" i="7"/>
  <c r="Q95" i="7" s="1"/>
  <c r="I87" i="7"/>
  <c r="Q87" i="7" s="1"/>
  <c r="I79" i="7"/>
  <c r="Q79" i="7" s="1"/>
  <c r="J71" i="7"/>
  <c r="I63" i="7"/>
  <c r="Q63" i="7" s="1"/>
  <c r="I55" i="7"/>
  <c r="Q55" i="7" s="1"/>
  <c r="I47" i="7"/>
  <c r="Q47" i="7" s="1"/>
  <c r="J39" i="7"/>
  <c r="I31" i="7"/>
  <c r="Q31" i="7" s="1"/>
  <c r="I23" i="7"/>
  <c r="Q23" i="7" s="1"/>
  <c r="J15" i="7"/>
  <c r="I7" i="7"/>
  <c r="K830" i="7"/>
  <c r="N830" i="7"/>
  <c r="L826" i="7"/>
  <c r="M822" i="7"/>
  <c r="K818" i="7"/>
  <c r="L814" i="7"/>
  <c r="N814" i="7"/>
  <c r="L810" i="7"/>
  <c r="M806" i="7"/>
  <c r="K802" i="7"/>
  <c r="L798" i="7"/>
  <c r="N798" i="7"/>
  <c r="L794" i="7"/>
  <c r="M790" i="7"/>
  <c r="K786" i="7"/>
  <c r="L782" i="7"/>
  <c r="N782" i="7"/>
  <c r="L778" i="7"/>
  <c r="M774" i="7"/>
  <c r="K770" i="7"/>
  <c r="L766" i="7"/>
  <c r="N766" i="7"/>
  <c r="L762" i="7"/>
  <c r="M758" i="7"/>
  <c r="M754" i="7"/>
  <c r="K750" i="7"/>
  <c r="N750" i="7"/>
  <c r="L746" i="7"/>
  <c r="K742" i="7"/>
  <c r="N738" i="7"/>
  <c r="L734" i="7"/>
  <c r="N734" i="7"/>
  <c r="L730" i="7"/>
  <c r="L726" i="7"/>
  <c r="M722" i="7"/>
  <c r="K718" i="7"/>
  <c r="M718" i="7"/>
  <c r="N714" i="7"/>
  <c r="L710" i="7"/>
  <c r="M706" i="7"/>
  <c r="K702" i="7"/>
  <c r="M702" i="7"/>
  <c r="N698" i="7"/>
  <c r="L694" i="7"/>
  <c r="M690" i="7"/>
  <c r="K686" i="7"/>
  <c r="M686" i="7"/>
  <c r="N682" i="7"/>
  <c r="L678" i="7"/>
  <c r="M674" i="7"/>
  <c r="K670" i="7"/>
  <c r="M670" i="7"/>
  <c r="N666" i="7"/>
  <c r="K662" i="7"/>
  <c r="N658" i="7"/>
  <c r="L654" i="7"/>
  <c r="M654" i="7"/>
  <c r="O650" i="7"/>
  <c r="K646" i="7"/>
  <c r="N642" i="7"/>
  <c r="K638" i="7"/>
  <c r="M638" i="7"/>
  <c r="N634" i="7"/>
  <c r="L630" i="7"/>
  <c r="M626" i="7"/>
  <c r="K622" i="7"/>
  <c r="M622" i="7"/>
  <c r="N618" i="7"/>
  <c r="L614" i="7"/>
  <c r="M610" i="7"/>
  <c r="K606" i="7"/>
  <c r="M606" i="7"/>
  <c r="N602" i="7"/>
  <c r="L598" i="7"/>
  <c r="M594" i="7"/>
  <c r="K590" i="7"/>
  <c r="O590" i="7"/>
  <c r="N586" i="7"/>
  <c r="L582" i="7"/>
  <c r="M578" i="7"/>
  <c r="K574" i="7"/>
  <c r="O574" i="7"/>
  <c r="N566" i="7"/>
  <c r="K558" i="7"/>
  <c r="M554" i="7"/>
  <c r="M538" i="7"/>
  <c r="M522" i="7"/>
  <c r="M506" i="7"/>
  <c r="M490" i="7"/>
  <c r="L833" i="7"/>
  <c r="O833" i="7"/>
  <c r="M829" i="7"/>
  <c r="K825" i="7"/>
  <c r="L821" i="7"/>
  <c r="M817" i="7"/>
  <c r="O817" i="7"/>
  <c r="M813" i="7"/>
  <c r="N809" i="7"/>
  <c r="L805" i="7"/>
  <c r="M801" i="7"/>
  <c r="O801" i="7"/>
  <c r="M797" i="7"/>
  <c r="N793" i="7"/>
  <c r="L789" i="7"/>
  <c r="M785" i="7"/>
  <c r="O785" i="7"/>
  <c r="M781" i="7"/>
  <c r="N777" i="7"/>
  <c r="L773" i="7"/>
  <c r="M769" i="7"/>
  <c r="K769" i="7"/>
  <c r="N765" i="7"/>
  <c r="K765" i="7"/>
  <c r="L761" i="7"/>
  <c r="O757" i="7"/>
  <c r="N753" i="7"/>
  <c r="L749" i="7"/>
  <c r="O749" i="7"/>
  <c r="M745" i="7"/>
  <c r="M741" i="7"/>
  <c r="N737" i="7"/>
  <c r="N733" i="7"/>
  <c r="K733" i="7"/>
  <c r="L729" i="7"/>
  <c r="L725" i="7"/>
  <c r="O721" i="7"/>
  <c r="K717" i="7"/>
  <c r="M717" i="7"/>
  <c r="K713" i="7"/>
  <c r="L709" i="7"/>
  <c r="O705" i="7"/>
  <c r="K701" i="7"/>
  <c r="M701" i="7"/>
  <c r="K697" i="7"/>
  <c r="L693" i="7"/>
  <c r="O689" i="7"/>
  <c r="K685" i="7"/>
  <c r="M685" i="7"/>
  <c r="K681" i="7"/>
  <c r="L677" i="7"/>
  <c r="O673" i="7"/>
  <c r="K669" i="7"/>
  <c r="M669" i="7"/>
  <c r="M665" i="7"/>
  <c r="O661" i="7"/>
  <c r="M657" i="7"/>
  <c r="K653" i="7"/>
  <c r="N653" i="7"/>
  <c r="L649" i="7"/>
  <c r="M645" i="7"/>
  <c r="K641" i="7"/>
  <c r="K637" i="7"/>
  <c r="M637" i="7"/>
  <c r="K633" i="7"/>
  <c r="L629" i="7"/>
  <c r="O625" i="7"/>
  <c r="K621" i="7"/>
  <c r="M621" i="7"/>
  <c r="K617" i="7"/>
  <c r="L613" i="7"/>
  <c r="O609" i="7"/>
  <c r="K605" i="7"/>
  <c r="M605" i="7"/>
  <c r="K601" i="7"/>
  <c r="L597" i="7"/>
  <c r="O593" i="7"/>
  <c r="K589" i="7"/>
  <c r="L589" i="7"/>
  <c r="N585" i="7"/>
  <c r="L581" i="7"/>
  <c r="O577" i="7"/>
  <c r="L573" i="7"/>
  <c r="O573" i="7"/>
  <c r="K565" i="7"/>
  <c r="M561" i="7"/>
  <c r="O553" i="7"/>
  <c r="N541" i="7"/>
  <c r="N525" i="7"/>
  <c r="N509" i="7"/>
  <c r="N493" i="7"/>
  <c r="L461" i="7"/>
  <c r="L832" i="7"/>
  <c r="O828" i="7"/>
  <c r="M824" i="7"/>
  <c r="K820" i="7"/>
  <c r="M820" i="7"/>
  <c r="N816" i="7"/>
  <c r="L812" i="7"/>
  <c r="M808" i="7"/>
  <c r="K804" i="7"/>
  <c r="M804" i="7"/>
  <c r="N800" i="7"/>
  <c r="L796" i="7"/>
  <c r="M792" i="7"/>
  <c r="K788" i="7"/>
  <c r="M788" i="7"/>
  <c r="N784" i="7"/>
  <c r="L780" i="7"/>
  <c r="M776" i="7"/>
  <c r="K772" i="7"/>
  <c r="M772" i="7"/>
  <c r="N768" i="7"/>
  <c r="L764" i="7"/>
  <c r="M760" i="7"/>
  <c r="K756" i="7"/>
  <c r="L756" i="7"/>
  <c r="N752" i="7"/>
  <c r="O748" i="7"/>
  <c r="K744" i="7"/>
  <c r="L740" i="7"/>
  <c r="M740" i="7"/>
  <c r="N736" i="7"/>
  <c r="L732" i="7"/>
  <c r="M728" i="7"/>
  <c r="M724" i="7"/>
  <c r="O724" i="7"/>
  <c r="K720" i="7"/>
  <c r="N716" i="7"/>
  <c r="O712" i="7"/>
  <c r="M708" i="7"/>
  <c r="O708" i="7"/>
  <c r="K704" i="7"/>
  <c r="N700" i="7"/>
  <c r="O696" i="7"/>
  <c r="M692" i="7"/>
  <c r="O692" i="7"/>
  <c r="K688" i="7"/>
  <c r="N684" i="7"/>
  <c r="O680" i="7"/>
  <c r="M676" i="7"/>
  <c r="O676" i="7"/>
  <c r="K672" i="7"/>
  <c r="N668" i="7"/>
  <c r="N664" i="7"/>
  <c r="L660" i="7"/>
  <c r="O660" i="7"/>
  <c r="K656" i="7"/>
  <c r="N769" i="7"/>
  <c r="L765" i="7"/>
  <c r="M761" i="7"/>
  <c r="O761" i="7"/>
  <c r="M757" i="7"/>
  <c r="M753" i="7"/>
  <c r="N749" i="7"/>
  <c r="K745" i="7"/>
  <c r="O745" i="7"/>
  <c r="N741" i="7"/>
  <c r="M737" i="7"/>
  <c r="L733" i="7"/>
  <c r="M729" i="7"/>
  <c r="O729" i="7"/>
  <c r="O725" i="7"/>
  <c r="M721" i="7"/>
  <c r="N717" i="7"/>
  <c r="L713" i="7"/>
  <c r="N713" i="7"/>
  <c r="O709" i="7"/>
  <c r="M705" i="7"/>
  <c r="N701" i="7"/>
  <c r="L697" i="7"/>
  <c r="N697" i="7"/>
  <c r="O693" i="7"/>
  <c r="M689" i="7"/>
  <c r="N685" i="7"/>
  <c r="L681" i="7"/>
  <c r="N681" i="7"/>
  <c r="O677" i="7"/>
  <c r="M673" i="7"/>
  <c r="N669" i="7"/>
  <c r="K665" i="7"/>
  <c r="N665" i="7"/>
  <c r="L661" i="7"/>
  <c r="O657" i="7"/>
  <c r="M653" i="7"/>
  <c r="K649" i="7"/>
  <c r="N649" i="7"/>
  <c r="N645" i="7"/>
  <c r="N641" i="7"/>
  <c r="N637" i="7"/>
  <c r="L633" i="7"/>
  <c r="N633" i="7"/>
  <c r="O629" i="7"/>
  <c r="M625" i="7"/>
  <c r="N621" i="7"/>
  <c r="L617" i="7"/>
  <c r="N617" i="7"/>
  <c r="O613" i="7"/>
  <c r="M609" i="7"/>
  <c r="N605" i="7"/>
  <c r="L601" i="7"/>
  <c r="N601" i="7"/>
  <c r="O597" i="7"/>
  <c r="M593" i="7"/>
  <c r="N589" i="7"/>
  <c r="L585" i="7"/>
  <c r="K585" i="7"/>
  <c r="M581" i="7"/>
  <c r="M577" i="7"/>
  <c r="K573" i="7"/>
  <c r="L569" i="7"/>
  <c r="N565" i="7"/>
  <c r="K557" i="7"/>
  <c r="M553" i="7"/>
  <c r="M537" i="7"/>
  <c r="M521" i="7"/>
  <c r="M505" i="7"/>
  <c r="M489" i="7"/>
  <c r="K832" i="7"/>
  <c r="N832" i="7"/>
  <c r="L828" i="7"/>
  <c r="K824" i="7"/>
  <c r="N820" i="7"/>
  <c r="O816" i="7"/>
  <c r="L816" i="7"/>
  <c r="O812" i="7"/>
  <c r="K808" i="7"/>
  <c r="N804" i="7"/>
  <c r="O800" i="7"/>
  <c r="L800" i="7"/>
  <c r="O796" i="7"/>
  <c r="K792" i="7"/>
  <c r="N788" i="7"/>
  <c r="O784" i="7"/>
  <c r="L784" i="7"/>
  <c r="O780" i="7"/>
  <c r="K776" i="7"/>
  <c r="N772" i="7"/>
  <c r="O768" i="7"/>
  <c r="L768" i="7"/>
  <c r="O764" i="7"/>
  <c r="K760" i="7"/>
  <c r="M756" i="7"/>
  <c r="K752" i="7"/>
  <c r="L752" i="7"/>
  <c r="N748" i="7"/>
  <c r="N744" i="7"/>
  <c r="O740" i="7"/>
  <c r="O736" i="7"/>
  <c r="L736" i="7"/>
  <c r="O732" i="7"/>
  <c r="K728" i="7"/>
  <c r="K724" i="7"/>
  <c r="L720" i="7"/>
  <c r="N720" i="7"/>
  <c r="L716" i="7"/>
  <c r="M712" i="7"/>
  <c r="K708" i="7"/>
  <c r="L704" i="7"/>
  <c r="N704" i="7"/>
  <c r="L700" i="7"/>
  <c r="M696" i="7"/>
  <c r="K692" i="7"/>
  <c r="L688" i="7"/>
  <c r="N688" i="7"/>
  <c r="L684" i="7"/>
  <c r="M680" i="7"/>
  <c r="K676" i="7"/>
  <c r="L672" i="7"/>
  <c r="N672" i="7"/>
  <c r="L668" i="7"/>
  <c r="M664" i="7"/>
  <c r="N660" i="7"/>
  <c r="L656" i="7"/>
  <c r="O656" i="7"/>
  <c r="L769" i="7"/>
  <c r="O765" i="7"/>
  <c r="K761" i="7"/>
  <c r="N757" i="7"/>
  <c r="K757" i="7"/>
  <c r="K753" i="7"/>
  <c r="M749" i="7"/>
  <c r="N745" i="7"/>
  <c r="L741" i="7"/>
  <c r="K741" i="7"/>
  <c r="O737" i="7"/>
  <c r="O733" i="7"/>
  <c r="K729" i="7"/>
  <c r="K725" i="7"/>
  <c r="M725" i="7"/>
  <c r="K721" i="7"/>
  <c r="L717" i="7"/>
  <c r="O713" i="7"/>
  <c r="K709" i="7"/>
  <c r="M709" i="7"/>
  <c r="K705" i="7"/>
  <c r="L701" i="7"/>
  <c r="O697" i="7"/>
  <c r="K693" i="7"/>
  <c r="M693" i="7"/>
  <c r="K689" i="7"/>
  <c r="L685" i="7"/>
  <c r="O681" i="7"/>
  <c r="K677" i="7"/>
  <c r="M677" i="7"/>
  <c r="K673" i="7"/>
  <c r="L669" i="7"/>
  <c r="L665" i="7"/>
  <c r="K661" i="7"/>
  <c r="N661" i="7"/>
  <c r="L657" i="7"/>
  <c r="O653" i="7"/>
  <c r="M649" i="7"/>
  <c r="L645" i="7"/>
  <c r="K645" i="7"/>
  <c r="M641" i="7"/>
  <c r="L637" i="7"/>
  <c r="O633" i="7"/>
  <c r="K629" i="7"/>
  <c r="M629" i="7"/>
  <c r="K625" i="7"/>
  <c r="L621" i="7"/>
  <c r="O617" i="7"/>
  <c r="K613" i="7"/>
  <c r="M613" i="7"/>
  <c r="K609" i="7"/>
  <c r="L605" i="7"/>
  <c r="O601" i="7"/>
  <c r="K597" i="7"/>
  <c r="M597" i="7"/>
  <c r="K593" i="7"/>
  <c r="M589" i="7"/>
  <c r="O585" i="7"/>
  <c r="K581" i="7"/>
  <c r="O581" i="7"/>
  <c r="N577" i="7"/>
  <c r="N573" i="7"/>
  <c r="O569" i="7"/>
  <c r="L561" i="7"/>
  <c r="N557" i="7"/>
  <c r="N549" i="7"/>
  <c r="N533" i="7"/>
  <c r="N517" i="7"/>
  <c r="N501" i="7"/>
  <c r="N477" i="7"/>
  <c r="M832" i="7"/>
  <c r="K828" i="7"/>
  <c r="N828" i="7"/>
  <c r="N824" i="7"/>
  <c r="L820" i="7"/>
  <c r="M816" i="7"/>
  <c r="K812" i="7"/>
  <c r="M812" i="7"/>
  <c r="N808" i="7"/>
  <c r="L804" i="7"/>
  <c r="M800" i="7"/>
  <c r="K796" i="7"/>
  <c r="M796" i="7"/>
  <c r="N792" i="7"/>
  <c r="L788" i="7"/>
  <c r="M784" i="7"/>
  <c r="K780" i="7"/>
  <c r="M780" i="7"/>
  <c r="N776" i="7"/>
  <c r="L772" i="7"/>
  <c r="M768" i="7"/>
  <c r="K764" i="7"/>
  <c r="M764" i="7"/>
  <c r="N760" i="7"/>
  <c r="O756" i="7"/>
  <c r="M752" i="7"/>
  <c r="K748" i="7"/>
  <c r="L748" i="7"/>
  <c r="O744" i="7"/>
  <c r="N740" i="7"/>
  <c r="M736" i="7"/>
  <c r="K732" i="7"/>
  <c r="M732" i="7"/>
  <c r="N728" i="7"/>
  <c r="N724" i="7"/>
  <c r="O720" i="7"/>
  <c r="M716" i="7"/>
  <c r="O716" i="7"/>
  <c r="K712" i="7"/>
  <c r="N708" i="7"/>
  <c r="O704" i="7"/>
  <c r="M700" i="7"/>
  <c r="O700" i="7"/>
  <c r="K696" i="7"/>
  <c r="N692" i="7"/>
  <c r="O688" i="7"/>
  <c r="M684" i="7"/>
  <c r="O684" i="7"/>
  <c r="K680" i="7"/>
  <c r="N676" i="7"/>
  <c r="O672" i="7"/>
  <c r="M668" i="7"/>
  <c r="O668" i="7"/>
  <c r="K664" i="7"/>
  <c r="M660" i="7"/>
  <c r="N656" i="7"/>
  <c r="L652" i="7"/>
  <c r="O769" i="7"/>
  <c r="M765" i="7"/>
  <c r="N761" i="7"/>
  <c r="L757" i="7"/>
  <c r="L753" i="7"/>
  <c r="O753" i="7"/>
  <c r="K749" i="7"/>
  <c r="L745" i="7"/>
  <c r="O741" i="7"/>
  <c r="K737" i="7"/>
  <c r="L737" i="7"/>
  <c r="M733" i="7"/>
  <c r="N729" i="7"/>
  <c r="N725" i="7"/>
  <c r="L721" i="7"/>
  <c r="N721" i="7"/>
  <c r="O717" i="7"/>
  <c r="M713" i="7"/>
  <c r="N709" i="7"/>
  <c r="L705" i="7"/>
  <c r="N705" i="7"/>
  <c r="O701" i="7"/>
  <c r="M697" i="7"/>
  <c r="N693" i="7"/>
  <c r="L689" i="7"/>
  <c r="N689" i="7"/>
  <c r="O685" i="7"/>
  <c r="M681" i="7"/>
  <c r="N677" i="7"/>
  <c r="L673" i="7"/>
  <c r="N673" i="7"/>
  <c r="O669" i="7"/>
  <c r="O665" i="7"/>
  <c r="M661" i="7"/>
  <c r="K657" i="7"/>
  <c r="N657" i="7"/>
  <c r="L653" i="7"/>
  <c r="O649" i="7"/>
  <c r="O645" i="7"/>
  <c r="L641" i="7"/>
  <c r="O641" i="7"/>
  <c r="O637" i="7"/>
  <c r="M633" i="7"/>
  <c r="N629" i="7"/>
  <c r="L625" i="7"/>
  <c r="N625" i="7"/>
  <c r="O621" i="7"/>
  <c r="M617" i="7"/>
  <c r="N613" i="7"/>
  <c r="L609" i="7"/>
  <c r="N609" i="7"/>
  <c r="O605" i="7"/>
  <c r="M601" i="7"/>
  <c r="N597" i="7"/>
  <c r="L593" i="7"/>
  <c r="N593" i="7"/>
  <c r="O589" i="7"/>
  <c r="M585" i="7"/>
  <c r="N581" i="7"/>
  <c r="L577" i="7"/>
  <c r="K577" i="7"/>
  <c r="M573" i="7"/>
  <c r="M569" i="7"/>
  <c r="O561" i="7"/>
  <c r="L553" i="7"/>
  <c r="M545" i="7"/>
  <c r="M529" i="7"/>
  <c r="M513" i="7"/>
  <c r="M497" i="7"/>
  <c r="M473" i="7"/>
  <c r="O832" i="7"/>
  <c r="M828" i="7"/>
  <c r="O824" i="7"/>
  <c r="L824" i="7"/>
  <c r="O820" i="7"/>
  <c r="K816" i="7"/>
  <c r="N812" i="7"/>
  <c r="O808" i="7"/>
  <c r="L808" i="7"/>
  <c r="O804" i="7"/>
  <c r="K800" i="7"/>
  <c r="N796" i="7"/>
  <c r="O792" i="7"/>
  <c r="L792" i="7"/>
  <c r="O788" i="7"/>
  <c r="K784" i="7"/>
  <c r="N780" i="7"/>
  <c r="O776" i="7"/>
  <c r="L776" i="7"/>
  <c r="O772" i="7"/>
  <c r="K768" i="7"/>
  <c r="N764" i="7"/>
  <c r="O760" i="7"/>
  <c r="L760" i="7"/>
  <c r="N756" i="7"/>
  <c r="O752" i="7"/>
  <c r="M748" i="7"/>
  <c r="M744" i="7"/>
  <c r="L744" i="7"/>
  <c r="K740" i="7"/>
  <c r="K736" i="7"/>
  <c r="N732" i="7"/>
  <c r="O728" i="7"/>
  <c r="L728" i="7"/>
  <c r="L724" i="7"/>
  <c r="M720" i="7"/>
  <c r="K716" i="7"/>
  <c r="L712" i="7"/>
  <c r="N712" i="7"/>
  <c r="L708" i="7"/>
  <c r="M704" i="7"/>
  <c r="K700" i="7"/>
  <c r="L696" i="7"/>
  <c r="N696" i="7"/>
  <c r="L692" i="7"/>
  <c r="M688" i="7"/>
  <c r="K684" i="7"/>
  <c r="L680" i="7"/>
  <c r="N680" i="7"/>
  <c r="L676" i="7"/>
  <c r="M672" i="7"/>
  <c r="K668" i="7"/>
  <c r="L664" i="7"/>
  <c r="O664" i="7"/>
  <c r="K660" i="7"/>
  <c r="M656" i="7"/>
  <c r="N652" i="7"/>
  <c r="K652" i="7"/>
  <c r="M648" i="7"/>
  <c r="O644" i="7"/>
  <c r="L640" i="7"/>
  <c r="N640" i="7"/>
  <c r="L636" i="7"/>
  <c r="M632" i="7"/>
  <c r="K628" i="7"/>
  <c r="L624" i="7"/>
  <c r="N624" i="7"/>
  <c r="L620" i="7"/>
  <c r="M616" i="7"/>
  <c r="K612" i="7"/>
  <c r="L608" i="7"/>
  <c r="N608" i="7"/>
  <c r="L604" i="7"/>
  <c r="M600" i="7"/>
  <c r="K596" i="7"/>
  <c r="L592" i="7"/>
  <c r="N592" i="7"/>
  <c r="O588" i="7"/>
  <c r="K584" i="7"/>
  <c r="K580" i="7"/>
  <c r="L576" i="7"/>
  <c r="M576" i="7"/>
  <c r="L568" i="7"/>
  <c r="N564" i="7"/>
  <c r="K556" i="7"/>
  <c r="K548" i="7"/>
  <c r="N540" i="7"/>
  <c r="O528" i="7"/>
  <c r="K516" i="7"/>
  <c r="N508" i="7"/>
  <c r="O496" i="7"/>
  <c r="M484" i="7"/>
  <c r="L831" i="7"/>
  <c r="O831" i="7"/>
  <c r="M827" i="7"/>
  <c r="M823" i="7"/>
  <c r="N819" i="7"/>
  <c r="L815" i="7"/>
  <c r="N815" i="7"/>
  <c r="O811" i="7"/>
  <c r="M807" i="7"/>
  <c r="N803" i="7"/>
  <c r="L799" i="7"/>
  <c r="N799" i="7"/>
  <c r="O795" i="7"/>
  <c r="M791" i="7"/>
  <c r="N787" i="7"/>
  <c r="L783" i="7"/>
  <c r="N783" i="7"/>
  <c r="O779" i="7"/>
  <c r="M775" i="7"/>
  <c r="N771" i="7"/>
  <c r="L767" i="7"/>
  <c r="N767" i="7"/>
  <c r="O763" i="7"/>
  <c r="M759" i="7"/>
  <c r="N755" i="7"/>
  <c r="L751" i="7"/>
  <c r="M751" i="7"/>
  <c r="O747" i="7"/>
  <c r="O743" i="7"/>
  <c r="L739" i="7"/>
  <c r="L735" i="7"/>
  <c r="N735" i="7"/>
  <c r="O731" i="7"/>
  <c r="M727" i="7"/>
  <c r="K723" i="7"/>
  <c r="N719" i="7"/>
  <c r="K719" i="7"/>
  <c r="L715" i="7"/>
  <c r="O711" i="7"/>
  <c r="K707" i="7"/>
  <c r="N703" i="7"/>
  <c r="K703" i="7"/>
  <c r="L699" i="7"/>
  <c r="O695" i="7"/>
  <c r="K691" i="7"/>
  <c r="N687" i="7"/>
  <c r="K687" i="7"/>
  <c r="L683" i="7"/>
  <c r="O679" i="7"/>
  <c r="K675" i="7"/>
  <c r="N671" i="7"/>
  <c r="K671" i="7"/>
  <c r="L667" i="7"/>
  <c r="O663" i="7"/>
  <c r="M659" i="7"/>
  <c r="K655" i="7"/>
  <c r="L655" i="7"/>
  <c r="N651" i="7"/>
  <c r="O647" i="7"/>
  <c r="L643" i="7"/>
  <c r="N639" i="7"/>
  <c r="K639" i="7"/>
  <c r="L635" i="7"/>
  <c r="O631" i="7"/>
  <c r="K627" i="7"/>
  <c r="N623" i="7"/>
  <c r="K623" i="7"/>
  <c r="L619" i="7"/>
  <c r="O615" i="7"/>
  <c r="K611" i="7"/>
  <c r="N607" i="7"/>
  <c r="K607" i="7"/>
  <c r="L603" i="7"/>
  <c r="O599" i="7"/>
  <c r="K595" i="7"/>
  <c r="N591" i="7"/>
  <c r="L591" i="7"/>
  <c r="N587" i="7"/>
  <c r="O583" i="7"/>
  <c r="K579" i="7"/>
  <c r="N575" i="7"/>
  <c r="M575" i="7"/>
  <c r="L567" i="7"/>
  <c r="N559" i="7"/>
  <c r="K555" i="7"/>
  <c r="L543" i="7"/>
  <c r="O535" i="7"/>
  <c r="K523" i="7"/>
  <c r="L511" i="7"/>
  <c r="O503" i="7"/>
  <c r="K491" i="7"/>
  <c r="O479" i="7"/>
  <c r="O652" i="7"/>
  <c r="K648" i="7"/>
  <c r="N644" i="7"/>
  <c r="O640" i="7"/>
  <c r="M636" i="7"/>
  <c r="O636" i="7"/>
  <c r="K632" i="7"/>
  <c r="N628" i="7"/>
  <c r="O624" i="7"/>
  <c r="M620" i="7"/>
  <c r="O620" i="7"/>
  <c r="K616" i="7"/>
  <c r="N612" i="7"/>
  <c r="O608" i="7"/>
  <c r="M604" i="7"/>
  <c r="O604" i="7"/>
  <c r="K600" i="7"/>
  <c r="N596" i="7"/>
  <c r="K592" i="7"/>
  <c r="M588" i="7"/>
  <c r="L588" i="7"/>
  <c r="M584" i="7"/>
  <c r="N580" i="7"/>
  <c r="O576" i="7"/>
  <c r="M572" i="7"/>
  <c r="O568" i="7"/>
  <c r="L560" i="7"/>
  <c r="N556" i="7"/>
  <c r="N548" i="7"/>
  <c r="O536" i="7"/>
  <c r="K524" i="7"/>
  <c r="N516" i="7"/>
  <c r="O504" i="7"/>
  <c r="K492" i="7"/>
  <c r="O480" i="7"/>
  <c r="N831" i="7"/>
  <c r="L827" i="7"/>
  <c r="O827" i="7"/>
  <c r="K823" i="7"/>
  <c r="L819" i="7"/>
  <c r="O815" i="7"/>
  <c r="K811" i="7"/>
  <c r="M811" i="7"/>
  <c r="K807" i="7"/>
  <c r="L803" i="7"/>
  <c r="O799" i="7"/>
  <c r="K795" i="7"/>
  <c r="M795" i="7"/>
  <c r="K791" i="7"/>
  <c r="L787" i="7"/>
  <c r="O783" i="7"/>
  <c r="K779" i="7"/>
  <c r="M779" i="7"/>
  <c r="K775" i="7"/>
  <c r="L771" i="7"/>
  <c r="O767" i="7"/>
  <c r="K763" i="7"/>
  <c r="M763" i="7"/>
  <c r="K759" i="7"/>
  <c r="K755" i="7"/>
  <c r="N751" i="7"/>
  <c r="L747" i="7"/>
  <c r="M747" i="7"/>
  <c r="L743" i="7"/>
  <c r="O739" i="7"/>
  <c r="O735" i="7"/>
  <c r="K731" i="7"/>
  <c r="M731" i="7"/>
  <c r="K727" i="7"/>
  <c r="N723" i="7"/>
  <c r="L719" i="7"/>
  <c r="M715" i="7"/>
  <c r="O715" i="7"/>
  <c r="M711" i="7"/>
  <c r="N707" i="7"/>
  <c r="L703" i="7"/>
  <c r="M699" i="7"/>
  <c r="O699" i="7"/>
  <c r="M695" i="7"/>
  <c r="N691" i="7"/>
  <c r="L687" i="7"/>
  <c r="M683" i="7"/>
  <c r="O683" i="7"/>
  <c r="M679" i="7"/>
  <c r="N675" i="7"/>
  <c r="L671" i="7"/>
  <c r="M667" i="7"/>
  <c r="O667" i="7"/>
  <c r="N663" i="7"/>
  <c r="O659" i="7"/>
  <c r="M655" i="7"/>
  <c r="K651" i="7"/>
  <c r="L651" i="7"/>
  <c r="N647" i="7"/>
  <c r="O643" i="7"/>
  <c r="L639" i="7"/>
  <c r="M635" i="7"/>
  <c r="O635" i="7"/>
  <c r="M631" i="7"/>
  <c r="N627" i="7"/>
  <c r="L623" i="7"/>
  <c r="M619" i="7"/>
  <c r="O619" i="7"/>
  <c r="M615" i="7"/>
  <c r="N611" i="7"/>
  <c r="L607" i="7"/>
  <c r="M603" i="7"/>
  <c r="O603" i="7"/>
  <c r="M599" i="7"/>
  <c r="N595" i="7"/>
  <c r="M591" i="7"/>
  <c r="M587" i="7"/>
  <c r="O587" i="7"/>
  <c r="K583" i="7"/>
  <c r="O579" i="7"/>
  <c r="L575" i="7"/>
  <c r="M571" i="7"/>
  <c r="O567" i="7"/>
  <c r="L559" i="7"/>
  <c r="L551" i="7"/>
  <c r="O543" i="7"/>
  <c r="K531" i="7"/>
  <c r="L519" i="7"/>
  <c r="O511" i="7"/>
  <c r="K499" i="7"/>
  <c r="L487" i="7"/>
  <c r="L471" i="7"/>
  <c r="L648" i="7"/>
  <c r="O648" i="7"/>
  <c r="K644" i="7"/>
  <c r="M640" i="7"/>
  <c r="K636" i="7"/>
  <c r="L632" i="7"/>
  <c r="N632" i="7"/>
  <c r="L628" i="7"/>
  <c r="M624" i="7"/>
  <c r="K620" i="7"/>
  <c r="L616" i="7"/>
  <c r="N616" i="7"/>
  <c r="L612" i="7"/>
  <c r="M608" i="7"/>
  <c r="K604" i="7"/>
  <c r="L600" i="7"/>
  <c r="N600" i="7"/>
  <c r="L596" i="7"/>
  <c r="O592" i="7"/>
  <c r="K588" i="7"/>
  <c r="L584" i="7"/>
  <c r="N584" i="7"/>
  <c r="O580" i="7"/>
  <c r="N576" i="7"/>
  <c r="K572" i="7"/>
  <c r="M564" i="7"/>
  <c r="O560" i="7"/>
  <c r="L552" i="7"/>
  <c r="O544" i="7"/>
  <c r="K532" i="7"/>
  <c r="N524" i="7"/>
  <c r="O512" i="7"/>
  <c r="K500" i="7"/>
  <c r="N492" i="7"/>
  <c r="N476" i="7"/>
  <c r="K831" i="7"/>
  <c r="N827" i="7"/>
  <c r="L823" i="7"/>
  <c r="N823" i="7"/>
  <c r="O819" i="7"/>
  <c r="M815" i="7"/>
  <c r="N811" i="7"/>
  <c r="L807" i="7"/>
  <c r="N807" i="7"/>
  <c r="O803" i="7"/>
  <c r="M799" i="7"/>
  <c r="N795" i="7"/>
  <c r="L791" i="7"/>
  <c r="N791" i="7"/>
  <c r="O787" i="7"/>
  <c r="M783" i="7"/>
  <c r="N779" i="7"/>
  <c r="L775" i="7"/>
  <c r="N775" i="7"/>
  <c r="O771" i="7"/>
  <c r="M767" i="7"/>
  <c r="N763" i="7"/>
  <c r="L759" i="7"/>
  <c r="N759" i="7"/>
  <c r="O755" i="7"/>
  <c r="K751" i="7"/>
  <c r="N747" i="7"/>
  <c r="M743" i="7"/>
  <c r="N743" i="7"/>
  <c r="K739" i="7"/>
  <c r="M735" i="7"/>
  <c r="N731" i="7"/>
  <c r="L727" i="7"/>
  <c r="N727" i="7"/>
  <c r="L723" i="7"/>
  <c r="O719" i="7"/>
  <c r="K715" i="7"/>
  <c r="N711" i="7"/>
  <c r="K711" i="7"/>
  <c r="L707" i="7"/>
  <c r="O703" i="7"/>
  <c r="K699" i="7"/>
  <c r="N695" i="7"/>
  <c r="K695" i="7"/>
  <c r="L691" i="7"/>
  <c r="O687" i="7"/>
  <c r="K683" i="7"/>
  <c r="N679" i="7"/>
  <c r="K679" i="7"/>
  <c r="L675" i="7"/>
  <c r="O671" i="7"/>
  <c r="K667" i="7"/>
  <c r="K663" i="7"/>
  <c r="L663" i="7"/>
  <c r="N659" i="7"/>
  <c r="O655" i="7"/>
  <c r="M651" i="7"/>
  <c r="K647" i="7"/>
  <c r="L647" i="7"/>
  <c r="K643" i="7"/>
  <c r="O639" i="7"/>
  <c r="K635" i="7"/>
  <c r="N631" i="7"/>
  <c r="K631" i="7"/>
  <c r="L627" i="7"/>
  <c r="O623" i="7"/>
  <c r="K619" i="7"/>
  <c r="N615" i="7"/>
  <c r="K615" i="7"/>
  <c r="L611" i="7"/>
  <c r="O607" i="7"/>
  <c r="K603" i="7"/>
  <c r="N599" i="7"/>
  <c r="K599" i="7"/>
  <c r="L595" i="7"/>
  <c r="K591" i="7"/>
  <c r="K587" i="7"/>
  <c r="N583" i="7"/>
  <c r="M583" i="7"/>
  <c r="L579" i="7"/>
  <c r="O575" i="7"/>
  <c r="K571" i="7"/>
  <c r="M563" i="7"/>
  <c r="O559" i="7"/>
  <c r="O551" i="7"/>
  <c r="K539" i="7"/>
  <c r="L527" i="7"/>
  <c r="O519" i="7"/>
  <c r="K507" i="7"/>
  <c r="L495" i="7"/>
  <c r="K483" i="7"/>
  <c r="K467" i="7"/>
  <c r="M652" i="7"/>
  <c r="N648" i="7"/>
  <c r="L644" i="7"/>
  <c r="M644" i="7"/>
  <c r="K640" i="7"/>
  <c r="N636" i="7"/>
  <c r="O632" i="7"/>
  <c r="M628" i="7"/>
  <c r="O628" i="7"/>
  <c r="K624" i="7"/>
  <c r="N620" i="7"/>
  <c r="O616" i="7"/>
  <c r="M612" i="7"/>
  <c r="O612" i="7"/>
  <c r="K608" i="7"/>
  <c r="N604" i="7"/>
  <c r="O600" i="7"/>
  <c r="M596" i="7"/>
  <c r="O596" i="7"/>
  <c r="M592" i="7"/>
  <c r="N588" i="7"/>
  <c r="O584" i="7"/>
  <c r="M580" i="7"/>
  <c r="L580" i="7"/>
  <c r="K576" i="7"/>
  <c r="N572" i="7"/>
  <c r="K564" i="7"/>
  <c r="M556" i="7"/>
  <c r="O552" i="7"/>
  <c r="K540" i="7"/>
  <c r="N532" i="7"/>
  <c r="O520" i="7"/>
  <c r="K508" i="7"/>
  <c r="N500" i="7"/>
  <c r="K488" i="7"/>
  <c r="K468" i="7"/>
  <c r="M831" i="7"/>
  <c r="K827" i="7"/>
  <c r="O823" i="7"/>
  <c r="K819" i="7"/>
  <c r="M819" i="7"/>
  <c r="K815" i="7"/>
  <c r="L811" i="7"/>
  <c r="O807" i="7"/>
  <c r="K803" i="7"/>
  <c r="M803" i="7"/>
  <c r="K799" i="7"/>
  <c r="L795" i="7"/>
  <c r="O791" i="7"/>
  <c r="K787" i="7"/>
  <c r="M787" i="7"/>
  <c r="K783" i="7"/>
  <c r="L779" i="7"/>
  <c r="O775" i="7"/>
  <c r="K771" i="7"/>
  <c r="M771" i="7"/>
  <c r="K767" i="7"/>
  <c r="L763" i="7"/>
  <c r="O759" i="7"/>
  <c r="L755" i="7"/>
  <c r="M755" i="7"/>
  <c r="O751" i="7"/>
  <c r="K747" i="7"/>
  <c r="K743" i="7"/>
  <c r="N739" i="7"/>
  <c r="M739" i="7"/>
  <c r="K735" i="7"/>
  <c r="L731" i="7"/>
  <c r="O727" i="7"/>
  <c r="M723" i="7"/>
  <c r="O723" i="7"/>
  <c r="M719" i="7"/>
  <c r="N715" i="7"/>
  <c r="L711" i="7"/>
  <c r="M707" i="7"/>
  <c r="O707" i="7"/>
  <c r="M703" i="7"/>
  <c r="N699" i="7"/>
  <c r="L695" i="7"/>
  <c r="M691" i="7"/>
  <c r="O691" i="7"/>
  <c r="M687" i="7"/>
  <c r="N683" i="7"/>
  <c r="L679" i="7"/>
  <c r="M675" i="7"/>
  <c r="O675" i="7"/>
  <c r="M671" i="7"/>
  <c r="N667" i="7"/>
  <c r="M663" i="7"/>
  <c r="K659" i="7"/>
  <c r="L659" i="7"/>
  <c r="N655" i="7"/>
  <c r="O651" i="7"/>
  <c r="M647" i="7"/>
  <c r="N643" i="7"/>
  <c r="M643" i="7"/>
  <c r="M639" i="7"/>
  <c r="N635" i="7"/>
  <c r="L631" i="7"/>
  <c r="M627" i="7"/>
  <c r="O627" i="7"/>
  <c r="M623" i="7"/>
  <c r="N619" i="7"/>
  <c r="L615" i="7"/>
  <c r="M611" i="7"/>
  <c r="O611" i="7"/>
  <c r="M607" i="7"/>
  <c r="N603" i="7"/>
  <c r="L599" i="7"/>
  <c r="M595" i="7"/>
  <c r="O595" i="7"/>
  <c r="O591" i="7"/>
  <c r="L587" i="7"/>
  <c r="L583" i="7"/>
  <c r="M579" i="7"/>
  <c r="N579" i="7"/>
  <c r="K575" i="7"/>
  <c r="N567" i="7"/>
  <c r="K563" i="7"/>
  <c r="M555" i="7"/>
  <c r="K547" i="7"/>
  <c r="L535" i="7"/>
  <c r="O527" i="7"/>
  <c r="K515" i="7"/>
  <c r="L503" i="7"/>
  <c r="O495" i="7"/>
  <c r="O483" i="7"/>
  <c r="Q27" i="7" l="1"/>
  <c r="Q59" i="7"/>
  <c r="Q39" i="7"/>
  <c r="Q71" i="7"/>
  <c r="Q103" i="7"/>
  <c r="Q135" i="7"/>
  <c r="Q579" i="7"/>
  <c r="Q611" i="7"/>
  <c r="Q643" i="7"/>
  <c r="Q771" i="7"/>
  <c r="Q803" i="7"/>
  <c r="Q4" i="7"/>
  <c r="F7" i="10"/>
  <c r="Q484" i="7"/>
  <c r="Q516" i="7"/>
  <c r="Q772" i="7"/>
  <c r="Q804" i="7"/>
  <c r="Q5" i="7"/>
  <c r="F5" i="10"/>
  <c r="Q517" i="7"/>
  <c r="Q495" i="7"/>
  <c r="Q527" i="7"/>
  <c r="Q687" i="7"/>
  <c r="Q719" i="7"/>
  <c r="Q751" i="7"/>
  <c r="Q783" i="7"/>
  <c r="Q560" i="7"/>
  <c r="Q592" i="7"/>
  <c r="Q624" i="7"/>
  <c r="Q656" i="7"/>
  <c r="Q688" i="7"/>
  <c r="Q720" i="7"/>
  <c r="Q752" i="7"/>
  <c r="Q784" i="7"/>
  <c r="Q247" i="7"/>
  <c r="Q279" i="7"/>
  <c r="Q311" i="7"/>
  <c r="Q343" i="7"/>
  <c r="Q375" i="7"/>
  <c r="Q407" i="7"/>
  <c r="Q567" i="7"/>
  <c r="Q599" i="7"/>
  <c r="Q631" i="7"/>
  <c r="Q663" i="7"/>
  <c r="Q791" i="7"/>
  <c r="Q823" i="7"/>
  <c r="Q56" i="7"/>
  <c r="Q120" i="7"/>
  <c r="Q152" i="7"/>
  <c r="Q184" i="7"/>
  <c r="Q216" i="7"/>
  <c r="Q248" i="7"/>
  <c r="Q280" i="7"/>
  <c r="Q312" i="7"/>
  <c r="Q344" i="7"/>
  <c r="Q376" i="7"/>
  <c r="Q408" i="7"/>
  <c r="Q440" i="7"/>
  <c r="Q472" i="7"/>
  <c r="Q504" i="7"/>
  <c r="Q536" i="7"/>
  <c r="Q792" i="7"/>
  <c r="Q824" i="7"/>
  <c r="Q25" i="7"/>
  <c r="Q57" i="7"/>
  <c r="Q89" i="7"/>
  <c r="Q121" i="7"/>
  <c r="Q153" i="7"/>
  <c r="Q185" i="7"/>
  <c r="Q217" i="7"/>
  <c r="Q249" i="7"/>
  <c r="Q281" i="7"/>
  <c r="Q313" i="7"/>
  <c r="Q345" i="7"/>
  <c r="Q377" i="7"/>
  <c r="Q409" i="7"/>
  <c r="Q441" i="7"/>
  <c r="Q473" i="7"/>
  <c r="Q505" i="7"/>
  <c r="Q171" i="7"/>
  <c r="Q203" i="7"/>
  <c r="Q459" i="7"/>
  <c r="Q491" i="7"/>
  <c r="Q523" i="7"/>
  <c r="Q683" i="7"/>
  <c r="Q715" i="7"/>
  <c r="Q747" i="7"/>
  <c r="Q428" i="7"/>
  <c r="Q556" i="7"/>
  <c r="Q588" i="7"/>
  <c r="Q620" i="7"/>
  <c r="Q652" i="7"/>
  <c r="Q684" i="7"/>
  <c r="Q716" i="7"/>
  <c r="Q748" i="7"/>
  <c r="Q45" i="7"/>
  <c r="Q77" i="7"/>
  <c r="Q269" i="7"/>
  <c r="Q429" i="7"/>
  <c r="Q521" i="7"/>
  <c r="Q553" i="7"/>
  <c r="Q585" i="7"/>
  <c r="Q617" i="7"/>
  <c r="Q649" i="7"/>
  <c r="Q777" i="7"/>
  <c r="Q809" i="7"/>
  <c r="F11" i="10"/>
  <c r="Q10" i="7"/>
  <c r="Q650" i="7"/>
  <c r="Q778" i="7"/>
  <c r="Q541" i="7"/>
  <c r="Q669" i="7"/>
  <c r="Q701" i="7"/>
  <c r="Q733" i="7"/>
  <c r="Q765" i="7"/>
  <c r="Q510" i="7"/>
  <c r="Q542" i="7"/>
  <c r="Q574" i="7"/>
  <c r="Q606" i="7"/>
  <c r="Q670" i="7"/>
  <c r="Q702" i="7"/>
  <c r="Q734" i="7"/>
  <c r="Q766" i="7"/>
  <c r="Q525" i="7"/>
  <c r="Q557" i="7"/>
  <c r="Q589" i="7"/>
  <c r="Q621" i="7"/>
  <c r="Q653" i="7"/>
  <c r="Q781" i="7"/>
  <c r="Q813" i="7"/>
  <c r="Q78" i="7"/>
  <c r="Q110" i="7"/>
  <c r="Q142" i="7"/>
  <c r="Q174" i="7"/>
  <c r="Q238" i="7"/>
  <c r="Q302" i="7"/>
  <c r="Q334" i="7"/>
  <c r="Q366" i="7"/>
  <c r="Q398" i="7"/>
  <c r="Q654" i="7"/>
  <c r="Q782" i="7"/>
  <c r="Q814" i="7"/>
  <c r="Q665" i="7"/>
  <c r="Q697" i="7"/>
  <c r="Q729" i="7"/>
  <c r="Q761" i="7"/>
  <c r="Q122" i="7"/>
  <c r="Q154" i="7"/>
  <c r="Q186" i="7"/>
  <c r="Q442" i="7"/>
  <c r="Q474" i="7"/>
  <c r="Q506" i="7"/>
  <c r="Q538" i="7"/>
  <c r="Q570" i="7"/>
  <c r="Q602" i="7"/>
  <c r="Q666" i="7"/>
  <c r="Q698" i="7"/>
  <c r="Q730" i="7"/>
  <c r="Q762" i="7"/>
  <c r="Q3" i="7"/>
  <c r="F4" i="10"/>
  <c r="Q35" i="7"/>
  <c r="Q67" i="7"/>
  <c r="Q15" i="7"/>
  <c r="Q111" i="7"/>
  <c r="Q143" i="7"/>
  <c r="Q555" i="7"/>
  <c r="Q587" i="7"/>
  <c r="Q619" i="7"/>
  <c r="Q651" i="7"/>
  <c r="Q779" i="7"/>
  <c r="Q811" i="7"/>
  <c r="Q12" i="7"/>
  <c r="F13" i="10"/>
  <c r="Q492" i="7"/>
  <c r="Q524" i="7"/>
  <c r="Q780" i="7"/>
  <c r="Q812" i="7"/>
  <c r="F14" i="10"/>
  <c r="Q13" i="7"/>
  <c r="Q461" i="7"/>
  <c r="Q493" i="7"/>
  <c r="Q471" i="7"/>
  <c r="Q503" i="7"/>
  <c r="Q535" i="7"/>
  <c r="Q695" i="7"/>
  <c r="Q727" i="7"/>
  <c r="Q759" i="7"/>
  <c r="Q568" i="7"/>
  <c r="Q600" i="7"/>
  <c r="Q632" i="7"/>
  <c r="Q664" i="7"/>
  <c r="Q696" i="7"/>
  <c r="Q728" i="7"/>
  <c r="Q760" i="7"/>
  <c r="Q223" i="7"/>
  <c r="Q255" i="7"/>
  <c r="Q287" i="7"/>
  <c r="Q319" i="7"/>
  <c r="Q351" i="7"/>
  <c r="Q383" i="7"/>
  <c r="Q415" i="7"/>
  <c r="Q575" i="7"/>
  <c r="Q607" i="7"/>
  <c r="Q639" i="7"/>
  <c r="Q831" i="7"/>
  <c r="Q64" i="7"/>
  <c r="Q96" i="7"/>
  <c r="Q128" i="7"/>
  <c r="Q160" i="7"/>
  <c r="Q192" i="7"/>
  <c r="Q224" i="7"/>
  <c r="Q256" i="7"/>
  <c r="Q288" i="7"/>
  <c r="Q320" i="7"/>
  <c r="Q352" i="7"/>
  <c r="Q384" i="7"/>
  <c r="Q416" i="7"/>
  <c r="Q448" i="7"/>
  <c r="Q480" i="7"/>
  <c r="Q512" i="7"/>
  <c r="Q800" i="7"/>
  <c r="Q832" i="7"/>
  <c r="Q33" i="7"/>
  <c r="Q65" i="7"/>
  <c r="Q97" i="7"/>
  <c r="Q129" i="7"/>
  <c r="Q161" i="7"/>
  <c r="Q193" i="7"/>
  <c r="Q225" i="7"/>
  <c r="Q257" i="7"/>
  <c r="Q289" i="7"/>
  <c r="Q321" i="7"/>
  <c r="Q353" i="7"/>
  <c r="Q385" i="7"/>
  <c r="Q417" i="7"/>
  <c r="Q449" i="7"/>
  <c r="Q481" i="7"/>
  <c r="Q513" i="7"/>
  <c r="Q179" i="7"/>
  <c r="Q211" i="7"/>
  <c r="Q467" i="7"/>
  <c r="Q499" i="7"/>
  <c r="Q531" i="7"/>
  <c r="Q691" i="7"/>
  <c r="Q723" i="7"/>
  <c r="Q755" i="7"/>
  <c r="Q20" i="7"/>
  <c r="Q564" i="7"/>
  <c r="Q596" i="7"/>
  <c r="Q628" i="7"/>
  <c r="Q660" i="7"/>
  <c r="Q692" i="7"/>
  <c r="Q724" i="7"/>
  <c r="Q756" i="7"/>
  <c r="Q21" i="7"/>
  <c r="Q277" i="7"/>
  <c r="Q529" i="7"/>
  <c r="Q561" i="7"/>
  <c r="Q593" i="7"/>
  <c r="Q625" i="7"/>
  <c r="Q657" i="7"/>
  <c r="Q785" i="7"/>
  <c r="Q817" i="7"/>
  <c r="Q658" i="7"/>
  <c r="Q786" i="7"/>
  <c r="Q818" i="7"/>
  <c r="Q549" i="7"/>
  <c r="Q677" i="7"/>
  <c r="Q709" i="7"/>
  <c r="Q741" i="7"/>
  <c r="Q486" i="7"/>
  <c r="Q518" i="7"/>
  <c r="Q550" i="7"/>
  <c r="Q582" i="7"/>
  <c r="Q614" i="7"/>
  <c r="Q678" i="7"/>
  <c r="Q710" i="7"/>
  <c r="Q742" i="7"/>
  <c r="Q533" i="7"/>
  <c r="Q565" i="7"/>
  <c r="Q597" i="7"/>
  <c r="Q629" i="7"/>
  <c r="Q661" i="7"/>
  <c r="Q789" i="7"/>
  <c r="Q821" i="7"/>
  <c r="Q22" i="7"/>
  <c r="Q54" i="7"/>
  <c r="Q86" i="7"/>
  <c r="Q118" i="7"/>
  <c r="Q150" i="7"/>
  <c r="Q246" i="7"/>
  <c r="Q310" i="7"/>
  <c r="Q342" i="7"/>
  <c r="Q374" i="7"/>
  <c r="Q406" i="7"/>
  <c r="Q438" i="7"/>
  <c r="Q662" i="7"/>
  <c r="Q790" i="7"/>
  <c r="Q822" i="7"/>
  <c r="H4" i="10"/>
  <c r="H15" i="10" s="1"/>
  <c r="Q545" i="7"/>
  <c r="Q673" i="7"/>
  <c r="Q705" i="7"/>
  <c r="Q737" i="7"/>
  <c r="Q769" i="7"/>
  <c r="Q66" i="7"/>
  <c r="Q98" i="7"/>
  <c r="Q130" i="7"/>
  <c r="Q194" i="7"/>
  <c r="Q418" i="7"/>
  <c r="Q450" i="7"/>
  <c r="Q482" i="7"/>
  <c r="Q514" i="7"/>
  <c r="Q546" i="7"/>
  <c r="Q578" i="7"/>
  <c r="Q610" i="7"/>
  <c r="Q674" i="7"/>
  <c r="Q706" i="7"/>
  <c r="Q738" i="7"/>
  <c r="Q770" i="7"/>
  <c r="F8" i="10"/>
  <c r="Q7" i="7"/>
  <c r="Q11" i="7"/>
  <c r="F12" i="10"/>
  <c r="Q43" i="7"/>
  <c r="Q75" i="7"/>
  <c r="Q119" i="7"/>
  <c r="Q563" i="7"/>
  <c r="Q595" i="7"/>
  <c r="Q627" i="7"/>
  <c r="Q659" i="7"/>
  <c r="Q787" i="7"/>
  <c r="Q819" i="7"/>
  <c r="Q468" i="7"/>
  <c r="Q500" i="7"/>
  <c r="Q532" i="7"/>
  <c r="Q788" i="7"/>
  <c r="Q820" i="7"/>
  <c r="Q501" i="7"/>
  <c r="Q479" i="7"/>
  <c r="Q511" i="7"/>
  <c r="Q543" i="7"/>
  <c r="Q671" i="7"/>
  <c r="Q703" i="7"/>
  <c r="Q735" i="7"/>
  <c r="Q767" i="7"/>
  <c r="Q799" i="7"/>
  <c r="Q544" i="7"/>
  <c r="Q576" i="7"/>
  <c r="Q608" i="7"/>
  <c r="Q640" i="7"/>
  <c r="Q672" i="7"/>
  <c r="Q704" i="7"/>
  <c r="Q736" i="7"/>
  <c r="Q768" i="7"/>
  <c r="Q231" i="7"/>
  <c r="Q263" i="7"/>
  <c r="Q295" i="7"/>
  <c r="Q327" i="7"/>
  <c r="Q359" i="7"/>
  <c r="Q391" i="7"/>
  <c r="Q583" i="7"/>
  <c r="Q615" i="7"/>
  <c r="Q647" i="7"/>
  <c r="Q775" i="7"/>
  <c r="Q807" i="7"/>
  <c r="F9" i="10"/>
  <c r="Q8" i="7"/>
  <c r="Q104" i="7"/>
  <c r="Q136" i="7"/>
  <c r="Q168" i="7"/>
  <c r="Q200" i="7"/>
  <c r="Q232" i="7"/>
  <c r="Q264" i="7"/>
  <c r="Q296" i="7"/>
  <c r="Q328" i="7"/>
  <c r="Q360" i="7"/>
  <c r="Q392" i="7"/>
  <c r="Q456" i="7"/>
  <c r="Q488" i="7"/>
  <c r="Q520" i="7"/>
  <c r="Q808" i="7"/>
  <c r="F10" i="10"/>
  <c r="Q9" i="7"/>
  <c r="Q41" i="7"/>
  <c r="Q105" i="7"/>
  <c r="Q137" i="7"/>
  <c r="Q169" i="7"/>
  <c r="Q201" i="7"/>
  <c r="Q233" i="7"/>
  <c r="Q265" i="7"/>
  <c r="Q297" i="7"/>
  <c r="Q329" i="7"/>
  <c r="Q361" i="7"/>
  <c r="Q393" i="7"/>
  <c r="Q457" i="7"/>
  <c r="Q489" i="7"/>
  <c r="Q155" i="7"/>
  <c r="Q187" i="7"/>
  <c r="Q443" i="7"/>
  <c r="Q475" i="7"/>
  <c r="Q507" i="7"/>
  <c r="Q667" i="7"/>
  <c r="Q699" i="7"/>
  <c r="Q731" i="7"/>
  <c r="Q763" i="7"/>
  <c r="Q540" i="7"/>
  <c r="Q572" i="7"/>
  <c r="Q604" i="7"/>
  <c r="Q636" i="7"/>
  <c r="Q668" i="7"/>
  <c r="Q700" i="7"/>
  <c r="Q732" i="7"/>
  <c r="Q764" i="7"/>
  <c r="Q537" i="7"/>
  <c r="Q569" i="7"/>
  <c r="Q601" i="7"/>
  <c r="Q633" i="7"/>
  <c r="Q793" i="7"/>
  <c r="Q825" i="7"/>
  <c r="Q634" i="7"/>
  <c r="Q794" i="7"/>
  <c r="Q826" i="7"/>
  <c r="Q685" i="7"/>
  <c r="Q717" i="7"/>
  <c r="Q749" i="7"/>
  <c r="Q14" i="7"/>
  <c r="Q46" i="7"/>
  <c r="Q494" i="7"/>
  <c r="Q526" i="7"/>
  <c r="Q558" i="7"/>
  <c r="Q590" i="7"/>
  <c r="Q622" i="7"/>
  <c r="Q686" i="7"/>
  <c r="Q718" i="7"/>
  <c r="Q750" i="7"/>
  <c r="Q2" i="7"/>
  <c r="Q573" i="7"/>
  <c r="Q605" i="7"/>
  <c r="Q637" i="7"/>
  <c r="Q797" i="7"/>
  <c r="Q829" i="7"/>
  <c r="Q30" i="7"/>
  <c r="Q62" i="7"/>
  <c r="Q94" i="7"/>
  <c r="Q126" i="7"/>
  <c r="Q158" i="7"/>
  <c r="Q222" i="7"/>
  <c r="Q254" i="7"/>
  <c r="Q286" i="7"/>
  <c r="Q318" i="7"/>
  <c r="Q350" i="7"/>
  <c r="Q382" i="7"/>
  <c r="Q414" i="7"/>
  <c r="Q638" i="7"/>
  <c r="Q798" i="7"/>
  <c r="Q830" i="7"/>
  <c r="Q681" i="7"/>
  <c r="Q713" i="7"/>
  <c r="Q745" i="7"/>
  <c r="Q42" i="7"/>
  <c r="Q74" i="7"/>
  <c r="Q106" i="7"/>
  <c r="Q138" i="7"/>
  <c r="Q202" i="7"/>
  <c r="Q426" i="7"/>
  <c r="Q458" i="7"/>
  <c r="Q490" i="7"/>
  <c r="Q522" i="7"/>
  <c r="Q554" i="7"/>
  <c r="Q586" i="7"/>
  <c r="Q618" i="7"/>
  <c r="Q682" i="7"/>
  <c r="Q714" i="7"/>
  <c r="Q746" i="7"/>
  <c r="Q810" i="7"/>
  <c r="Q19" i="7"/>
  <c r="Q51" i="7"/>
  <c r="Q83" i="7"/>
  <c r="Q127" i="7"/>
  <c r="Q539" i="7"/>
  <c r="Q571" i="7"/>
  <c r="Q603" i="7"/>
  <c r="Q635" i="7"/>
  <c r="Q795" i="7"/>
  <c r="Q827" i="7"/>
  <c r="Q476" i="7"/>
  <c r="Q508" i="7"/>
  <c r="Q796" i="7"/>
  <c r="Q828" i="7"/>
  <c r="Q477" i="7"/>
  <c r="Q509" i="7"/>
  <c r="Q487" i="7"/>
  <c r="Q519" i="7"/>
  <c r="Q551" i="7"/>
  <c r="Q679" i="7"/>
  <c r="Q711" i="7"/>
  <c r="Q743" i="7"/>
  <c r="Q552" i="7"/>
  <c r="Q584" i="7"/>
  <c r="Q616" i="7"/>
  <c r="Q648" i="7"/>
  <c r="Q680" i="7"/>
  <c r="Q712" i="7"/>
  <c r="Q744" i="7"/>
  <c r="Q776" i="7"/>
  <c r="Q239" i="7"/>
  <c r="Q271" i="7"/>
  <c r="Q303" i="7"/>
  <c r="Q335" i="7"/>
  <c r="Q367" i="7"/>
  <c r="Q399" i="7"/>
  <c r="Q559" i="7"/>
  <c r="Q591" i="7"/>
  <c r="Q623" i="7"/>
  <c r="Q655" i="7"/>
  <c r="Q815" i="7"/>
  <c r="Q80" i="7"/>
  <c r="Q112" i="7"/>
  <c r="Q144" i="7"/>
  <c r="Q176" i="7"/>
  <c r="Q208" i="7"/>
  <c r="Q240" i="7"/>
  <c r="Q272" i="7"/>
  <c r="Q304" i="7"/>
  <c r="Q336" i="7"/>
  <c r="Q368" i="7"/>
  <c r="Q400" i="7"/>
  <c r="Q464" i="7"/>
  <c r="Q496" i="7"/>
  <c r="Q528" i="7"/>
  <c r="Q816" i="7"/>
  <c r="Q49" i="7"/>
  <c r="Q81" i="7"/>
  <c r="Q113" i="7"/>
  <c r="Q145" i="7"/>
  <c r="Q177" i="7"/>
  <c r="Q209" i="7"/>
  <c r="Q241" i="7"/>
  <c r="Q305" i="7"/>
  <c r="Q337" i="7"/>
  <c r="Q369" i="7"/>
  <c r="Q401" i="7"/>
  <c r="Q465" i="7"/>
  <c r="Q497" i="7"/>
  <c r="Q163" i="7"/>
  <c r="Q195" i="7"/>
  <c r="Q451" i="7"/>
  <c r="Q483" i="7"/>
  <c r="Q515" i="7"/>
  <c r="Q547" i="7"/>
  <c r="Q675" i="7"/>
  <c r="Q707" i="7"/>
  <c r="Q739" i="7"/>
  <c r="Q68" i="7"/>
  <c r="Q420" i="7"/>
  <c r="Q548" i="7"/>
  <c r="Q580" i="7"/>
  <c r="Q612" i="7"/>
  <c r="Q644" i="7"/>
  <c r="Q676" i="7"/>
  <c r="Q708" i="7"/>
  <c r="Q740" i="7"/>
  <c r="Q421" i="7"/>
  <c r="Q577" i="7"/>
  <c r="Q609" i="7"/>
  <c r="Q641" i="7"/>
  <c r="Q801" i="7"/>
  <c r="Q833" i="7"/>
  <c r="Q642" i="7"/>
  <c r="Q802" i="7"/>
  <c r="Q693" i="7"/>
  <c r="Q725" i="7"/>
  <c r="Q757" i="7"/>
  <c r="Q470" i="7"/>
  <c r="Q502" i="7"/>
  <c r="Q534" i="7"/>
  <c r="Q566" i="7"/>
  <c r="Q598" i="7"/>
  <c r="Q630" i="7"/>
  <c r="Q694" i="7"/>
  <c r="Q726" i="7"/>
  <c r="Q758" i="7"/>
  <c r="J15" i="10"/>
  <c r="Q581" i="7"/>
  <c r="Q613" i="7"/>
  <c r="Q645" i="7"/>
  <c r="Q773" i="7"/>
  <c r="Q805" i="7"/>
  <c r="Q6" i="7"/>
  <c r="F6" i="10"/>
  <c r="Q38" i="7"/>
  <c r="Q70" i="7"/>
  <c r="Q102" i="7"/>
  <c r="Q134" i="7"/>
  <c r="Q166" i="7"/>
  <c r="Q230" i="7"/>
  <c r="Q262" i="7"/>
  <c r="Q294" i="7"/>
  <c r="Q326" i="7"/>
  <c r="Q358" i="7"/>
  <c r="Q390" i="7"/>
  <c r="Q646" i="7"/>
  <c r="Q774" i="7"/>
  <c r="Q806" i="7"/>
  <c r="Q689" i="7"/>
  <c r="Q721" i="7"/>
  <c r="Q753" i="7"/>
  <c r="Q114" i="7"/>
  <c r="Q146" i="7"/>
  <c r="Q210" i="7"/>
  <c r="Q274" i="7"/>
  <c r="Q434" i="7"/>
  <c r="Q466" i="7"/>
  <c r="Q498" i="7"/>
  <c r="Q530" i="7"/>
  <c r="Q562" i="7"/>
  <c r="Q594" i="7"/>
  <c r="Q626" i="7"/>
  <c r="Q690" i="7"/>
  <c r="Q722" i="7"/>
  <c r="Q754" i="7"/>
  <c r="I15" i="10"/>
  <c r="F15" i="10" l="1"/>
  <c r="K2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<sst xmlns="http://schemas.openxmlformats.org/spreadsheetml/2006/main" count="14097" uniqueCount="3222">
  <si>
    <t>https://www.espn.co.uk/football/team/_/id/202/argentina</t>
  </si>
  <si>
    <t>https://www.espn.co.uk/football/team/_/id/628/australia</t>
  </si>
  <si>
    <t>https://www.espn.co.uk/football/team/_/id/459/belgium</t>
  </si>
  <si>
    <t>https://www.espn.co.uk/football/team/_/id/205/brazil</t>
  </si>
  <si>
    <t>https://www.espn.co.uk/football/team/_/id/656/cameroon</t>
  </si>
  <si>
    <t>https://www.espn.co.uk/football/team/_/id/206/canada</t>
  </si>
  <si>
    <t>https://www.espn.co.uk/football/team/_/id/214/costa-rica</t>
  </si>
  <si>
    <t>https://www.espn.co.uk/football/team/_/id/477/croatia</t>
  </si>
  <si>
    <t>https://www.espn.co.uk/football/team/_/id/479/denmark</t>
  </si>
  <si>
    <t>https://www.espn.co.uk/football/team/_/id/209/ecuador</t>
  </si>
  <si>
    <t>https://www.espn.co.uk/football/team/_/id/448/england</t>
  </si>
  <si>
    <t>https://www.espn.co.uk/football/team/_/id/478/france</t>
  </si>
  <si>
    <t>https://www.espn.co.uk/football/team/_/id/481/germany</t>
  </si>
  <si>
    <t>https://www.espn.co.uk/football/team/_/id/4469/ghana</t>
  </si>
  <si>
    <t>https://www.espn.co.uk/football/team/_/id/469/ir-iran</t>
  </si>
  <si>
    <t>https://www.espn.co.uk/football/team/_/id/627/japan</t>
  </si>
  <si>
    <t>https://www.espn.co.uk/football/team/_/id/203/mexico</t>
  </si>
  <si>
    <t>https://www.espn.co.uk/football/team/_/id/2869/morocco</t>
  </si>
  <si>
    <t>https://www.espn.co.uk/football/team/_/id/449/netherlands</t>
  </si>
  <si>
    <t>https://www.espn.co.uk/football/team/_/id/471/poland</t>
  </si>
  <si>
    <t>https://www.espn.co.uk/football/team/_/id/482/portugal</t>
  </si>
  <si>
    <t>https://www.espn.co.uk/football/team/_/id/4398/qatar</t>
  </si>
  <si>
    <t>https://www.espn.co.uk/football/team/_/id/655/saudi-arabia</t>
  </si>
  <si>
    <t>https://www.espn.co.uk/football/team/_/id/654/senegal</t>
  </si>
  <si>
    <t>https://www.espn.co.uk/football/team/_/id/6757/serbia</t>
  </si>
  <si>
    <t>https://www.espn.co.uk/football/team/_/id/451/south-korea</t>
  </si>
  <si>
    <t>https://www.espn.co.uk/football/team/_/id/164/spain</t>
  </si>
  <si>
    <t>https://www.espn.co.uk/football/team/_/id/475/switzerland</t>
  </si>
  <si>
    <t>https://www.espn.co.uk/football/team/_/id/659/tunisia</t>
  </si>
  <si>
    <t>https://www.espn.co.uk/football/team/_/id/660/united-states</t>
  </si>
  <si>
    <t>https://www.espn.co.uk/football/team/_/id/212/uruguay</t>
  </si>
  <si>
    <t>https://www.espn.co.uk/football/team/_/id/578/wales</t>
  </si>
  <si>
    <t>cmr</t>
  </si>
  <si>
    <t>crc</t>
  </si>
  <si>
    <t>irn</t>
  </si>
  <si>
    <t>mar</t>
  </si>
  <si>
    <t>ned</t>
  </si>
  <si>
    <t>ksa</t>
  </si>
  <si>
    <t>sba</t>
  </si>
  <si>
    <t>kors</t>
  </si>
  <si>
    <t>esp</t>
  </si>
  <si>
    <t>sui</t>
  </si>
  <si>
    <t>usa</t>
  </si>
  <si>
    <t>Alfredo Talavera</t>
  </si>
  <si>
    <t>G</t>
  </si>
  <si>
    <t>Rodolfo Cota</t>
  </si>
  <si>
    <t>Guillermo Ochoa</t>
  </si>
  <si>
    <t>Néstor Araujo</t>
  </si>
  <si>
    <t>D</t>
  </si>
  <si>
    <t>César Montes</t>
  </si>
  <si>
    <t>Johan Vásquez</t>
  </si>
  <si>
    <t>Gerardo Arteaga</t>
  </si>
  <si>
    <t>Héctor Moreno</t>
  </si>
  <si>
    <t>Jorge Sánchez</t>
  </si>
  <si>
    <t>Jesús Gallardo</t>
  </si>
  <si>
    <t>Kevin Álvarez</t>
  </si>
  <si>
    <t>Edson Álvarez</t>
  </si>
  <si>
    <t>M</t>
  </si>
  <si>
    <t>Luis Romo</t>
  </si>
  <si>
    <t>Carlos Rodríguez</t>
  </si>
  <si>
    <t>Érick Gutiérrez</t>
  </si>
  <si>
    <t>Héctor Herrera</t>
  </si>
  <si>
    <t>Orbelín Pineda</t>
  </si>
  <si>
    <t>Andrés Guardado</t>
  </si>
  <si>
    <t>Luis Chávez</t>
  </si>
  <si>
    <t>Raúl Jiménez</t>
  </si>
  <si>
    <t>F</t>
  </si>
  <si>
    <t>Alexis Vega</t>
  </si>
  <si>
    <t>Rogelio Funes Mori</t>
  </si>
  <si>
    <t>Henry Martín</t>
  </si>
  <si>
    <t>Uriel Antuna</t>
  </si>
  <si>
    <t>Hirving Lozano</t>
  </si>
  <si>
    <t>Roberto Alvarado</t>
  </si>
  <si>
    <t>Yassine Bounou</t>
  </si>
  <si>
    <t>Munir El Kajoui</t>
  </si>
  <si>
    <t>Reda Tagnaouti</t>
  </si>
  <si>
    <t>Achraf Hakimi</t>
  </si>
  <si>
    <t>Noussair Mazraoui</t>
  </si>
  <si>
    <t>Nayef Aguerd</t>
  </si>
  <si>
    <t>Romain Saïss</t>
  </si>
  <si>
    <t>Jawad El Yamiq</t>
  </si>
  <si>
    <t>Achraf Dari</t>
  </si>
  <si>
    <t>Badr Benoun</t>
  </si>
  <si>
    <t>Yahya Attiyat-Allah</t>
  </si>
  <si>
    <t>Sofyan Amrabat</t>
  </si>
  <si>
    <t>Hakim Ziyech</t>
  </si>
  <si>
    <t>Azzedine Ounahi</t>
  </si>
  <si>
    <t>Amine Harit</t>
  </si>
  <si>
    <t>Abdelhamid Sabiri</t>
  </si>
  <si>
    <t>Ilias Chair</t>
  </si>
  <si>
    <t>Selim Amallah</t>
  </si>
  <si>
    <t>Bilal El Khannouss</t>
  </si>
  <si>
    <t>Yahya Jabrane</t>
  </si>
  <si>
    <t>Abderrazak Hamdallah</t>
  </si>
  <si>
    <t>Anass Zaroury</t>
  </si>
  <si>
    <t>Zakaria Aboukhlal</t>
  </si>
  <si>
    <t>Abde Ez</t>
  </si>
  <si>
    <t>Sofiane Boufal</t>
  </si>
  <si>
    <t>Youssef En-Nesyri</t>
  </si>
  <si>
    <t>Walid Cheddira</t>
  </si>
  <si>
    <t>Remko Pasveer</t>
  </si>
  <si>
    <t>Justin Bijlow</t>
  </si>
  <si>
    <t>Andries Noppert</t>
  </si>
  <si>
    <t>Jurriën Timber</t>
  </si>
  <si>
    <t>Matthijs de Ligt</t>
  </si>
  <si>
    <t>Virgil van Dijk</t>
  </si>
  <si>
    <t>Nathan Aké</t>
  </si>
  <si>
    <t>Stefan de Vrij</t>
  </si>
  <si>
    <t>Tyrell Malacia</t>
  </si>
  <si>
    <t>Daley Blind</t>
  </si>
  <si>
    <t>Denzel Dumfries</t>
  </si>
  <si>
    <t>Jeremie Frimpong</t>
  </si>
  <si>
    <t>Noa Lang</t>
  </si>
  <si>
    <t>Davy Klaassen</t>
  </si>
  <si>
    <t>Marten de Roon</t>
  </si>
  <si>
    <t>Teun Koopmeiners</t>
  </si>
  <si>
    <t>Frenkie de Jong</t>
  </si>
  <si>
    <t>Kenneth Taylor</t>
  </si>
  <si>
    <t>Xavi Simons</t>
  </si>
  <si>
    <t>Steven Bergwijn</t>
  </si>
  <si>
    <t>Cody Gakpo</t>
  </si>
  <si>
    <t>Luuk de Jong</t>
  </si>
  <si>
    <t>Memphis Depay</t>
  </si>
  <si>
    <t>Steven Berghuis</t>
  </si>
  <si>
    <t>Vincent Janssen</t>
  </si>
  <si>
    <t>Wout Weghorst</t>
  </si>
  <si>
    <t>Wojciech Szczesny</t>
  </si>
  <si>
    <t>Lukasz Skorupski</t>
  </si>
  <si>
    <t>Kamil Grabara</t>
  </si>
  <si>
    <t>Matty Cash</t>
  </si>
  <si>
    <t>Artur Jedrzejczyk</t>
  </si>
  <si>
    <t>Mateusz Wieteska</t>
  </si>
  <si>
    <t>Jan Bednarek</t>
  </si>
  <si>
    <t>Jakub Kiwior</t>
  </si>
  <si>
    <t>Kamil Glik</t>
  </si>
  <si>
    <t>Bartosz Bereszynski</t>
  </si>
  <si>
    <t>Robert Gumny</t>
  </si>
  <si>
    <t>Krystian Bielik</t>
  </si>
  <si>
    <t>Damian Szymanski</t>
  </si>
  <si>
    <t>Grzegorz Krychowiak</t>
  </si>
  <si>
    <t>Kamil Grosicki</t>
  </si>
  <si>
    <t>Jakub Kaminski</t>
  </si>
  <si>
    <t>Szymon Zurkowski</t>
  </si>
  <si>
    <t>Sebastian Szymanski</t>
  </si>
  <si>
    <t>Piotr Zielinski</t>
  </si>
  <si>
    <t>Przemyslaw Frankowski</t>
  </si>
  <si>
    <t>Michal Skoras</t>
  </si>
  <si>
    <t>Arkadiusz Milik</t>
  </si>
  <si>
    <t>Robert Lewandowski</t>
  </si>
  <si>
    <t>Karol Swiderski</t>
  </si>
  <si>
    <t>Nicola Zalewski</t>
  </si>
  <si>
    <t>Krzysztof Piatek</t>
  </si>
  <si>
    <t>Rui Patrício</t>
  </si>
  <si>
    <t>José Sá</t>
  </si>
  <si>
    <t>Diogo Costa</t>
  </si>
  <si>
    <t>Diogo Dalot</t>
  </si>
  <si>
    <t>Pepe</t>
  </si>
  <si>
    <t>Rúben Dias</t>
  </si>
  <si>
    <t>Raphaël Guerreiro</t>
  </si>
  <si>
    <t>Nuno Mendes</t>
  </si>
  <si>
    <t>João Cancelo</t>
  </si>
  <si>
    <t>António Silva</t>
  </si>
  <si>
    <t>João Palhinha</t>
  </si>
  <si>
    <t>Bruno Fernandes</t>
  </si>
  <si>
    <t>Bernardo Silva</t>
  </si>
  <si>
    <t>Danilo Pereira</t>
  </si>
  <si>
    <t>William Carvalho</t>
  </si>
  <si>
    <t>Vitinha</t>
  </si>
  <si>
    <t>João Mário</t>
  </si>
  <si>
    <t>Rúben Neves</t>
  </si>
  <si>
    <t>Matheus Nunes</t>
  </si>
  <si>
    <t>Otávio</t>
  </si>
  <si>
    <t>Cristiano Ronaldo</t>
  </si>
  <si>
    <t>André Silva</t>
  </si>
  <si>
    <t>João Félix</t>
  </si>
  <si>
    <t>Rafael Leão</t>
  </si>
  <si>
    <t>Ricardo Horta</t>
  </si>
  <si>
    <t>Goncalo Ramos</t>
  </si>
  <si>
    <t>Saad Al-Sheeb</t>
  </si>
  <si>
    <t>Yousof Hassan</t>
  </si>
  <si>
    <t>Meshaal Barsham</t>
  </si>
  <si>
    <t>Pedro Miguel</t>
  </si>
  <si>
    <t>Abdelkarim Hassan</t>
  </si>
  <si>
    <t>Tarek Salman</t>
  </si>
  <si>
    <t>Musaab Khidir</t>
  </si>
  <si>
    <t>Homam Ahmed</t>
  </si>
  <si>
    <t>Bassam Al-Rawi</t>
  </si>
  <si>
    <t>Boualem Khoukhi</t>
  </si>
  <si>
    <t>Salem Al-Hajri</t>
  </si>
  <si>
    <t>Jassem Gaber</t>
  </si>
  <si>
    <t>Mohammed Waad</t>
  </si>
  <si>
    <t>Abdulaziz Hatem</t>
  </si>
  <si>
    <t>Ali Asad</t>
  </si>
  <si>
    <t>Karim Boudiaf</t>
  </si>
  <si>
    <t>Ismail Mohamad</t>
  </si>
  <si>
    <t>Assim Madibo</t>
  </si>
  <si>
    <t>Naif Al-Hadhrami</t>
  </si>
  <si>
    <t>Moustafa Tarek</t>
  </si>
  <si>
    <t>Ahmed Alaaeldin</t>
  </si>
  <si>
    <t>Mohammed Muntari</t>
  </si>
  <si>
    <t>Hassan Al-Haydos</t>
  </si>
  <si>
    <t>Akram Afif</t>
  </si>
  <si>
    <t>Khalid Muneer</t>
  </si>
  <si>
    <t>Almoez Ali</t>
  </si>
  <si>
    <t>Mohammed Al-Yami</t>
  </si>
  <si>
    <t>Mohammed Al-Owais</t>
  </si>
  <si>
    <t>Nawaf Al-Aqidi</t>
  </si>
  <si>
    <t>Sultan Al-Ghannam</t>
  </si>
  <si>
    <t>Abdullah Madu</t>
  </si>
  <si>
    <t>Abdulelah Al-Amri</t>
  </si>
  <si>
    <t>Ali Al-Bulayhi</t>
  </si>
  <si>
    <t>Mohammed Al-Burayk</t>
  </si>
  <si>
    <t>Saud Abdulhamid</t>
  </si>
  <si>
    <t>Yasser Al-Shahrani</t>
  </si>
  <si>
    <t>Hassan Altambakti</t>
  </si>
  <si>
    <t>Salman Al-Faraj</t>
  </si>
  <si>
    <t>Abdulelah Al-Malki</t>
  </si>
  <si>
    <t>Salem Al-Dawsari</t>
  </si>
  <si>
    <t>Abdullah Otayf</t>
  </si>
  <si>
    <t>Ali Al-Hassan</t>
  </si>
  <si>
    <t>Sami Al-Naji</t>
  </si>
  <si>
    <t>Nawaf Al-Abid</t>
  </si>
  <si>
    <t>Hatan Bahbri</t>
  </si>
  <si>
    <t>Mohamed Kanno</t>
  </si>
  <si>
    <t>Nasser Al-Dawsari</t>
  </si>
  <si>
    <t>Riyadh Sharahili</t>
  </si>
  <si>
    <t>Feras Al-Brikan</t>
  </si>
  <si>
    <t>Saleh Al-Shehri</t>
  </si>
  <si>
    <t>Abdulrahman Al-Obud</t>
  </si>
  <si>
    <t>Haitham Asiri</t>
  </si>
  <si>
    <t>Édouard Mendy</t>
  </si>
  <si>
    <t>Seny Dieng</t>
  </si>
  <si>
    <t>Alfred Gomis</t>
  </si>
  <si>
    <t>Ismail Jakobs</t>
  </si>
  <si>
    <t>Kalidou Koulibaly</t>
  </si>
  <si>
    <t>Abdou Diallo</t>
  </si>
  <si>
    <t>Youssouf Sabaly</t>
  </si>
  <si>
    <t>Formose Mendy</t>
  </si>
  <si>
    <t>Pape Abou Cissé</t>
  </si>
  <si>
    <t>Fodé Ballo-Touré</t>
  </si>
  <si>
    <t>Idrissa Gana Gueye</t>
  </si>
  <si>
    <t>Nampalys Mendy</t>
  </si>
  <si>
    <t>Cheikhou Kouyaté</t>
  </si>
  <si>
    <t>Iliman Ndiaye</t>
  </si>
  <si>
    <t>Pape Gueye</t>
  </si>
  <si>
    <t>Moustapha Name</t>
  </si>
  <si>
    <t>Pathé Ciss</t>
  </si>
  <si>
    <t>Pape Matar Sarr</t>
  </si>
  <si>
    <t>Mamadou Loum Ndiaye</t>
  </si>
  <si>
    <t>Sadio Mané</t>
  </si>
  <si>
    <t>Krépin Diatta</t>
  </si>
  <si>
    <t>Ismaïla Sarr</t>
  </si>
  <si>
    <t>Famara Diedhiou</t>
  </si>
  <si>
    <t>Bamba Dieng</t>
  </si>
  <si>
    <t>Boulaye Dia</t>
  </si>
  <si>
    <t>Nicolas Jackson</t>
  </si>
  <si>
    <t>Marko Dmitrovic</t>
  </si>
  <si>
    <t>Predrag Rajkovic</t>
  </si>
  <si>
    <t>Vanja Milinkovic-Savic</t>
  </si>
  <si>
    <t>Strahinja Pavlovic</t>
  </si>
  <si>
    <t>Strahinja Erakovic</t>
  </si>
  <si>
    <t>Nikola Milenkovic</t>
  </si>
  <si>
    <t>Milos Veljkovic</t>
  </si>
  <si>
    <t>Stefan Mitrovic</t>
  </si>
  <si>
    <t>Srjdan Babic</t>
  </si>
  <si>
    <t>Filip Mladenovic</t>
  </si>
  <si>
    <t>Nemanja Maksimovic</t>
  </si>
  <si>
    <t>Nemanja Radonjic</t>
  </si>
  <si>
    <t>Nemanja Gudelj</t>
  </si>
  <si>
    <t>Sasa Lukic</t>
  </si>
  <si>
    <t>Filip Kostic</t>
  </si>
  <si>
    <t>Uros Racic</t>
  </si>
  <si>
    <t>Sergej Milinkovic-Savic</t>
  </si>
  <si>
    <t>Filip Djuricic</t>
  </si>
  <si>
    <t>Darko Lazovic</t>
  </si>
  <si>
    <t>Ivan Ilic</t>
  </si>
  <si>
    <t>Marko Grujic</t>
  </si>
  <si>
    <t>Aleksandar Mitrovic</t>
  </si>
  <si>
    <t>Dusan Tadic</t>
  </si>
  <si>
    <t>Luka Jovic</t>
  </si>
  <si>
    <t>Andrija Zivkovic</t>
  </si>
  <si>
    <t>Dusan Vlahovic</t>
  </si>
  <si>
    <t>Kim Seung-Gyu</t>
  </si>
  <si>
    <t>Song Bum-Keun</t>
  </si>
  <si>
    <t>Jo Hyeon-Woo</t>
  </si>
  <si>
    <t>Yoon Jong-Gyu</t>
  </si>
  <si>
    <t>Kim Jin-Su</t>
  </si>
  <si>
    <t>Kim Min-Jae</t>
  </si>
  <si>
    <t>Hong Chul</t>
  </si>
  <si>
    <t>Kim Moon-Hwan</t>
  </si>
  <si>
    <t>Kim Young-Gwon</t>
  </si>
  <si>
    <t>Kwon Kyung-Won</t>
  </si>
  <si>
    <t>Kim Tae-Hwan</t>
  </si>
  <si>
    <t>Cho Yu-Min</t>
  </si>
  <si>
    <t>Jung Woo-Young</t>
  </si>
  <si>
    <t>Hwang In-Beom</t>
  </si>
  <si>
    <t>Paik Seung-Ho</t>
  </si>
  <si>
    <t>Lee Jae-Sung</t>
  </si>
  <si>
    <t>Son Jun-Ho</t>
  </si>
  <si>
    <t>Lee Kang-In</t>
  </si>
  <si>
    <t>Kwon Chang-Hoon</t>
  </si>
  <si>
    <t>Jeong Woo-Yeong</t>
  </si>
  <si>
    <t>Son Heung-Min</t>
  </si>
  <si>
    <t>Cho Gue-Sung</t>
  </si>
  <si>
    <t>Hwang Hee-Chan</t>
  </si>
  <si>
    <t>Hwang Ui-Jo</t>
  </si>
  <si>
    <t>Na Sang-Ho</t>
  </si>
  <si>
    <t>Song Min-Kyu</t>
  </si>
  <si>
    <t>Robert Sánchez</t>
  </si>
  <si>
    <t>David Raya</t>
  </si>
  <si>
    <t>Unai Simón</t>
  </si>
  <si>
    <t>César Azpilicueta</t>
  </si>
  <si>
    <t>Eric García</t>
  </si>
  <si>
    <t>Pau Torres</t>
  </si>
  <si>
    <t>José Gayà</t>
  </si>
  <si>
    <t>Hugo Guillamón</t>
  </si>
  <si>
    <t>Jordi Alba</t>
  </si>
  <si>
    <t>Dani Carvajal</t>
  </si>
  <si>
    <t>Aymeric Laporte</t>
  </si>
  <si>
    <t>Sergio Busquets</t>
  </si>
  <si>
    <t>Marcos Llorente</t>
  </si>
  <si>
    <t>Koke</t>
  </si>
  <si>
    <t>Gavi</t>
  </si>
  <si>
    <t>Rodri</t>
  </si>
  <si>
    <t>Yeremy Pino</t>
  </si>
  <si>
    <t>Carlos Soler</t>
  </si>
  <si>
    <t>Dani Olmo</t>
  </si>
  <si>
    <t>Pablo Sarabia</t>
  </si>
  <si>
    <t>Pedri</t>
  </si>
  <si>
    <t>Álvaro Mora</t>
  </si>
  <si>
    <t>Marco Asensio</t>
  </si>
  <si>
    <t>Ferran Torres</t>
  </si>
  <si>
    <t>Nico Williams</t>
  </si>
  <si>
    <t>Ansu Fati</t>
  </si>
  <si>
    <t>Yann Sommer</t>
  </si>
  <si>
    <t>Jonas Omlin</t>
  </si>
  <si>
    <t>Gregor Kobel</t>
  </si>
  <si>
    <t>Philipp Köehn</t>
  </si>
  <si>
    <t>Silvan Widmer</t>
  </si>
  <si>
    <t>Nico Elvedi</t>
  </si>
  <si>
    <t>Manuel Akanji</t>
  </si>
  <si>
    <t>Ricardo Rodríguez</t>
  </si>
  <si>
    <t>Eray Cöemert</t>
  </si>
  <si>
    <t>Fabian Schäer</t>
  </si>
  <si>
    <t>Edimilson Fernandes</t>
  </si>
  <si>
    <t>Denis Zakaria</t>
  </si>
  <si>
    <t>Remo Freuler</t>
  </si>
  <si>
    <t>Granit Xhaka</t>
  </si>
  <si>
    <t>Renato Steffen</t>
  </si>
  <si>
    <t>Michel Aebischer</t>
  </si>
  <si>
    <t>Djibril Sow</t>
  </si>
  <si>
    <t>Christian Fassnacht</t>
  </si>
  <si>
    <t>Ruben Vargas</t>
  </si>
  <si>
    <t>Fabian Frei</t>
  </si>
  <si>
    <t>Xherdan Shaqiri</t>
  </si>
  <si>
    <t>Fabian Rieder</t>
  </si>
  <si>
    <t>Ardon Jashari</t>
  </si>
  <si>
    <t>Breel Embolo</t>
  </si>
  <si>
    <t>Haris Seferovic</t>
  </si>
  <si>
    <t>Noah Okafor</t>
  </si>
  <si>
    <t>Aymen Mathlouthi</t>
  </si>
  <si>
    <t>Aymen Dahmen</t>
  </si>
  <si>
    <t>Bechir Ben Said</t>
  </si>
  <si>
    <t>Mouez Hassen</t>
  </si>
  <si>
    <t>Bilel Ifa</t>
  </si>
  <si>
    <t>Montassar Talbi</t>
  </si>
  <si>
    <t>Yassine Meriah</t>
  </si>
  <si>
    <t>Dylan Bronn</t>
  </si>
  <si>
    <t>Ali Maâloul</t>
  </si>
  <si>
    <t>Mohamed Drager</t>
  </si>
  <si>
    <t>Wajdi Kechrida</t>
  </si>
  <si>
    <t>Ali Abdi</t>
  </si>
  <si>
    <t>Nader Ghandri</t>
  </si>
  <si>
    <t>Hannibal Mejbri</t>
  </si>
  <si>
    <t>Ferjani Sassi</t>
  </si>
  <si>
    <t>Aissa Laidouni</t>
  </si>
  <si>
    <t>Mohamed Ali Ben Romdhane</t>
  </si>
  <si>
    <t>Ellyes Skhiri</t>
  </si>
  <si>
    <t>Ghaylen Chaaleli</t>
  </si>
  <si>
    <t>Naïm Sliti</t>
  </si>
  <si>
    <t>Anis Ben Slimane</t>
  </si>
  <si>
    <t>Youssef Msakni</t>
  </si>
  <si>
    <t>Issam Jebali</t>
  </si>
  <si>
    <t>Wahbi Khazri</t>
  </si>
  <si>
    <t>Taha Yassine Khenissi</t>
  </si>
  <si>
    <t>Seifeddine Jaziri</t>
  </si>
  <si>
    <t>Matt Turner</t>
  </si>
  <si>
    <t>Ethan Horvath</t>
  </si>
  <si>
    <t>Sean Johnson</t>
  </si>
  <si>
    <t>Sergiño Dest</t>
  </si>
  <si>
    <t>Walker Zimmerman</t>
  </si>
  <si>
    <t>Antonee Robinson</t>
  </si>
  <si>
    <t>Tim Ream</t>
  </si>
  <si>
    <t>Aaron Long</t>
  </si>
  <si>
    <t>Shaq Moore</t>
  </si>
  <si>
    <t>Cameron Carter-Vickers</t>
  </si>
  <si>
    <t>DeAndre Yedlin</t>
  </si>
  <si>
    <t>Joe Scally</t>
  </si>
  <si>
    <t>Tyler Adams</t>
  </si>
  <si>
    <t>Yunus Musah</t>
  </si>
  <si>
    <t>Giovanni Reyna</t>
  </si>
  <si>
    <t>Weston McKennie</t>
  </si>
  <si>
    <t>Christian Pulisic</t>
  </si>
  <si>
    <t>Brenden Aaronson</t>
  </si>
  <si>
    <t>Luca de la Torre</t>
  </si>
  <si>
    <t>Cristian Roldan</t>
  </si>
  <si>
    <t>Kellyn Acosta</t>
  </si>
  <si>
    <t>Jesús Ferreira</t>
  </si>
  <si>
    <t>Jordan Morris</t>
  </si>
  <si>
    <t>Haji Wright</t>
  </si>
  <si>
    <t>Timothy Weah</t>
  </si>
  <si>
    <t>Josh Sargent</t>
  </si>
  <si>
    <t>Fernando Muslera</t>
  </si>
  <si>
    <t>Sebastián Sosa</t>
  </si>
  <si>
    <t>Sergio Rochet</t>
  </si>
  <si>
    <t>José Maria Giménez</t>
  </si>
  <si>
    <t>Diego Godín</t>
  </si>
  <si>
    <t>Ronald Araújo</t>
  </si>
  <si>
    <t>Gullermo Varela</t>
  </si>
  <si>
    <t>Mathías Olivera</t>
  </si>
  <si>
    <t>Matías Viña</t>
  </si>
  <si>
    <t>Sebastián Coates</t>
  </si>
  <si>
    <t>Martín Cáceres</t>
  </si>
  <si>
    <t>José Luis Rodríguez</t>
  </si>
  <si>
    <t>Matías Vecino</t>
  </si>
  <si>
    <t>Rodrigo Bentancur</t>
  </si>
  <si>
    <t>Nicolás de la Cruz</t>
  </si>
  <si>
    <t>Facundo Pellistri</t>
  </si>
  <si>
    <t>Giorgian de Arrascaeta</t>
  </si>
  <si>
    <t>Lucas Torreira</t>
  </si>
  <si>
    <t>Federico Valverde</t>
  </si>
  <si>
    <t>Facundo Torres</t>
  </si>
  <si>
    <t>Manuel Ugarte</t>
  </si>
  <si>
    <t>Luis Suárez</t>
  </si>
  <si>
    <t>Darwin Núñez</t>
  </si>
  <si>
    <t>Maxi Gómez</t>
  </si>
  <si>
    <t>Edinson Cavani</t>
  </si>
  <si>
    <t>Agustín Canobbio</t>
  </si>
  <si>
    <t>Wayne Hennessey</t>
  </si>
  <si>
    <t>Danny Ward</t>
  </si>
  <si>
    <t>Adam Davies</t>
  </si>
  <si>
    <t>Chris Gunter</t>
  </si>
  <si>
    <t>Neco Williams</t>
  </si>
  <si>
    <t>Ben Davies</t>
  </si>
  <si>
    <t>Chris Mepham</t>
  </si>
  <si>
    <t>Joe Rodon</t>
  </si>
  <si>
    <t>Connor Roberts</t>
  </si>
  <si>
    <t>Ethan Ampadu</t>
  </si>
  <si>
    <t>Tom Lockyer</t>
  </si>
  <si>
    <t>Ben Cabango</t>
  </si>
  <si>
    <t>Joe Allen</t>
  </si>
  <si>
    <t>Harry Wilson</t>
  </si>
  <si>
    <t>Aaron Ramsey</t>
  </si>
  <si>
    <t>Joe Morrell</t>
  </si>
  <si>
    <t>Jonny Williams</t>
  </si>
  <si>
    <t>Mark Harris</t>
  </si>
  <si>
    <t>Daniel James</t>
  </si>
  <si>
    <t>Sorba Thomas</t>
  </si>
  <si>
    <t>Dylan Levitt</t>
  </si>
  <si>
    <t>Rubin Colwill</t>
  </si>
  <si>
    <t>Brennan Johnson</t>
  </si>
  <si>
    <t>Gareth Bale</t>
  </si>
  <si>
    <t>Kieffer Moore</t>
  </si>
  <si>
    <t>Matt Smith</t>
  </si>
  <si>
    <t>Franco Armani</t>
  </si>
  <si>
    <t>Gerónimo Rulli</t>
  </si>
  <si>
    <t>Emiliano Martínez</t>
  </si>
  <si>
    <t>Juan Foyth</t>
  </si>
  <si>
    <t>Nicolás Tagliafico</t>
  </si>
  <si>
    <t>Gonzalo Montiel</t>
  </si>
  <si>
    <t>Germán Pezzella</t>
  </si>
  <si>
    <t>Marcos Acuña</t>
  </si>
  <si>
    <t>Cristian Romero</t>
  </si>
  <si>
    <t>Nicolás Otamendi</t>
  </si>
  <si>
    <t>Lisandro Martínez</t>
  </si>
  <si>
    <t>Nahuel Molina</t>
  </si>
  <si>
    <t>Leandro Paredes</t>
  </si>
  <si>
    <t>Rodrigo De Paul</t>
  </si>
  <si>
    <t>Ángel Di María</t>
  </si>
  <si>
    <t>Exequiel Palacios</t>
  </si>
  <si>
    <t>Alejandro Gómez</t>
  </si>
  <si>
    <t>Guido Rodríguez</t>
  </si>
  <si>
    <t>Alexis Mac Allister</t>
  </si>
  <si>
    <t>Enzo Fernández</t>
  </si>
  <si>
    <t>Julián Álvarez</t>
  </si>
  <si>
    <t>Lionel Messi</t>
  </si>
  <si>
    <t>Nicolás González</t>
  </si>
  <si>
    <t>Joaquín Correa</t>
  </si>
  <si>
    <t>Paulo Dybala</t>
  </si>
  <si>
    <t>Lautaro Martínez</t>
  </si>
  <si>
    <t>Mathew Ryan</t>
  </si>
  <si>
    <t>Andrew Redmayne</t>
  </si>
  <si>
    <t>Danny Vukovic</t>
  </si>
  <si>
    <t>Milos Degenek</t>
  </si>
  <si>
    <t>Nathaniel Atkinson</t>
  </si>
  <si>
    <t>Kye Rowles</t>
  </si>
  <si>
    <t>Fran Karacic</t>
  </si>
  <si>
    <t>Bailey Wright</t>
  </si>
  <si>
    <t>Aziz Behich</t>
  </si>
  <si>
    <t>Harry Souttar</t>
  </si>
  <si>
    <t>Thomas Deng</t>
  </si>
  <si>
    <t>Joel King</t>
  </si>
  <si>
    <t>Ajdin Hrustic</t>
  </si>
  <si>
    <t>Awer Mabil</t>
  </si>
  <si>
    <t>Aaron Mooy</t>
  </si>
  <si>
    <t>Riley McGree</t>
  </si>
  <si>
    <t>Cameron Devlin</t>
  </si>
  <si>
    <t>Jackson Irvine</t>
  </si>
  <si>
    <t>Craig Goodwin</t>
  </si>
  <si>
    <t>Keanu Baccus</t>
  </si>
  <si>
    <t>Martin Boyle</t>
  </si>
  <si>
    <t>Mathew Leckie</t>
  </si>
  <si>
    <t>Jamie Maclaren</t>
  </si>
  <si>
    <t>Mitchell Duke</t>
  </si>
  <si>
    <t>Garang Kuol</t>
  </si>
  <si>
    <t>Jason Cummings</t>
  </si>
  <si>
    <t>Thibaut Courtois</t>
  </si>
  <si>
    <t>Simon Mignolet</t>
  </si>
  <si>
    <t>Koen Casteels</t>
  </si>
  <si>
    <t>Toby Alderweireld</t>
  </si>
  <si>
    <t>Arthur Theate</t>
  </si>
  <si>
    <t>Wout Faes</t>
  </si>
  <si>
    <t>Jan Vertonghen</t>
  </si>
  <si>
    <t>Thomas Meunier</t>
  </si>
  <si>
    <t>Timothy Castagne</t>
  </si>
  <si>
    <t>Zeno Debast</t>
  </si>
  <si>
    <t>Axel Witsel</t>
  </si>
  <si>
    <t>Kevin De Bruyne</t>
  </si>
  <si>
    <t>Youri Tielemans</t>
  </si>
  <si>
    <t>Yannick Carrasco</t>
  </si>
  <si>
    <t>Thorgan Hazard</t>
  </si>
  <si>
    <t>Amadou Onana</t>
  </si>
  <si>
    <t>Leander Dendoncker</t>
  </si>
  <si>
    <t>Hans Vanaken</t>
  </si>
  <si>
    <t>Charles De Ketelaere</t>
  </si>
  <si>
    <t>Romelu Lukaku</t>
  </si>
  <si>
    <t>Eden Hazard</t>
  </si>
  <si>
    <t>Dries Mertens</t>
  </si>
  <si>
    <t>Leandro Trossard</t>
  </si>
  <si>
    <t>Michy Batshuayi</t>
  </si>
  <si>
    <t>Loïs Openda</t>
  </si>
  <si>
    <t>Jérémy Doku</t>
  </si>
  <si>
    <t>Alisson</t>
  </si>
  <si>
    <t>Weverton</t>
  </si>
  <si>
    <t>Ederson</t>
  </si>
  <si>
    <t>Danilo</t>
  </si>
  <si>
    <t>Thiago Silva</t>
  </si>
  <si>
    <t>Marquinhos</t>
  </si>
  <si>
    <t>Alex Sandro</t>
  </si>
  <si>
    <t>Dani Alves</t>
  </si>
  <si>
    <t>Éder Militão</t>
  </si>
  <si>
    <t>Alex Telles</t>
  </si>
  <si>
    <t>Bremer</t>
  </si>
  <si>
    <t>Casemiro</t>
  </si>
  <si>
    <t>Lucas Paquetá</t>
  </si>
  <si>
    <t>Fred</t>
  </si>
  <si>
    <t>Fabinho</t>
  </si>
  <si>
    <t>Bruno Guimarães</t>
  </si>
  <si>
    <t>Éverton Ribeiro</t>
  </si>
  <si>
    <t>Richarlison</t>
  </si>
  <si>
    <t>Neymar</t>
  </si>
  <si>
    <t>Raphinha</t>
  </si>
  <si>
    <t>Gabriel Jesus</t>
  </si>
  <si>
    <t>Antony</t>
  </si>
  <si>
    <t>Vinícius Júnior</t>
  </si>
  <si>
    <t>Rodrygo</t>
  </si>
  <si>
    <t>Pedro</t>
  </si>
  <si>
    <t>Gabriel Martinelli</t>
  </si>
  <si>
    <t>Simon Ngapandouentnbu</t>
  </si>
  <si>
    <t>Devis Epassy</t>
  </si>
  <si>
    <t>Andre Onana</t>
  </si>
  <si>
    <t>Nicolas Nkoulou</t>
  </si>
  <si>
    <t>Christopher Wooh</t>
  </si>
  <si>
    <t>Olivier Mbaizo</t>
  </si>
  <si>
    <t>Collins Fai</t>
  </si>
  <si>
    <t>Jean-Charles Castelletto</t>
  </si>
  <si>
    <t>Enzo Ebosse</t>
  </si>
  <si>
    <t>Tolo Nouhou</t>
  </si>
  <si>
    <t>Jerome Ngom Mbekeli</t>
  </si>
  <si>
    <t>Gaël Ondoua</t>
  </si>
  <si>
    <t>Nicolas Moumi Ngamaleu</t>
  </si>
  <si>
    <t>Georges-Kévin Nkoudou</t>
  </si>
  <si>
    <t>André-Frank Zambo Anguissa</t>
  </si>
  <si>
    <t>Samuel Oum Gouet</t>
  </si>
  <si>
    <t>Pierre Kunde</t>
  </si>
  <si>
    <t>Martin Hongla</t>
  </si>
  <si>
    <t>Bryan Mbeumo</t>
  </si>
  <si>
    <t>Olivier Ntcham</t>
  </si>
  <si>
    <t>Jean-Pierre Nsame</t>
  </si>
  <si>
    <t>Vincent Aboubakar</t>
  </si>
  <si>
    <t>Christian Bassogog</t>
  </si>
  <si>
    <t>Karl Toko Ekambi</t>
  </si>
  <si>
    <t>Eric Maxim Choupo-Moting</t>
  </si>
  <si>
    <t>Souaibou Marou</t>
  </si>
  <si>
    <t>Dayne St. Clair</t>
  </si>
  <si>
    <t>James Pantemis</t>
  </si>
  <si>
    <t>Milan Borjan</t>
  </si>
  <si>
    <t>Alistair Johnston</t>
  </si>
  <si>
    <t>Sam Adekugbe</t>
  </si>
  <si>
    <t>Kamal Miller</t>
  </si>
  <si>
    <t>Steven Vitória</t>
  </si>
  <si>
    <t>Richie Laryea</t>
  </si>
  <si>
    <t>Derek Cornelius</t>
  </si>
  <si>
    <t>Joel Waterman</t>
  </si>
  <si>
    <t>Samuel Piette</t>
  </si>
  <si>
    <t>Stephen Eustáquio</t>
  </si>
  <si>
    <t>Liam Fraser</t>
  </si>
  <si>
    <t>Junior Hoilett</t>
  </si>
  <si>
    <t>Atiba Hutchinson</t>
  </si>
  <si>
    <t>Mark-Anthony Kaye</t>
  </si>
  <si>
    <t>Ismaël Koné</t>
  </si>
  <si>
    <t>Jonathan Osorio</t>
  </si>
  <si>
    <t>David Wotherspoon</t>
  </si>
  <si>
    <t>Lucas Cavallini</t>
  </si>
  <si>
    <t>Tajon Buchanan</t>
  </si>
  <si>
    <t>Ike Ugbo</t>
  </si>
  <si>
    <t>Cyle Larin</t>
  </si>
  <si>
    <t>Alphonso Davies</t>
  </si>
  <si>
    <t>Jonathan David</t>
  </si>
  <si>
    <t>Liam Millar</t>
  </si>
  <si>
    <t>Keylor Navas</t>
  </si>
  <si>
    <t>Esteban Alvarado</t>
  </si>
  <si>
    <t>Patrick Sequeira</t>
  </si>
  <si>
    <t>Juan Pablo Vargas</t>
  </si>
  <si>
    <t>Keysher Fuller</t>
  </si>
  <si>
    <t>Óscar Duarte</t>
  </si>
  <si>
    <t>Bryan Oviedo</t>
  </si>
  <si>
    <t>Francisco Calvo</t>
  </si>
  <si>
    <t>Carlos Martinez</t>
  </si>
  <si>
    <t>Kendall Waston</t>
  </si>
  <si>
    <t>Douglas López</t>
  </si>
  <si>
    <t>Rónald Matarrita</t>
  </si>
  <si>
    <t>Daniel Chacón</t>
  </si>
  <si>
    <t>Celso Borges</t>
  </si>
  <si>
    <t>Johan Venegas</t>
  </si>
  <si>
    <t>Gerson Torres</t>
  </si>
  <si>
    <t>Youstin Salas</t>
  </si>
  <si>
    <t>Yeltsin Tejeda</t>
  </si>
  <si>
    <t>Brandon Aguilera</t>
  </si>
  <si>
    <t>Álvaro Zamora</t>
  </si>
  <si>
    <t>Anthony Contreras</t>
  </si>
  <si>
    <t>Jewison Bennette</t>
  </si>
  <si>
    <t>Bryan Ruiz</t>
  </si>
  <si>
    <t>Joel Campbell</t>
  </si>
  <si>
    <t>Roan Wilson</t>
  </si>
  <si>
    <t>Anthony Hernández</t>
  </si>
  <si>
    <t>Dominik Livakovic</t>
  </si>
  <si>
    <t>Ivo Grbic</t>
  </si>
  <si>
    <t>Ivica Ivusic</t>
  </si>
  <si>
    <t>Josip Stanisic</t>
  </si>
  <si>
    <t>Borna Barisic</t>
  </si>
  <si>
    <t>Martin Erlic</t>
  </si>
  <si>
    <t>Dejan Lovren</t>
  </si>
  <si>
    <t>Borna Sosa</t>
  </si>
  <si>
    <t>Josko Gvardiol</t>
  </si>
  <si>
    <t>Domagoj Vida</t>
  </si>
  <si>
    <t>Josip Juranovic</t>
  </si>
  <si>
    <t>Josip Sutalo</t>
  </si>
  <si>
    <t>Ivan Perisic</t>
  </si>
  <si>
    <t>Lovro Majer</t>
  </si>
  <si>
    <t>Mateo Kovacic</t>
  </si>
  <si>
    <t>Luka Modric</t>
  </si>
  <si>
    <t>Marcelo Brozovic</t>
  </si>
  <si>
    <t>Nikola Vlasic</t>
  </si>
  <si>
    <t>Mario Pasalic</t>
  </si>
  <si>
    <t>Luka Sucic</t>
  </si>
  <si>
    <t>Kristijan Jakic</t>
  </si>
  <si>
    <t>Andrej Kramaric</t>
  </si>
  <si>
    <t>Marko Livaja</t>
  </si>
  <si>
    <t>Bruno Petkovic</t>
  </si>
  <si>
    <t>Ante Budimir</t>
  </si>
  <si>
    <t>Mislav Orsic</t>
  </si>
  <si>
    <t>Kasper Schmeichel</t>
  </si>
  <si>
    <t>Oliver Christensen</t>
  </si>
  <si>
    <t>Frederik Ronnow</t>
  </si>
  <si>
    <t>Joachim Andersen</t>
  </si>
  <si>
    <t>Victor Nelsson</t>
  </si>
  <si>
    <t>Simon Kjaer</t>
  </si>
  <si>
    <t>Joakim Maehle</t>
  </si>
  <si>
    <t>Andreas Christensen</t>
  </si>
  <si>
    <t>Rasmus Kristensen</t>
  </si>
  <si>
    <t>Jens Stryger Larsen</t>
  </si>
  <si>
    <t>Alexander Bah</t>
  </si>
  <si>
    <t>Mathias Jensen</t>
  </si>
  <si>
    <t>Thomas Delaney</t>
  </si>
  <si>
    <t>Christian Eriksen</t>
  </si>
  <si>
    <t>Mikkel Damsgaard</t>
  </si>
  <si>
    <t>Christian Norgaard</t>
  </si>
  <si>
    <t>Daniel Wass</t>
  </si>
  <si>
    <t>Pierre-Emile Hojbjerg</t>
  </si>
  <si>
    <t>Jesper Lindstrom</t>
  </si>
  <si>
    <t>Martin Braithwaite</t>
  </si>
  <si>
    <t>Andreas Skov Olsen</t>
  </si>
  <si>
    <t>Kasper Dolberg</t>
  </si>
  <si>
    <t>Jonas Wind</t>
  </si>
  <si>
    <t>Yussuf Yurary Poulsen</t>
  </si>
  <si>
    <t>Andreas Cornelius</t>
  </si>
  <si>
    <t>Robert Skov</t>
  </si>
  <si>
    <t>Hernan Galindez</t>
  </si>
  <si>
    <t>Moises Ramírez</t>
  </si>
  <si>
    <t>Alexander Domínguez</t>
  </si>
  <si>
    <t>Félix Torres</t>
  </si>
  <si>
    <t>Piero Hincapié</t>
  </si>
  <si>
    <t>Robert Arboleda</t>
  </si>
  <si>
    <t>William Pacho</t>
  </si>
  <si>
    <t>Pervis Estupiñán</t>
  </si>
  <si>
    <t>Xavier Arreaga</t>
  </si>
  <si>
    <t>Angelo Preciado</t>
  </si>
  <si>
    <t>Diego Palacios</t>
  </si>
  <si>
    <t>Jackson Porozo</t>
  </si>
  <si>
    <t>José Cifuentes</t>
  </si>
  <si>
    <t>Carlos Gruezo</t>
  </si>
  <si>
    <t>Ayrton Preciado</t>
  </si>
  <si>
    <t>Romario Ibarra</t>
  </si>
  <si>
    <t>Jhegson Méndez</t>
  </si>
  <si>
    <t>Alan Franco</t>
  </si>
  <si>
    <t>Moises Caicedo</t>
  </si>
  <si>
    <t>Kevin Rodríguez</t>
  </si>
  <si>
    <t>Michael Estrada</t>
  </si>
  <si>
    <t>Enner Valencia</t>
  </si>
  <si>
    <t>Ángel Mena</t>
  </si>
  <si>
    <t>Jeremy Sarmiento</t>
  </si>
  <si>
    <t>Gonzalo Plata</t>
  </si>
  <si>
    <t>Djorkaeff Reasco</t>
  </si>
  <si>
    <t>Jordan Pickford</t>
  </si>
  <si>
    <t>Nick Pope</t>
  </si>
  <si>
    <t>Aaron Ramsdale</t>
  </si>
  <si>
    <t>Kyle Walker</t>
  </si>
  <si>
    <t>Luke Shaw</t>
  </si>
  <si>
    <t>John Stones</t>
  </si>
  <si>
    <t>Harry Maguire</t>
  </si>
  <si>
    <t>Kieran Trippier</t>
  </si>
  <si>
    <t>Eric Dier</t>
  </si>
  <si>
    <t>Conor Coady</t>
  </si>
  <si>
    <t>Trent Alexander-Arnold</t>
  </si>
  <si>
    <t>Ben White</t>
  </si>
  <si>
    <t>Declan Rice</t>
  </si>
  <si>
    <t>Jack Grealish</t>
  </si>
  <si>
    <t>Jordan Henderson</t>
  </si>
  <si>
    <t>Kalvin Phillips</t>
  </si>
  <si>
    <t>Bukayo Saka</t>
  </si>
  <si>
    <t>Mason Mount</t>
  </si>
  <si>
    <t>Phil Foden</t>
  </si>
  <si>
    <t>Jude Bellingham</t>
  </si>
  <si>
    <t>James Maddison</t>
  </si>
  <si>
    <t>Conor Gallagher</t>
  </si>
  <si>
    <t>Harry Kane</t>
  </si>
  <si>
    <t>Raheem Sterling</t>
  </si>
  <si>
    <t>Marcus Rashford</t>
  </si>
  <si>
    <t>Callum Wilson</t>
  </si>
  <si>
    <t>Hugo Lloris</t>
  </si>
  <si>
    <t>Steve Mandanda</t>
  </si>
  <si>
    <t>Alphonse Areola</t>
  </si>
  <si>
    <t>Benjamin Pavard</t>
  </si>
  <si>
    <t>Axel Disasi</t>
  </si>
  <si>
    <t>Raphaël Varane</t>
  </si>
  <si>
    <t>Jules Koundé</t>
  </si>
  <si>
    <t>William Saliba</t>
  </si>
  <si>
    <t>Dayot Upamecano</t>
  </si>
  <si>
    <t>Lucas Hernández</t>
  </si>
  <si>
    <t>Theo Hernández</t>
  </si>
  <si>
    <t>Ibrahima Konaté</t>
  </si>
  <si>
    <t>Matteo Guendouzi</t>
  </si>
  <si>
    <t>Aurélien Tchouaméni</t>
  </si>
  <si>
    <t>Youssouf Fofana</t>
  </si>
  <si>
    <t>Adrien Rabiot</t>
  </si>
  <si>
    <t>Jordan Veretout</t>
  </si>
  <si>
    <t>Eduardo Camavinga</t>
  </si>
  <si>
    <t>Antoine Griezmann</t>
  </si>
  <si>
    <t>Olivier Giroud</t>
  </si>
  <si>
    <t>Kylian Mbappé</t>
  </si>
  <si>
    <t>Ousmane Dembélé</t>
  </si>
  <si>
    <t>Randal Kolo Muani</t>
  </si>
  <si>
    <t>Karim Benzema</t>
  </si>
  <si>
    <t>Kingsley Coman</t>
  </si>
  <si>
    <t>Marcus Thuram</t>
  </si>
  <si>
    <t>Manuel Neuer</t>
  </si>
  <si>
    <t>Kevin Trapp</t>
  </si>
  <si>
    <t>Marc-André ter Stegen</t>
  </si>
  <si>
    <t>Antonio Rüdiger</t>
  </si>
  <si>
    <t>David Raum</t>
  </si>
  <si>
    <t>Matthias Ginter</t>
  </si>
  <si>
    <t>Thilo Kehrer</t>
  </si>
  <si>
    <t>Niklas Süle</t>
  </si>
  <si>
    <t>Lukas Klostermann</t>
  </si>
  <si>
    <t>Christian Günter</t>
  </si>
  <si>
    <t>Nico Schlotterbeck</t>
  </si>
  <si>
    <t>Armel Bella Kotchap</t>
  </si>
  <si>
    <t>Joshua Kimmich</t>
  </si>
  <si>
    <t>Kai Havertz</t>
  </si>
  <si>
    <t>Leon Goretzka</t>
  </si>
  <si>
    <t>Mario Götze</t>
  </si>
  <si>
    <t>Julian Brandt</t>
  </si>
  <si>
    <t>Jonas Hofmann</t>
  </si>
  <si>
    <t>Ilkay Gündogan</t>
  </si>
  <si>
    <t>Niclas Füllkrug</t>
  </si>
  <si>
    <t>Serge Gnabry</t>
  </si>
  <si>
    <t>Thomas Müller</t>
  </si>
  <si>
    <t>Jamal Musiala</t>
  </si>
  <si>
    <t>Leroy Sané</t>
  </si>
  <si>
    <t>Karim Adeyemi</t>
  </si>
  <si>
    <t>Youssoufa Moukoko</t>
  </si>
  <si>
    <t>Lawrence Ati Zigi</t>
  </si>
  <si>
    <t>Danlad Ibrahim</t>
  </si>
  <si>
    <t>Abdul Manaf Nurudeen</t>
  </si>
  <si>
    <t>Tariq Lamptey</t>
  </si>
  <si>
    <t>Denis Odoi</t>
  </si>
  <si>
    <t>Mohammed Salisu</t>
  </si>
  <si>
    <t>Gideon Mensah</t>
  </si>
  <si>
    <t>Joseph Aidoo</t>
  </si>
  <si>
    <t>Abdul Rahman Baba</t>
  </si>
  <si>
    <t>Daniel Amartey</t>
  </si>
  <si>
    <t>Alexander Djiku</t>
  </si>
  <si>
    <t>Seidu Alidu</t>
  </si>
  <si>
    <t>Thomas Partey</t>
  </si>
  <si>
    <t>Elisha Owusu</t>
  </si>
  <si>
    <t>Fatawu Issahaku</t>
  </si>
  <si>
    <t>Daniel-Kofi Kyereh</t>
  </si>
  <si>
    <t>Mohammed Kudus</t>
  </si>
  <si>
    <t>Salis Abdul Samed</t>
  </si>
  <si>
    <t>Kamaldeen Sulemana</t>
  </si>
  <si>
    <t>Jordan Ayew</t>
  </si>
  <si>
    <t>André Ayew</t>
  </si>
  <si>
    <t>Osman Bukari</t>
  </si>
  <si>
    <t>Daniel Afriyie</t>
  </si>
  <si>
    <t>Iñaki Williams</t>
  </si>
  <si>
    <t>Kamal Sowah</t>
  </si>
  <si>
    <t>Antoine Semenyo</t>
  </si>
  <si>
    <t>Alireza Beiranvand</t>
  </si>
  <si>
    <t>Payam Niazmand</t>
  </si>
  <si>
    <t>Amir Abedzadeh</t>
  </si>
  <si>
    <t>Hossein Hosseini</t>
  </si>
  <si>
    <t>Sadegh Moharrami</t>
  </si>
  <si>
    <t>Shoja Khalilzadeh</t>
  </si>
  <si>
    <t>Milad Mohammadi</t>
  </si>
  <si>
    <t>Morteza Pouraliganji</t>
  </si>
  <si>
    <t>Hossein Kanani</t>
  </si>
  <si>
    <t>Roozbeh Cheshmi</t>
  </si>
  <si>
    <t>Majid Hosseini</t>
  </si>
  <si>
    <t>Ramin Rezaeian</t>
  </si>
  <si>
    <t>Abolfazl Jalali</t>
  </si>
  <si>
    <t>Ehsan Hajsafi</t>
  </si>
  <si>
    <t>Saeid Ezatolahi</t>
  </si>
  <si>
    <t>Alireza Jahanbakhsh</t>
  </si>
  <si>
    <t>Vahid Amiri</t>
  </si>
  <si>
    <t>Mehdi Torabi</t>
  </si>
  <si>
    <t>Ali Gholizadeh</t>
  </si>
  <si>
    <t>Ali Karimi</t>
  </si>
  <si>
    <t>Ahmad Noorollahi</t>
  </si>
  <si>
    <t>Mehdi Taremi</t>
  </si>
  <si>
    <t>Karim Ansarifard</t>
  </si>
  <si>
    <t>Saman Ghoddos</t>
  </si>
  <si>
    <t>Sardar Azmoun</t>
  </si>
  <si>
    <t>Eiji Kawashima</t>
  </si>
  <si>
    <t>Shuichi Gonda</t>
  </si>
  <si>
    <t>Daniel Schmidt</t>
  </si>
  <si>
    <t>Miki Yamane</t>
  </si>
  <si>
    <t>Shogo Taniguchi</t>
  </si>
  <si>
    <t>Kou Itakura</t>
  </si>
  <si>
    <t>Yuto Nagatomo</t>
  </si>
  <si>
    <t>Takehiro Tomiyasu</t>
  </si>
  <si>
    <t>Hiroki Sakai</t>
  </si>
  <si>
    <t>Maya Yoshida</t>
  </si>
  <si>
    <t>Hiroki Ito</t>
  </si>
  <si>
    <t>Wataru Endo</t>
  </si>
  <si>
    <t>Gaku Shibasaki</t>
  </si>
  <si>
    <t>Kaoru Mitoma</t>
  </si>
  <si>
    <t>Takumi Minamino</t>
  </si>
  <si>
    <t>Takefusa Kubo</t>
  </si>
  <si>
    <t>Hidemasa Morita</t>
  </si>
  <si>
    <t>Daichi Kamada</t>
  </si>
  <si>
    <t>Ao Tanaka</t>
  </si>
  <si>
    <t>Ritsu Doan</t>
  </si>
  <si>
    <t>Junya Ito</t>
  </si>
  <si>
    <t>Takuma Asano</t>
  </si>
  <si>
    <t>Shuto Machino</t>
  </si>
  <si>
    <t>Ayase Ueda</t>
  </si>
  <si>
    <t>Yuki Soma</t>
  </si>
  <si>
    <t>Daizen Maeda</t>
  </si>
  <si>
    <t>Mexico</t>
  </si>
  <si>
    <t>Morocco</t>
  </si>
  <si>
    <t>Netherlands</t>
  </si>
  <si>
    <t>Poland</t>
  </si>
  <si>
    <t>Portugal</t>
  </si>
  <si>
    <t>Qatar</t>
  </si>
  <si>
    <t>Saudi Arabia</t>
  </si>
  <si>
    <t>Senegal</t>
  </si>
  <si>
    <t>Serbia</t>
  </si>
  <si>
    <t>South Korea</t>
  </si>
  <si>
    <t>Spain</t>
  </si>
  <si>
    <t>Switzerland</t>
  </si>
  <si>
    <t>Tunisia</t>
  </si>
  <si>
    <t>United States</t>
  </si>
  <si>
    <t>Uruguay</t>
  </si>
  <si>
    <t>Wales</t>
  </si>
  <si>
    <t>Argentina</t>
  </si>
  <si>
    <t>Australia</t>
  </si>
  <si>
    <t>Belgium</t>
  </si>
  <si>
    <t>Brazil</t>
  </si>
  <si>
    <t>Cameroon</t>
  </si>
  <si>
    <t>Canada</t>
  </si>
  <si>
    <t>Costa Rica</t>
  </si>
  <si>
    <t>Croatia</t>
  </si>
  <si>
    <t>Denmark</t>
  </si>
  <si>
    <t>Ecuador</t>
  </si>
  <si>
    <t>England</t>
  </si>
  <si>
    <t>France</t>
  </si>
  <si>
    <t>Germany</t>
  </si>
  <si>
    <t>Ghana</t>
  </si>
  <si>
    <t>IR Iran</t>
  </si>
  <si>
    <t>Japan</t>
  </si>
  <si>
    <t>Player</t>
  </si>
  <si>
    <t>Pos</t>
  </si>
  <si>
    <t>Nation</t>
  </si>
  <si>
    <t>QAT</t>
  </si>
  <si>
    <t>ECU</t>
  </si>
  <si>
    <t>E Valencia</t>
  </si>
  <si>
    <t>ENG</t>
  </si>
  <si>
    <t>IRN</t>
  </si>
  <si>
    <t>J Bellingham</t>
  </si>
  <si>
    <t>B Saka</t>
  </si>
  <si>
    <t>R Sterling</t>
  </si>
  <si>
    <t>M Rashford</t>
  </si>
  <si>
    <t>J Grealish</t>
  </si>
  <si>
    <t>M Taremi</t>
  </si>
  <si>
    <t>SEN</t>
  </si>
  <si>
    <t>NED</t>
  </si>
  <si>
    <t>C Gakpo</t>
  </si>
  <si>
    <t>D Klaassen</t>
  </si>
  <si>
    <t>USA</t>
  </si>
  <si>
    <t>WAL</t>
  </si>
  <si>
    <t>T Weah</t>
  </si>
  <si>
    <t>G Bale</t>
  </si>
  <si>
    <t>ARG</t>
  </si>
  <si>
    <t>KSA</t>
  </si>
  <si>
    <t>L Messi</t>
  </si>
  <si>
    <t>S Al-Shehri</t>
  </si>
  <si>
    <t>S Al-Dawsari</t>
  </si>
  <si>
    <t>DEN</t>
  </si>
  <si>
    <t>TUN</t>
  </si>
  <si>
    <t>MEX</t>
  </si>
  <si>
    <t>POL</t>
  </si>
  <si>
    <t>FRA</t>
  </si>
  <si>
    <t>AUS</t>
  </si>
  <si>
    <t>A Rabiot</t>
  </si>
  <si>
    <t>O Giroud</t>
  </si>
  <si>
    <t>K Mbappé</t>
  </si>
  <si>
    <t>C Goodwin</t>
  </si>
  <si>
    <t>GROUP A</t>
  </si>
  <si>
    <t>A</t>
  </si>
  <si>
    <r>
      <t>1</t>
    </r>
    <r>
      <rPr>
        <sz val="7"/>
        <color rgb="FF0066CC"/>
        <rFont val="Roboto"/>
      </rPr>
      <t>Netherlands</t>
    </r>
  </si>
  <si>
    <r>
      <t>2</t>
    </r>
    <r>
      <rPr>
        <sz val="7"/>
        <color rgb="FF0066CC"/>
        <rFont val="Roboto"/>
      </rPr>
      <t>Ecuador</t>
    </r>
  </si>
  <si>
    <r>
      <t>3</t>
    </r>
    <r>
      <rPr>
        <sz val="7"/>
        <color rgb="FF0066CC"/>
        <rFont val="Roboto"/>
      </rPr>
      <t>Senegal</t>
    </r>
  </si>
  <si>
    <r>
      <t>4</t>
    </r>
    <r>
      <rPr>
        <sz val="7"/>
        <color rgb="FF0066CC"/>
        <rFont val="Roboto"/>
      </rPr>
      <t>Qatar</t>
    </r>
  </si>
  <si>
    <r>
      <t>1</t>
    </r>
    <r>
      <rPr>
        <sz val="7"/>
        <color rgb="FF0066CC"/>
        <rFont val="Roboto"/>
      </rPr>
      <t>England</t>
    </r>
  </si>
  <si>
    <r>
      <t>2</t>
    </r>
    <r>
      <rPr>
        <sz val="7"/>
        <color rgb="FF0066CC"/>
        <rFont val="Roboto"/>
      </rPr>
      <t>Wales</t>
    </r>
  </si>
  <si>
    <r>
      <t>3</t>
    </r>
    <r>
      <rPr>
        <sz val="7"/>
        <color rgb="FF0066CC"/>
        <rFont val="Roboto"/>
      </rPr>
      <t>United States</t>
    </r>
  </si>
  <si>
    <r>
      <t>4</t>
    </r>
    <r>
      <rPr>
        <sz val="7"/>
        <color rgb="FF0066CC"/>
        <rFont val="Roboto"/>
      </rPr>
      <t>Iran</t>
    </r>
  </si>
  <si>
    <r>
      <t>1</t>
    </r>
    <r>
      <rPr>
        <sz val="7"/>
        <color rgb="FF0066CC"/>
        <rFont val="Roboto"/>
      </rPr>
      <t>Saudi Arabia</t>
    </r>
  </si>
  <si>
    <r>
      <t>2</t>
    </r>
    <r>
      <rPr>
        <sz val="7"/>
        <color rgb="FF0066CC"/>
        <rFont val="Roboto"/>
      </rPr>
      <t>Poland</t>
    </r>
  </si>
  <si>
    <r>
      <t>3</t>
    </r>
    <r>
      <rPr>
        <sz val="7"/>
        <color rgb="FF0066CC"/>
        <rFont val="Roboto"/>
      </rPr>
      <t>Mexico</t>
    </r>
  </si>
  <si>
    <r>
      <t>4</t>
    </r>
    <r>
      <rPr>
        <sz val="7"/>
        <color rgb="FF0066CC"/>
        <rFont val="Roboto"/>
      </rPr>
      <t>Argentina</t>
    </r>
  </si>
  <si>
    <r>
      <t>1</t>
    </r>
    <r>
      <rPr>
        <sz val="7"/>
        <color rgb="FF0066CC"/>
        <rFont val="Roboto"/>
      </rPr>
      <t>France</t>
    </r>
  </si>
  <si>
    <r>
      <t>2</t>
    </r>
    <r>
      <rPr>
        <sz val="7"/>
        <color rgb="FF0066CC"/>
        <rFont val="Roboto"/>
      </rPr>
      <t>Tunisia</t>
    </r>
  </si>
  <si>
    <r>
      <t>3</t>
    </r>
    <r>
      <rPr>
        <sz val="7"/>
        <color rgb="FF0066CC"/>
        <rFont val="Roboto"/>
      </rPr>
      <t>Denmark</t>
    </r>
  </si>
  <si>
    <r>
      <t>4</t>
    </r>
    <r>
      <rPr>
        <sz val="7"/>
        <color rgb="FF0066CC"/>
        <rFont val="Roboto"/>
      </rPr>
      <t>Australia</t>
    </r>
  </si>
  <si>
    <r>
      <t>1</t>
    </r>
    <r>
      <rPr>
        <sz val="7"/>
        <color rgb="FF0066CC"/>
        <rFont val="Roboto"/>
      </rPr>
      <t>Spain</t>
    </r>
  </si>
  <si>
    <r>
      <t>2</t>
    </r>
    <r>
      <rPr>
        <sz val="7"/>
        <color rgb="FF0066CC"/>
        <rFont val="Roboto"/>
      </rPr>
      <t>Japan</t>
    </r>
  </si>
  <si>
    <r>
      <t>3</t>
    </r>
    <r>
      <rPr>
        <sz val="7"/>
        <color rgb="FF0066CC"/>
        <rFont val="Roboto"/>
      </rPr>
      <t>Germany</t>
    </r>
  </si>
  <si>
    <r>
      <t>4</t>
    </r>
    <r>
      <rPr>
        <sz val="7"/>
        <color rgb="FF0066CC"/>
        <rFont val="Roboto"/>
      </rPr>
      <t>Costa Rica</t>
    </r>
  </si>
  <si>
    <r>
      <t>1</t>
    </r>
    <r>
      <rPr>
        <sz val="7"/>
        <color rgb="FF0066CC"/>
        <rFont val="Roboto"/>
      </rPr>
      <t>Croatia</t>
    </r>
  </si>
  <si>
    <r>
      <t>2</t>
    </r>
    <r>
      <rPr>
        <sz val="7"/>
        <color rgb="FF0066CC"/>
        <rFont val="Roboto"/>
      </rPr>
      <t>Morocco</t>
    </r>
  </si>
  <si>
    <r>
      <t>3</t>
    </r>
    <r>
      <rPr>
        <sz val="7"/>
        <color rgb="FF0066CC"/>
        <rFont val="Roboto"/>
      </rPr>
      <t>Belgium</t>
    </r>
  </si>
  <si>
    <r>
      <t>4</t>
    </r>
    <r>
      <rPr>
        <sz val="7"/>
        <color rgb="FF0066CC"/>
        <rFont val="Roboto"/>
      </rPr>
      <t>Canada</t>
    </r>
  </si>
  <si>
    <r>
      <t>1</t>
    </r>
    <r>
      <rPr>
        <sz val="7"/>
        <color rgb="FF0066CC"/>
        <rFont val="Roboto"/>
      </rPr>
      <t>Brazil</t>
    </r>
  </si>
  <si>
    <r>
      <t>2</t>
    </r>
    <r>
      <rPr>
        <sz val="7"/>
        <color rgb="FF0066CC"/>
        <rFont val="Roboto"/>
      </rPr>
      <t>Cameroon</t>
    </r>
  </si>
  <si>
    <r>
      <t>3</t>
    </r>
    <r>
      <rPr>
        <sz val="7"/>
        <color rgb="FF0066CC"/>
        <rFont val="Roboto"/>
      </rPr>
      <t>Serbia</t>
    </r>
  </si>
  <si>
    <r>
      <t>4</t>
    </r>
    <r>
      <rPr>
        <sz val="7"/>
        <color rgb="FF0066CC"/>
        <rFont val="Roboto"/>
      </rPr>
      <t>Switzerland</t>
    </r>
  </si>
  <si>
    <r>
      <t>1</t>
    </r>
    <r>
      <rPr>
        <sz val="7"/>
        <color rgb="FF0066CC"/>
        <rFont val="Roboto"/>
      </rPr>
      <t>Ghana</t>
    </r>
  </si>
  <si>
    <r>
      <t>2</t>
    </r>
    <r>
      <rPr>
        <sz val="7"/>
        <color rgb="FF0066CC"/>
        <rFont val="Roboto"/>
      </rPr>
      <t>South Korea</t>
    </r>
  </si>
  <si>
    <r>
      <t>3</t>
    </r>
    <r>
      <rPr>
        <sz val="7"/>
        <color rgb="FF0066CC"/>
        <rFont val="Roboto"/>
      </rPr>
      <t>Portugal</t>
    </r>
  </si>
  <si>
    <r>
      <t>4</t>
    </r>
    <r>
      <rPr>
        <sz val="7"/>
        <color rgb="FF0066CC"/>
        <rFont val="Roboto"/>
      </rPr>
      <t>Uruguay</t>
    </r>
  </si>
  <si>
    <t>B</t>
  </si>
  <si>
    <t>C</t>
  </si>
  <si>
    <t>E</t>
  </si>
  <si>
    <t>H</t>
  </si>
  <si>
    <t>Iran</t>
  </si>
  <si>
    <t>ESP</t>
  </si>
  <si>
    <t>JAP</t>
  </si>
  <si>
    <t>GER</t>
  </si>
  <si>
    <t>CRC</t>
  </si>
  <si>
    <t>CRO</t>
  </si>
  <si>
    <t>MAR</t>
  </si>
  <si>
    <t>BEL</t>
  </si>
  <si>
    <t>CAN</t>
  </si>
  <si>
    <t>BRA</t>
  </si>
  <si>
    <t>CRN</t>
  </si>
  <si>
    <t>SRB</t>
  </si>
  <si>
    <t>SUI</t>
  </si>
  <si>
    <t>GHA</t>
  </si>
  <si>
    <t>POR</t>
  </si>
  <si>
    <t>URU</t>
  </si>
  <si>
    <t>KOR</t>
  </si>
  <si>
    <t>J Bellingham,B Saka,B Saka,R Sterling,M Rashford,J Grealish</t>
  </si>
  <si>
    <t>C Gakpo,D Klaassen</t>
  </si>
  <si>
    <t>S Al-Shehri,S Al-Dawsari</t>
  </si>
  <si>
    <t>A Rabiot,O Giroud,O Giroud,K Mbappé</t>
  </si>
  <si>
    <t>JPN</t>
  </si>
  <si>
    <t>I Gündogan</t>
  </si>
  <si>
    <t>R Doan,T Asano</t>
  </si>
  <si>
    <t>D Olmo,M Asensio,F Torres,F Torres,Gavi,C Soler,Á Morata</t>
  </si>
  <si>
    <t>M Batshuayi</t>
  </si>
  <si>
    <t>Franco</t>
  </si>
  <si>
    <t>Armani</t>
  </si>
  <si>
    <t>Gerónimo</t>
  </si>
  <si>
    <t>Rulli</t>
  </si>
  <si>
    <t>Emiliano</t>
  </si>
  <si>
    <t>Martínez</t>
  </si>
  <si>
    <t>Juan</t>
  </si>
  <si>
    <t>Foyth</t>
  </si>
  <si>
    <t>Nicolás</t>
  </si>
  <si>
    <t>Tagliafico</t>
  </si>
  <si>
    <t>Gonzalo</t>
  </si>
  <si>
    <t>Montiel</t>
  </si>
  <si>
    <t>Germán</t>
  </si>
  <si>
    <t>Pezzella</t>
  </si>
  <si>
    <t>Marcos</t>
  </si>
  <si>
    <t>Acuña</t>
  </si>
  <si>
    <t>Cristian</t>
  </si>
  <si>
    <t>Romero</t>
  </si>
  <si>
    <t>Otamendi</t>
  </si>
  <si>
    <t>Lisandro</t>
  </si>
  <si>
    <t>Nahuel</t>
  </si>
  <si>
    <t>Molina</t>
  </si>
  <si>
    <t>Leandro</t>
  </si>
  <si>
    <t>Paredes</t>
  </si>
  <si>
    <t>Rodrigo</t>
  </si>
  <si>
    <t>De Paul</t>
  </si>
  <si>
    <t>Ángel</t>
  </si>
  <si>
    <t>Di María</t>
  </si>
  <si>
    <t>Exequiel</t>
  </si>
  <si>
    <t>Palacios</t>
  </si>
  <si>
    <t>Alejandro</t>
  </si>
  <si>
    <t>Gómez</t>
  </si>
  <si>
    <t>Guido</t>
  </si>
  <si>
    <t>Rodríguez</t>
  </si>
  <si>
    <t>Alexis</t>
  </si>
  <si>
    <t>Mac Allister</t>
  </si>
  <si>
    <t>Enzo</t>
  </si>
  <si>
    <t>Fernández</t>
  </si>
  <si>
    <t>Julián</t>
  </si>
  <si>
    <t>Álvarez</t>
  </si>
  <si>
    <t>Lionel</t>
  </si>
  <si>
    <t>Messi</t>
  </si>
  <si>
    <t>González</t>
  </si>
  <si>
    <t>Joaquín</t>
  </si>
  <si>
    <t>Correa</t>
  </si>
  <si>
    <t>Paulo</t>
  </si>
  <si>
    <t>Dybala</t>
  </si>
  <si>
    <t>Lautaro</t>
  </si>
  <si>
    <t>Mathew</t>
  </si>
  <si>
    <t>Ryan</t>
  </si>
  <si>
    <t>Andrew</t>
  </si>
  <si>
    <t>Redmayne</t>
  </si>
  <si>
    <t>Danny</t>
  </si>
  <si>
    <t>Vukovic</t>
  </si>
  <si>
    <t>Milos</t>
  </si>
  <si>
    <t>Degenek</t>
  </si>
  <si>
    <t>Nathaniel</t>
  </si>
  <si>
    <t>Atkinson</t>
  </si>
  <si>
    <t>Kye</t>
  </si>
  <si>
    <t>Rowles</t>
  </si>
  <si>
    <t>Fran</t>
  </si>
  <si>
    <t>Karacic</t>
  </si>
  <si>
    <t>Bailey</t>
  </si>
  <si>
    <t>Wright</t>
  </si>
  <si>
    <t>Aziz</t>
  </si>
  <si>
    <t>Behich</t>
  </si>
  <si>
    <t>Harry</t>
  </si>
  <si>
    <t>Souttar</t>
  </si>
  <si>
    <t>Thomas</t>
  </si>
  <si>
    <t>Deng</t>
  </si>
  <si>
    <t>Joel</t>
  </si>
  <si>
    <t>King</t>
  </si>
  <si>
    <t>Ajdin</t>
  </si>
  <si>
    <t>Hrustic</t>
  </si>
  <si>
    <t>Awer</t>
  </si>
  <si>
    <t>Mabil</t>
  </si>
  <si>
    <t>Aaron</t>
  </si>
  <si>
    <t>Mooy</t>
  </si>
  <si>
    <t>Riley</t>
  </si>
  <si>
    <t>McGree</t>
  </si>
  <si>
    <t>Cameron</t>
  </si>
  <si>
    <t>Devlin</t>
  </si>
  <si>
    <t>Jackson</t>
  </si>
  <si>
    <t>Irvine</t>
  </si>
  <si>
    <t>Craig</t>
  </si>
  <si>
    <t>Goodwin</t>
  </si>
  <si>
    <t>Keanu</t>
  </si>
  <si>
    <t>Baccus</t>
  </si>
  <si>
    <t>Martin</t>
  </si>
  <si>
    <t>Boyle</t>
  </si>
  <si>
    <t>Leckie</t>
  </si>
  <si>
    <t>Jamie</t>
  </si>
  <si>
    <t>Maclaren</t>
  </si>
  <si>
    <t>Mitchell</t>
  </si>
  <si>
    <t>Duke</t>
  </si>
  <si>
    <t>Garang</t>
  </si>
  <si>
    <t>Kuol</t>
  </si>
  <si>
    <t>Jason</t>
  </si>
  <si>
    <t>Cummings</t>
  </si>
  <si>
    <t>Thibaut</t>
  </si>
  <si>
    <t>Courtois</t>
  </si>
  <si>
    <t>Simon</t>
  </si>
  <si>
    <t>Mignolet</t>
  </si>
  <si>
    <t>Koen</t>
  </si>
  <si>
    <t>Casteels</t>
  </si>
  <si>
    <t>Toby</t>
  </si>
  <si>
    <t>Alderweireld</t>
  </si>
  <si>
    <t>Arthur</t>
  </si>
  <si>
    <t>Theate</t>
  </si>
  <si>
    <t>Wout</t>
  </si>
  <si>
    <t>Faes</t>
  </si>
  <si>
    <t>Jan</t>
  </si>
  <si>
    <t>Vertonghen</t>
  </si>
  <si>
    <t>Meunier</t>
  </si>
  <si>
    <t>Timothy</t>
  </si>
  <si>
    <t>Castagne</t>
  </si>
  <si>
    <t>Zeno</t>
  </si>
  <si>
    <t>Debast</t>
  </si>
  <si>
    <t>Axel</t>
  </si>
  <si>
    <t>Witsel</t>
  </si>
  <si>
    <t>Kevin</t>
  </si>
  <si>
    <t>De Bruyne</t>
  </si>
  <si>
    <t>Youri</t>
  </si>
  <si>
    <t>Tielemans</t>
  </si>
  <si>
    <t>Yannick</t>
  </si>
  <si>
    <t>Carrasco</t>
  </si>
  <si>
    <t>Thorgan</t>
  </si>
  <si>
    <t>Hazard</t>
  </si>
  <si>
    <t>Amadou</t>
  </si>
  <si>
    <t>Onana</t>
  </si>
  <si>
    <t>Leander</t>
  </si>
  <si>
    <t>Dendoncker</t>
  </si>
  <si>
    <t>Hans</t>
  </si>
  <si>
    <t>Vanaken</t>
  </si>
  <si>
    <t>Charles</t>
  </si>
  <si>
    <t>De Ketelaere</t>
  </si>
  <si>
    <t>Romelu</t>
  </si>
  <si>
    <t>Lukaku</t>
  </si>
  <si>
    <t>Eden</t>
  </si>
  <si>
    <t>Dries</t>
  </si>
  <si>
    <t>Mertens</t>
  </si>
  <si>
    <t>Trossard</t>
  </si>
  <si>
    <t>Michy</t>
  </si>
  <si>
    <t>Batshuayi</t>
  </si>
  <si>
    <t>Loïs</t>
  </si>
  <si>
    <t>Openda</t>
  </si>
  <si>
    <t>Jérémy</t>
  </si>
  <si>
    <t>Doku</t>
  </si>
  <si>
    <t/>
  </si>
  <si>
    <t>Thiago</t>
  </si>
  <si>
    <t>Silva</t>
  </si>
  <si>
    <t>Alex</t>
  </si>
  <si>
    <t>Sandro</t>
  </si>
  <si>
    <t>Dani</t>
  </si>
  <si>
    <t>Alves</t>
  </si>
  <si>
    <t>Éder</t>
  </si>
  <si>
    <t>Militão</t>
  </si>
  <si>
    <t>Telles</t>
  </si>
  <si>
    <t>Lucas</t>
  </si>
  <si>
    <t>Paquetá</t>
  </si>
  <si>
    <t>Bruno</t>
  </si>
  <si>
    <t>Guimarães</t>
  </si>
  <si>
    <t>Éverton</t>
  </si>
  <si>
    <t>Ribeiro</t>
  </si>
  <si>
    <t>Gabriel</t>
  </si>
  <si>
    <t>Jesus</t>
  </si>
  <si>
    <t>Vinícius</t>
  </si>
  <si>
    <t>Júnior</t>
  </si>
  <si>
    <t>Martinelli</t>
  </si>
  <si>
    <t>Ngapandouentnbu</t>
  </si>
  <si>
    <t>Devis</t>
  </si>
  <si>
    <t>Epassy</t>
  </si>
  <si>
    <t>Andre</t>
  </si>
  <si>
    <t>Nicolas</t>
  </si>
  <si>
    <t>Nkoulou</t>
  </si>
  <si>
    <t>Christopher</t>
  </si>
  <si>
    <t>Wooh</t>
  </si>
  <si>
    <t>Olivier</t>
  </si>
  <si>
    <t>Mbaizo</t>
  </si>
  <si>
    <t>Collins</t>
  </si>
  <si>
    <t>Fai</t>
  </si>
  <si>
    <t>Jean-Charles</t>
  </si>
  <si>
    <t>Castelletto</t>
  </si>
  <si>
    <t>Ebosse</t>
  </si>
  <si>
    <t>Tolo</t>
  </si>
  <si>
    <t>Nouhou</t>
  </si>
  <si>
    <t>Jerome</t>
  </si>
  <si>
    <t>Ngom Mbekeli</t>
  </si>
  <si>
    <t>Gaël</t>
  </si>
  <si>
    <t>Ondoua</t>
  </si>
  <si>
    <t>Moumi Ngamaleu</t>
  </si>
  <si>
    <t>Georges-Kévin</t>
  </si>
  <si>
    <t>Nkoudou</t>
  </si>
  <si>
    <t>André-Frank</t>
  </si>
  <si>
    <t>Zambo Anguissa</t>
  </si>
  <si>
    <t>Samuel</t>
  </si>
  <si>
    <t>Oum Gouet</t>
  </si>
  <si>
    <t>Pierre</t>
  </si>
  <si>
    <t>Kunde</t>
  </si>
  <si>
    <t>Hongla</t>
  </si>
  <si>
    <t>Bryan</t>
  </si>
  <si>
    <t>Mbeumo</t>
  </si>
  <si>
    <t>Ntcham</t>
  </si>
  <si>
    <t>Jean-Pierre</t>
  </si>
  <si>
    <t>Nsame</t>
  </si>
  <si>
    <t>Vincent</t>
  </si>
  <si>
    <t>Aboubakar</t>
  </si>
  <si>
    <t>Christian</t>
  </si>
  <si>
    <t>Bassogog</t>
  </si>
  <si>
    <t>Karl</t>
  </si>
  <si>
    <t>Toko Ekambi</t>
  </si>
  <si>
    <t>Eric</t>
  </si>
  <si>
    <t>Maxim Choupo-Moting</t>
  </si>
  <si>
    <t>Souaibou</t>
  </si>
  <si>
    <t>Marou</t>
  </si>
  <si>
    <t>Dayne</t>
  </si>
  <si>
    <t>St. Clair</t>
  </si>
  <si>
    <t>James</t>
  </si>
  <si>
    <t>Pantemis</t>
  </si>
  <si>
    <t>Milan</t>
  </si>
  <si>
    <t>Borjan</t>
  </si>
  <si>
    <t>Alistair</t>
  </si>
  <si>
    <t>Johnston</t>
  </si>
  <si>
    <t>Sam</t>
  </si>
  <si>
    <t>Adekugbe</t>
  </si>
  <si>
    <t>Kamal</t>
  </si>
  <si>
    <t>Miller</t>
  </si>
  <si>
    <t>Steven</t>
  </si>
  <si>
    <t>Vitória</t>
  </si>
  <si>
    <t>Richie</t>
  </si>
  <si>
    <t>Laryea</t>
  </si>
  <si>
    <t>Derek</t>
  </si>
  <si>
    <t>Cornelius</t>
  </si>
  <si>
    <t>Waterman</t>
  </si>
  <si>
    <t>Piette</t>
  </si>
  <si>
    <t>Stephen</t>
  </si>
  <si>
    <t>Eustáquio</t>
  </si>
  <si>
    <t>Liam</t>
  </si>
  <si>
    <t>Fraser</t>
  </si>
  <si>
    <t>Junior</t>
  </si>
  <si>
    <t>Hoilett</t>
  </si>
  <si>
    <t>Atiba</t>
  </si>
  <si>
    <t>Hutchinson</t>
  </si>
  <si>
    <t>Mark-Anthony</t>
  </si>
  <si>
    <t>Kaye</t>
  </si>
  <si>
    <t>Ismaël</t>
  </si>
  <si>
    <t>Koné</t>
  </si>
  <si>
    <t>Jonathan</t>
  </si>
  <si>
    <t>Osorio</t>
  </si>
  <si>
    <t>David</t>
  </si>
  <si>
    <t>Wotherspoon</t>
  </si>
  <si>
    <t>Cavallini</t>
  </si>
  <si>
    <t>Tajon</t>
  </si>
  <si>
    <t>Buchanan</t>
  </si>
  <si>
    <t>Ike</t>
  </si>
  <si>
    <t>Ugbo</t>
  </si>
  <si>
    <t>Cyle</t>
  </si>
  <si>
    <t>Larin</t>
  </si>
  <si>
    <t>Alphonso</t>
  </si>
  <si>
    <t>Davies</t>
  </si>
  <si>
    <t>Millar</t>
  </si>
  <si>
    <t>Keylor</t>
  </si>
  <si>
    <t>Navas</t>
  </si>
  <si>
    <t>Esteban</t>
  </si>
  <si>
    <t>Alvarado</t>
  </si>
  <si>
    <t>Patrick</t>
  </si>
  <si>
    <t>Sequeira</t>
  </si>
  <si>
    <t>Pablo Vargas</t>
  </si>
  <si>
    <t>Keysher</t>
  </si>
  <si>
    <t>Fuller</t>
  </si>
  <si>
    <t>Óscar</t>
  </si>
  <si>
    <t>Duarte</t>
  </si>
  <si>
    <t>Oviedo</t>
  </si>
  <si>
    <t>Francisco</t>
  </si>
  <si>
    <t>Calvo</t>
  </si>
  <si>
    <t>Carlos</t>
  </si>
  <si>
    <t>Martinez</t>
  </si>
  <si>
    <t>Kendall</t>
  </si>
  <si>
    <t>Waston</t>
  </si>
  <si>
    <t>Douglas</t>
  </si>
  <si>
    <t>López</t>
  </si>
  <si>
    <t>Rónald</t>
  </si>
  <si>
    <t>Matarrita</t>
  </si>
  <si>
    <t>Daniel</t>
  </si>
  <si>
    <t>Chacón</t>
  </si>
  <si>
    <t>Celso</t>
  </si>
  <si>
    <t>Borges</t>
  </si>
  <si>
    <t>Johan</t>
  </si>
  <si>
    <t>Venegas</t>
  </si>
  <si>
    <t>Gerson</t>
  </si>
  <si>
    <t>Torres</t>
  </si>
  <si>
    <t>Youstin</t>
  </si>
  <si>
    <t>Salas</t>
  </si>
  <si>
    <t>Yeltsin</t>
  </si>
  <si>
    <t>Tejeda</t>
  </si>
  <si>
    <t>Brandon</t>
  </si>
  <si>
    <t>Aguilera</t>
  </si>
  <si>
    <t>Álvaro</t>
  </si>
  <si>
    <t>Zamora</t>
  </si>
  <si>
    <t>Anthony</t>
  </si>
  <si>
    <t>Contreras</t>
  </si>
  <si>
    <t>Jewison</t>
  </si>
  <si>
    <t>Bennette</t>
  </si>
  <si>
    <t>Ruiz</t>
  </si>
  <si>
    <t>Campbell</t>
  </si>
  <si>
    <t>Roan</t>
  </si>
  <si>
    <t>Wilson</t>
  </si>
  <si>
    <t>Hernández</t>
  </si>
  <si>
    <t>Dominik</t>
  </si>
  <si>
    <t>Livakovic</t>
  </si>
  <si>
    <t>Ivo</t>
  </si>
  <si>
    <t>Grbic</t>
  </si>
  <si>
    <t>Ivica</t>
  </si>
  <si>
    <t>Ivusic</t>
  </si>
  <si>
    <t>Josip</t>
  </si>
  <si>
    <t>Stanisic</t>
  </si>
  <si>
    <t>Borna</t>
  </si>
  <si>
    <t>Barisic</t>
  </si>
  <si>
    <t>Erlic</t>
  </si>
  <si>
    <t>Dejan</t>
  </si>
  <si>
    <t>Lovren</t>
  </si>
  <si>
    <t>Sosa</t>
  </si>
  <si>
    <t>Josko</t>
  </si>
  <si>
    <t>Gvardiol</t>
  </si>
  <si>
    <t>Domagoj</t>
  </si>
  <si>
    <t>Vida</t>
  </si>
  <si>
    <t>Juranovic</t>
  </si>
  <si>
    <t>Sutalo</t>
  </si>
  <si>
    <t>Ivan</t>
  </si>
  <si>
    <t>Perisic</t>
  </si>
  <si>
    <t>Lovro</t>
  </si>
  <si>
    <t>Majer</t>
  </si>
  <si>
    <t>Mateo</t>
  </si>
  <si>
    <t>Kovacic</t>
  </si>
  <si>
    <t>Luka</t>
  </si>
  <si>
    <t>Modric</t>
  </si>
  <si>
    <t>Marcelo</t>
  </si>
  <si>
    <t>Brozovic</t>
  </si>
  <si>
    <t>Nikola</t>
  </si>
  <si>
    <t>Vlasic</t>
  </si>
  <si>
    <t>Mario</t>
  </si>
  <si>
    <t>Pasalic</t>
  </si>
  <si>
    <t>Sucic</t>
  </si>
  <si>
    <t>Kristijan</t>
  </si>
  <si>
    <t>Jakic</t>
  </si>
  <si>
    <t>Andrej</t>
  </si>
  <si>
    <t>Kramaric</t>
  </si>
  <si>
    <t>Marko</t>
  </si>
  <si>
    <t>Livaja</t>
  </si>
  <si>
    <t>Petkovic</t>
  </si>
  <si>
    <t>Ante</t>
  </si>
  <si>
    <t>Budimir</t>
  </si>
  <si>
    <t>Mislav</t>
  </si>
  <si>
    <t>Orsic</t>
  </si>
  <si>
    <t>Kasper</t>
  </si>
  <si>
    <t>Schmeichel</t>
  </si>
  <si>
    <t>Oliver</t>
  </si>
  <si>
    <t>Christensen</t>
  </si>
  <si>
    <t>Frederik</t>
  </si>
  <si>
    <t>Ronnow</t>
  </si>
  <si>
    <t>Joachim</t>
  </si>
  <si>
    <t>Andersen</t>
  </si>
  <si>
    <t>Victor</t>
  </si>
  <si>
    <t>Nelsson</t>
  </si>
  <si>
    <t>Kjaer</t>
  </si>
  <si>
    <t>Joakim</t>
  </si>
  <si>
    <t>Maehle</t>
  </si>
  <si>
    <t>Andreas</t>
  </si>
  <si>
    <t>Rasmus</t>
  </si>
  <si>
    <t>Kristensen</t>
  </si>
  <si>
    <t>Jens</t>
  </si>
  <si>
    <t>Stryger Larsen</t>
  </si>
  <si>
    <t>Alexander</t>
  </si>
  <si>
    <t>Bah</t>
  </si>
  <si>
    <t>Mathias</t>
  </si>
  <si>
    <t>Jensen</t>
  </si>
  <si>
    <t>Delaney</t>
  </si>
  <si>
    <t>Eriksen</t>
  </si>
  <si>
    <t>Mikkel</t>
  </si>
  <si>
    <t>Damsgaard</t>
  </si>
  <si>
    <t>Norgaard</t>
  </si>
  <si>
    <t>Wass</t>
  </si>
  <si>
    <t>Pierre-Emile</t>
  </si>
  <si>
    <t>Hojbjerg</t>
  </si>
  <si>
    <t>Jesper</t>
  </si>
  <si>
    <t>Lindstrom</t>
  </si>
  <si>
    <t>Braithwaite</t>
  </si>
  <si>
    <t>Skov Olsen</t>
  </si>
  <si>
    <t>Dolberg</t>
  </si>
  <si>
    <t>Jonas</t>
  </si>
  <si>
    <t>Wind</t>
  </si>
  <si>
    <t>Yussuf</t>
  </si>
  <si>
    <t>Yurary Poulsen</t>
  </si>
  <si>
    <t>Robert</t>
  </si>
  <si>
    <t>Skov</t>
  </si>
  <si>
    <t>Hernan</t>
  </si>
  <si>
    <t>Galindez</t>
  </si>
  <si>
    <t>Moises</t>
  </si>
  <si>
    <t>Ramírez</t>
  </si>
  <si>
    <t>Domínguez</t>
  </si>
  <si>
    <t>Félix</t>
  </si>
  <si>
    <t>Piero</t>
  </si>
  <si>
    <t>Hincapié</t>
  </si>
  <si>
    <t>Arboleda</t>
  </si>
  <si>
    <t>William</t>
  </si>
  <si>
    <t>Pacho</t>
  </si>
  <si>
    <t>Pervis</t>
  </si>
  <si>
    <t>Estupiñán</t>
  </si>
  <si>
    <t>Xavier</t>
  </si>
  <si>
    <t>Arreaga</t>
  </si>
  <si>
    <t>Angelo</t>
  </si>
  <si>
    <t>Preciado</t>
  </si>
  <si>
    <t>Diego</t>
  </si>
  <si>
    <t>Porozo</t>
  </si>
  <si>
    <t>José</t>
  </si>
  <si>
    <t>Cifuentes</t>
  </si>
  <si>
    <t>Gruezo</t>
  </si>
  <si>
    <t>Ayrton</t>
  </si>
  <si>
    <t>Romario</t>
  </si>
  <si>
    <t>Ibarra</t>
  </si>
  <si>
    <t>Jhegson</t>
  </si>
  <si>
    <t>Méndez</t>
  </si>
  <si>
    <t>Alan</t>
  </si>
  <si>
    <t>Caicedo</t>
  </si>
  <si>
    <t>Michael</t>
  </si>
  <si>
    <t>Estrada</t>
  </si>
  <si>
    <t>Enner</t>
  </si>
  <si>
    <t>Valencia</t>
  </si>
  <si>
    <t>Mena</t>
  </si>
  <si>
    <t>Jeremy</t>
  </si>
  <si>
    <t>Sarmiento</t>
  </si>
  <si>
    <t>Plata</t>
  </si>
  <si>
    <t>Djorkaeff</t>
  </si>
  <si>
    <t>Reasco</t>
  </si>
  <si>
    <t>Jordan</t>
  </si>
  <si>
    <t>Pickford</t>
  </si>
  <si>
    <t>Nick</t>
  </si>
  <si>
    <t>Pope</t>
  </si>
  <si>
    <t>Ramsdale</t>
  </si>
  <si>
    <t>Kyle</t>
  </si>
  <si>
    <t>Walker</t>
  </si>
  <si>
    <t>Luke</t>
  </si>
  <si>
    <t>Shaw</t>
  </si>
  <si>
    <t>John</t>
  </si>
  <si>
    <t>Stones</t>
  </si>
  <si>
    <t>Maguire</t>
  </si>
  <si>
    <t>Kieran</t>
  </si>
  <si>
    <t>Trippier</t>
  </si>
  <si>
    <t>Dier</t>
  </si>
  <si>
    <t>Conor</t>
  </si>
  <si>
    <t>Coady</t>
  </si>
  <si>
    <t>Trent</t>
  </si>
  <si>
    <t>Alexander-Arnold</t>
  </si>
  <si>
    <t>Ben</t>
  </si>
  <si>
    <t>White</t>
  </si>
  <si>
    <t>Declan</t>
  </si>
  <si>
    <t>Rice</t>
  </si>
  <si>
    <t>Jack</t>
  </si>
  <si>
    <t>Grealish</t>
  </si>
  <si>
    <t>Henderson</t>
  </si>
  <si>
    <t>Kalvin</t>
  </si>
  <si>
    <t>Phillips</t>
  </si>
  <si>
    <t>Bukayo</t>
  </si>
  <si>
    <t>Saka</t>
  </si>
  <si>
    <t>Mason</t>
  </si>
  <si>
    <t>Mount</t>
  </si>
  <si>
    <t>Phil</t>
  </si>
  <si>
    <t>Foden</t>
  </si>
  <si>
    <t>Jude</t>
  </si>
  <si>
    <t>Bellingham</t>
  </si>
  <si>
    <t>Maddison</t>
  </si>
  <si>
    <t>Gallagher</t>
  </si>
  <si>
    <t>Kane</t>
  </si>
  <si>
    <t>Raheem</t>
  </si>
  <si>
    <t>Sterling</t>
  </si>
  <si>
    <t>Marcus</t>
  </si>
  <si>
    <t>Rashford</t>
  </si>
  <si>
    <t>Callum</t>
  </si>
  <si>
    <t>Hugo</t>
  </si>
  <si>
    <t>Lloris</t>
  </si>
  <si>
    <t>Steve</t>
  </si>
  <si>
    <t>Mandanda</t>
  </si>
  <si>
    <t>Alphonse</t>
  </si>
  <si>
    <t>Areola</t>
  </si>
  <si>
    <t>Benjamin</t>
  </si>
  <si>
    <t>Pavard</t>
  </si>
  <si>
    <t>Disasi</t>
  </si>
  <si>
    <t>Raphaël</t>
  </si>
  <si>
    <t>Varane</t>
  </si>
  <si>
    <t>Jules</t>
  </si>
  <si>
    <t>Koundé</t>
  </si>
  <si>
    <t>Saliba</t>
  </si>
  <si>
    <t>Dayot</t>
  </si>
  <si>
    <t>Upamecano</t>
  </si>
  <si>
    <t>Theo</t>
  </si>
  <si>
    <t>Ibrahima</t>
  </si>
  <si>
    <t>Konaté</t>
  </si>
  <si>
    <t>Matteo</t>
  </si>
  <si>
    <t>Guendouzi</t>
  </si>
  <si>
    <t>Aurélien</t>
  </si>
  <si>
    <t>Tchouaméni</t>
  </si>
  <si>
    <t>Youssouf</t>
  </si>
  <si>
    <t>Fofana</t>
  </si>
  <si>
    <t>Adrien</t>
  </si>
  <si>
    <t>Rabiot</t>
  </si>
  <si>
    <t>Veretout</t>
  </si>
  <si>
    <t>Eduardo</t>
  </si>
  <si>
    <t>Camavinga</t>
  </si>
  <si>
    <t>Antoine</t>
  </si>
  <si>
    <t>Griezmann</t>
  </si>
  <si>
    <t>Giroud</t>
  </si>
  <si>
    <t>Kylian</t>
  </si>
  <si>
    <t>Mbappé</t>
  </si>
  <si>
    <t>Ousmane</t>
  </si>
  <si>
    <t>Dembélé</t>
  </si>
  <si>
    <t>Randal</t>
  </si>
  <si>
    <t>Kolo Muani</t>
  </si>
  <si>
    <t>Karim</t>
  </si>
  <si>
    <t>Benzema</t>
  </si>
  <si>
    <t>Kingsley</t>
  </si>
  <si>
    <t>Coman</t>
  </si>
  <si>
    <t>Thuram</t>
  </si>
  <si>
    <t>Manuel</t>
  </si>
  <si>
    <t>Neuer</t>
  </si>
  <si>
    <t>Trapp</t>
  </si>
  <si>
    <t>Marc-André</t>
  </si>
  <si>
    <t>ter Stegen</t>
  </si>
  <si>
    <t>Antonio</t>
  </si>
  <si>
    <t>Rüdiger</t>
  </si>
  <si>
    <t>Raum</t>
  </si>
  <si>
    <t>Matthias</t>
  </si>
  <si>
    <t>Ginter</t>
  </si>
  <si>
    <t>Thilo</t>
  </si>
  <si>
    <t>Kehrer</t>
  </si>
  <si>
    <t>Niklas</t>
  </si>
  <si>
    <t>Süle</t>
  </si>
  <si>
    <t>Lukas</t>
  </si>
  <si>
    <t>Klostermann</t>
  </si>
  <si>
    <t>Günter</t>
  </si>
  <si>
    <t>Nico</t>
  </si>
  <si>
    <t>Schlotterbeck</t>
  </si>
  <si>
    <t>Armel</t>
  </si>
  <si>
    <t>Bella Kotchap</t>
  </si>
  <si>
    <t>Joshua</t>
  </si>
  <si>
    <t>Kimmich</t>
  </si>
  <si>
    <t>Kai</t>
  </si>
  <si>
    <t>Havertz</t>
  </si>
  <si>
    <t>Leon</t>
  </si>
  <si>
    <t>Goretzka</t>
  </si>
  <si>
    <t>Götze</t>
  </si>
  <si>
    <t>Julian</t>
  </si>
  <si>
    <t>Brandt</t>
  </si>
  <si>
    <t>Hofmann</t>
  </si>
  <si>
    <t>Ilkay</t>
  </si>
  <si>
    <t>Gündogan</t>
  </si>
  <si>
    <t>Niclas</t>
  </si>
  <si>
    <t>Füllkrug</t>
  </si>
  <si>
    <t>Serge</t>
  </si>
  <si>
    <t>Gnabry</t>
  </si>
  <si>
    <t>Müller</t>
  </si>
  <si>
    <t>Jamal</t>
  </si>
  <si>
    <t>Musiala</t>
  </si>
  <si>
    <t>Leroy</t>
  </si>
  <si>
    <t>Sané</t>
  </si>
  <si>
    <t>Adeyemi</t>
  </si>
  <si>
    <t>Youssoufa</t>
  </si>
  <si>
    <t>Moukoko</t>
  </si>
  <si>
    <t>Lawrence</t>
  </si>
  <si>
    <t>Ati Zigi</t>
  </si>
  <si>
    <t>Danlad</t>
  </si>
  <si>
    <t>Ibrahim</t>
  </si>
  <si>
    <t>Abdul</t>
  </si>
  <si>
    <t>Manaf Nurudeen</t>
  </si>
  <si>
    <t>Tariq</t>
  </si>
  <si>
    <t>Lamptey</t>
  </si>
  <si>
    <t>Denis</t>
  </si>
  <si>
    <t>Odoi</t>
  </si>
  <si>
    <t>Mohammed</t>
  </si>
  <si>
    <t>Salisu</t>
  </si>
  <si>
    <t>Gideon</t>
  </si>
  <si>
    <t>Mensah</t>
  </si>
  <si>
    <t>Joseph</t>
  </si>
  <si>
    <t>Aidoo</t>
  </si>
  <si>
    <t>Rahman Baba</t>
  </si>
  <si>
    <t>Amartey</t>
  </si>
  <si>
    <t>Djiku</t>
  </si>
  <si>
    <t>Seidu</t>
  </si>
  <si>
    <t>Alidu</t>
  </si>
  <si>
    <t>Partey</t>
  </si>
  <si>
    <t>Elisha</t>
  </si>
  <si>
    <t>Owusu</t>
  </si>
  <si>
    <t>Fatawu</t>
  </si>
  <si>
    <t>Issahaku</t>
  </si>
  <si>
    <t>Daniel-Kofi</t>
  </si>
  <si>
    <t>Kyereh</t>
  </si>
  <si>
    <t>Kudus</t>
  </si>
  <si>
    <t>Salis</t>
  </si>
  <si>
    <t>Abdul Samed</t>
  </si>
  <si>
    <t>Kamaldeen</t>
  </si>
  <si>
    <t>Sulemana</t>
  </si>
  <si>
    <t>Ayew</t>
  </si>
  <si>
    <t>André</t>
  </si>
  <si>
    <t>Osman</t>
  </si>
  <si>
    <t>Bukari</t>
  </si>
  <si>
    <t>Afriyie</t>
  </si>
  <si>
    <t>Iñaki</t>
  </si>
  <si>
    <t>Williams</t>
  </si>
  <si>
    <t>Sowah</t>
  </si>
  <si>
    <t>Semenyo</t>
  </si>
  <si>
    <t>Alireza</t>
  </si>
  <si>
    <t>Beiranvand</t>
  </si>
  <si>
    <t>Payam</t>
  </si>
  <si>
    <t>Niazmand</t>
  </si>
  <si>
    <t>Amir</t>
  </si>
  <si>
    <t>Abedzadeh</t>
  </si>
  <si>
    <t>Hossein</t>
  </si>
  <si>
    <t>Hosseini</t>
  </si>
  <si>
    <t>Sadegh</t>
  </si>
  <si>
    <t>Moharrami</t>
  </si>
  <si>
    <t>Shoja</t>
  </si>
  <si>
    <t>Khalilzadeh</t>
  </si>
  <si>
    <t>Milad</t>
  </si>
  <si>
    <t>Mohammadi</t>
  </si>
  <si>
    <t>Morteza</t>
  </si>
  <si>
    <t>Pouraliganji</t>
  </si>
  <si>
    <t>Kanani</t>
  </si>
  <si>
    <t>Roozbeh</t>
  </si>
  <si>
    <t>Cheshmi</t>
  </si>
  <si>
    <t>Majid</t>
  </si>
  <si>
    <t>Ramin</t>
  </si>
  <si>
    <t>Rezaeian</t>
  </si>
  <si>
    <t>Abolfazl</t>
  </si>
  <si>
    <t>Jalali</t>
  </si>
  <si>
    <t>Ehsan</t>
  </si>
  <si>
    <t>Hajsafi</t>
  </si>
  <si>
    <t>Saeid</t>
  </si>
  <si>
    <t>Ezatolahi</t>
  </si>
  <si>
    <t>Jahanbakhsh</t>
  </si>
  <si>
    <t>Vahid</t>
  </si>
  <si>
    <t>Amiri</t>
  </si>
  <si>
    <t>Mehdi</t>
  </si>
  <si>
    <t>Torabi</t>
  </si>
  <si>
    <t>Ali</t>
  </si>
  <si>
    <t>Gholizadeh</t>
  </si>
  <si>
    <t>Karimi</t>
  </si>
  <si>
    <t>Ahmad</t>
  </si>
  <si>
    <t>Noorollahi</t>
  </si>
  <si>
    <t>Taremi</t>
  </si>
  <si>
    <t>Ansarifard</t>
  </si>
  <si>
    <t>Saman</t>
  </si>
  <si>
    <t>Ghoddos</t>
  </si>
  <si>
    <t>Sardar</t>
  </si>
  <si>
    <t>Azmoun</t>
  </si>
  <si>
    <t>Eiji</t>
  </si>
  <si>
    <t>Kawashima</t>
  </si>
  <si>
    <t>Shuichi</t>
  </si>
  <si>
    <t>Gonda</t>
  </si>
  <si>
    <t>Schmidt</t>
  </si>
  <si>
    <t>Miki</t>
  </si>
  <si>
    <t>Yamane</t>
  </si>
  <si>
    <t>Shogo</t>
  </si>
  <si>
    <t>Taniguchi</t>
  </si>
  <si>
    <t>Kou</t>
  </si>
  <si>
    <t>Itakura</t>
  </si>
  <si>
    <t>Yuto</t>
  </si>
  <si>
    <t>Nagatomo</t>
  </si>
  <si>
    <t>Takehiro</t>
  </si>
  <si>
    <t>Tomiyasu</t>
  </si>
  <si>
    <t>Hiroki</t>
  </si>
  <si>
    <t>Sakai</t>
  </si>
  <si>
    <t>Maya</t>
  </si>
  <si>
    <t>Yoshida</t>
  </si>
  <si>
    <t>Ito</t>
  </si>
  <si>
    <t>Wataru</t>
  </si>
  <si>
    <t>Endo</t>
  </si>
  <si>
    <t>Gaku</t>
  </si>
  <si>
    <t>Shibasaki</t>
  </si>
  <si>
    <t>Kaoru</t>
  </si>
  <si>
    <t>Mitoma</t>
  </si>
  <si>
    <t>Takumi</t>
  </si>
  <si>
    <t>Minamino</t>
  </si>
  <si>
    <t>Takefusa</t>
  </si>
  <si>
    <t>Kubo</t>
  </si>
  <si>
    <t>Hidemasa</t>
  </si>
  <si>
    <t>Morita</t>
  </si>
  <si>
    <t>Daichi</t>
  </si>
  <si>
    <t>Kamada</t>
  </si>
  <si>
    <t>Ao</t>
  </si>
  <si>
    <t>Tanaka</t>
  </si>
  <si>
    <t>Ritsu</t>
  </si>
  <si>
    <t>Doan</t>
  </si>
  <si>
    <t>Junya</t>
  </si>
  <si>
    <t>Takuma</t>
  </si>
  <si>
    <t>Asano</t>
  </si>
  <si>
    <t>Shuto</t>
  </si>
  <si>
    <t>Machino</t>
  </si>
  <si>
    <t>Ayase</t>
  </si>
  <si>
    <t>Ueda</t>
  </si>
  <si>
    <t>Yuki</t>
  </si>
  <si>
    <t>Soma</t>
  </si>
  <si>
    <t>Daizen</t>
  </si>
  <si>
    <t>Maeda</t>
  </si>
  <si>
    <t>Alfredo</t>
  </si>
  <si>
    <t>Talavera</t>
  </si>
  <si>
    <t>Rodolfo</t>
  </si>
  <si>
    <t>Cota</t>
  </si>
  <si>
    <t>Guillermo</t>
  </si>
  <si>
    <t>Ochoa</t>
  </si>
  <si>
    <t>Néstor</t>
  </si>
  <si>
    <t>Araujo</t>
  </si>
  <si>
    <t>César</t>
  </si>
  <si>
    <t>Montes</t>
  </si>
  <si>
    <t>Vásquez</t>
  </si>
  <si>
    <t>Gerardo</t>
  </si>
  <si>
    <t>Arteaga</t>
  </si>
  <si>
    <t>Héctor</t>
  </si>
  <si>
    <t>Moreno</t>
  </si>
  <si>
    <t>Jorge</t>
  </si>
  <si>
    <t>Sánchez</t>
  </si>
  <si>
    <t>Jesús</t>
  </si>
  <si>
    <t>Gallardo</t>
  </si>
  <si>
    <t>Edson</t>
  </si>
  <si>
    <t>Luis</t>
  </si>
  <si>
    <t>Romo</t>
  </si>
  <si>
    <t>Érick</t>
  </si>
  <si>
    <t>Gutiérrez</t>
  </si>
  <si>
    <t>Herrera</t>
  </si>
  <si>
    <t>Orbelín</t>
  </si>
  <si>
    <t>Pineda</t>
  </si>
  <si>
    <t>Andrés</t>
  </si>
  <si>
    <t>Guardado</t>
  </si>
  <si>
    <t>Chávez</t>
  </si>
  <si>
    <t>Raúl</t>
  </si>
  <si>
    <t>Jiménez</t>
  </si>
  <si>
    <t>Vega</t>
  </si>
  <si>
    <t>Rogelio</t>
  </si>
  <si>
    <t>Funes Mori</t>
  </si>
  <si>
    <t>Henry</t>
  </si>
  <si>
    <t>Martín</t>
  </si>
  <si>
    <t>Uriel</t>
  </si>
  <si>
    <t>Antuna</t>
  </si>
  <si>
    <t>Hirving</t>
  </si>
  <si>
    <t>Lozano</t>
  </si>
  <si>
    <t>Roberto</t>
  </si>
  <si>
    <t>Munir</t>
  </si>
  <si>
    <t>El Kajoui</t>
  </si>
  <si>
    <t>Reda</t>
  </si>
  <si>
    <t>Tagnaouti</t>
  </si>
  <si>
    <t>Yassine</t>
  </si>
  <si>
    <t>Bounou</t>
  </si>
  <si>
    <t>Achraf</t>
  </si>
  <si>
    <t>Hakimi</t>
  </si>
  <si>
    <t>Noussair</t>
  </si>
  <si>
    <t>Mazraoui</t>
  </si>
  <si>
    <t>Nayef</t>
  </si>
  <si>
    <t>Aguerd</t>
  </si>
  <si>
    <t>Romain</t>
  </si>
  <si>
    <t>Saïss</t>
  </si>
  <si>
    <t>Jawad</t>
  </si>
  <si>
    <t>El Yamiq</t>
  </si>
  <si>
    <t>Dari</t>
  </si>
  <si>
    <t>Badr</t>
  </si>
  <si>
    <t>Benoun</t>
  </si>
  <si>
    <t>Yahya</t>
  </si>
  <si>
    <t>Attiyat-Allah</t>
  </si>
  <si>
    <t>Sofyan</t>
  </si>
  <si>
    <t>Amrabat</t>
  </si>
  <si>
    <t>Hakim</t>
  </si>
  <si>
    <t>Ziyech</t>
  </si>
  <si>
    <t>Azzedine</t>
  </si>
  <si>
    <t>Ounahi</t>
  </si>
  <si>
    <t>Amine</t>
  </si>
  <si>
    <t>Harit</t>
  </si>
  <si>
    <t>Abdelhamid</t>
  </si>
  <si>
    <t>Sabiri</t>
  </si>
  <si>
    <t>Ilias</t>
  </si>
  <si>
    <t>Chair</t>
  </si>
  <si>
    <t>Selim</t>
  </si>
  <si>
    <t>Amallah</t>
  </si>
  <si>
    <t>Bilal</t>
  </si>
  <si>
    <t>El Khannouss</t>
  </si>
  <si>
    <t>Jabrane</t>
  </si>
  <si>
    <t>Abderrazak</t>
  </si>
  <si>
    <t>Hamdallah</t>
  </si>
  <si>
    <t>Anass</t>
  </si>
  <si>
    <t>Zaroury</t>
  </si>
  <si>
    <t>Zakaria</t>
  </si>
  <si>
    <t>Aboukhlal</t>
  </si>
  <si>
    <t>Abde</t>
  </si>
  <si>
    <t>Ez</t>
  </si>
  <si>
    <t>Sofiane</t>
  </si>
  <si>
    <t>Boufal</t>
  </si>
  <si>
    <t>Youssef</t>
  </si>
  <si>
    <t>En-Nesyri</t>
  </si>
  <si>
    <t>Walid</t>
  </si>
  <si>
    <t>Cheddira</t>
  </si>
  <si>
    <t>Remko</t>
  </si>
  <si>
    <t>Pasveer</t>
  </si>
  <si>
    <t>Justin</t>
  </si>
  <si>
    <t>Bijlow</t>
  </si>
  <si>
    <t>Andries</t>
  </si>
  <si>
    <t>Noppert</t>
  </si>
  <si>
    <t>Jurriën</t>
  </si>
  <si>
    <t>Timber</t>
  </si>
  <si>
    <t>Matthijs</t>
  </si>
  <si>
    <t>de Ligt</t>
  </si>
  <si>
    <t>Virgil</t>
  </si>
  <si>
    <t>van Dijk</t>
  </si>
  <si>
    <t>Nathan</t>
  </si>
  <si>
    <t>Aké</t>
  </si>
  <si>
    <t>Stefan</t>
  </si>
  <si>
    <t>de Vrij</t>
  </si>
  <si>
    <t>Tyrell</t>
  </si>
  <si>
    <t>Malacia</t>
  </si>
  <si>
    <t>Daley</t>
  </si>
  <si>
    <t>Blind</t>
  </si>
  <si>
    <t>Denzel</t>
  </si>
  <si>
    <t>Dumfries</t>
  </si>
  <si>
    <t>Jeremie</t>
  </si>
  <si>
    <t>Frimpong</t>
  </si>
  <si>
    <t>Noa</t>
  </si>
  <si>
    <t>Lang</t>
  </si>
  <si>
    <t>Davy</t>
  </si>
  <si>
    <t>Klaassen</t>
  </si>
  <si>
    <t>Marten</t>
  </si>
  <si>
    <t>de Roon</t>
  </si>
  <si>
    <t>Teun</t>
  </si>
  <si>
    <t>Koopmeiners</t>
  </si>
  <si>
    <t>Frenkie</t>
  </si>
  <si>
    <t>de Jong</t>
  </si>
  <si>
    <t>Kenneth</t>
  </si>
  <si>
    <t>Taylor</t>
  </si>
  <si>
    <t>Xavi</t>
  </si>
  <si>
    <t>Simons</t>
  </si>
  <si>
    <t>Bergwijn</t>
  </si>
  <si>
    <t>Cody</t>
  </si>
  <si>
    <t>Gakpo</t>
  </si>
  <si>
    <t>Luuk</t>
  </si>
  <si>
    <t>Memphis</t>
  </si>
  <si>
    <t>Depay</t>
  </si>
  <si>
    <t>Berghuis</t>
  </si>
  <si>
    <t>Janssen</t>
  </si>
  <si>
    <t>Weghorst</t>
  </si>
  <si>
    <t>Wojciech</t>
  </si>
  <si>
    <t>Szczesny</t>
  </si>
  <si>
    <t>Lukasz</t>
  </si>
  <si>
    <t>Skorupski</t>
  </si>
  <si>
    <t>Kamil</t>
  </si>
  <si>
    <t>Grabara</t>
  </si>
  <si>
    <t>Matty</t>
  </si>
  <si>
    <t>Cash</t>
  </si>
  <si>
    <t>Artur</t>
  </si>
  <si>
    <t>Jedrzejczyk</t>
  </si>
  <si>
    <t>Mateusz</t>
  </si>
  <si>
    <t>Wieteska</t>
  </si>
  <si>
    <t>Bednarek</t>
  </si>
  <si>
    <t>Jakub</t>
  </si>
  <si>
    <t>Kiwior</t>
  </si>
  <si>
    <t>Glik</t>
  </si>
  <si>
    <t>Bartosz</t>
  </si>
  <si>
    <t>Bereszynski</t>
  </si>
  <si>
    <t>Gumny</t>
  </si>
  <si>
    <t>Krystian</t>
  </si>
  <si>
    <t>Bielik</t>
  </si>
  <si>
    <t>Damian</t>
  </si>
  <si>
    <t>Szymanski</t>
  </si>
  <si>
    <t>Grzegorz</t>
  </si>
  <si>
    <t>Krychowiak</t>
  </si>
  <si>
    <t>Grosicki</t>
  </si>
  <si>
    <t>Kaminski</t>
  </si>
  <si>
    <t>Szymon</t>
  </si>
  <si>
    <t>Zurkowski</t>
  </si>
  <si>
    <t>Sebastian</t>
  </si>
  <si>
    <t>Piotr</t>
  </si>
  <si>
    <t>Zielinski</t>
  </si>
  <si>
    <t>Przemyslaw</t>
  </si>
  <si>
    <t>Frankowski</t>
  </si>
  <si>
    <t>Michal</t>
  </si>
  <si>
    <t>Skoras</t>
  </si>
  <si>
    <t>Arkadiusz</t>
  </si>
  <si>
    <t>Milik</t>
  </si>
  <si>
    <t>Lewandowski</t>
  </si>
  <si>
    <t>Karol</t>
  </si>
  <si>
    <t>Swiderski</t>
  </si>
  <si>
    <t>Nicola</t>
  </si>
  <si>
    <t>Zalewski</t>
  </si>
  <si>
    <t>Krzysztof</t>
  </si>
  <si>
    <t>Piatek</t>
  </si>
  <si>
    <t>Rui</t>
  </si>
  <si>
    <t>Patrício</t>
  </si>
  <si>
    <t>Sá</t>
  </si>
  <si>
    <t>Diogo</t>
  </si>
  <si>
    <t>Costa</t>
  </si>
  <si>
    <t>Dalot</t>
  </si>
  <si>
    <t>Rúben</t>
  </si>
  <si>
    <t>Dias</t>
  </si>
  <si>
    <t>Guerreiro</t>
  </si>
  <si>
    <t>Nuno</t>
  </si>
  <si>
    <t>Mendes</t>
  </si>
  <si>
    <t>João</t>
  </si>
  <si>
    <t>Cancelo</t>
  </si>
  <si>
    <t>António</t>
  </si>
  <si>
    <t>Palhinha</t>
  </si>
  <si>
    <t>Fernandes</t>
  </si>
  <si>
    <t>Bernardo</t>
  </si>
  <si>
    <t>Pereira</t>
  </si>
  <si>
    <t>Carvalho</t>
  </si>
  <si>
    <t>Mário</t>
  </si>
  <si>
    <t>Neves</t>
  </si>
  <si>
    <t>Matheus</t>
  </si>
  <si>
    <t>Nunes</t>
  </si>
  <si>
    <t>Cristiano</t>
  </si>
  <si>
    <t>Ronaldo</t>
  </si>
  <si>
    <t>Rafael</t>
  </si>
  <si>
    <t>Leão</t>
  </si>
  <si>
    <t>Ricardo</t>
  </si>
  <si>
    <t>Horta</t>
  </si>
  <si>
    <t>Goncalo</t>
  </si>
  <si>
    <t>Ramos</t>
  </si>
  <si>
    <t>Saad</t>
  </si>
  <si>
    <t>Al-Sheeb</t>
  </si>
  <si>
    <t>Yousof</t>
  </si>
  <si>
    <t>Hassan</t>
  </si>
  <si>
    <t>Meshaal</t>
  </si>
  <si>
    <t>Barsham</t>
  </si>
  <si>
    <t>Miguel</t>
  </si>
  <si>
    <t>Abdelkarim</t>
  </si>
  <si>
    <t>Tarek</t>
  </si>
  <si>
    <t>Salman</t>
  </si>
  <si>
    <t>Musaab</t>
  </si>
  <si>
    <t>Khidir</t>
  </si>
  <si>
    <t>Homam</t>
  </si>
  <si>
    <t>Ahmed</t>
  </si>
  <si>
    <t>Bassam</t>
  </si>
  <si>
    <t>Al-Rawi</t>
  </si>
  <si>
    <t>Boualem</t>
  </si>
  <si>
    <t>Khoukhi</t>
  </si>
  <si>
    <t>Salem</t>
  </si>
  <si>
    <t>Al-Hajri</t>
  </si>
  <si>
    <t>Jassem</t>
  </si>
  <si>
    <t>Gaber</t>
  </si>
  <si>
    <t>Waad</t>
  </si>
  <si>
    <t>Abdulaziz</t>
  </si>
  <si>
    <t>Hatem</t>
  </si>
  <si>
    <t>Asad</t>
  </si>
  <si>
    <t>Boudiaf</t>
  </si>
  <si>
    <t>Ismail</t>
  </si>
  <si>
    <t>Mohamad</t>
  </si>
  <si>
    <t>Assim</t>
  </si>
  <si>
    <t>Madibo</t>
  </si>
  <si>
    <t>Naif</t>
  </si>
  <si>
    <t>Al-Hadhrami</t>
  </si>
  <si>
    <t>Moustafa</t>
  </si>
  <si>
    <t>Alaaeldin</t>
  </si>
  <si>
    <t>Muntari</t>
  </si>
  <si>
    <t>Al-Haydos</t>
  </si>
  <si>
    <t>Akram</t>
  </si>
  <si>
    <t>Afif</t>
  </si>
  <si>
    <t>Khalid</t>
  </si>
  <si>
    <t>Muneer</t>
  </si>
  <si>
    <t>Almoez</t>
  </si>
  <si>
    <t>Al-Yami</t>
  </si>
  <si>
    <t>Al-Owais</t>
  </si>
  <si>
    <t>Nawaf</t>
  </si>
  <si>
    <t>Al-Aqidi</t>
  </si>
  <si>
    <t>Sultan</t>
  </si>
  <si>
    <t>Al-Ghannam</t>
  </si>
  <si>
    <t>Abdullah</t>
  </si>
  <si>
    <t>Madu</t>
  </si>
  <si>
    <t>Abdulelah</t>
  </si>
  <si>
    <t>Al-Amri</t>
  </si>
  <si>
    <t>Al-Bulayhi</t>
  </si>
  <si>
    <t>Al-Burayk</t>
  </si>
  <si>
    <t>Saud</t>
  </si>
  <si>
    <t>Abdulhamid</t>
  </si>
  <si>
    <t>Yasser</t>
  </si>
  <si>
    <t>Al-Shahrani</t>
  </si>
  <si>
    <t>Altambakti</t>
  </si>
  <si>
    <t>Al-Faraj</t>
  </si>
  <si>
    <t>Al-Malki</t>
  </si>
  <si>
    <t>Al-Dawsari</t>
  </si>
  <si>
    <t>Otayf</t>
  </si>
  <si>
    <t>Al-Hassan</t>
  </si>
  <si>
    <t>Sami</t>
  </si>
  <si>
    <t>Al-Naji</t>
  </si>
  <si>
    <t>Al-Abid</t>
  </si>
  <si>
    <t>Hatan</t>
  </si>
  <si>
    <t>Bahbri</t>
  </si>
  <si>
    <t>Mohamed</t>
  </si>
  <si>
    <t>Kanno</t>
  </si>
  <si>
    <t>Nasser</t>
  </si>
  <si>
    <t>Riyadh</t>
  </si>
  <si>
    <t>Sharahili</t>
  </si>
  <si>
    <t>Feras</t>
  </si>
  <si>
    <t>Al-Brikan</t>
  </si>
  <si>
    <t>Saleh</t>
  </si>
  <si>
    <t>Al-Shehri</t>
  </si>
  <si>
    <t>Abdulrahman</t>
  </si>
  <si>
    <t>Al-Obud</t>
  </si>
  <si>
    <t>Haitham</t>
  </si>
  <si>
    <t>Asiri</t>
  </si>
  <si>
    <t>Édouard</t>
  </si>
  <si>
    <t>Mendy</t>
  </si>
  <si>
    <t>Seny</t>
  </si>
  <si>
    <t>Dieng</t>
  </si>
  <si>
    <t>Alfred</t>
  </si>
  <si>
    <t>Gomis</t>
  </si>
  <si>
    <t>Jakobs</t>
  </si>
  <si>
    <t>Kalidou</t>
  </si>
  <si>
    <t>Koulibaly</t>
  </si>
  <si>
    <t>Abdou</t>
  </si>
  <si>
    <t>Diallo</t>
  </si>
  <si>
    <t>Sabaly</t>
  </si>
  <si>
    <t>Formose</t>
  </si>
  <si>
    <t>Pape</t>
  </si>
  <si>
    <t>Abou Cissé</t>
  </si>
  <si>
    <t>Fodé</t>
  </si>
  <si>
    <t>Ballo-Touré</t>
  </si>
  <si>
    <t>Idrissa</t>
  </si>
  <si>
    <t>Gana Gueye</t>
  </si>
  <si>
    <t>Nampalys</t>
  </si>
  <si>
    <t>Cheikhou</t>
  </si>
  <si>
    <t>Kouyaté</t>
  </si>
  <si>
    <t>Iliman</t>
  </si>
  <si>
    <t>Ndiaye</t>
  </si>
  <si>
    <t>Gueye</t>
  </si>
  <si>
    <t>Moustapha</t>
  </si>
  <si>
    <t>Name</t>
  </si>
  <si>
    <t>Pathé</t>
  </si>
  <si>
    <t>Ciss</t>
  </si>
  <si>
    <t>Matar Sarr</t>
  </si>
  <si>
    <t>Mamadou</t>
  </si>
  <si>
    <t>Loum Ndiaye</t>
  </si>
  <si>
    <t>Sadio</t>
  </si>
  <si>
    <t>Mané</t>
  </si>
  <si>
    <t>Krépin</t>
  </si>
  <si>
    <t>Diatta</t>
  </si>
  <si>
    <t>Ismaïla</t>
  </si>
  <si>
    <t>Sarr</t>
  </si>
  <si>
    <t>Famara</t>
  </si>
  <si>
    <t>Diedhiou</t>
  </si>
  <si>
    <t>Bamba</t>
  </si>
  <si>
    <t>Boulaye</t>
  </si>
  <si>
    <t>Dia</t>
  </si>
  <si>
    <t>Dmitrovic</t>
  </si>
  <si>
    <t>Predrag</t>
  </si>
  <si>
    <t>Rajkovic</t>
  </si>
  <si>
    <t>Vanja</t>
  </si>
  <si>
    <t>Milinkovic-Savic</t>
  </si>
  <si>
    <t>Strahinja</t>
  </si>
  <si>
    <t>Pavlovic</t>
  </si>
  <si>
    <t>Erakovic</t>
  </si>
  <si>
    <t>Milenkovic</t>
  </si>
  <si>
    <t>Veljkovic</t>
  </si>
  <si>
    <t>Mitrovic</t>
  </si>
  <si>
    <t>Srjdan</t>
  </si>
  <si>
    <t>Babic</t>
  </si>
  <si>
    <t>Filip</t>
  </si>
  <si>
    <t>Mladenovic</t>
  </si>
  <si>
    <t>Nemanja</t>
  </si>
  <si>
    <t>Maksimovic</t>
  </si>
  <si>
    <t>Radonjic</t>
  </si>
  <si>
    <t>Gudelj</t>
  </si>
  <si>
    <t>Sasa</t>
  </si>
  <si>
    <t>Lukic</t>
  </si>
  <si>
    <t>Kostic</t>
  </si>
  <si>
    <t>Uros</t>
  </si>
  <si>
    <t>Racic</t>
  </si>
  <si>
    <t>Sergej</t>
  </si>
  <si>
    <t>Djuricic</t>
  </si>
  <si>
    <t>Darko</t>
  </si>
  <si>
    <t>Lazovic</t>
  </si>
  <si>
    <t>Ilic</t>
  </si>
  <si>
    <t>Grujic</t>
  </si>
  <si>
    <t>Aleksandar</t>
  </si>
  <si>
    <t>Dusan</t>
  </si>
  <si>
    <t>Tadic</t>
  </si>
  <si>
    <t>Jovic</t>
  </si>
  <si>
    <t>Andrija</t>
  </si>
  <si>
    <t>Zivkovic</t>
  </si>
  <si>
    <t>Vlahovic</t>
  </si>
  <si>
    <t>Kim</t>
  </si>
  <si>
    <t>Seung-Gyu</t>
  </si>
  <si>
    <t>Song</t>
  </si>
  <si>
    <t>Bum-Keun</t>
  </si>
  <si>
    <t>Jo</t>
  </si>
  <si>
    <t>Hyeon-Woo</t>
  </si>
  <si>
    <t>Yoon</t>
  </si>
  <si>
    <t>Jong-Gyu</t>
  </si>
  <si>
    <t>Jin-Su</t>
  </si>
  <si>
    <t>Min-Jae</t>
  </si>
  <si>
    <t>Hong</t>
  </si>
  <si>
    <t>Chul</t>
  </si>
  <si>
    <t>Moon-Hwan</t>
  </si>
  <si>
    <t>Young-Gwon</t>
  </si>
  <si>
    <t>Kwon</t>
  </si>
  <si>
    <t>Kyung-Won</t>
  </si>
  <si>
    <t>Tae-Hwan</t>
  </si>
  <si>
    <t>Cho</t>
  </si>
  <si>
    <t>Yu-Min</t>
  </si>
  <si>
    <t>Jung</t>
  </si>
  <si>
    <t>Woo-Young</t>
  </si>
  <si>
    <t>Hwang</t>
  </si>
  <si>
    <t>In-Beom</t>
  </si>
  <si>
    <t>Paik</t>
  </si>
  <si>
    <t>Seung-Ho</t>
  </si>
  <si>
    <t>Lee</t>
  </si>
  <si>
    <t>Jae-Sung</t>
  </si>
  <si>
    <t>Son</t>
  </si>
  <si>
    <t>Jun-Ho</t>
  </si>
  <si>
    <t>Kang-In</t>
  </si>
  <si>
    <t>Chang-Hoon</t>
  </si>
  <si>
    <t>Jeong</t>
  </si>
  <si>
    <t>Woo-Yeong</t>
  </si>
  <si>
    <t>Heung-Min</t>
  </si>
  <si>
    <t>Gue-Sung</t>
  </si>
  <si>
    <t>Hee-Chan</t>
  </si>
  <si>
    <t>Ui-Jo</t>
  </si>
  <si>
    <t>Na</t>
  </si>
  <si>
    <t>Sang-Ho</t>
  </si>
  <si>
    <t>Min-Kyu</t>
  </si>
  <si>
    <t>Raya</t>
  </si>
  <si>
    <t>Unai</t>
  </si>
  <si>
    <t>Simón</t>
  </si>
  <si>
    <t>Azpilicueta</t>
  </si>
  <si>
    <t>García</t>
  </si>
  <si>
    <t>Pau</t>
  </si>
  <si>
    <t>Gayà</t>
  </si>
  <si>
    <t>Guillamón</t>
  </si>
  <si>
    <t>Jordi</t>
  </si>
  <si>
    <t>Alba</t>
  </si>
  <si>
    <t>Carvajal</t>
  </si>
  <si>
    <t>Aymeric</t>
  </si>
  <si>
    <t>Laporte</t>
  </si>
  <si>
    <t>Sergio</t>
  </si>
  <si>
    <t>Busquets</t>
  </si>
  <si>
    <t>Llorente</t>
  </si>
  <si>
    <t>Yeremy</t>
  </si>
  <si>
    <t>Pino</t>
  </si>
  <si>
    <t>Soler</t>
  </si>
  <si>
    <t>Olmo</t>
  </si>
  <si>
    <t>Pablo</t>
  </si>
  <si>
    <t>Sarabia</t>
  </si>
  <si>
    <t>Mora</t>
  </si>
  <si>
    <t>Marco</t>
  </si>
  <si>
    <t>Asensio</t>
  </si>
  <si>
    <t>Ferran</t>
  </si>
  <si>
    <t>Ansu</t>
  </si>
  <si>
    <t>Fati</t>
  </si>
  <si>
    <t>Yann</t>
  </si>
  <si>
    <t>Sommer</t>
  </si>
  <si>
    <t>Omlin</t>
  </si>
  <si>
    <t>Gregor</t>
  </si>
  <si>
    <t>Kobel</t>
  </si>
  <si>
    <t>Philipp</t>
  </si>
  <si>
    <t>Köehn</t>
  </si>
  <si>
    <t>Silvan</t>
  </si>
  <si>
    <t>Widmer</t>
  </si>
  <si>
    <t>Elvedi</t>
  </si>
  <si>
    <t>Akanji</t>
  </si>
  <si>
    <t>Eray</t>
  </si>
  <si>
    <t>Cöemert</t>
  </si>
  <si>
    <t>Fabian</t>
  </si>
  <si>
    <t>Schäer</t>
  </si>
  <si>
    <t>Edimilson</t>
  </si>
  <si>
    <t>Remo</t>
  </si>
  <si>
    <t>Freuler</t>
  </si>
  <si>
    <t>Granit</t>
  </si>
  <si>
    <t>Xhaka</t>
  </si>
  <si>
    <t>Renato</t>
  </si>
  <si>
    <t>Steffen</t>
  </si>
  <si>
    <t>Michel</t>
  </si>
  <si>
    <t>Aebischer</t>
  </si>
  <si>
    <t>Djibril</t>
  </si>
  <si>
    <t>Sow</t>
  </si>
  <si>
    <t>Fassnacht</t>
  </si>
  <si>
    <t>Ruben</t>
  </si>
  <si>
    <t>Vargas</t>
  </si>
  <si>
    <t>Frei</t>
  </si>
  <si>
    <t>Xherdan</t>
  </si>
  <si>
    <t>Shaqiri</t>
  </si>
  <si>
    <t>Rieder</t>
  </si>
  <si>
    <t>Ardon</t>
  </si>
  <si>
    <t>Jashari</t>
  </si>
  <si>
    <t>Breel</t>
  </si>
  <si>
    <t>Embolo</t>
  </si>
  <si>
    <t>Haris</t>
  </si>
  <si>
    <t>Seferovic</t>
  </si>
  <si>
    <t>Noah</t>
  </si>
  <si>
    <t>Okafor</t>
  </si>
  <si>
    <t>Aymen</t>
  </si>
  <si>
    <t>Mathlouthi</t>
  </si>
  <si>
    <t>Dahmen</t>
  </si>
  <si>
    <t>Bechir</t>
  </si>
  <si>
    <t>Ben Said</t>
  </si>
  <si>
    <t>Mouez</t>
  </si>
  <si>
    <t>Hassen</t>
  </si>
  <si>
    <t>Bilel</t>
  </si>
  <si>
    <t>Ifa</t>
  </si>
  <si>
    <t>Montassar</t>
  </si>
  <si>
    <t>Talbi</t>
  </si>
  <si>
    <t>Meriah</t>
  </si>
  <si>
    <t>Dylan</t>
  </si>
  <si>
    <t>Bronn</t>
  </si>
  <si>
    <t>Maâloul</t>
  </si>
  <si>
    <t>Drager</t>
  </si>
  <si>
    <t>Wajdi</t>
  </si>
  <si>
    <t>Kechrida</t>
  </si>
  <si>
    <t>Abdi</t>
  </si>
  <si>
    <t>Nader</t>
  </si>
  <si>
    <t>Ghandri</t>
  </si>
  <si>
    <t>Hannibal</t>
  </si>
  <si>
    <t>Mejbri</t>
  </si>
  <si>
    <t>Ferjani</t>
  </si>
  <si>
    <t>Sassi</t>
  </si>
  <si>
    <t>Aissa</t>
  </si>
  <si>
    <t>Laidouni</t>
  </si>
  <si>
    <t>Ali Ben Romdhane</t>
  </si>
  <si>
    <t>Ellyes</t>
  </si>
  <si>
    <t>Skhiri</t>
  </si>
  <si>
    <t>Ghaylen</t>
  </si>
  <si>
    <t>Chaaleli</t>
  </si>
  <si>
    <t>Naïm</t>
  </si>
  <si>
    <t>Sliti</t>
  </si>
  <si>
    <t>Anis</t>
  </si>
  <si>
    <t>Ben Slimane</t>
  </si>
  <si>
    <t>Msakni</t>
  </si>
  <si>
    <t>Issam</t>
  </si>
  <si>
    <t>Jebali</t>
  </si>
  <si>
    <t>Wahbi</t>
  </si>
  <si>
    <t>Khazri</t>
  </si>
  <si>
    <t>Taha</t>
  </si>
  <si>
    <t>Yassine Khenissi</t>
  </si>
  <si>
    <t>Seifeddine</t>
  </si>
  <si>
    <t>Jaziri</t>
  </si>
  <si>
    <t>Matt</t>
  </si>
  <si>
    <t>Turner</t>
  </si>
  <si>
    <t>Ethan</t>
  </si>
  <si>
    <t>Horvath</t>
  </si>
  <si>
    <t>Sean</t>
  </si>
  <si>
    <t>Johnson</t>
  </si>
  <si>
    <t>Sergiño</t>
  </si>
  <si>
    <t>Dest</t>
  </si>
  <si>
    <t>Zimmerman</t>
  </si>
  <si>
    <t>Antonee</t>
  </si>
  <si>
    <t>Robinson</t>
  </si>
  <si>
    <t>Tim</t>
  </si>
  <si>
    <t>Ream</t>
  </si>
  <si>
    <t>Long</t>
  </si>
  <si>
    <t>Shaq</t>
  </si>
  <si>
    <t>Moore</t>
  </si>
  <si>
    <t>Carter-Vickers</t>
  </si>
  <si>
    <t>DeAndre</t>
  </si>
  <si>
    <t>Yedlin</t>
  </si>
  <si>
    <t>Joe</t>
  </si>
  <si>
    <t>Scally</t>
  </si>
  <si>
    <t>Tyler</t>
  </si>
  <si>
    <t>Adams</t>
  </si>
  <si>
    <t>Yunus</t>
  </si>
  <si>
    <t>Musah</t>
  </si>
  <si>
    <t>Giovanni</t>
  </si>
  <si>
    <t>Reyna</t>
  </si>
  <si>
    <t>Weston</t>
  </si>
  <si>
    <t>McKennie</t>
  </si>
  <si>
    <t>Pulisic</t>
  </si>
  <si>
    <t>Brenden</t>
  </si>
  <si>
    <t>Aaronson</t>
  </si>
  <si>
    <t>Luca</t>
  </si>
  <si>
    <t>de la Torre</t>
  </si>
  <si>
    <t>Roldan</t>
  </si>
  <si>
    <t>Kellyn</t>
  </si>
  <si>
    <t>Acosta</t>
  </si>
  <si>
    <t>Ferreira</t>
  </si>
  <si>
    <t>Morris</t>
  </si>
  <si>
    <t>Haji</t>
  </si>
  <si>
    <t>Weah</t>
  </si>
  <si>
    <t>Josh</t>
  </si>
  <si>
    <t>Sargent</t>
  </si>
  <si>
    <t>Fernando</t>
  </si>
  <si>
    <t>Muslera</t>
  </si>
  <si>
    <t>Sebastián</t>
  </si>
  <si>
    <t>Rochet</t>
  </si>
  <si>
    <t>Maria Giménez</t>
  </si>
  <si>
    <t>Godín</t>
  </si>
  <si>
    <t>Ronald</t>
  </si>
  <si>
    <t>Araújo</t>
  </si>
  <si>
    <t>Gullermo</t>
  </si>
  <si>
    <t>Varela</t>
  </si>
  <si>
    <t>Mathías</t>
  </si>
  <si>
    <t>Olivera</t>
  </si>
  <si>
    <t>Matías</t>
  </si>
  <si>
    <t>Viña</t>
  </si>
  <si>
    <t>Coates</t>
  </si>
  <si>
    <t>Cáceres</t>
  </si>
  <si>
    <t>Luis Rodríguez</t>
  </si>
  <si>
    <t>Vecino</t>
  </si>
  <si>
    <t>Bentancur</t>
  </si>
  <si>
    <t>de la Cruz</t>
  </si>
  <si>
    <t>Facundo</t>
  </si>
  <si>
    <t>Pellistri</t>
  </si>
  <si>
    <t>Giorgian</t>
  </si>
  <si>
    <t>de Arrascaeta</t>
  </si>
  <si>
    <t>Torreira</t>
  </si>
  <si>
    <t>Federico</t>
  </si>
  <si>
    <t>Valverde</t>
  </si>
  <si>
    <t>Ugarte</t>
  </si>
  <si>
    <t>Suárez</t>
  </si>
  <si>
    <t>Darwin</t>
  </si>
  <si>
    <t>Núñez</t>
  </si>
  <si>
    <t>Maxi</t>
  </si>
  <si>
    <t>Edinson</t>
  </si>
  <si>
    <t>Cavani</t>
  </si>
  <si>
    <t>Agustín</t>
  </si>
  <si>
    <t>Canobbio</t>
  </si>
  <si>
    <t>Wayne</t>
  </si>
  <si>
    <t>Hennessey</t>
  </si>
  <si>
    <t>Ward</t>
  </si>
  <si>
    <t>Adam</t>
  </si>
  <si>
    <t>Chris</t>
  </si>
  <si>
    <t>Gunter</t>
  </si>
  <si>
    <t>Neco</t>
  </si>
  <si>
    <t>Mepham</t>
  </si>
  <si>
    <t>Rodon</t>
  </si>
  <si>
    <t>Connor</t>
  </si>
  <si>
    <t>Roberts</t>
  </si>
  <si>
    <t>Ampadu</t>
  </si>
  <si>
    <t>Tom</t>
  </si>
  <si>
    <t>Lockyer</t>
  </si>
  <si>
    <t>Cabango</t>
  </si>
  <si>
    <t>Allen</t>
  </si>
  <si>
    <t>Ramsey</t>
  </si>
  <si>
    <t>Morrell</t>
  </si>
  <si>
    <t>Jonny</t>
  </si>
  <si>
    <t>Mark</t>
  </si>
  <si>
    <t>Harris</t>
  </si>
  <si>
    <t>Sorba</t>
  </si>
  <si>
    <t>Levitt</t>
  </si>
  <si>
    <t>Rubin</t>
  </si>
  <si>
    <t>Colwill</t>
  </si>
  <si>
    <t>Brennan</t>
  </si>
  <si>
    <t>Gareth</t>
  </si>
  <si>
    <t>Bale</t>
  </si>
  <si>
    <t>Kieffer</t>
  </si>
  <si>
    <t>Smith</t>
  </si>
  <si>
    <t>F Armani</t>
  </si>
  <si>
    <t>G Rulli</t>
  </si>
  <si>
    <t>E Martínez</t>
  </si>
  <si>
    <t>J Foyth</t>
  </si>
  <si>
    <t>N Tagliafico</t>
  </si>
  <si>
    <t>G Montiel</t>
  </si>
  <si>
    <t>G Pezzella</t>
  </si>
  <si>
    <t>M Acuña</t>
  </si>
  <si>
    <t>C Romero</t>
  </si>
  <si>
    <t>N Otamendi</t>
  </si>
  <si>
    <t>L Martínez</t>
  </si>
  <si>
    <t>N Molina</t>
  </si>
  <si>
    <t>L Paredes</t>
  </si>
  <si>
    <t>R De Paul</t>
  </si>
  <si>
    <t>Á Di María</t>
  </si>
  <si>
    <t>E Palacios</t>
  </si>
  <si>
    <t>A Gómez</t>
  </si>
  <si>
    <t>G Rodríguez</t>
  </si>
  <si>
    <t>A Mac Allister</t>
  </si>
  <si>
    <t>E Fernández</t>
  </si>
  <si>
    <t>J Álvarez</t>
  </si>
  <si>
    <t>N González</t>
  </si>
  <si>
    <t>J Correa</t>
  </si>
  <si>
    <t>P Dybala</t>
  </si>
  <si>
    <t>M Ryan</t>
  </si>
  <si>
    <t>A Redmayne</t>
  </si>
  <si>
    <t>D Vukovic</t>
  </si>
  <si>
    <t>M Degenek</t>
  </si>
  <si>
    <t>N Atkinson</t>
  </si>
  <si>
    <t>K Rowles</t>
  </si>
  <si>
    <t>F Karacic</t>
  </si>
  <si>
    <t>B Wright</t>
  </si>
  <si>
    <t>A Behich</t>
  </si>
  <si>
    <t>H Souttar</t>
  </si>
  <si>
    <t>T Deng</t>
  </si>
  <si>
    <t>J King</t>
  </si>
  <si>
    <t>A Hrustic</t>
  </si>
  <si>
    <t>A Mabil</t>
  </si>
  <si>
    <t>A Mooy</t>
  </si>
  <si>
    <t>R McGree</t>
  </si>
  <si>
    <t>C Devlin</t>
  </si>
  <si>
    <t>J Irvine</t>
  </si>
  <si>
    <t>K Baccus</t>
  </si>
  <si>
    <t>M Boyle</t>
  </si>
  <si>
    <t>M Leckie</t>
  </si>
  <si>
    <t>J Maclaren</t>
  </si>
  <si>
    <t>M Duke</t>
  </si>
  <si>
    <t>G Kuol</t>
  </si>
  <si>
    <t>J Cummings</t>
  </si>
  <si>
    <t>T Courtois</t>
  </si>
  <si>
    <t>S Mignolet</t>
  </si>
  <si>
    <t>K Casteels</t>
  </si>
  <si>
    <t>T Alderweireld</t>
  </si>
  <si>
    <t>A Theate</t>
  </si>
  <si>
    <t>W Faes</t>
  </si>
  <si>
    <t>J Vertonghen</t>
  </si>
  <si>
    <t>T Meunier</t>
  </si>
  <si>
    <t>T Castagne</t>
  </si>
  <si>
    <t>Z Debast</t>
  </si>
  <si>
    <t>A Witsel</t>
  </si>
  <si>
    <t>K De Bruyne</t>
  </si>
  <si>
    <t>Y Tielemans</t>
  </si>
  <si>
    <t>Y Carrasco</t>
  </si>
  <si>
    <t>T Hazard</t>
  </si>
  <si>
    <t>A Onana</t>
  </si>
  <si>
    <t>L Dendoncker</t>
  </si>
  <si>
    <t>H Vanaken</t>
  </si>
  <si>
    <t>C De Ketelaere</t>
  </si>
  <si>
    <t>R Lukaku</t>
  </si>
  <si>
    <t>E Hazard</t>
  </si>
  <si>
    <t>D Mertens</t>
  </si>
  <si>
    <t>L Trossard</t>
  </si>
  <si>
    <t>L Openda</t>
  </si>
  <si>
    <t>J Doku</t>
  </si>
  <si>
    <t xml:space="preserve"> Alisson</t>
  </si>
  <si>
    <t xml:space="preserve"> Weverton</t>
  </si>
  <si>
    <t xml:space="preserve"> Ederson</t>
  </si>
  <si>
    <t xml:space="preserve"> Danilo</t>
  </si>
  <si>
    <t>T Silva</t>
  </si>
  <si>
    <t xml:space="preserve"> Marquinhos</t>
  </si>
  <si>
    <t>A Sandro</t>
  </si>
  <si>
    <t>D Alves</t>
  </si>
  <si>
    <t>É Militão</t>
  </si>
  <si>
    <t>A Telles</t>
  </si>
  <si>
    <t xml:space="preserve"> Bremer</t>
  </si>
  <si>
    <t xml:space="preserve"> Casemiro</t>
  </si>
  <si>
    <t>L Paquetá</t>
  </si>
  <si>
    <t xml:space="preserve"> Fred</t>
  </si>
  <si>
    <t xml:space="preserve"> Fabinho</t>
  </si>
  <si>
    <t>B Guimarães</t>
  </si>
  <si>
    <t>É Ribeiro</t>
  </si>
  <si>
    <t xml:space="preserve"> Richarlison</t>
  </si>
  <si>
    <t xml:space="preserve"> Neymar</t>
  </si>
  <si>
    <t xml:space="preserve"> Raphinha</t>
  </si>
  <si>
    <t>G Jesus</t>
  </si>
  <si>
    <t xml:space="preserve"> Antony</t>
  </si>
  <si>
    <t>V Júnior</t>
  </si>
  <si>
    <t xml:space="preserve"> Rodrygo</t>
  </si>
  <si>
    <t xml:space="preserve"> Pedro</t>
  </si>
  <si>
    <t>G Martinelli</t>
  </si>
  <si>
    <t>S Ngapandouentnbu</t>
  </si>
  <si>
    <t>D Epassy</t>
  </si>
  <si>
    <t>N Nkoulou</t>
  </si>
  <si>
    <t>C Wooh</t>
  </si>
  <si>
    <t>O Mbaizo</t>
  </si>
  <si>
    <t>C Fai</t>
  </si>
  <si>
    <t>J Castelletto</t>
  </si>
  <si>
    <t>E Ebosse</t>
  </si>
  <si>
    <t>T Nouhou</t>
  </si>
  <si>
    <t>J Ngom Mbekeli</t>
  </si>
  <si>
    <t>G Ondoua</t>
  </si>
  <si>
    <t>N Moumi Ngamaleu</t>
  </si>
  <si>
    <t>G Nkoudou</t>
  </si>
  <si>
    <t>A Zambo Anguissa</t>
  </si>
  <si>
    <t>S Oum Gouet</t>
  </si>
  <si>
    <t>P Kunde</t>
  </si>
  <si>
    <t>M Hongla</t>
  </si>
  <si>
    <t>B Mbeumo</t>
  </si>
  <si>
    <t>O Ntcham</t>
  </si>
  <si>
    <t>J Nsame</t>
  </si>
  <si>
    <t>V Aboubakar</t>
  </si>
  <si>
    <t>C Bassogog</t>
  </si>
  <si>
    <t>K Toko Ekambi</t>
  </si>
  <si>
    <t>E Maxim Choupo-Moting</t>
  </si>
  <si>
    <t>S Marou</t>
  </si>
  <si>
    <t>D St. Clair</t>
  </si>
  <si>
    <t>J Pantemis</t>
  </si>
  <si>
    <t>M Borjan</t>
  </si>
  <si>
    <t>A Johnston</t>
  </si>
  <si>
    <t>S Adekugbe</t>
  </si>
  <si>
    <t>K Miller</t>
  </si>
  <si>
    <t>S Vitória</t>
  </si>
  <si>
    <t>R Laryea</t>
  </si>
  <si>
    <t>D Cornelius</t>
  </si>
  <si>
    <t>J Waterman</t>
  </si>
  <si>
    <t>S Piette</t>
  </si>
  <si>
    <t>S Eustáquio</t>
  </si>
  <si>
    <t>L Fraser</t>
  </si>
  <si>
    <t>J Hoilett</t>
  </si>
  <si>
    <t>A Hutchinson</t>
  </si>
  <si>
    <t>M Kaye</t>
  </si>
  <si>
    <t>I Koné</t>
  </si>
  <si>
    <t>J Osorio</t>
  </si>
  <si>
    <t>D Wotherspoon</t>
  </si>
  <si>
    <t>L Cavallini</t>
  </si>
  <si>
    <t>T Buchanan</t>
  </si>
  <si>
    <t>I Ugbo</t>
  </si>
  <si>
    <t>C Larin</t>
  </si>
  <si>
    <t>A Davies</t>
  </si>
  <si>
    <t>J David</t>
  </si>
  <si>
    <t>L Millar</t>
  </si>
  <si>
    <t>K Navas</t>
  </si>
  <si>
    <t>E Alvarado</t>
  </si>
  <si>
    <t>P Sequeira</t>
  </si>
  <si>
    <t>J Pablo Vargas</t>
  </si>
  <si>
    <t>K Fuller</t>
  </si>
  <si>
    <t>Ó Duarte</t>
  </si>
  <si>
    <t>B Oviedo</t>
  </si>
  <si>
    <t>F Calvo</t>
  </si>
  <si>
    <t>C Martinez</t>
  </si>
  <si>
    <t>K Waston</t>
  </si>
  <si>
    <t>D López</t>
  </si>
  <si>
    <t>R Matarrita</t>
  </si>
  <si>
    <t>D Chacón</t>
  </si>
  <si>
    <t>C Borges</t>
  </si>
  <si>
    <t>J Venegas</t>
  </si>
  <si>
    <t>G Torres</t>
  </si>
  <si>
    <t>Y Salas</t>
  </si>
  <si>
    <t>Y Tejeda</t>
  </si>
  <si>
    <t>B Aguilera</t>
  </si>
  <si>
    <t>Á Zamora</t>
  </si>
  <si>
    <t>A Contreras</t>
  </si>
  <si>
    <t>J Bennette</t>
  </si>
  <si>
    <t>B Ruiz</t>
  </si>
  <si>
    <t>J Campbell</t>
  </si>
  <si>
    <t>R Wilson</t>
  </si>
  <si>
    <t>A Hernández</t>
  </si>
  <si>
    <t>D Livakovic</t>
  </si>
  <si>
    <t>I Grbic</t>
  </si>
  <si>
    <t>I Ivusic</t>
  </si>
  <si>
    <t>J Stanisic</t>
  </si>
  <si>
    <t>B Barisic</t>
  </si>
  <si>
    <t>M Erlic</t>
  </si>
  <si>
    <t>D Lovren</t>
  </si>
  <si>
    <t>B Sosa</t>
  </si>
  <si>
    <t>J Gvardiol</t>
  </si>
  <si>
    <t>D Vida</t>
  </si>
  <si>
    <t>J Juranovic</t>
  </si>
  <si>
    <t>J Sutalo</t>
  </si>
  <si>
    <t>I Perisic</t>
  </si>
  <si>
    <t>L Majer</t>
  </si>
  <si>
    <t>M Kovacic</t>
  </si>
  <si>
    <t>L Modric</t>
  </si>
  <si>
    <t>M Brozovic</t>
  </si>
  <si>
    <t>N Vlasic</t>
  </si>
  <si>
    <t>M Pasalic</t>
  </si>
  <si>
    <t>L Sucic</t>
  </si>
  <si>
    <t>K Jakic</t>
  </si>
  <si>
    <t>A Kramaric</t>
  </si>
  <si>
    <t>M Livaja</t>
  </si>
  <si>
    <t>B Petkovic</t>
  </si>
  <si>
    <t>A Budimir</t>
  </si>
  <si>
    <t>M Orsic</t>
  </si>
  <si>
    <t>K Schmeichel</t>
  </si>
  <si>
    <t>O Christensen</t>
  </si>
  <si>
    <t>F Ronnow</t>
  </si>
  <si>
    <t>J Andersen</t>
  </si>
  <si>
    <t>V Nelsson</t>
  </si>
  <si>
    <t>S Kjaer</t>
  </si>
  <si>
    <t>J Maehle</t>
  </si>
  <si>
    <t>A Christensen</t>
  </si>
  <si>
    <t>R Kristensen</t>
  </si>
  <si>
    <t>J Stryger Larsen</t>
  </si>
  <si>
    <t>A Bah</t>
  </si>
  <si>
    <t>M Jensen</t>
  </si>
  <si>
    <t>T Delaney</t>
  </si>
  <si>
    <t>C Eriksen</t>
  </si>
  <si>
    <t>M Damsgaard</t>
  </si>
  <si>
    <t>C Norgaard</t>
  </si>
  <si>
    <t>D Wass</t>
  </si>
  <si>
    <t>P Hojbjerg</t>
  </si>
  <si>
    <t>J Lindstrom</t>
  </si>
  <si>
    <t>M Braithwaite</t>
  </si>
  <si>
    <t>A Skov Olsen</t>
  </si>
  <si>
    <t>K Dolberg</t>
  </si>
  <si>
    <t>J Wind</t>
  </si>
  <si>
    <t>Y Yurary Poulsen</t>
  </si>
  <si>
    <t>A Cornelius</t>
  </si>
  <si>
    <t>R Skov</t>
  </si>
  <si>
    <t>H Galindez</t>
  </si>
  <si>
    <t>M Ramírez</t>
  </si>
  <si>
    <t>A Domínguez</t>
  </si>
  <si>
    <t>F Torres</t>
  </si>
  <si>
    <t>P Hincapié</t>
  </si>
  <si>
    <t>R Arboleda</t>
  </si>
  <si>
    <t>W Pacho</t>
  </si>
  <si>
    <t>P Estupiñán</t>
  </si>
  <si>
    <t>X Arreaga</t>
  </si>
  <si>
    <t>A Preciado</t>
  </si>
  <si>
    <t>D Palacios</t>
  </si>
  <si>
    <t>J Porozo</t>
  </si>
  <si>
    <t>J Cifuentes</t>
  </si>
  <si>
    <t>C Gruezo</t>
  </si>
  <si>
    <t>R Ibarra</t>
  </si>
  <si>
    <t>J Méndez</t>
  </si>
  <si>
    <t>A Franco</t>
  </si>
  <si>
    <t>M Caicedo</t>
  </si>
  <si>
    <t>K Rodríguez</t>
  </si>
  <si>
    <t>M Estrada</t>
  </si>
  <si>
    <t>Á Mena</t>
  </si>
  <si>
    <t>J Sarmiento</t>
  </si>
  <si>
    <t>G Plata</t>
  </si>
  <si>
    <t>D Reasco</t>
  </si>
  <si>
    <t>J Pickford</t>
  </si>
  <si>
    <t>N Pope</t>
  </si>
  <si>
    <t>A Ramsdale</t>
  </si>
  <si>
    <t>K Walker</t>
  </si>
  <si>
    <t>L Shaw</t>
  </si>
  <si>
    <t>J Stones</t>
  </si>
  <si>
    <t>H Maguire</t>
  </si>
  <si>
    <t>K Trippier</t>
  </si>
  <si>
    <t>E Dier</t>
  </si>
  <si>
    <t>C Coady</t>
  </si>
  <si>
    <t>T Alexander-Arnold</t>
  </si>
  <si>
    <t>B White</t>
  </si>
  <si>
    <t>D Rice</t>
  </si>
  <si>
    <t>J Henderson</t>
  </si>
  <si>
    <t>K Phillips</t>
  </si>
  <si>
    <t>M Mount</t>
  </si>
  <si>
    <t>P Foden</t>
  </si>
  <si>
    <t>J Maddison</t>
  </si>
  <si>
    <t>C Gallagher</t>
  </si>
  <si>
    <t>H Kane</t>
  </si>
  <si>
    <t>C Wilson</t>
  </si>
  <si>
    <t>H Lloris</t>
  </si>
  <si>
    <t>S Mandanda</t>
  </si>
  <si>
    <t>A Areola</t>
  </si>
  <si>
    <t>B Pavard</t>
  </si>
  <si>
    <t>A Disasi</t>
  </si>
  <si>
    <t>R Varane</t>
  </si>
  <si>
    <t>J Koundé</t>
  </si>
  <si>
    <t>W Saliba</t>
  </si>
  <si>
    <t>D Upamecano</t>
  </si>
  <si>
    <t>L Hernández</t>
  </si>
  <si>
    <t>T Hernández</t>
  </si>
  <si>
    <t>I Konaté</t>
  </si>
  <si>
    <t>M Guendouzi</t>
  </si>
  <si>
    <t>A Tchouaméni</t>
  </si>
  <si>
    <t>Y Fofana</t>
  </si>
  <si>
    <t>J Veretout</t>
  </si>
  <si>
    <t>E Camavinga</t>
  </si>
  <si>
    <t>A Griezmann</t>
  </si>
  <si>
    <t>O Dembélé</t>
  </si>
  <si>
    <t>R Kolo Muani</t>
  </si>
  <si>
    <t>K Benzema</t>
  </si>
  <si>
    <t>K Coman</t>
  </si>
  <si>
    <t>M Thuram</t>
  </si>
  <si>
    <t>M Neuer</t>
  </si>
  <si>
    <t>K Trapp</t>
  </si>
  <si>
    <t>M ter Stegen</t>
  </si>
  <si>
    <t>A Rüdiger</t>
  </si>
  <si>
    <t>D Raum</t>
  </si>
  <si>
    <t>M Ginter</t>
  </si>
  <si>
    <t>T Kehrer</t>
  </si>
  <si>
    <t>N Süle</t>
  </si>
  <si>
    <t>L Klostermann</t>
  </si>
  <si>
    <t>C Günter</t>
  </si>
  <si>
    <t>N Schlotterbeck</t>
  </si>
  <si>
    <t>A Bella Kotchap</t>
  </si>
  <si>
    <t>J Kimmich</t>
  </si>
  <si>
    <t>K Havertz</t>
  </si>
  <si>
    <t>L Goretzka</t>
  </si>
  <si>
    <t>M Götze</t>
  </si>
  <si>
    <t>J Brandt</t>
  </si>
  <si>
    <t>J Hofmann</t>
  </si>
  <si>
    <t>N Füllkrug</t>
  </si>
  <si>
    <t>S Gnabry</t>
  </si>
  <si>
    <t>T Müller</t>
  </si>
  <si>
    <t>J Musiala</t>
  </si>
  <si>
    <t>L Sané</t>
  </si>
  <si>
    <t>K Adeyemi</t>
  </si>
  <si>
    <t>Y Moukoko</t>
  </si>
  <si>
    <t>L Ati Zigi</t>
  </si>
  <si>
    <t>D Ibrahim</t>
  </si>
  <si>
    <t>A Manaf Nurudeen</t>
  </si>
  <si>
    <t>T Lamptey</t>
  </si>
  <si>
    <t>D Odoi</t>
  </si>
  <si>
    <t>M Salisu</t>
  </si>
  <si>
    <t>G Mensah</t>
  </si>
  <si>
    <t>J Aidoo</t>
  </si>
  <si>
    <t>A Rahman Baba</t>
  </si>
  <si>
    <t>D Amartey</t>
  </si>
  <si>
    <t>A Djiku</t>
  </si>
  <si>
    <t>S Alidu</t>
  </si>
  <si>
    <t>T Partey</t>
  </si>
  <si>
    <t>E Owusu</t>
  </si>
  <si>
    <t>F Issahaku</t>
  </si>
  <si>
    <t>D Kyereh</t>
  </si>
  <si>
    <t>M Kudus</t>
  </si>
  <si>
    <t>S Abdul Samed</t>
  </si>
  <si>
    <t>K Sulemana</t>
  </si>
  <si>
    <t>J Ayew</t>
  </si>
  <si>
    <t>A Ayew</t>
  </si>
  <si>
    <t>O Bukari</t>
  </si>
  <si>
    <t>D Afriyie</t>
  </si>
  <si>
    <t>I Williams</t>
  </si>
  <si>
    <t>K Sowah</t>
  </si>
  <si>
    <t>A Semenyo</t>
  </si>
  <si>
    <t>A Beiranvand</t>
  </si>
  <si>
    <t>P Niazmand</t>
  </si>
  <si>
    <t>A Abedzadeh</t>
  </si>
  <si>
    <t>H Hosseini</t>
  </si>
  <si>
    <t>S Moharrami</t>
  </si>
  <si>
    <t>S Khalilzadeh</t>
  </si>
  <si>
    <t>M Mohammadi</t>
  </si>
  <si>
    <t>M Pouraliganji</t>
  </si>
  <si>
    <t>H Kanani</t>
  </si>
  <si>
    <t>R Cheshmi</t>
  </si>
  <si>
    <t>M Hosseini</t>
  </si>
  <si>
    <t>R Rezaeian</t>
  </si>
  <si>
    <t>A Jalali</t>
  </si>
  <si>
    <t>E Hajsafi</t>
  </si>
  <si>
    <t>S Ezatolahi</t>
  </si>
  <si>
    <t>A Jahanbakhsh</t>
  </si>
  <si>
    <t>V Amiri</t>
  </si>
  <si>
    <t>M Torabi</t>
  </si>
  <si>
    <t>A Gholizadeh</t>
  </si>
  <si>
    <t>A Karimi</t>
  </si>
  <si>
    <t>A Noorollahi</t>
  </si>
  <si>
    <t>K Ansarifard</t>
  </si>
  <si>
    <t>S Ghoddos</t>
  </si>
  <si>
    <t>S Azmoun</t>
  </si>
  <si>
    <t>E Kawashima</t>
  </si>
  <si>
    <t>S Gonda</t>
  </si>
  <si>
    <t>D Schmidt</t>
  </si>
  <si>
    <t>M Yamane</t>
  </si>
  <si>
    <t>S Taniguchi</t>
  </si>
  <si>
    <t>K Itakura</t>
  </si>
  <si>
    <t>Y Nagatomo</t>
  </si>
  <si>
    <t>T Tomiyasu</t>
  </si>
  <si>
    <t>H Sakai</t>
  </si>
  <si>
    <t>M Yoshida</t>
  </si>
  <si>
    <t>H Ito</t>
  </si>
  <si>
    <t>W Endo</t>
  </si>
  <si>
    <t>G Shibasaki</t>
  </si>
  <si>
    <t>K Mitoma</t>
  </si>
  <si>
    <t>T Minamino</t>
  </si>
  <si>
    <t>T Kubo</t>
  </si>
  <si>
    <t>H Morita</t>
  </si>
  <si>
    <t>D Kamada</t>
  </si>
  <si>
    <t>A Tanaka</t>
  </si>
  <si>
    <t>R Doan</t>
  </si>
  <si>
    <t>J Ito</t>
  </si>
  <si>
    <t>T Asano</t>
  </si>
  <si>
    <t>S Machino</t>
  </si>
  <si>
    <t>A Ueda</t>
  </si>
  <si>
    <t>Y Soma</t>
  </si>
  <si>
    <t>D Maeda</t>
  </si>
  <si>
    <t>A Talavera</t>
  </si>
  <si>
    <t>R Cota</t>
  </si>
  <si>
    <t>G Ochoa</t>
  </si>
  <si>
    <t>N Araujo</t>
  </si>
  <si>
    <t>C Montes</t>
  </si>
  <si>
    <t>J Vásquez</t>
  </si>
  <si>
    <t>G Arteaga</t>
  </si>
  <si>
    <t>H Moreno</t>
  </si>
  <si>
    <t>J Sánchez</t>
  </si>
  <si>
    <t>J Gallardo</t>
  </si>
  <si>
    <t>K Álvarez</t>
  </si>
  <si>
    <t>E Álvarez</t>
  </si>
  <si>
    <t>L Romo</t>
  </si>
  <si>
    <t>C Rodríguez</t>
  </si>
  <si>
    <t>É Gutiérrez</t>
  </si>
  <si>
    <t>H Herrera</t>
  </si>
  <si>
    <t>O Pineda</t>
  </si>
  <si>
    <t>A Guardado</t>
  </si>
  <si>
    <t>L Chávez</t>
  </si>
  <si>
    <t>R Jiménez</t>
  </si>
  <si>
    <t>A Vega</t>
  </si>
  <si>
    <t>R Funes Mori</t>
  </si>
  <si>
    <t>H Martín</t>
  </si>
  <si>
    <t>U Antuna</t>
  </si>
  <si>
    <t>H Lozano</t>
  </si>
  <si>
    <t>R Alvarado</t>
  </si>
  <si>
    <t>M El Kajoui</t>
  </si>
  <si>
    <t>R Tagnaouti</t>
  </si>
  <si>
    <t>Y Bounou</t>
  </si>
  <si>
    <t>A Hakimi</t>
  </si>
  <si>
    <t>N Mazraoui</t>
  </si>
  <si>
    <t>N Aguerd</t>
  </si>
  <si>
    <t>R Saïss</t>
  </si>
  <si>
    <t>J El Yamiq</t>
  </si>
  <si>
    <t>A Dari</t>
  </si>
  <si>
    <t>B Benoun</t>
  </si>
  <si>
    <t>Y Attiyat-Allah</t>
  </si>
  <si>
    <t>S Amrabat</t>
  </si>
  <si>
    <t>H Ziyech</t>
  </si>
  <si>
    <t>A Ounahi</t>
  </si>
  <si>
    <t>A Harit</t>
  </si>
  <si>
    <t>A Sabiri</t>
  </si>
  <si>
    <t>I Chair</t>
  </si>
  <si>
    <t>S Amallah</t>
  </si>
  <si>
    <t>B El Khannouss</t>
  </si>
  <si>
    <t>Y Jabrane</t>
  </si>
  <si>
    <t>A Hamdallah</t>
  </si>
  <si>
    <t>A Zaroury</t>
  </si>
  <si>
    <t>Z Aboukhlal</t>
  </si>
  <si>
    <t>A Ez</t>
  </si>
  <si>
    <t>S Boufal</t>
  </si>
  <si>
    <t>Y En-Nesyri</t>
  </si>
  <si>
    <t>W Cheddira</t>
  </si>
  <si>
    <t>R Pasveer</t>
  </si>
  <si>
    <t>J Bijlow</t>
  </si>
  <si>
    <t>A Noppert</t>
  </si>
  <si>
    <t>J Timber</t>
  </si>
  <si>
    <t>M de Ligt</t>
  </si>
  <si>
    <t>V van Dijk</t>
  </si>
  <si>
    <t>N Aké</t>
  </si>
  <si>
    <t>S de Vrij</t>
  </si>
  <si>
    <t>T Malacia</t>
  </si>
  <si>
    <t>D Blind</t>
  </si>
  <si>
    <t>D Dumfries</t>
  </si>
  <si>
    <t>J Frimpong</t>
  </si>
  <si>
    <t>N Lang</t>
  </si>
  <si>
    <t>M de Roon</t>
  </si>
  <si>
    <t>T Koopmeiners</t>
  </si>
  <si>
    <t>F de Jong</t>
  </si>
  <si>
    <t>K Taylor</t>
  </si>
  <si>
    <t>X Simons</t>
  </si>
  <si>
    <t>S Bergwijn</t>
  </si>
  <si>
    <t>L de Jong</t>
  </si>
  <si>
    <t>M Depay</t>
  </si>
  <si>
    <t>S Berghuis</t>
  </si>
  <si>
    <t>V Janssen</t>
  </si>
  <si>
    <t>W Weghorst</t>
  </si>
  <si>
    <t>W Szczesny</t>
  </si>
  <si>
    <t>L Skorupski</t>
  </si>
  <si>
    <t>K Grabara</t>
  </si>
  <si>
    <t>M Cash</t>
  </si>
  <si>
    <t>A Jedrzejczyk</t>
  </si>
  <si>
    <t>M Wieteska</t>
  </si>
  <si>
    <t>J Bednarek</t>
  </si>
  <si>
    <t>J Kiwior</t>
  </si>
  <si>
    <t>K Glik</t>
  </si>
  <si>
    <t>B Bereszynski</t>
  </si>
  <si>
    <t>R Gumny</t>
  </si>
  <si>
    <t>K Bielik</t>
  </si>
  <si>
    <t>D Szymanski</t>
  </si>
  <si>
    <t>G Krychowiak</t>
  </si>
  <si>
    <t>K Grosicki</t>
  </si>
  <si>
    <t>J Kaminski</t>
  </si>
  <si>
    <t>S Zurkowski</t>
  </si>
  <si>
    <t>S Szymanski</t>
  </si>
  <si>
    <t>P Zielinski</t>
  </si>
  <si>
    <t>P Frankowski</t>
  </si>
  <si>
    <t>M Skoras</t>
  </si>
  <si>
    <t>A Milik</t>
  </si>
  <si>
    <t>R Lewandowski</t>
  </si>
  <si>
    <t>K Swiderski</t>
  </si>
  <si>
    <t>N Zalewski</t>
  </si>
  <si>
    <t>K Piatek</t>
  </si>
  <si>
    <t>R Patrício</t>
  </si>
  <si>
    <t>J Sá</t>
  </si>
  <si>
    <t>D Costa</t>
  </si>
  <si>
    <t>D Dalot</t>
  </si>
  <si>
    <t xml:space="preserve"> Pepe</t>
  </si>
  <si>
    <t>R Dias</t>
  </si>
  <si>
    <t>R Guerreiro</t>
  </si>
  <si>
    <t>N Mendes</t>
  </si>
  <si>
    <t>J Cancelo</t>
  </si>
  <si>
    <t>A Silva</t>
  </si>
  <si>
    <t>J Palhinha</t>
  </si>
  <si>
    <t>B Fernandes</t>
  </si>
  <si>
    <t>B Silva</t>
  </si>
  <si>
    <t>D Pereira</t>
  </si>
  <si>
    <t>W Carvalho</t>
  </si>
  <si>
    <t xml:space="preserve"> Vitinha</t>
  </si>
  <si>
    <t>J Mário</t>
  </si>
  <si>
    <t>R Neves</t>
  </si>
  <si>
    <t>M Nunes</t>
  </si>
  <si>
    <t xml:space="preserve"> Otávio</t>
  </si>
  <si>
    <t>C Ronaldo</t>
  </si>
  <si>
    <t>J Félix</t>
  </si>
  <si>
    <t>R Leão</t>
  </si>
  <si>
    <t>R Horta</t>
  </si>
  <si>
    <t>G Ramos</t>
  </si>
  <si>
    <t>S Al-Sheeb</t>
  </si>
  <si>
    <t>Y Hassan</t>
  </si>
  <si>
    <t>M Barsham</t>
  </si>
  <si>
    <t>P Miguel</t>
  </si>
  <si>
    <t>A Hassan</t>
  </si>
  <si>
    <t>T Salman</t>
  </si>
  <si>
    <t>M Khidir</t>
  </si>
  <si>
    <t>H Ahmed</t>
  </si>
  <si>
    <t>B Al-Rawi</t>
  </si>
  <si>
    <t>B Khoukhi</t>
  </si>
  <si>
    <t>S Al-Hajri</t>
  </si>
  <si>
    <t>J Gaber</t>
  </si>
  <si>
    <t>M Waad</t>
  </si>
  <si>
    <t>A Hatem</t>
  </si>
  <si>
    <t>A Asad</t>
  </si>
  <si>
    <t>K Boudiaf</t>
  </si>
  <si>
    <t>I Mohamad</t>
  </si>
  <si>
    <t>A Madibo</t>
  </si>
  <si>
    <t>N Al-Hadhrami</t>
  </si>
  <si>
    <t>M Tarek</t>
  </si>
  <si>
    <t>A Alaaeldin</t>
  </si>
  <si>
    <t>M Muntari</t>
  </si>
  <si>
    <t>H Al-Haydos</t>
  </si>
  <si>
    <t>A Afif</t>
  </si>
  <si>
    <t>K Muneer</t>
  </si>
  <si>
    <t>A Ali</t>
  </si>
  <si>
    <t>M Al-Yami</t>
  </si>
  <si>
    <t>M Al-Owais</t>
  </si>
  <si>
    <t>N Al-Aqidi</t>
  </si>
  <si>
    <t>S Al-Ghannam</t>
  </si>
  <si>
    <t>A Madu</t>
  </si>
  <si>
    <t>A Al-Amri</t>
  </si>
  <si>
    <t>A Al-Bulayhi</t>
  </si>
  <si>
    <t>M Al-Burayk</t>
  </si>
  <si>
    <t>S Abdulhamid</t>
  </si>
  <si>
    <t>Y Al-Shahrani</t>
  </si>
  <si>
    <t>H Altambakti</t>
  </si>
  <si>
    <t>S Al-Faraj</t>
  </si>
  <si>
    <t>A Al-Malki</t>
  </si>
  <si>
    <t>A Otayf</t>
  </si>
  <si>
    <t>A Al-Hassan</t>
  </si>
  <si>
    <t>S Al-Naji</t>
  </si>
  <si>
    <t>N Al-Abid</t>
  </si>
  <si>
    <t>H Bahbri</t>
  </si>
  <si>
    <t>M Kanno</t>
  </si>
  <si>
    <t>N Al-Dawsari</t>
  </si>
  <si>
    <t>R Sharahili</t>
  </si>
  <si>
    <t>F Al-Brikan</t>
  </si>
  <si>
    <t>A Al-Obud</t>
  </si>
  <si>
    <t>H Asiri</t>
  </si>
  <si>
    <t>É Mendy</t>
  </si>
  <si>
    <t>S Dieng</t>
  </si>
  <si>
    <t>A Gomis</t>
  </si>
  <si>
    <t>I Jakobs</t>
  </si>
  <si>
    <t>K Koulibaly</t>
  </si>
  <si>
    <t>A Diallo</t>
  </si>
  <si>
    <t>Y Sabaly</t>
  </si>
  <si>
    <t>F Mendy</t>
  </si>
  <si>
    <t>P Abou Cissé</t>
  </si>
  <si>
    <t>F Ballo-Touré</t>
  </si>
  <si>
    <t>I Gana Gueye</t>
  </si>
  <si>
    <t>N Mendy</t>
  </si>
  <si>
    <t>C Kouyaté</t>
  </si>
  <si>
    <t>I Ndiaye</t>
  </si>
  <si>
    <t>P Gueye</t>
  </si>
  <si>
    <t>M Name</t>
  </si>
  <si>
    <t>P Ciss</t>
  </si>
  <si>
    <t>P Matar Sarr</t>
  </si>
  <si>
    <t>M Loum Ndiaye</t>
  </si>
  <si>
    <t>S Mané</t>
  </si>
  <si>
    <t>K Diatta</t>
  </si>
  <si>
    <t>I Sarr</t>
  </si>
  <si>
    <t>F Diedhiou</t>
  </si>
  <si>
    <t>B Dieng</t>
  </si>
  <si>
    <t>B Dia</t>
  </si>
  <si>
    <t>N Jackson</t>
  </si>
  <si>
    <t>M Dmitrovic</t>
  </si>
  <si>
    <t>P Rajkovic</t>
  </si>
  <si>
    <t>V Milinkovic-Savic</t>
  </si>
  <si>
    <t>S Pavlovic</t>
  </si>
  <si>
    <t>S Erakovic</t>
  </si>
  <si>
    <t>N Milenkovic</t>
  </si>
  <si>
    <t>M Veljkovic</t>
  </si>
  <si>
    <t>S Mitrovic</t>
  </si>
  <si>
    <t>S Babic</t>
  </si>
  <si>
    <t>F Mladenovic</t>
  </si>
  <si>
    <t>N Maksimovic</t>
  </si>
  <si>
    <t>N Radonjic</t>
  </si>
  <si>
    <t>N Gudelj</t>
  </si>
  <si>
    <t>S Lukic</t>
  </si>
  <si>
    <t>F Kostic</t>
  </si>
  <si>
    <t>U Racic</t>
  </si>
  <si>
    <t>S Milinkovic-Savic</t>
  </si>
  <si>
    <t>F Djuricic</t>
  </si>
  <si>
    <t>D Lazovic</t>
  </si>
  <si>
    <t>I Ilic</t>
  </si>
  <si>
    <t>M Grujic</t>
  </si>
  <si>
    <t>A Mitrovic</t>
  </si>
  <si>
    <t>D Tadic</t>
  </si>
  <si>
    <t>L Jovic</t>
  </si>
  <si>
    <t>A Zivkovic</t>
  </si>
  <si>
    <t>D Vlahovic</t>
  </si>
  <si>
    <t>K Seung-Gyu</t>
  </si>
  <si>
    <t>S Bum-Keun</t>
  </si>
  <si>
    <t>J Hyeon-Woo</t>
  </si>
  <si>
    <t>Y Jong-Gyu</t>
  </si>
  <si>
    <t>K Jin-Su</t>
  </si>
  <si>
    <t>K Min-Jae</t>
  </si>
  <si>
    <t>H Chul</t>
  </si>
  <si>
    <t>K Moon-Hwan</t>
  </si>
  <si>
    <t>K Young-Gwon</t>
  </si>
  <si>
    <t>K Kyung-Won</t>
  </si>
  <si>
    <t>K Tae-Hwan</t>
  </si>
  <si>
    <t>C Yu-Min</t>
  </si>
  <si>
    <t>J Woo-Young</t>
  </si>
  <si>
    <t>H In-Beom</t>
  </si>
  <si>
    <t>P Seung-Ho</t>
  </si>
  <si>
    <t>L Jae-Sung</t>
  </si>
  <si>
    <t>S Jun-Ho</t>
  </si>
  <si>
    <t>L Kang-In</t>
  </si>
  <si>
    <t>K Chang-Hoon</t>
  </si>
  <si>
    <t>J Woo-Yeong</t>
  </si>
  <si>
    <t>S Heung-Min</t>
  </si>
  <si>
    <t>C Gue-Sung</t>
  </si>
  <si>
    <t>H Hee-Chan</t>
  </si>
  <si>
    <t>H Ui-Jo</t>
  </si>
  <si>
    <t>N Sang-Ho</t>
  </si>
  <si>
    <t>S Min-Kyu</t>
  </si>
  <si>
    <t>R Sánchez</t>
  </si>
  <si>
    <t>D Raya</t>
  </si>
  <si>
    <t>U Simón</t>
  </si>
  <si>
    <t>C Azpilicueta</t>
  </si>
  <si>
    <t>E García</t>
  </si>
  <si>
    <t>P Torres</t>
  </si>
  <si>
    <t>J Gayà</t>
  </si>
  <si>
    <t>H Guillamón</t>
  </si>
  <si>
    <t>J Alba</t>
  </si>
  <si>
    <t>D Carvajal</t>
  </si>
  <si>
    <t>A Laporte</t>
  </si>
  <si>
    <t>S Busquets</t>
  </si>
  <si>
    <t>M Llorente</t>
  </si>
  <si>
    <t xml:space="preserve"> Koke</t>
  </si>
  <si>
    <t xml:space="preserve"> Gavi</t>
  </si>
  <si>
    <t xml:space="preserve"> Rodri</t>
  </si>
  <si>
    <t>Y Pino</t>
  </si>
  <si>
    <t>C Soler</t>
  </si>
  <si>
    <t>D Olmo</t>
  </si>
  <si>
    <t>P Sarabia</t>
  </si>
  <si>
    <t xml:space="preserve"> Pedri</t>
  </si>
  <si>
    <t>Á Mora</t>
  </si>
  <si>
    <t>M Asensio</t>
  </si>
  <si>
    <t>N Williams</t>
  </si>
  <si>
    <t>A Fati</t>
  </si>
  <si>
    <t>Y Sommer</t>
  </si>
  <si>
    <t>J Omlin</t>
  </si>
  <si>
    <t>G Kobel</t>
  </si>
  <si>
    <t>P Köehn</t>
  </si>
  <si>
    <t>S Widmer</t>
  </si>
  <si>
    <t>N Elvedi</t>
  </si>
  <si>
    <t>M Akanji</t>
  </si>
  <si>
    <t>R Rodríguez</t>
  </si>
  <si>
    <t>E Cöemert</t>
  </si>
  <si>
    <t>F Schäer</t>
  </si>
  <si>
    <t>E Fernandes</t>
  </si>
  <si>
    <t>D Zakaria</t>
  </si>
  <si>
    <t>R Freuler</t>
  </si>
  <si>
    <t>G Xhaka</t>
  </si>
  <si>
    <t>R Steffen</t>
  </si>
  <si>
    <t>M Aebischer</t>
  </si>
  <si>
    <t>D Sow</t>
  </si>
  <si>
    <t>C Fassnacht</t>
  </si>
  <si>
    <t>R Vargas</t>
  </si>
  <si>
    <t>F Frei</t>
  </si>
  <si>
    <t>X Shaqiri</t>
  </si>
  <si>
    <t>F Rieder</t>
  </si>
  <si>
    <t>A Jashari</t>
  </si>
  <si>
    <t>B Embolo</t>
  </si>
  <si>
    <t>H Seferovic</t>
  </si>
  <si>
    <t>N Okafor</t>
  </si>
  <si>
    <t>A Mathlouthi</t>
  </si>
  <si>
    <t>A Dahmen</t>
  </si>
  <si>
    <t>B Ben Said</t>
  </si>
  <si>
    <t>M Hassen</t>
  </si>
  <si>
    <t>B Ifa</t>
  </si>
  <si>
    <t>M Talbi</t>
  </si>
  <si>
    <t>Y Meriah</t>
  </si>
  <si>
    <t>D Bronn</t>
  </si>
  <si>
    <t>A Maâloul</t>
  </si>
  <si>
    <t>M Drager</t>
  </si>
  <si>
    <t>W Kechrida</t>
  </si>
  <si>
    <t>A Abdi</t>
  </si>
  <si>
    <t>N Ghandri</t>
  </si>
  <si>
    <t>H Mejbri</t>
  </si>
  <si>
    <t>F Sassi</t>
  </si>
  <si>
    <t>A Laidouni</t>
  </si>
  <si>
    <t>M Ali Ben Romdhane</t>
  </si>
  <si>
    <t>E Skhiri</t>
  </si>
  <si>
    <t>G Chaaleli</t>
  </si>
  <si>
    <t>N Sliti</t>
  </si>
  <si>
    <t>A Ben Slimane</t>
  </si>
  <si>
    <t>Y Msakni</t>
  </si>
  <si>
    <t>I Jebali</t>
  </si>
  <si>
    <t>W Khazri</t>
  </si>
  <si>
    <t>T Yassine Khenissi</t>
  </si>
  <si>
    <t>S Jaziri</t>
  </si>
  <si>
    <t>M Turner</t>
  </si>
  <si>
    <t>E Horvath</t>
  </si>
  <si>
    <t>S Johnson</t>
  </si>
  <si>
    <t>S Dest</t>
  </si>
  <si>
    <t>W Zimmerman</t>
  </si>
  <si>
    <t>A Robinson</t>
  </si>
  <si>
    <t>T Ream</t>
  </si>
  <si>
    <t>A Long</t>
  </si>
  <si>
    <t>S Moore</t>
  </si>
  <si>
    <t>C Carter-Vickers</t>
  </si>
  <si>
    <t>D Yedlin</t>
  </si>
  <si>
    <t>J Scally</t>
  </si>
  <si>
    <t>T Adams</t>
  </si>
  <si>
    <t>Y Musah</t>
  </si>
  <si>
    <t>G Reyna</t>
  </si>
  <si>
    <t>W McKennie</t>
  </si>
  <si>
    <t>C Pulisic</t>
  </si>
  <si>
    <t>B Aaronson</t>
  </si>
  <si>
    <t>L de la Torre</t>
  </si>
  <si>
    <t>C Roldan</t>
  </si>
  <si>
    <t>K Acosta</t>
  </si>
  <si>
    <t>J Ferreira</t>
  </si>
  <si>
    <t>J Morris</t>
  </si>
  <si>
    <t>H Wright</t>
  </si>
  <si>
    <t>J Sargent</t>
  </si>
  <si>
    <t>F Muslera</t>
  </si>
  <si>
    <t>S Sosa</t>
  </si>
  <si>
    <t>S Rochet</t>
  </si>
  <si>
    <t>J Maria Giménez</t>
  </si>
  <si>
    <t>D Godín</t>
  </si>
  <si>
    <t>R Araújo</t>
  </si>
  <si>
    <t>G Varela</t>
  </si>
  <si>
    <t>M Olivera</t>
  </si>
  <si>
    <t>M Viña</t>
  </si>
  <si>
    <t>S Coates</t>
  </si>
  <si>
    <t>M Cáceres</t>
  </si>
  <si>
    <t>J Luis Rodríguez</t>
  </si>
  <si>
    <t>M Vecino</t>
  </si>
  <si>
    <t>R Bentancur</t>
  </si>
  <si>
    <t>N de la Cruz</t>
  </si>
  <si>
    <t>F Pellistri</t>
  </si>
  <si>
    <t>G de Arrascaeta</t>
  </si>
  <si>
    <t>L Torreira</t>
  </si>
  <si>
    <t>F Valverde</t>
  </si>
  <si>
    <t>M Ugarte</t>
  </si>
  <si>
    <t>L Suárez</t>
  </si>
  <si>
    <t>D Núñez</t>
  </si>
  <si>
    <t>M Gómez</t>
  </si>
  <si>
    <t>E Cavani</t>
  </si>
  <si>
    <t>A Canobbio</t>
  </si>
  <si>
    <t>W Hennessey</t>
  </si>
  <si>
    <t>D Ward</t>
  </si>
  <si>
    <t>C Gunter</t>
  </si>
  <si>
    <t>B Davies</t>
  </si>
  <si>
    <t>C Mepham</t>
  </si>
  <si>
    <t>J Rodon</t>
  </si>
  <si>
    <t>C Roberts</t>
  </si>
  <si>
    <t>E Ampadu</t>
  </si>
  <si>
    <t>T Lockyer</t>
  </si>
  <si>
    <t>B Cabango</t>
  </si>
  <si>
    <t>J Allen</t>
  </si>
  <si>
    <t>H Wilson</t>
  </si>
  <si>
    <t>A Ramsey</t>
  </si>
  <si>
    <t>J Morrell</t>
  </si>
  <si>
    <t>J Williams</t>
  </si>
  <si>
    <t>M Harris</t>
  </si>
  <si>
    <t>D James</t>
  </si>
  <si>
    <t>S Thomas</t>
  </si>
  <si>
    <t>D Levitt</t>
  </si>
  <si>
    <t>R Colwill</t>
  </si>
  <si>
    <t>B Johnson</t>
  </si>
  <si>
    <t>K Moore</t>
  </si>
  <si>
    <t>M Smith</t>
  </si>
  <si>
    <t>First</t>
  </si>
  <si>
    <t>Last</t>
  </si>
  <si>
    <t>Match 1</t>
  </si>
  <si>
    <t>Match 2</t>
  </si>
  <si>
    <t>Match 3</t>
  </si>
  <si>
    <t>Round 2</t>
  </si>
  <si>
    <t>Q Finals</t>
  </si>
  <si>
    <t>S Finals</t>
  </si>
  <si>
    <t>Finals</t>
  </si>
  <si>
    <t>Nat</t>
  </si>
  <si>
    <t>CS</t>
  </si>
  <si>
    <t>GC</t>
  </si>
  <si>
    <t>W/L/D</t>
  </si>
  <si>
    <t>Team</t>
  </si>
  <si>
    <t>Grp</t>
  </si>
  <si>
    <t>CMR</t>
  </si>
  <si>
    <t>C Ronaldo,J Félix,R Leão</t>
  </si>
  <si>
    <t>A Ayew,O Bukari</t>
  </si>
  <si>
    <t>GK</t>
  </si>
  <si>
    <t>DEF</t>
  </si>
  <si>
    <t>CS or )</t>
  </si>
  <si>
    <t>WLD</t>
  </si>
  <si>
    <t>MID</t>
  </si>
  <si>
    <t>FOR</t>
  </si>
  <si>
    <t xml:space="preserve">Points for a clean sheet </t>
  </si>
  <si>
    <t>Points for a clean sheet. Penalty points for goals conceded.</t>
  </si>
  <si>
    <t>Points for a clean sheet or goal diffference -5 to 5 points</t>
  </si>
  <si>
    <t>Goals</t>
  </si>
  <si>
    <t>CS or GC</t>
  </si>
  <si>
    <t>CS or GD</t>
  </si>
  <si>
    <t>GD</t>
  </si>
  <si>
    <t>Match 4</t>
  </si>
  <si>
    <t>Match 5</t>
  </si>
  <si>
    <t>Match 6</t>
  </si>
  <si>
    <t>Match 7</t>
  </si>
  <si>
    <t>Round of 16</t>
  </si>
  <si>
    <t xml:space="preserve">Semi finals </t>
  </si>
  <si>
    <t>B Dia,F Diedhiou,B Dieng</t>
  </si>
  <si>
    <t>P Zielinski,R Lewandowski</t>
  </si>
  <si>
    <t>L Messi,E Fernández</t>
  </si>
  <si>
    <t>R Saïss,Z Aboukhlal</t>
  </si>
  <si>
    <t>A Kramaric,A Kramaric,M Livaja,L Majer</t>
  </si>
  <si>
    <t>Á Morata</t>
  </si>
  <si>
    <t>Total</t>
  </si>
  <si>
    <t>No.</t>
  </si>
  <si>
    <t>Team name:</t>
  </si>
  <si>
    <t>Manager:</t>
  </si>
  <si>
    <t>Current points:</t>
  </si>
  <si>
    <t>Code</t>
  </si>
  <si>
    <t>Price</t>
  </si>
  <si>
    <t>Total:</t>
  </si>
  <si>
    <t>J Castelletto,V Aboubakar,E Choupo-Moting</t>
  </si>
  <si>
    <t>S Pavlovic,S Milinkovic-Savic,A Mitrovic</t>
  </si>
  <si>
    <t>M Salisu,M Kudus</t>
  </si>
  <si>
    <t>I Sarr,K Koulibaly</t>
  </si>
  <si>
    <t>C Gakpo,F de Jong</t>
  </si>
  <si>
    <t>M Rashford,M Rashford,P Foden</t>
  </si>
  <si>
    <t>A Mac Allister,J Álvarez</t>
  </si>
  <si>
    <t>H Martín,L Chávez</t>
  </si>
  <si>
    <t>A Tchouaméni,O Giroud</t>
  </si>
  <si>
    <t>T Hernández,R Kolo Muani</t>
  </si>
  <si>
    <t>L Messi,J Álvarez,J Álvarez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</si>
</sst>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>
    <font>
      <sz val="11"/>
      <color theme="1"/>
      <name val="Calibri"/>
      <family val="2"/>
      <scheme val="minor"/>
    </font>
    <font>
      <sz val="7"/>
      <color rgb="FF1D1E1F"/>
      <name val="Inherit"/>
    </font>
    <font>
      <sz val="7"/>
      <color rgb="FF48494A"/>
      <name val="Roboto"/>
    </font>
    <font>
      <sz val="7"/>
      <color rgb="FF0066CC"/>
      <name val="Roboto"/>
    </font>
    <font>
      <sz val="10"/>
      <name val="Arial"/>
      <family val="2"/>
    </font>
    <font>
      <sz val="10"/>
      <name val="Arial"/>
    </font>
    <font>
      <b/>
      <sz val="10"/>
      <name val="Arial"/>
      <family val="2"/>
    </font>
    <font>
      <b/>
      <i/>
      <sz val="10"/>
      <name val="Arial"/>
      <family val="2"/>
    </font>
    <font>
      <b/>
      <sz val="14"/>
      <name val="Arial"/>
      <family val="2"/>
    </font>
    <font>
      <b/>
      <sz val="10"/>
      <color theme="0"/>
      <name val="Arial"/>
      <family val="2"/>
    </font>
    <font>
      <sz val="14"/>
      <name val="Arial"/>
      <family val="2"/>
    </font>
    <font>
      <i/>
      <sz val="14"/>
      <name val="Arial"/>
      <family val="2"/>
    </font>
    <font>
      <sz val="8"/>
      <color indexed="8"/>
      <name val="Verdana"/>
      <family val="2"/>
    </font>
    <font>
      <sz val="14"/>
      <color indexed="8"/>
      <name val="Verdana"/>
      <family val="2"/>
    </font>
    <font>
      <sz val="8"/>
      <name val="Calibri"/>
      <family val="2"/>
      <scheme val="minor"/>
    </font>
    <font>
      <sz val="12"/>
      <color indexed="8"/>
      <name val="Verdan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/>
      <right style="medium">
        <color rgb="FFDCDDDF"/>
      </right>
      <top style="medium">
        <color rgb="FFEDEEF0"/>
      </top>
      <bottom/>
      <diagonal/>
    </border>
    <border>
      <left/>
      <right style="medium">
        <color rgb="FFDCDDDF"/>
      </right>
      <top style="medium">
        <color rgb="FFDCDDDF"/>
      </top>
      <bottom style="medium">
        <color rgb="FFDCDDD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4" fillId="0" borderId="0"/>
  </cellStyleXfs>
  <cellXfs count="67">
    <xf numFmtId="0" fontId="0" fillId="0" borderId="0" xfId="0"/>
    <xf numFmtId="49" fontId="0" fillId="0" borderId="0" xfId="0" applyNumberFormat="1"/>
    <xf numFmtId="0" fontId="0" fillId="0" borderId="0" xfId="0"/>
    <xf numFmtId="14" fontId="0" fillId="0" borderId="0" xfId="0" applyNumberFormat="1"/>
    <xf numFmtId="15" fontId="0" fillId="0" borderId="0" xfId="0" applyNumberFormat="1"/>
    <xf numFmtId="0" fontId="2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4" fillId="0" borderId="0" xfId="0" applyFont="1"/>
    <xf numFmtId="0" fontId="0" fillId="0" borderId="0" xfId="0" applyAlignment="1">
      <alignment horizontal="center"/>
    </xf>
    <xf numFmtId="0" fontId="5" fillId="0" borderId="0" xfId="1"/>
    <xf numFmtId="0" fontId="5" fillId="0" borderId="3" xfId="1" applyBorder="1"/>
    <xf numFmtId="0" fontId="7" fillId="0" borderId="0" xfId="1" applyFont="1" applyAlignment="1">
      <alignment horizontal="left"/>
    </xf>
    <xf numFmtId="0" fontId="7" fillId="0" borderId="0" xfId="1" applyFont="1"/>
    <xf numFmtId="0" fontId="7" fillId="0" borderId="0" xfId="1" applyFont="1" applyAlignment="1">
      <alignment horizontal="right"/>
    </xf>
    <xf numFmtId="0" fontId="8" fillId="0" borderId="0" xfId="1" applyFont="1"/>
    <xf numFmtId="0" fontId="6" fillId="0" borderId="0" xfId="1" applyFont="1" applyAlignment="1">
      <alignment horizontal="right"/>
    </xf>
    <xf numFmtId="0" fontId="7" fillId="2" borderId="0" xfId="1" applyFont="1" applyFill="1" applyBorder="1"/>
    <xf numFmtId="0" fontId="7" fillId="3" borderId="0" xfId="1" applyFont="1" applyFill="1" applyBorder="1"/>
    <xf numFmtId="0" fontId="7" fillId="3" borderId="0" xfId="1" applyFont="1" applyFill="1"/>
    <xf numFmtId="0" fontId="9" fillId="4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10" fillId="0" borderId="0" xfId="2" applyFont="1"/>
    <xf numFmtId="0" fontId="10" fillId="0" borderId="4" xfId="2" applyFont="1" applyBorder="1" applyAlignment="1">
      <alignment horizontal="center"/>
    </xf>
    <xf numFmtId="0" fontId="10" fillId="0" borderId="5" xfId="2" applyFont="1" applyBorder="1" applyAlignment="1">
      <alignment horizontal="left"/>
    </xf>
    <xf numFmtId="0" fontId="10" fillId="0" borderId="6" xfId="2" applyFont="1" applyBorder="1" applyAlignment="1">
      <alignment horizontal="center"/>
    </xf>
    <xf numFmtId="0" fontId="10" fillId="0" borderId="5" xfId="2" applyFont="1" applyBorder="1" applyAlignment="1">
      <alignment horizontal="center"/>
    </xf>
    <xf numFmtId="0" fontId="10" fillId="0" borderId="7" xfId="2" applyFont="1" applyBorder="1"/>
    <xf numFmtId="0" fontId="10" fillId="0" borderId="8" xfId="2" applyFont="1" applyBorder="1" applyAlignment="1">
      <alignment horizontal="center"/>
    </xf>
    <xf numFmtId="0" fontId="10" fillId="0" borderId="9" xfId="2" applyFont="1" applyBorder="1"/>
    <xf numFmtId="0" fontId="10" fillId="0" borderId="10" xfId="2" applyFont="1" applyBorder="1" applyAlignment="1">
      <alignment horizontal="center"/>
    </xf>
    <xf numFmtId="0" fontId="10" fillId="0" borderId="11" xfId="2" applyFont="1" applyBorder="1"/>
    <xf numFmtId="0" fontId="10" fillId="0" borderId="12" xfId="2" applyFont="1" applyBorder="1"/>
    <xf numFmtId="0" fontId="10" fillId="0" borderId="13" xfId="2" applyFont="1" applyBorder="1"/>
    <xf numFmtId="0" fontId="10" fillId="0" borderId="14" xfId="2" applyFont="1" applyBorder="1" applyAlignment="1">
      <alignment horizontal="center"/>
    </xf>
    <xf numFmtId="0" fontId="10" fillId="0" borderId="15" xfId="2" applyFont="1" applyBorder="1"/>
    <xf numFmtId="0" fontId="11" fillId="0" borderId="16" xfId="2" applyFont="1" applyBorder="1"/>
    <xf numFmtId="0" fontId="11" fillId="0" borderId="17" xfId="2" applyFont="1" applyBorder="1" applyAlignment="1">
      <alignment horizontal="left"/>
    </xf>
    <xf numFmtId="0" fontId="11" fillId="0" borderId="17" xfId="2" applyFont="1" applyBorder="1"/>
    <xf numFmtId="164" fontId="11" fillId="0" borderId="17" xfId="2" applyNumberFormat="1" applyFont="1" applyBorder="1"/>
    <xf numFmtId="0" fontId="8" fillId="0" borderId="17" xfId="2" applyFont="1" applyBorder="1"/>
    <xf numFmtId="0" fontId="8" fillId="0" borderId="18" xfId="2" applyFont="1" applyBorder="1"/>
    <xf numFmtId="0" fontId="12" fillId="0" borderId="19" xfId="2" applyFont="1" applyBorder="1" applyAlignment="1">
      <alignment wrapText="1"/>
    </xf>
    <xf numFmtId="0" fontId="13" fillId="0" borderId="3" xfId="2" applyFont="1" applyBorder="1"/>
    <xf numFmtId="0" fontId="13" fillId="0" borderId="20" xfId="2" applyFont="1" applyBorder="1"/>
    <xf numFmtId="0" fontId="8" fillId="0" borderId="21" xfId="2" applyFont="1" applyBorder="1" applyAlignment="1">
      <alignment horizontal="right"/>
    </xf>
    <xf numFmtId="0" fontId="10" fillId="0" borderId="22" xfId="2" applyFont="1" applyBorder="1" applyAlignment="1">
      <alignment horizontal="left"/>
    </xf>
    <xf numFmtId="0" fontId="10" fillId="0" borderId="23" xfId="2" applyFont="1" applyBorder="1"/>
    <xf numFmtId="164" fontId="10" fillId="0" borderId="24" xfId="2" applyNumberFormat="1" applyFont="1" applyBorder="1"/>
    <xf numFmtId="0" fontId="10" fillId="0" borderId="24" xfId="2" applyFont="1" applyBorder="1"/>
    <xf numFmtId="0" fontId="10" fillId="0" borderId="25" xfId="2" applyFont="1" applyBorder="1"/>
    <xf numFmtId="0" fontId="10" fillId="0" borderId="0" xfId="2" applyFont="1" applyAlignment="1">
      <alignment horizontal="left"/>
    </xf>
    <xf numFmtId="164" fontId="10" fillId="0" borderId="0" xfId="2" applyNumberFormat="1" applyFont="1"/>
    <xf numFmtId="0" fontId="10" fillId="0" borderId="7" xfId="2" applyFont="1" applyBorder="1" applyAlignment="1">
      <alignment horizontal="center"/>
    </xf>
    <xf numFmtId="0" fontId="10" fillId="0" borderId="8" xfId="2" applyFont="1" applyBorder="1"/>
    <xf numFmtId="0" fontId="10" fillId="0" borderId="14" xfId="2" applyFont="1" applyBorder="1"/>
    <xf numFmtId="0" fontId="13" fillId="0" borderId="19" xfId="2" applyFont="1" applyBorder="1"/>
    <xf numFmtId="0" fontId="10" fillId="0" borderId="12" xfId="2" applyFont="1" applyBorder="1" applyAlignment="1">
      <alignment horizontal="left"/>
    </xf>
    <xf numFmtId="0" fontId="11" fillId="0" borderId="26" xfId="2" applyFont="1" applyBorder="1"/>
    <xf numFmtId="0" fontId="11" fillId="0" borderId="27" xfId="2" applyFont="1" applyBorder="1" applyAlignment="1">
      <alignment horizontal="left"/>
    </xf>
    <xf numFmtId="0" fontId="11" fillId="0" borderId="27" xfId="2" applyFont="1" applyBorder="1"/>
    <xf numFmtId="164" fontId="11" fillId="0" borderId="27" xfId="2" applyNumberFormat="1" applyFont="1" applyBorder="1"/>
    <xf numFmtId="0" fontId="8" fillId="0" borderId="27" xfId="2" applyFont="1" applyBorder="1"/>
    <xf numFmtId="0" fontId="8" fillId="0" borderId="28" xfId="2" applyFont="1" applyBorder="1"/>
    <xf numFmtId="0" fontId="15" fillId="0" borderId="19" xfId="2" applyFont="1" applyBorder="1" applyAlignment="1">
      <alignment wrapText="1"/>
    </xf>
    <xf numFmtId="0" fontId="8" fillId="2" borderId="0" xfId="1" applyFont="1" applyFill="1" applyBorder="1" applyAlignment="1">
      <alignment horizontal="center"/>
    </xf>
    <xf numFmtId="0" fontId="8" fillId="3" borderId="0" xfId="1" applyFont="1" applyFill="1" applyBorder="1" applyAlignment="1">
      <alignment horizontal="center"/>
    </xf>
  </cellXfs>
  <cellStyles count="3">
    <cellStyle name="Normal" xfId="0" builtinId="0"/>
    <cellStyle name="Normal 2" xfId="1" xr:uid="{E57F5D77-E18C-40D0-89BF-6BAF580F1522}"/>
    <cellStyle name="Normal 3" xfId="2" xr:uid="{B4B49D1B-0B25-43E7-B404-9BF84B9362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6</xdr:row>
          <xdr:rowOff>0</xdr:rowOff>
        </xdr:from>
        <xdr:to>
          <xdr:col>10</xdr:col>
          <xdr:colOff>289560</xdr:colOff>
          <xdr:row>8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calculating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6</xdr:row>
          <xdr:rowOff>0</xdr:rowOff>
        </xdr:from>
        <xdr:to>
          <xdr:col>11</xdr:col>
          <xdr:colOff>556260</xdr:colOff>
          <xdr:row>8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calculating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J\Football\Fantasy%20Football\Fantasy%20Football\WC%20Wall%20chart'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th%20Africa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s Chart"/>
      <sheetName val="Scoreboard"/>
      <sheetName val="Group Points"/>
    </sheetNames>
    <sheetDataSet>
      <sheetData sheetId="0" refreshError="1"/>
      <sheetData sheetId="1" refreshError="1"/>
      <sheetData sheetId="2" refreshError="1">
        <row r="4">
          <cell r="B4">
            <v>3</v>
          </cell>
        </row>
        <row r="5">
          <cell r="B5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Results"/>
      <sheetName val="Standings"/>
      <sheetName val="Team lists"/>
      <sheetName val="Team lists (2)"/>
    </sheetNames>
    <sheetDataSet>
      <sheetData sheetId="0"/>
      <sheetData sheetId="1"/>
      <sheetData sheetId="2"/>
      <sheetData sheetId="3">
        <row r="2">
          <cell r="A2">
            <v>1</v>
          </cell>
          <cell r="B2" t="str">
            <v>Algeria</v>
          </cell>
          <cell r="C2" t="str">
            <v>GK</v>
          </cell>
          <cell r="D2" t="str">
            <v>Chaquchi F</v>
          </cell>
          <cell r="E2">
            <v>2.7</v>
          </cell>
          <cell r="F2" t="e">
            <v>#VALUE!</v>
          </cell>
          <cell r="G2" t="e">
            <v>#VALUE!</v>
          </cell>
          <cell r="H2" t="e">
            <v>#VALUE!</v>
          </cell>
          <cell r="I2" t="e">
            <v>#VALUE!</v>
          </cell>
          <cell r="J2" t="e">
            <v>#VALUE!</v>
          </cell>
          <cell r="K2" t="e">
            <v>#VALUE!</v>
          </cell>
          <cell r="L2" t="e">
            <v>#VALUE!</v>
          </cell>
        </row>
        <row r="3">
          <cell r="A3">
            <v>2</v>
          </cell>
          <cell r="B3" t="str">
            <v>Algeria</v>
          </cell>
          <cell r="C3" t="str">
            <v>GK</v>
          </cell>
          <cell r="D3" t="str">
            <v>Gaouaoui L</v>
          </cell>
          <cell r="E3">
            <v>2.9</v>
          </cell>
          <cell r="F3" t="e">
            <v>#VALUE!</v>
          </cell>
          <cell r="G3" t="e">
            <v>#VALUE!</v>
          </cell>
          <cell r="H3" t="e">
            <v>#VALUE!</v>
          </cell>
          <cell r="I3" t="e">
            <v>#VALUE!</v>
          </cell>
          <cell r="J3" t="e">
            <v>#VALUE!</v>
          </cell>
          <cell r="K3" t="e">
            <v>#VALUE!</v>
          </cell>
          <cell r="L3" t="e">
            <v>#VALUE!</v>
          </cell>
        </row>
        <row r="4">
          <cell r="A4">
            <v>3</v>
          </cell>
          <cell r="B4" t="str">
            <v>Algeria</v>
          </cell>
          <cell r="C4" t="str">
            <v>DEF</v>
          </cell>
          <cell r="D4" t="str">
            <v>Bougherra M</v>
          </cell>
          <cell r="E4">
            <v>3.2</v>
          </cell>
          <cell r="F4" t="e">
            <v>#VALUE!</v>
          </cell>
          <cell r="G4" t="e">
            <v>#VALUE!</v>
          </cell>
          <cell r="H4" t="e">
            <v>#VALUE!</v>
          </cell>
          <cell r="I4" t="e">
            <v>#VALUE!</v>
          </cell>
          <cell r="J4" t="e">
            <v>#VALUE!</v>
          </cell>
          <cell r="K4" t="e">
            <v>#VALUE!</v>
          </cell>
          <cell r="L4" t="e">
            <v>#VALUE!</v>
          </cell>
        </row>
        <row r="5">
          <cell r="A5">
            <v>4</v>
          </cell>
          <cell r="B5" t="str">
            <v>Algeria</v>
          </cell>
          <cell r="C5" t="str">
            <v>DEF</v>
          </cell>
          <cell r="D5" t="str">
            <v>Halliche R</v>
          </cell>
          <cell r="E5">
            <v>2.8</v>
          </cell>
          <cell r="F5" t="e">
            <v>#VALUE!</v>
          </cell>
          <cell r="G5" t="e">
            <v>#VALUE!</v>
          </cell>
          <cell r="H5" t="e">
            <v>#VALUE!</v>
          </cell>
          <cell r="I5" t="e">
            <v>#VALUE!</v>
          </cell>
          <cell r="J5" t="e">
            <v>#VALUE!</v>
          </cell>
          <cell r="K5" t="e">
            <v>#VALUE!</v>
          </cell>
          <cell r="L5" t="e">
            <v>#VALUE!</v>
          </cell>
        </row>
        <row r="6">
          <cell r="A6">
            <v>5</v>
          </cell>
          <cell r="B6" t="str">
            <v>Algeria</v>
          </cell>
          <cell r="C6" t="str">
            <v>DEF</v>
          </cell>
          <cell r="D6" t="str">
            <v>Yahia A</v>
          </cell>
          <cell r="E6">
            <v>3.3</v>
          </cell>
          <cell r="F6" t="e">
            <v>#VALUE!</v>
          </cell>
          <cell r="G6" t="e">
            <v>#VALUE!</v>
          </cell>
          <cell r="H6" t="e">
            <v>#VALUE!</v>
          </cell>
          <cell r="I6" t="e">
            <v>#VALUE!</v>
          </cell>
          <cell r="J6" t="e">
            <v>#VALUE!</v>
          </cell>
          <cell r="K6" t="e">
            <v>#VALUE!</v>
          </cell>
          <cell r="L6" t="e">
            <v>#VALUE!</v>
          </cell>
        </row>
        <row r="7">
          <cell r="A7">
            <v>6</v>
          </cell>
          <cell r="B7" t="str">
            <v>Algeria</v>
          </cell>
          <cell r="C7" t="str">
            <v>MID</v>
          </cell>
          <cell r="D7" t="str">
            <v>Mansouri Y</v>
          </cell>
          <cell r="E7">
            <v>3.1</v>
          </cell>
          <cell r="F7" t="e">
            <v>#VALUE!</v>
          </cell>
          <cell r="G7" t="e">
            <v>#VALUE!</v>
          </cell>
          <cell r="H7" t="e">
            <v>#VALUE!</v>
          </cell>
          <cell r="I7" t="e">
            <v>#VALUE!</v>
          </cell>
          <cell r="J7" t="e">
            <v>#VALUE!</v>
          </cell>
          <cell r="K7" t="e">
            <v>#VALUE!</v>
          </cell>
          <cell r="L7" t="e">
            <v>#VALUE!</v>
          </cell>
        </row>
        <row r="8">
          <cell r="A8">
            <v>7</v>
          </cell>
          <cell r="B8" t="str">
            <v>Algeria</v>
          </cell>
          <cell r="C8" t="str">
            <v>MID</v>
          </cell>
          <cell r="D8" t="str">
            <v>Matmour K</v>
          </cell>
          <cell r="E8">
            <v>2.9</v>
          </cell>
          <cell r="F8" t="e">
            <v>#VALUE!</v>
          </cell>
          <cell r="G8" t="e">
            <v>#VALUE!</v>
          </cell>
          <cell r="H8" t="e">
            <v>#VALUE!</v>
          </cell>
          <cell r="I8" t="e">
            <v>#VALUE!</v>
          </cell>
          <cell r="J8" t="e">
            <v>#VALUE!</v>
          </cell>
          <cell r="K8" t="e">
            <v>#VALUE!</v>
          </cell>
          <cell r="L8" t="e">
            <v>#VALUE!</v>
          </cell>
        </row>
        <row r="9">
          <cell r="A9">
            <v>8</v>
          </cell>
          <cell r="B9" t="str">
            <v>Algeria</v>
          </cell>
          <cell r="C9" t="str">
            <v>MID</v>
          </cell>
          <cell r="D9" t="str">
            <v>Meghni M</v>
          </cell>
          <cell r="E9">
            <v>2.7</v>
          </cell>
          <cell r="F9" t="e">
            <v>#VALUE!</v>
          </cell>
          <cell r="G9" t="e">
            <v>#VALUE!</v>
          </cell>
          <cell r="H9" t="e">
            <v>#VALUE!</v>
          </cell>
          <cell r="I9" t="e">
            <v>#VALUE!</v>
          </cell>
          <cell r="J9" t="e">
            <v>#VALUE!</v>
          </cell>
          <cell r="K9" t="e">
            <v>#VALUE!</v>
          </cell>
          <cell r="L9" t="e">
            <v>#VALUE!</v>
          </cell>
        </row>
        <row r="10">
          <cell r="A10">
            <v>9</v>
          </cell>
          <cell r="B10" t="str">
            <v>Algeria</v>
          </cell>
          <cell r="C10" t="str">
            <v>MID</v>
          </cell>
          <cell r="D10" t="str">
            <v>Yebda H</v>
          </cell>
          <cell r="E10">
            <v>2.8</v>
          </cell>
          <cell r="F10" t="e">
            <v>#VALUE!</v>
          </cell>
          <cell r="G10" t="e">
            <v>#VALUE!</v>
          </cell>
          <cell r="H10" t="e">
            <v>#VALUE!</v>
          </cell>
          <cell r="I10" t="e">
            <v>#VALUE!</v>
          </cell>
          <cell r="J10" t="e">
            <v>#VALUE!</v>
          </cell>
          <cell r="K10" t="e">
            <v>#VALUE!</v>
          </cell>
          <cell r="L10" t="e">
            <v>#VALUE!</v>
          </cell>
        </row>
        <row r="11">
          <cell r="A11">
            <v>10</v>
          </cell>
          <cell r="B11" t="str">
            <v>Algeria</v>
          </cell>
          <cell r="C11" t="str">
            <v>FOR</v>
          </cell>
          <cell r="D11" t="str">
            <v>Ghezzal A</v>
          </cell>
          <cell r="E11">
            <v>4</v>
          </cell>
          <cell r="F11" t="e">
            <v>#VALUE!</v>
          </cell>
          <cell r="G11" t="e">
            <v>#VALUE!</v>
          </cell>
          <cell r="H11" t="e">
            <v>#VALUE!</v>
          </cell>
          <cell r="I11" t="e">
            <v>#VALUE!</v>
          </cell>
          <cell r="J11" t="e">
            <v>#VALUE!</v>
          </cell>
          <cell r="K11" t="e">
            <v>#VALUE!</v>
          </cell>
          <cell r="L11" t="e">
            <v>#VALUE!</v>
          </cell>
        </row>
        <row r="12">
          <cell r="A12">
            <v>11</v>
          </cell>
          <cell r="B12" t="str">
            <v>Algeria</v>
          </cell>
          <cell r="C12" t="str">
            <v>FOR</v>
          </cell>
          <cell r="D12" t="str">
            <v>Saifi R</v>
          </cell>
          <cell r="E12">
            <v>4.3</v>
          </cell>
          <cell r="F12" t="e">
            <v>#VALUE!</v>
          </cell>
          <cell r="G12" t="e">
            <v>#VALUE!</v>
          </cell>
          <cell r="H12" t="e">
            <v>#VALUE!</v>
          </cell>
          <cell r="I12" t="e">
            <v>#VALUE!</v>
          </cell>
          <cell r="J12" t="e">
            <v>#VALUE!</v>
          </cell>
          <cell r="K12" t="e">
            <v>#VALUE!</v>
          </cell>
          <cell r="L12" t="e">
            <v>#VALUE!</v>
          </cell>
        </row>
        <row r="13">
          <cell r="A13">
            <v>12</v>
          </cell>
          <cell r="B13" t="str">
            <v>Algeria</v>
          </cell>
          <cell r="C13" t="str">
            <v>FOR</v>
          </cell>
          <cell r="D13" t="str">
            <v>Ziani K</v>
          </cell>
          <cell r="E13">
            <v>5.0999999999999996</v>
          </cell>
          <cell r="F13" t="e">
            <v>#VALUE!</v>
          </cell>
          <cell r="G13" t="e">
            <v>#VALUE!</v>
          </cell>
          <cell r="H13" t="e">
            <v>#VALUE!</v>
          </cell>
          <cell r="I13" t="e">
            <v>#VALUE!</v>
          </cell>
          <cell r="J13" t="e">
            <v>#VALUE!</v>
          </cell>
          <cell r="K13" t="e">
            <v>#VALUE!</v>
          </cell>
          <cell r="L13" t="e">
            <v>#VALUE!</v>
          </cell>
        </row>
        <row r="14">
          <cell r="A14">
            <v>13</v>
          </cell>
          <cell r="B14" t="str">
            <v>Argentina</v>
          </cell>
          <cell r="C14" t="str">
            <v>GK</v>
          </cell>
          <cell r="D14" t="str">
            <v>Romero S</v>
          </cell>
          <cell r="E14">
            <v>3.7</v>
          </cell>
          <cell r="F14" t="e">
            <v>#VALUE!</v>
          </cell>
          <cell r="G14" t="e">
            <v>#VALUE!</v>
          </cell>
          <cell r="H14" t="e">
            <v>#VALUE!</v>
          </cell>
          <cell r="I14" t="e">
            <v>#VALUE!</v>
          </cell>
          <cell r="J14" t="e">
            <v>#VALUE!</v>
          </cell>
          <cell r="K14" t="e">
            <v>#VALUE!</v>
          </cell>
          <cell r="L14" t="e">
            <v>#VALUE!</v>
          </cell>
        </row>
        <row r="15">
          <cell r="A15">
            <v>14</v>
          </cell>
          <cell r="B15" t="str">
            <v>Argentina</v>
          </cell>
          <cell r="C15" t="str">
            <v>DEF</v>
          </cell>
          <cell r="D15" t="str">
            <v>Demichelis M</v>
          </cell>
          <cell r="E15">
            <v>4.0999999999999996</v>
          </cell>
          <cell r="F15" t="e">
            <v>#VALUE!</v>
          </cell>
          <cell r="G15" t="e">
            <v>#VALUE!</v>
          </cell>
          <cell r="H15" t="e">
            <v>#VALUE!</v>
          </cell>
          <cell r="I15" t="e">
            <v>#VALUE!</v>
          </cell>
          <cell r="J15" t="e">
            <v>#VALUE!</v>
          </cell>
          <cell r="K15" t="e">
            <v>#VALUE!</v>
          </cell>
          <cell r="L15" t="e">
            <v>#VALUE!</v>
          </cell>
        </row>
        <row r="16">
          <cell r="A16">
            <v>15</v>
          </cell>
          <cell r="B16" t="str">
            <v>Argentina</v>
          </cell>
          <cell r="C16" t="str">
            <v>DEF</v>
          </cell>
          <cell r="D16" t="str">
            <v>Heinze G</v>
          </cell>
          <cell r="E16">
            <v>3.9</v>
          </cell>
          <cell r="F16" t="e">
            <v>#VALUE!</v>
          </cell>
          <cell r="G16" t="e">
            <v>#VALUE!</v>
          </cell>
          <cell r="H16" t="e">
            <v>#VALUE!</v>
          </cell>
          <cell r="I16" t="e">
            <v>#VALUE!</v>
          </cell>
          <cell r="J16" t="e">
            <v>#VALUE!</v>
          </cell>
          <cell r="K16" t="e">
            <v>#VALUE!</v>
          </cell>
          <cell r="L16" t="e">
            <v>#VALUE!</v>
          </cell>
        </row>
        <row r="17">
          <cell r="A17">
            <v>16</v>
          </cell>
          <cell r="B17" t="str">
            <v>Argentina</v>
          </cell>
          <cell r="C17" t="str">
            <v>DEF</v>
          </cell>
          <cell r="D17" t="str">
            <v>Otamendi N</v>
          </cell>
          <cell r="E17">
            <v>3.3</v>
          </cell>
          <cell r="F17" t="e">
            <v>#VALUE!</v>
          </cell>
          <cell r="G17" t="e">
            <v>#VALUE!</v>
          </cell>
          <cell r="H17" t="e">
            <v>#VALUE!</v>
          </cell>
          <cell r="I17" t="e">
            <v>#VALUE!</v>
          </cell>
          <cell r="J17" t="e">
            <v>#VALUE!</v>
          </cell>
          <cell r="K17" t="e">
            <v>#VALUE!</v>
          </cell>
          <cell r="L17" t="e">
            <v>#VALUE!</v>
          </cell>
        </row>
        <row r="18">
          <cell r="A18">
            <v>17</v>
          </cell>
          <cell r="B18" t="str">
            <v>Argentina</v>
          </cell>
          <cell r="C18" t="str">
            <v>DEF</v>
          </cell>
          <cell r="D18" t="str">
            <v>Samuel W</v>
          </cell>
          <cell r="E18">
            <v>3.5</v>
          </cell>
          <cell r="F18" t="e">
            <v>#VALUE!</v>
          </cell>
          <cell r="G18" t="e">
            <v>#VALUE!</v>
          </cell>
          <cell r="H18" t="e">
            <v>#VALUE!</v>
          </cell>
          <cell r="I18" t="e">
            <v>#VALUE!</v>
          </cell>
          <cell r="J18" t="e">
            <v>#VALUE!</v>
          </cell>
          <cell r="K18" t="e">
            <v>#VALUE!</v>
          </cell>
          <cell r="L18" t="e">
            <v>#VALUE!</v>
          </cell>
        </row>
        <row r="19">
          <cell r="A19">
            <v>18</v>
          </cell>
          <cell r="B19" t="str">
            <v>Argentina</v>
          </cell>
          <cell r="C19" t="str">
            <v>MID</v>
          </cell>
          <cell r="D19" t="str">
            <v>DiMaria A</v>
          </cell>
          <cell r="E19">
            <v>4.4000000000000004</v>
          </cell>
          <cell r="F19" t="e">
            <v>#VALUE!</v>
          </cell>
          <cell r="G19" t="e">
            <v>#VALUE!</v>
          </cell>
          <cell r="H19" t="e">
            <v>#VALUE!</v>
          </cell>
          <cell r="I19" t="e">
            <v>#VALUE!</v>
          </cell>
          <cell r="J19" t="e">
            <v>#VALUE!</v>
          </cell>
          <cell r="K19" t="e">
            <v>#VALUE!</v>
          </cell>
          <cell r="L19" t="e">
            <v>#VALUE!</v>
          </cell>
        </row>
        <row r="20">
          <cell r="A20">
            <v>19</v>
          </cell>
          <cell r="B20" t="str">
            <v>Argentina</v>
          </cell>
          <cell r="C20" t="str">
            <v>MID</v>
          </cell>
          <cell r="D20" t="str">
            <v>Gago F</v>
          </cell>
          <cell r="E20">
            <v>3.7</v>
          </cell>
          <cell r="F20" t="e">
            <v>#VALUE!</v>
          </cell>
          <cell r="G20" t="e">
            <v>#VALUE!</v>
          </cell>
          <cell r="H20" t="e">
            <v>#VALUE!</v>
          </cell>
          <cell r="I20" t="e">
            <v>#VALUE!</v>
          </cell>
          <cell r="J20" t="e">
            <v>#VALUE!</v>
          </cell>
          <cell r="K20" t="e">
            <v>#VALUE!</v>
          </cell>
          <cell r="L20" t="e">
            <v>#VALUE!</v>
          </cell>
        </row>
        <row r="21">
          <cell r="A21">
            <v>20</v>
          </cell>
          <cell r="B21" t="str">
            <v>Argentina</v>
          </cell>
          <cell r="C21" t="str">
            <v>MID</v>
          </cell>
          <cell r="D21" t="str">
            <v>Gutierrez J</v>
          </cell>
          <cell r="E21">
            <v>3.2</v>
          </cell>
          <cell r="F21" t="e">
            <v>#VALUE!</v>
          </cell>
          <cell r="G21" t="e">
            <v>#VALUE!</v>
          </cell>
          <cell r="H21" t="e">
            <v>#VALUE!</v>
          </cell>
          <cell r="I21" t="e">
            <v>#VALUE!</v>
          </cell>
          <cell r="J21" t="e">
            <v>#VALUE!</v>
          </cell>
          <cell r="K21" t="e">
            <v>#VALUE!</v>
          </cell>
          <cell r="L21" t="e">
            <v>#VALUE!</v>
          </cell>
        </row>
        <row r="22">
          <cell r="A22">
            <v>21</v>
          </cell>
          <cell r="B22" t="str">
            <v>Argentina</v>
          </cell>
          <cell r="C22" t="str">
            <v>MID</v>
          </cell>
          <cell r="D22" t="str">
            <v>Mascherano J</v>
          </cell>
          <cell r="E22">
            <v>3.5</v>
          </cell>
          <cell r="F22" t="e">
            <v>#VALUE!</v>
          </cell>
          <cell r="G22" t="e">
            <v>#VALUE!</v>
          </cell>
          <cell r="H22" t="e">
            <v>#VALUE!</v>
          </cell>
          <cell r="I22" t="e">
            <v>#VALUE!</v>
          </cell>
          <cell r="J22" t="e">
            <v>#VALUE!</v>
          </cell>
          <cell r="K22" t="e">
            <v>#VALUE!</v>
          </cell>
          <cell r="L22" t="e">
            <v>#VALUE!</v>
          </cell>
        </row>
        <row r="23">
          <cell r="A23">
            <v>22</v>
          </cell>
          <cell r="B23" t="str">
            <v>Argentina</v>
          </cell>
          <cell r="C23" t="str">
            <v>MID</v>
          </cell>
          <cell r="D23" t="str">
            <v>Veron J</v>
          </cell>
          <cell r="E23">
            <v>2.9</v>
          </cell>
          <cell r="F23" t="e">
            <v>#VALUE!</v>
          </cell>
          <cell r="G23" t="e">
            <v>#VALUE!</v>
          </cell>
          <cell r="H23" t="e">
            <v>#VALUE!</v>
          </cell>
          <cell r="I23" t="e">
            <v>#VALUE!</v>
          </cell>
          <cell r="J23" t="e">
            <v>#VALUE!</v>
          </cell>
          <cell r="K23" t="e">
            <v>#VALUE!</v>
          </cell>
          <cell r="L23" t="e">
            <v>#VALUE!</v>
          </cell>
        </row>
        <row r="24">
          <cell r="A24">
            <v>23</v>
          </cell>
          <cell r="B24" t="str">
            <v>Argentina</v>
          </cell>
          <cell r="C24" t="str">
            <v>FOR</v>
          </cell>
          <cell r="D24" t="str">
            <v>Aguero S</v>
          </cell>
          <cell r="E24">
            <v>5.5</v>
          </cell>
          <cell r="F24" t="e">
            <v>#VALUE!</v>
          </cell>
          <cell r="G24" t="e">
            <v>#VALUE!</v>
          </cell>
          <cell r="H24" t="e">
            <v>#VALUE!</v>
          </cell>
          <cell r="I24" t="e">
            <v>#VALUE!</v>
          </cell>
          <cell r="J24" t="e">
            <v>#VALUE!</v>
          </cell>
          <cell r="K24" t="e">
            <v>#VALUE!</v>
          </cell>
          <cell r="L24" t="e">
            <v>#VALUE!</v>
          </cell>
        </row>
        <row r="25">
          <cell r="A25">
            <v>24</v>
          </cell>
          <cell r="B25" t="str">
            <v>Argentina</v>
          </cell>
          <cell r="C25" t="str">
            <v>FOR</v>
          </cell>
          <cell r="D25" t="str">
            <v>Higuain G</v>
          </cell>
          <cell r="E25">
            <v>5.9</v>
          </cell>
          <cell r="F25" t="e">
            <v>#VALUE!</v>
          </cell>
          <cell r="G25" t="e">
            <v>#VALUE!</v>
          </cell>
          <cell r="H25" t="e">
            <v>#VALUE!</v>
          </cell>
          <cell r="I25" t="e">
            <v>#VALUE!</v>
          </cell>
          <cell r="J25" t="e">
            <v>#VALUE!</v>
          </cell>
          <cell r="K25" t="e">
            <v>#VALUE!</v>
          </cell>
          <cell r="L25" t="e">
            <v>#VALUE!</v>
          </cell>
        </row>
        <row r="26">
          <cell r="A26">
            <v>25</v>
          </cell>
          <cell r="B26" t="str">
            <v>Argentina</v>
          </cell>
          <cell r="C26" t="str">
            <v>FOR</v>
          </cell>
          <cell r="D26" t="str">
            <v>Messi L</v>
          </cell>
          <cell r="E26">
            <v>7</v>
          </cell>
          <cell r="F26" t="e">
            <v>#VALUE!</v>
          </cell>
          <cell r="G26" t="e">
            <v>#VALUE!</v>
          </cell>
          <cell r="H26" t="e">
            <v>#VALUE!</v>
          </cell>
          <cell r="I26" t="e">
            <v>#VALUE!</v>
          </cell>
          <cell r="J26" t="e">
            <v>#VALUE!</v>
          </cell>
          <cell r="K26" t="e">
            <v>#VALUE!</v>
          </cell>
          <cell r="L26" t="e">
            <v>#VALUE!</v>
          </cell>
        </row>
        <row r="27">
          <cell r="A27">
            <v>26</v>
          </cell>
          <cell r="B27" t="str">
            <v>Argentina</v>
          </cell>
          <cell r="C27" t="str">
            <v>FOR</v>
          </cell>
          <cell r="D27" t="str">
            <v>Milito D</v>
          </cell>
          <cell r="E27">
            <v>5.2</v>
          </cell>
          <cell r="F27" t="e">
            <v>#VALUE!</v>
          </cell>
          <cell r="G27" t="e">
            <v>#VALUE!</v>
          </cell>
          <cell r="H27" t="e">
            <v>#VALUE!</v>
          </cell>
          <cell r="I27" t="e">
            <v>#VALUE!</v>
          </cell>
          <cell r="J27" t="e">
            <v>#VALUE!</v>
          </cell>
          <cell r="K27" t="e">
            <v>#VALUE!</v>
          </cell>
          <cell r="L27" t="e">
            <v>#VALUE!</v>
          </cell>
        </row>
        <row r="28">
          <cell r="A28">
            <v>27</v>
          </cell>
          <cell r="B28" t="str">
            <v>Argentina</v>
          </cell>
          <cell r="C28" t="str">
            <v>FOR</v>
          </cell>
          <cell r="D28" t="str">
            <v>Tevez C</v>
          </cell>
          <cell r="E28">
            <v>6.1</v>
          </cell>
          <cell r="F28" t="e">
            <v>#VALUE!</v>
          </cell>
          <cell r="G28" t="e">
            <v>#VALUE!</v>
          </cell>
          <cell r="H28" t="e">
            <v>#VALUE!</v>
          </cell>
          <cell r="I28" t="e">
            <v>#VALUE!</v>
          </cell>
          <cell r="J28" t="e">
            <v>#VALUE!</v>
          </cell>
          <cell r="K28" t="e">
            <v>#VALUE!</v>
          </cell>
          <cell r="L28" t="e">
            <v>#VALUE!</v>
          </cell>
        </row>
        <row r="29">
          <cell r="A29">
            <v>28</v>
          </cell>
          <cell r="B29" t="str">
            <v>Australia</v>
          </cell>
          <cell r="C29" t="str">
            <v>GK</v>
          </cell>
          <cell r="D29" t="str">
            <v>Schwarzer M</v>
          </cell>
          <cell r="E29">
            <v>3.1</v>
          </cell>
          <cell r="F29" t="e">
            <v>#VALUE!</v>
          </cell>
          <cell r="G29" t="e">
            <v>#VALUE!</v>
          </cell>
          <cell r="H29" t="e">
            <v>#VALUE!</v>
          </cell>
          <cell r="I29" t="e">
            <v>#VALUE!</v>
          </cell>
          <cell r="J29" t="e">
            <v>#VALUE!</v>
          </cell>
          <cell r="K29" t="e">
            <v>#VALUE!</v>
          </cell>
          <cell r="L29" t="e">
            <v>#VALUE!</v>
          </cell>
        </row>
        <row r="30">
          <cell r="A30">
            <v>29</v>
          </cell>
          <cell r="B30" t="str">
            <v>Australia</v>
          </cell>
          <cell r="C30" t="str">
            <v>DEF</v>
          </cell>
          <cell r="D30" t="str">
            <v>Chipperfield S</v>
          </cell>
          <cell r="E30">
            <v>3</v>
          </cell>
          <cell r="F30" t="e">
            <v>#VALUE!</v>
          </cell>
          <cell r="G30" t="e">
            <v>#VALUE!</v>
          </cell>
          <cell r="H30" t="e">
            <v>#VALUE!</v>
          </cell>
          <cell r="I30" t="e">
            <v>#VALUE!</v>
          </cell>
          <cell r="J30" t="e">
            <v>#VALUE!</v>
          </cell>
          <cell r="K30" t="e">
            <v>#VALUE!</v>
          </cell>
          <cell r="L30" t="e">
            <v>#VALUE!</v>
          </cell>
        </row>
        <row r="31">
          <cell r="A31">
            <v>30</v>
          </cell>
          <cell r="B31" t="str">
            <v>Australia</v>
          </cell>
          <cell r="C31" t="str">
            <v>DEF</v>
          </cell>
          <cell r="D31" t="str">
            <v>Colosimo S</v>
          </cell>
          <cell r="E31">
            <v>2.8</v>
          </cell>
          <cell r="F31" t="e">
            <v>#VALUE!</v>
          </cell>
          <cell r="G31" t="e">
            <v>#VALUE!</v>
          </cell>
          <cell r="H31" t="e">
            <v>#VALUE!</v>
          </cell>
          <cell r="I31" t="e">
            <v>#VALUE!</v>
          </cell>
          <cell r="J31" t="e">
            <v>#VALUE!</v>
          </cell>
          <cell r="K31" t="e">
            <v>#VALUE!</v>
          </cell>
          <cell r="L31" t="e">
            <v>#VALUE!</v>
          </cell>
        </row>
        <row r="32">
          <cell r="A32">
            <v>31</v>
          </cell>
          <cell r="B32" t="str">
            <v>Australia</v>
          </cell>
          <cell r="C32" t="str">
            <v>DEF</v>
          </cell>
          <cell r="D32" t="str">
            <v>Neill L</v>
          </cell>
          <cell r="E32">
            <v>3.3</v>
          </cell>
          <cell r="F32" t="e">
            <v>#VALUE!</v>
          </cell>
          <cell r="G32" t="e">
            <v>#VALUE!</v>
          </cell>
          <cell r="H32" t="e">
            <v>#VALUE!</v>
          </cell>
          <cell r="I32" t="e">
            <v>#VALUE!</v>
          </cell>
          <cell r="J32" t="e">
            <v>#VALUE!</v>
          </cell>
          <cell r="K32" t="e">
            <v>#VALUE!</v>
          </cell>
          <cell r="L32" t="e">
            <v>#VALUE!</v>
          </cell>
        </row>
        <row r="33">
          <cell r="A33">
            <v>32</v>
          </cell>
          <cell r="B33" t="str">
            <v>Australia</v>
          </cell>
          <cell r="C33" t="str">
            <v>DEF</v>
          </cell>
          <cell r="D33" t="str">
            <v>North J</v>
          </cell>
          <cell r="E33">
            <v>2.9</v>
          </cell>
          <cell r="F33" t="e">
            <v>#VALUE!</v>
          </cell>
          <cell r="G33" t="e">
            <v>#VALUE!</v>
          </cell>
          <cell r="H33" t="e">
            <v>#VALUE!</v>
          </cell>
          <cell r="I33" t="e">
            <v>#VALUE!</v>
          </cell>
          <cell r="J33" t="e">
            <v>#VALUE!</v>
          </cell>
          <cell r="K33" t="e">
            <v>#VALUE!</v>
          </cell>
          <cell r="L33" t="e">
            <v>#VALUE!</v>
          </cell>
        </row>
        <row r="34">
          <cell r="A34">
            <v>33</v>
          </cell>
          <cell r="B34" t="str">
            <v>Australia</v>
          </cell>
          <cell r="C34" t="str">
            <v>DEF</v>
          </cell>
          <cell r="D34" t="str">
            <v>Wilkshire L</v>
          </cell>
          <cell r="E34">
            <v>3.1</v>
          </cell>
          <cell r="F34" t="e">
            <v>#VALUE!</v>
          </cell>
          <cell r="G34" t="e">
            <v>#VALUE!</v>
          </cell>
          <cell r="H34" t="e">
            <v>#VALUE!</v>
          </cell>
          <cell r="I34" t="e">
            <v>#VALUE!</v>
          </cell>
          <cell r="J34" t="e">
            <v>#VALUE!</v>
          </cell>
          <cell r="K34" t="e">
            <v>#VALUE!</v>
          </cell>
          <cell r="L34" t="e">
            <v>#VALUE!</v>
          </cell>
        </row>
        <row r="35">
          <cell r="A35">
            <v>34</v>
          </cell>
          <cell r="B35" t="str">
            <v>Australia</v>
          </cell>
          <cell r="C35" t="str">
            <v>MID</v>
          </cell>
          <cell r="D35" t="str">
            <v>Cahill T</v>
          </cell>
          <cell r="E35">
            <v>3.7</v>
          </cell>
          <cell r="F35" t="e">
            <v>#VALUE!</v>
          </cell>
          <cell r="G35" t="e">
            <v>#VALUE!</v>
          </cell>
          <cell r="H35" t="e">
            <v>#VALUE!</v>
          </cell>
          <cell r="I35" t="e">
            <v>#VALUE!</v>
          </cell>
          <cell r="J35" t="e">
            <v>#VALUE!</v>
          </cell>
          <cell r="K35" t="e">
            <v>#VALUE!</v>
          </cell>
          <cell r="L35" t="e">
            <v>#VALUE!</v>
          </cell>
        </row>
        <row r="36">
          <cell r="A36">
            <v>35</v>
          </cell>
          <cell r="B36" t="str">
            <v>Australia</v>
          </cell>
          <cell r="C36" t="str">
            <v>MID</v>
          </cell>
          <cell r="D36" t="str">
            <v>Carle N</v>
          </cell>
          <cell r="E36">
            <v>2.7</v>
          </cell>
          <cell r="F36" t="e">
            <v>#VALUE!</v>
          </cell>
          <cell r="G36" t="e">
            <v>#VALUE!</v>
          </cell>
          <cell r="H36" t="e">
            <v>#VALUE!</v>
          </cell>
          <cell r="I36" t="e">
            <v>#VALUE!</v>
          </cell>
          <cell r="J36" t="e">
            <v>#VALUE!</v>
          </cell>
          <cell r="K36" t="e">
            <v>#VALUE!</v>
          </cell>
          <cell r="L36" t="e">
            <v>#VALUE!</v>
          </cell>
        </row>
        <row r="37">
          <cell r="A37">
            <v>36</v>
          </cell>
          <cell r="B37" t="str">
            <v>Australia</v>
          </cell>
          <cell r="C37" t="str">
            <v>MID</v>
          </cell>
          <cell r="D37" t="str">
            <v>Culina J</v>
          </cell>
          <cell r="E37">
            <v>3</v>
          </cell>
          <cell r="F37" t="e">
            <v>#VALUE!</v>
          </cell>
          <cell r="G37" t="e">
            <v>#VALUE!</v>
          </cell>
          <cell r="H37" t="e">
            <v>#VALUE!</v>
          </cell>
          <cell r="I37" t="e">
            <v>#VALUE!</v>
          </cell>
          <cell r="J37" t="e">
            <v>#VALUE!</v>
          </cell>
          <cell r="K37" t="e">
            <v>#VALUE!</v>
          </cell>
          <cell r="L37" t="e">
            <v>#VALUE!</v>
          </cell>
        </row>
        <row r="38">
          <cell r="A38">
            <v>37</v>
          </cell>
          <cell r="B38" t="str">
            <v>Australia</v>
          </cell>
          <cell r="C38" t="str">
            <v>MID</v>
          </cell>
          <cell r="D38" t="str">
            <v>Emerton B</v>
          </cell>
          <cell r="E38">
            <v>3.2</v>
          </cell>
          <cell r="F38" t="e">
            <v>#VALUE!</v>
          </cell>
          <cell r="G38" t="e">
            <v>#VALUE!</v>
          </cell>
          <cell r="H38" t="e">
            <v>#VALUE!</v>
          </cell>
          <cell r="I38" t="e">
            <v>#VALUE!</v>
          </cell>
          <cell r="J38" t="e">
            <v>#VALUE!</v>
          </cell>
          <cell r="K38" t="e">
            <v>#VALUE!</v>
          </cell>
          <cell r="L38" t="e">
            <v>#VALUE!</v>
          </cell>
        </row>
        <row r="39">
          <cell r="A39">
            <v>38</v>
          </cell>
          <cell r="B39" t="str">
            <v>Australia</v>
          </cell>
          <cell r="C39" t="str">
            <v>MID</v>
          </cell>
          <cell r="D39" t="str">
            <v>Grella V</v>
          </cell>
          <cell r="E39">
            <v>2.8</v>
          </cell>
          <cell r="F39" t="e">
            <v>#VALUE!</v>
          </cell>
          <cell r="G39" t="e">
            <v>#VALUE!</v>
          </cell>
          <cell r="H39" t="e">
            <v>#VALUE!</v>
          </cell>
          <cell r="I39" t="e">
            <v>#VALUE!</v>
          </cell>
          <cell r="J39" t="e">
            <v>#VALUE!</v>
          </cell>
          <cell r="K39" t="e">
            <v>#VALUE!</v>
          </cell>
          <cell r="L39" t="e">
            <v>#VALUE!</v>
          </cell>
        </row>
        <row r="40">
          <cell r="A40">
            <v>39</v>
          </cell>
          <cell r="B40" t="str">
            <v>Australia</v>
          </cell>
          <cell r="C40" t="str">
            <v>MID</v>
          </cell>
          <cell r="D40" t="str">
            <v>Kewell H</v>
          </cell>
          <cell r="E40">
            <v>3.1</v>
          </cell>
          <cell r="F40" t="e">
            <v>#VALUE!</v>
          </cell>
          <cell r="G40" t="e">
            <v>#VALUE!</v>
          </cell>
          <cell r="H40" t="e">
            <v>#VALUE!</v>
          </cell>
          <cell r="I40" t="e">
            <v>#VALUE!</v>
          </cell>
          <cell r="J40" t="e">
            <v>#VALUE!</v>
          </cell>
          <cell r="K40" t="e">
            <v>#VALUE!</v>
          </cell>
          <cell r="L40" t="e">
            <v>#VALUE!</v>
          </cell>
        </row>
        <row r="41">
          <cell r="A41">
            <v>40</v>
          </cell>
          <cell r="B41" t="str">
            <v>Australia</v>
          </cell>
          <cell r="C41" t="str">
            <v>MID</v>
          </cell>
          <cell r="D41" t="str">
            <v>Sterjovski M</v>
          </cell>
          <cell r="E41">
            <v>2.9</v>
          </cell>
          <cell r="F41" t="e">
            <v>#VALUE!</v>
          </cell>
          <cell r="G41" t="e">
            <v>#VALUE!</v>
          </cell>
          <cell r="H41" t="e">
            <v>#VALUE!</v>
          </cell>
          <cell r="I41" t="e">
            <v>#VALUE!</v>
          </cell>
          <cell r="J41" t="e">
            <v>#VALUE!</v>
          </cell>
          <cell r="K41" t="e">
            <v>#VALUE!</v>
          </cell>
          <cell r="L41" t="e">
            <v>#VALUE!</v>
          </cell>
        </row>
        <row r="42">
          <cell r="A42">
            <v>41</v>
          </cell>
          <cell r="B42" t="str">
            <v>Australia</v>
          </cell>
          <cell r="C42" t="str">
            <v>MID</v>
          </cell>
          <cell r="D42" t="str">
            <v>Williams R</v>
          </cell>
          <cell r="E42">
            <v>2.6</v>
          </cell>
          <cell r="F42" t="e">
            <v>#VALUE!</v>
          </cell>
          <cell r="G42" t="e">
            <v>#VALUE!</v>
          </cell>
          <cell r="H42" t="e">
            <v>#VALUE!</v>
          </cell>
          <cell r="I42" t="e">
            <v>#VALUE!</v>
          </cell>
          <cell r="J42" t="e">
            <v>#VALUE!</v>
          </cell>
          <cell r="K42" t="e">
            <v>#VALUE!</v>
          </cell>
          <cell r="L42" t="e">
            <v>#VALUE!</v>
          </cell>
        </row>
        <row r="43">
          <cell r="A43">
            <v>42</v>
          </cell>
          <cell r="B43" t="str">
            <v>Australia</v>
          </cell>
          <cell r="C43" t="str">
            <v>FOR</v>
          </cell>
          <cell r="D43" t="str">
            <v>Kennedy J</v>
          </cell>
          <cell r="E43">
            <v>4.0999999999999996</v>
          </cell>
          <cell r="F43" t="e">
            <v>#VALUE!</v>
          </cell>
          <cell r="G43" t="e">
            <v>#VALUE!</v>
          </cell>
          <cell r="H43" t="e">
            <v>#VALUE!</v>
          </cell>
          <cell r="I43" t="e">
            <v>#VALUE!</v>
          </cell>
          <cell r="J43" t="e">
            <v>#VALUE!</v>
          </cell>
          <cell r="K43" t="e">
            <v>#VALUE!</v>
          </cell>
          <cell r="L43" t="e">
            <v>#VALUE!</v>
          </cell>
        </row>
        <row r="44">
          <cell r="A44">
            <v>43</v>
          </cell>
          <cell r="B44" t="str">
            <v>Australia</v>
          </cell>
          <cell r="C44" t="str">
            <v>FOR</v>
          </cell>
          <cell r="D44" t="str">
            <v>McDonald S</v>
          </cell>
          <cell r="E44">
            <v>3.7</v>
          </cell>
          <cell r="F44" t="e">
            <v>#VALUE!</v>
          </cell>
          <cell r="G44" t="e">
            <v>#VALUE!</v>
          </cell>
          <cell r="H44" t="e">
            <v>#VALUE!</v>
          </cell>
          <cell r="I44" t="e">
            <v>#VALUE!</v>
          </cell>
          <cell r="J44" t="e">
            <v>#VALUE!</v>
          </cell>
          <cell r="K44" t="e">
            <v>#VALUE!</v>
          </cell>
          <cell r="L44" t="e">
            <v>#VALUE!</v>
          </cell>
        </row>
        <row r="45">
          <cell r="A45">
            <v>44</v>
          </cell>
          <cell r="B45" t="str">
            <v>Brazil</v>
          </cell>
          <cell r="C45" t="str">
            <v>GK</v>
          </cell>
          <cell r="D45" t="str">
            <v>Cesar J</v>
          </cell>
          <cell r="E45">
            <v>3.9</v>
          </cell>
          <cell r="F45" t="e">
            <v>#VALUE!</v>
          </cell>
          <cell r="G45" t="e">
            <v>#VALUE!</v>
          </cell>
          <cell r="H45" t="e">
            <v>#VALUE!</v>
          </cell>
          <cell r="I45" t="e">
            <v>#VALUE!</v>
          </cell>
          <cell r="J45" t="e">
            <v>#VALUE!</v>
          </cell>
          <cell r="K45" t="e">
            <v>#VALUE!</v>
          </cell>
          <cell r="L45" t="e">
            <v>#VALUE!</v>
          </cell>
        </row>
        <row r="46">
          <cell r="A46">
            <v>45</v>
          </cell>
          <cell r="B46" t="str">
            <v>Brazil</v>
          </cell>
          <cell r="C46" t="str">
            <v>DEF</v>
          </cell>
          <cell r="D46" t="str">
            <v>Alves D</v>
          </cell>
          <cell r="E46">
            <v>3.5</v>
          </cell>
          <cell r="F46" t="e">
            <v>#VALUE!</v>
          </cell>
          <cell r="G46" t="e">
            <v>#VALUE!</v>
          </cell>
          <cell r="H46" t="e">
            <v>#VALUE!</v>
          </cell>
          <cell r="I46" t="e">
            <v>#VALUE!</v>
          </cell>
          <cell r="J46" t="e">
            <v>#VALUE!</v>
          </cell>
          <cell r="K46" t="e">
            <v>#VALUE!</v>
          </cell>
          <cell r="L46" t="e">
            <v>#VALUE!</v>
          </cell>
        </row>
        <row r="47">
          <cell r="A47">
            <v>46</v>
          </cell>
          <cell r="B47" t="str">
            <v>Brazil</v>
          </cell>
          <cell r="C47" t="str">
            <v>DEF</v>
          </cell>
          <cell r="D47" t="str">
            <v xml:space="preserve">Juan </v>
          </cell>
          <cell r="E47">
            <v>3.5</v>
          </cell>
          <cell r="F47" t="e">
            <v>#VALUE!</v>
          </cell>
          <cell r="G47" t="e">
            <v>#VALUE!</v>
          </cell>
          <cell r="H47" t="e">
            <v>#VALUE!</v>
          </cell>
          <cell r="I47" t="e">
            <v>#VALUE!</v>
          </cell>
          <cell r="J47" t="e">
            <v>#VALUE!</v>
          </cell>
          <cell r="K47" t="e">
            <v>#VALUE!</v>
          </cell>
          <cell r="L47" t="e">
            <v>#VALUE!</v>
          </cell>
        </row>
        <row r="48">
          <cell r="A48">
            <v>47</v>
          </cell>
          <cell r="B48" t="str">
            <v>Brazil</v>
          </cell>
          <cell r="C48" t="str">
            <v>DEF</v>
          </cell>
          <cell r="D48" t="str">
            <v xml:space="preserve">Lucio </v>
          </cell>
          <cell r="E48">
            <v>4</v>
          </cell>
          <cell r="F48" t="e">
            <v>#VALUE!</v>
          </cell>
          <cell r="G48" t="e">
            <v>#VALUE!</v>
          </cell>
          <cell r="H48" t="e">
            <v>#VALUE!</v>
          </cell>
          <cell r="I48" t="e">
            <v>#VALUE!</v>
          </cell>
          <cell r="J48" t="e">
            <v>#VALUE!</v>
          </cell>
          <cell r="K48" t="e">
            <v>#VALUE!</v>
          </cell>
          <cell r="L48" t="e">
            <v>#VALUE!</v>
          </cell>
        </row>
        <row r="49">
          <cell r="A49">
            <v>48</v>
          </cell>
          <cell r="B49" t="str">
            <v>Brazil</v>
          </cell>
          <cell r="C49" t="str">
            <v>DEF</v>
          </cell>
          <cell r="D49" t="str">
            <v xml:space="preserve">Luisao </v>
          </cell>
          <cell r="E49">
            <v>3.3</v>
          </cell>
          <cell r="F49" t="e">
            <v>#VALUE!</v>
          </cell>
          <cell r="G49" t="e">
            <v>#VALUE!</v>
          </cell>
          <cell r="H49" t="e">
            <v>#VALUE!</v>
          </cell>
          <cell r="I49" t="e">
            <v>#VALUE!</v>
          </cell>
          <cell r="J49" t="e">
            <v>#VALUE!</v>
          </cell>
          <cell r="K49" t="e">
            <v>#VALUE!</v>
          </cell>
          <cell r="L49" t="e">
            <v>#VALUE!</v>
          </cell>
        </row>
        <row r="50">
          <cell r="A50">
            <v>49</v>
          </cell>
          <cell r="B50" t="str">
            <v>Brazil</v>
          </cell>
          <cell r="C50" t="str">
            <v>DEF</v>
          </cell>
          <cell r="D50" t="str">
            <v xml:space="preserve">Maicon </v>
          </cell>
          <cell r="E50">
            <v>4.5</v>
          </cell>
          <cell r="F50" t="e">
            <v>#VALUE!</v>
          </cell>
          <cell r="G50" t="e">
            <v>#VALUE!</v>
          </cell>
          <cell r="H50" t="e">
            <v>#VALUE!</v>
          </cell>
          <cell r="I50" t="e">
            <v>#VALUE!</v>
          </cell>
          <cell r="J50" t="e">
            <v>#VALUE!</v>
          </cell>
          <cell r="K50" t="e">
            <v>#VALUE!</v>
          </cell>
          <cell r="L50" t="e">
            <v>#VALUE!</v>
          </cell>
        </row>
        <row r="51">
          <cell r="A51">
            <v>50</v>
          </cell>
          <cell r="B51" t="str">
            <v>Brazil</v>
          </cell>
          <cell r="C51" t="str">
            <v>MID</v>
          </cell>
          <cell r="D51" t="str">
            <v>Baptista J</v>
          </cell>
          <cell r="E51">
            <v>3.4</v>
          </cell>
          <cell r="F51" t="e">
            <v>#VALUE!</v>
          </cell>
          <cell r="G51" t="e">
            <v>#VALUE!</v>
          </cell>
          <cell r="H51" t="e">
            <v>#VALUE!</v>
          </cell>
          <cell r="I51" t="e">
            <v>#VALUE!</v>
          </cell>
          <cell r="J51" t="e">
            <v>#VALUE!</v>
          </cell>
          <cell r="K51" t="e">
            <v>#VALUE!</v>
          </cell>
          <cell r="L51" t="e">
            <v>#VALUE!</v>
          </cell>
        </row>
        <row r="52">
          <cell r="A52">
            <v>51</v>
          </cell>
          <cell r="B52" t="str">
            <v>Brazil</v>
          </cell>
          <cell r="C52" t="str">
            <v>MID</v>
          </cell>
          <cell r="D52" t="str">
            <v xml:space="preserve">Elano </v>
          </cell>
          <cell r="E52">
            <v>3.5</v>
          </cell>
          <cell r="F52" t="e">
            <v>#VALUE!</v>
          </cell>
          <cell r="G52" t="e">
            <v>#VALUE!</v>
          </cell>
          <cell r="H52" t="e">
            <v>#VALUE!</v>
          </cell>
          <cell r="I52" t="e">
            <v>#VALUE!</v>
          </cell>
          <cell r="J52" t="e">
            <v>#VALUE!</v>
          </cell>
          <cell r="K52" t="e">
            <v>#VALUE!</v>
          </cell>
          <cell r="L52" t="e">
            <v>#VALUE!</v>
          </cell>
        </row>
        <row r="53">
          <cell r="A53">
            <v>52</v>
          </cell>
          <cell r="B53" t="str">
            <v>Brazil</v>
          </cell>
          <cell r="C53" t="str">
            <v>MID</v>
          </cell>
          <cell r="D53" t="str">
            <v xml:space="preserve">Kaka </v>
          </cell>
          <cell r="E53">
            <v>7</v>
          </cell>
          <cell r="F53" t="e">
            <v>#VALUE!</v>
          </cell>
          <cell r="G53" t="e">
            <v>#VALUE!</v>
          </cell>
          <cell r="H53" t="e">
            <v>#VALUE!</v>
          </cell>
          <cell r="I53" t="e">
            <v>#VALUE!</v>
          </cell>
          <cell r="J53" t="e">
            <v>#VALUE!</v>
          </cell>
          <cell r="K53" t="e">
            <v>#VALUE!</v>
          </cell>
          <cell r="L53" t="e">
            <v>#VALUE!</v>
          </cell>
        </row>
        <row r="54">
          <cell r="A54">
            <v>53</v>
          </cell>
          <cell r="B54" t="str">
            <v>Brazil</v>
          </cell>
          <cell r="C54" t="str">
            <v>MID</v>
          </cell>
          <cell r="D54" t="str">
            <v>Melo F</v>
          </cell>
          <cell r="E54">
            <v>3.1</v>
          </cell>
          <cell r="F54" t="e">
            <v>#VALUE!</v>
          </cell>
          <cell r="G54" t="e">
            <v>#VALUE!</v>
          </cell>
          <cell r="H54" t="e">
            <v>#VALUE!</v>
          </cell>
          <cell r="I54" t="e">
            <v>#VALUE!</v>
          </cell>
          <cell r="J54" t="e">
            <v>#VALUE!</v>
          </cell>
          <cell r="K54" t="e">
            <v>#VALUE!</v>
          </cell>
          <cell r="L54" t="e">
            <v>#VALUE!</v>
          </cell>
        </row>
        <row r="55">
          <cell r="A55">
            <v>54</v>
          </cell>
          <cell r="B55" t="str">
            <v>Brazil</v>
          </cell>
          <cell r="C55" t="str">
            <v>MID</v>
          </cell>
          <cell r="D55" t="str">
            <v xml:space="preserve">Ramires </v>
          </cell>
          <cell r="E55">
            <v>3</v>
          </cell>
          <cell r="F55" t="e">
            <v>#VALUE!</v>
          </cell>
          <cell r="G55" t="e">
            <v>#VALUE!</v>
          </cell>
          <cell r="H55" t="e">
            <v>#VALUE!</v>
          </cell>
          <cell r="I55" t="e">
            <v>#VALUE!</v>
          </cell>
          <cell r="J55" t="e">
            <v>#VALUE!</v>
          </cell>
          <cell r="K55" t="e">
            <v>#VALUE!</v>
          </cell>
          <cell r="L55" t="e">
            <v>#VALUE!</v>
          </cell>
        </row>
        <row r="56">
          <cell r="A56">
            <v>55</v>
          </cell>
          <cell r="B56" t="str">
            <v>Brazil</v>
          </cell>
          <cell r="C56" t="str">
            <v>MID</v>
          </cell>
          <cell r="D56" t="str">
            <v>Silva G</v>
          </cell>
          <cell r="E56">
            <v>3.2</v>
          </cell>
          <cell r="F56" t="e">
            <v>#VALUE!</v>
          </cell>
          <cell r="G56" t="e">
            <v>#VALUE!</v>
          </cell>
          <cell r="H56" t="e">
            <v>#VALUE!</v>
          </cell>
          <cell r="I56" t="e">
            <v>#VALUE!</v>
          </cell>
          <cell r="J56" t="e">
            <v>#VALUE!</v>
          </cell>
          <cell r="K56" t="e">
            <v>#VALUE!</v>
          </cell>
          <cell r="L56" t="e">
            <v>#VALUE!</v>
          </cell>
        </row>
        <row r="57">
          <cell r="A57">
            <v>56</v>
          </cell>
          <cell r="B57" t="str">
            <v>Brazil</v>
          </cell>
          <cell r="C57" t="str">
            <v>FOR</v>
          </cell>
          <cell r="D57" t="str">
            <v>Fabiano L</v>
          </cell>
          <cell r="E57">
            <v>6.2</v>
          </cell>
          <cell r="F57" t="e">
            <v>#VALUE!</v>
          </cell>
          <cell r="G57" t="e">
            <v>#VALUE!</v>
          </cell>
          <cell r="H57" t="e">
            <v>#VALUE!</v>
          </cell>
          <cell r="I57" t="e">
            <v>#VALUE!</v>
          </cell>
          <cell r="J57" t="e">
            <v>#VALUE!</v>
          </cell>
          <cell r="K57" t="e">
            <v>#VALUE!</v>
          </cell>
          <cell r="L57" t="e">
            <v>#VALUE!</v>
          </cell>
        </row>
        <row r="58">
          <cell r="A58">
            <v>57</v>
          </cell>
          <cell r="B58" t="str">
            <v>Brazil</v>
          </cell>
          <cell r="C58" t="str">
            <v>FOR</v>
          </cell>
          <cell r="D58" t="str">
            <v xml:space="preserve">Nilmar </v>
          </cell>
          <cell r="E58">
            <v>5.4</v>
          </cell>
          <cell r="F58" t="e">
            <v>#VALUE!</v>
          </cell>
          <cell r="G58" t="e">
            <v>#VALUE!</v>
          </cell>
          <cell r="H58" t="e">
            <v>#VALUE!</v>
          </cell>
          <cell r="I58" t="e">
            <v>#VALUE!</v>
          </cell>
          <cell r="J58" t="e">
            <v>#VALUE!</v>
          </cell>
          <cell r="K58" t="e">
            <v>#VALUE!</v>
          </cell>
          <cell r="L58" t="e">
            <v>#VALUE!</v>
          </cell>
        </row>
        <row r="59">
          <cell r="A59">
            <v>58</v>
          </cell>
          <cell r="B59" t="str">
            <v>Brazil</v>
          </cell>
          <cell r="C59" t="str">
            <v>FOR</v>
          </cell>
          <cell r="D59" t="str">
            <v xml:space="preserve">Robinho </v>
          </cell>
          <cell r="E59">
            <v>6</v>
          </cell>
          <cell r="F59" t="e">
            <v>#VALUE!</v>
          </cell>
          <cell r="G59" t="e">
            <v>#VALUE!</v>
          </cell>
          <cell r="H59" t="e">
            <v>#VALUE!</v>
          </cell>
          <cell r="I59" t="e">
            <v>#VALUE!</v>
          </cell>
          <cell r="J59" t="e">
            <v>#VALUE!</v>
          </cell>
          <cell r="K59" t="e">
            <v>#VALUE!</v>
          </cell>
          <cell r="L59" t="e">
            <v>#VALUE!</v>
          </cell>
        </row>
        <row r="60">
          <cell r="A60">
            <v>59</v>
          </cell>
          <cell r="B60" t="str">
            <v>Cameroon</v>
          </cell>
          <cell r="C60" t="str">
            <v>GK</v>
          </cell>
          <cell r="D60" t="str">
            <v>Kameni I</v>
          </cell>
          <cell r="E60">
            <v>3.1</v>
          </cell>
          <cell r="F60" t="e">
            <v>#VALUE!</v>
          </cell>
          <cell r="G60" t="e">
            <v>#VALUE!</v>
          </cell>
          <cell r="H60" t="e">
            <v>#VALUE!</v>
          </cell>
          <cell r="I60" t="e">
            <v>#VALUE!</v>
          </cell>
          <cell r="J60" t="e">
            <v>#VALUE!</v>
          </cell>
          <cell r="K60" t="e">
            <v>#VALUE!</v>
          </cell>
          <cell r="L60" t="e">
            <v>#VALUE!</v>
          </cell>
        </row>
        <row r="61">
          <cell r="A61">
            <v>60</v>
          </cell>
          <cell r="B61" t="str">
            <v>Cameroon</v>
          </cell>
          <cell r="C61" t="str">
            <v>DEF</v>
          </cell>
          <cell r="D61" t="str">
            <v>Assou-Ekotto B</v>
          </cell>
          <cell r="E61">
            <v>3.2</v>
          </cell>
          <cell r="F61" t="e">
            <v>#VALUE!</v>
          </cell>
          <cell r="G61" t="e">
            <v>#VALUE!</v>
          </cell>
          <cell r="H61" t="e">
            <v>#VALUE!</v>
          </cell>
          <cell r="I61" t="e">
            <v>#VALUE!</v>
          </cell>
          <cell r="J61" t="e">
            <v>#VALUE!</v>
          </cell>
          <cell r="K61" t="e">
            <v>#VALUE!</v>
          </cell>
          <cell r="L61" t="e">
            <v>#VALUE!</v>
          </cell>
        </row>
        <row r="62">
          <cell r="A62">
            <v>61</v>
          </cell>
          <cell r="B62" t="str">
            <v>Cameroon</v>
          </cell>
          <cell r="C62" t="str">
            <v>DEF</v>
          </cell>
          <cell r="D62" t="str">
            <v>Nkoulou N</v>
          </cell>
          <cell r="E62">
            <v>3</v>
          </cell>
          <cell r="F62" t="e">
            <v>#VALUE!</v>
          </cell>
          <cell r="G62" t="e">
            <v>#VALUE!</v>
          </cell>
          <cell r="H62" t="e">
            <v>#VALUE!</v>
          </cell>
          <cell r="I62" t="e">
            <v>#VALUE!</v>
          </cell>
          <cell r="J62" t="e">
            <v>#VALUE!</v>
          </cell>
          <cell r="K62" t="e">
            <v>#VALUE!</v>
          </cell>
          <cell r="L62" t="e">
            <v>#VALUE!</v>
          </cell>
        </row>
        <row r="63">
          <cell r="A63">
            <v>62</v>
          </cell>
          <cell r="B63" t="str">
            <v>Cameroon</v>
          </cell>
          <cell r="C63" t="str">
            <v>DEF</v>
          </cell>
          <cell r="D63" t="str">
            <v>Song R</v>
          </cell>
          <cell r="E63">
            <v>3.5</v>
          </cell>
          <cell r="F63" t="e">
            <v>#VALUE!</v>
          </cell>
          <cell r="G63" t="e">
            <v>#VALUE!</v>
          </cell>
          <cell r="H63" t="e">
            <v>#VALUE!</v>
          </cell>
          <cell r="I63" t="e">
            <v>#VALUE!</v>
          </cell>
          <cell r="J63" t="e">
            <v>#VALUE!</v>
          </cell>
          <cell r="K63" t="e">
            <v>#VALUE!</v>
          </cell>
          <cell r="L63" t="e">
            <v>#VALUE!</v>
          </cell>
        </row>
        <row r="64">
          <cell r="A64">
            <v>63</v>
          </cell>
          <cell r="B64" t="str">
            <v>Cameroon</v>
          </cell>
          <cell r="C64" t="str">
            <v>MID</v>
          </cell>
          <cell r="D64" t="str">
            <v>Chedjou A</v>
          </cell>
          <cell r="E64">
            <v>2.6</v>
          </cell>
          <cell r="F64" t="e">
            <v>#VALUE!</v>
          </cell>
          <cell r="G64" t="e">
            <v>#VALUE!</v>
          </cell>
          <cell r="H64" t="e">
            <v>#VALUE!</v>
          </cell>
          <cell r="I64" t="e">
            <v>#VALUE!</v>
          </cell>
          <cell r="J64" t="e">
            <v>#VALUE!</v>
          </cell>
          <cell r="K64" t="e">
            <v>#VALUE!</v>
          </cell>
          <cell r="L64" t="e">
            <v>#VALUE!</v>
          </cell>
        </row>
        <row r="65">
          <cell r="A65">
            <v>64</v>
          </cell>
          <cell r="B65" t="str">
            <v>Cameroon</v>
          </cell>
          <cell r="C65" t="str">
            <v>MID</v>
          </cell>
          <cell r="D65" t="str">
            <v>Emana A</v>
          </cell>
          <cell r="E65">
            <v>3.1</v>
          </cell>
          <cell r="F65" t="e">
            <v>#VALUE!</v>
          </cell>
          <cell r="G65" t="e">
            <v>#VALUE!</v>
          </cell>
          <cell r="H65" t="e">
            <v>#VALUE!</v>
          </cell>
          <cell r="I65" t="e">
            <v>#VALUE!</v>
          </cell>
          <cell r="J65" t="e">
            <v>#VALUE!</v>
          </cell>
          <cell r="K65" t="e">
            <v>#VALUE!</v>
          </cell>
          <cell r="L65" t="e">
            <v>#VALUE!</v>
          </cell>
        </row>
        <row r="66">
          <cell r="A66">
            <v>65</v>
          </cell>
          <cell r="B66" t="str">
            <v>Cameroon</v>
          </cell>
          <cell r="C66" t="str">
            <v>MID</v>
          </cell>
          <cell r="D66" t="str">
            <v>Enoh E</v>
          </cell>
          <cell r="E66">
            <v>2.8</v>
          </cell>
          <cell r="F66" t="e">
            <v>#VALUE!</v>
          </cell>
          <cell r="G66" t="e">
            <v>#VALUE!</v>
          </cell>
          <cell r="H66" t="e">
            <v>#VALUE!</v>
          </cell>
          <cell r="I66" t="e">
            <v>#VALUE!</v>
          </cell>
          <cell r="J66" t="e">
            <v>#VALUE!</v>
          </cell>
          <cell r="K66" t="e">
            <v>#VALUE!</v>
          </cell>
          <cell r="L66" t="e">
            <v>#VALUE!</v>
          </cell>
        </row>
        <row r="67">
          <cell r="A67">
            <v>66</v>
          </cell>
          <cell r="B67" t="str">
            <v>Cameroon</v>
          </cell>
          <cell r="C67" t="str">
            <v>MID</v>
          </cell>
          <cell r="D67" t="str">
            <v xml:space="preserve">Geremi </v>
          </cell>
          <cell r="E67">
            <v>3</v>
          </cell>
          <cell r="F67" t="e">
            <v>#VALUE!</v>
          </cell>
          <cell r="G67" t="e">
            <v>#VALUE!</v>
          </cell>
          <cell r="H67" t="e">
            <v>#VALUE!</v>
          </cell>
          <cell r="I67" t="e">
            <v>#VALUE!</v>
          </cell>
          <cell r="J67" t="e">
            <v>#VALUE!</v>
          </cell>
          <cell r="K67" t="e">
            <v>#VALUE!</v>
          </cell>
          <cell r="L67" t="e">
            <v>#VALUE!</v>
          </cell>
        </row>
        <row r="68">
          <cell r="A68">
            <v>67</v>
          </cell>
          <cell r="B68" t="str">
            <v>Cameroon</v>
          </cell>
          <cell r="C68" t="str">
            <v>MID</v>
          </cell>
          <cell r="D68" t="str">
            <v>Makoun J</v>
          </cell>
          <cell r="E68">
            <v>3.2</v>
          </cell>
          <cell r="F68" t="e">
            <v>#VALUE!</v>
          </cell>
          <cell r="G68" t="e">
            <v>#VALUE!</v>
          </cell>
          <cell r="H68" t="e">
            <v>#VALUE!</v>
          </cell>
          <cell r="I68" t="e">
            <v>#VALUE!</v>
          </cell>
          <cell r="J68" t="e">
            <v>#VALUE!</v>
          </cell>
          <cell r="K68" t="e">
            <v>#VALUE!</v>
          </cell>
          <cell r="L68" t="e">
            <v>#VALUE!</v>
          </cell>
        </row>
        <row r="69">
          <cell r="A69">
            <v>68</v>
          </cell>
          <cell r="B69" t="str">
            <v>Cameroon</v>
          </cell>
          <cell r="C69" t="str">
            <v>MID</v>
          </cell>
          <cell r="D69" t="str">
            <v>Mandjeck G</v>
          </cell>
          <cell r="E69">
            <v>2.5</v>
          </cell>
          <cell r="F69" t="e">
            <v>#VALUE!</v>
          </cell>
          <cell r="G69" t="e">
            <v>#VALUE!</v>
          </cell>
          <cell r="H69" t="e">
            <v>#VALUE!</v>
          </cell>
          <cell r="I69" t="e">
            <v>#VALUE!</v>
          </cell>
          <cell r="J69" t="e">
            <v>#VALUE!</v>
          </cell>
          <cell r="K69" t="e">
            <v>#VALUE!</v>
          </cell>
          <cell r="L69" t="e">
            <v>#VALUE!</v>
          </cell>
        </row>
        <row r="70">
          <cell r="A70">
            <v>69</v>
          </cell>
          <cell r="B70" t="str">
            <v>Cameroon</v>
          </cell>
          <cell r="C70" t="str">
            <v>MID</v>
          </cell>
          <cell r="D70" t="str">
            <v>Nguemo J</v>
          </cell>
          <cell r="E70">
            <v>2.7</v>
          </cell>
          <cell r="F70" t="e">
            <v>#VALUE!</v>
          </cell>
          <cell r="G70" t="e">
            <v>#VALUE!</v>
          </cell>
          <cell r="H70" t="e">
            <v>#VALUE!</v>
          </cell>
          <cell r="I70" t="e">
            <v>#VALUE!</v>
          </cell>
          <cell r="J70" t="e">
            <v>#VALUE!</v>
          </cell>
          <cell r="K70" t="e">
            <v>#VALUE!</v>
          </cell>
          <cell r="L70" t="e">
            <v>#VALUE!</v>
          </cell>
        </row>
        <row r="71">
          <cell r="A71">
            <v>70</v>
          </cell>
          <cell r="B71" t="str">
            <v>Cameroon</v>
          </cell>
          <cell r="C71" t="str">
            <v>MID</v>
          </cell>
          <cell r="D71" t="str">
            <v>Song A</v>
          </cell>
          <cell r="E71">
            <v>2.9</v>
          </cell>
          <cell r="F71" t="e">
            <v>#VALUE!</v>
          </cell>
          <cell r="G71" t="e">
            <v>#VALUE!</v>
          </cell>
          <cell r="H71" t="e">
            <v>#VALUE!</v>
          </cell>
          <cell r="I71" t="e">
            <v>#VALUE!</v>
          </cell>
          <cell r="J71" t="e">
            <v>#VALUE!</v>
          </cell>
          <cell r="K71" t="e">
            <v>#VALUE!</v>
          </cell>
          <cell r="L71" t="e">
            <v>#VALUE!</v>
          </cell>
        </row>
        <row r="72">
          <cell r="A72">
            <v>71</v>
          </cell>
          <cell r="B72" t="str">
            <v>Cameroon</v>
          </cell>
          <cell r="C72" t="str">
            <v>FOR</v>
          </cell>
          <cell r="D72" t="str">
            <v>Eto’o S</v>
          </cell>
          <cell r="E72">
            <v>6</v>
          </cell>
          <cell r="F72" t="e">
            <v>#VALUE!</v>
          </cell>
          <cell r="G72" t="e">
            <v>#VALUE!</v>
          </cell>
          <cell r="H72" t="e">
            <v>#VALUE!</v>
          </cell>
          <cell r="I72" t="e">
            <v>#VALUE!</v>
          </cell>
          <cell r="J72" t="e">
            <v>#VALUE!</v>
          </cell>
          <cell r="K72" t="e">
            <v>#VALUE!</v>
          </cell>
          <cell r="L72" t="e">
            <v>#VALUE!</v>
          </cell>
        </row>
        <row r="73">
          <cell r="A73">
            <v>72</v>
          </cell>
          <cell r="B73" t="str">
            <v>Cameroon</v>
          </cell>
          <cell r="C73" t="str">
            <v>FOR</v>
          </cell>
          <cell r="D73" t="str">
            <v>Webo P</v>
          </cell>
          <cell r="E73">
            <v>3.7</v>
          </cell>
          <cell r="F73" t="e">
            <v>#VALUE!</v>
          </cell>
          <cell r="G73" t="e">
            <v>#VALUE!</v>
          </cell>
          <cell r="H73" t="e">
            <v>#VALUE!</v>
          </cell>
          <cell r="I73" t="e">
            <v>#VALUE!</v>
          </cell>
          <cell r="J73" t="e">
            <v>#VALUE!</v>
          </cell>
          <cell r="K73" t="e">
            <v>#VALUE!</v>
          </cell>
          <cell r="L73" t="e">
            <v>#VALUE!</v>
          </cell>
        </row>
        <row r="74">
          <cell r="A74">
            <v>73</v>
          </cell>
          <cell r="B74" t="str">
            <v>Chile</v>
          </cell>
          <cell r="C74" t="str">
            <v>GK</v>
          </cell>
          <cell r="D74" t="str">
            <v>Bravo C</v>
          </cell>
          <cell r="E74">
            <v>3.3</v>
          </cell>
          <cell r="F74" t="e">
            <v>#VALUE!</v>
          </cell>
          <cell r="G74" t="e">
            <v>#VALUE!</v>
          </cell>
          <cell r="H74" t="e">
            <v>#VALUE!</v>
          </cell>
          <cell r="I74" t="e">
            <v>#VALUE!</v>
          </cell>
          <cell r="J74" t="e">
            <v>#VALUE!</v>
          </cell>
          <cell r="K74" t="e">
            <v>#VALUE!</v>
          </cell>
          <cell r="L74" t="e">
            <v>#VALUE!</v>
          </cell>
        </row>
        <row r="75">
          <cell r="A75">
            <v>74</v>
          </cell>
          <cell r="B75" t="str">
            <v>Chile</v>
          </cell>
          <cell r="C75" t="str">
            <v>DEF</v>
          </cell>
          <cell r="D75" t="str">
            <v>Cereceda R</v>
          </cell>
          <cell r="E75">
            <v>2.9</v>
          </cell>
          <cell r="F75" t="e">
            <v>#VALUE!</v>
          </cell>
          <cell r="G75" t="e">
            <v>#VALUE!</v>
          </cell>
          <cell r="H75" t="e">
            <v>#VALUE!</v>
          </cell>
          <cell r="I75" t="e">
            <v>#VALUE!</v>
          </cell>
          <cell r="J75" t="e">
            <v>#VALUE!</v>
          </cell>
          <cell r="K75" t="e">
            <v>#VALUE!</v>
          </cell>
          <cell r="L75" t="e">
            <v>#VALUE!</v>
          </cell>
        </row>
        <row r="76">
          <cell r="A76">
            <v>75</v>
          </cell>
          <cell r="B76" t="str">
            <v>Chile</v>
          </cell>
          <cell r="C76" t="str">
            <v>DEF</v>
          </cell>
          <cell r="D76" t="str">
            <v>Jara G</v>
          </cell>
          <cell r="E76">
            <v>3.7</v>
          </cell>
          <cell r="F76" t="e">
            <v>#VALUE!</v>
          </cell>
          <cell r="G76" t="e">
            <v>#VALUE!</v>
          </cell>
          <cell r="H76" t="e">
            <v>#VALUE!</v>
          </cell>
          <cell r="I76" t="e">
            <v>#VALUE!</v>
          </cell>
          <cell r="J76" t="e">
            <v>#VALUE!</v>
          </cell>
          <cell r="K76" t="e">
            <v>#VALUE!</v>
          </cell>
          <cell r="L76" t="e">
            <v>#VALUE!</v>
          </cell>
        </row>
        <row r="77">
          <cell r="A77">
            <v>76</v>
          </cell>
          <cell r="B77" t="str">
            <v>Chile</v>
          </cell>
          <cell r="C77" t="str">
            <v>DEF</v>
          </cell>
          <cell r="D77" t="str">
            <v>Medel G</v>
          </cell>
          <cell r="E77">
            <v>3.5</v>
          </cell>
          <cell r="F77" t="e">
            <v>#VALUE!</v>
          </cell>
          <cell r="G77" t="e">
            <v>#VALUE!</v>
          </cell>
          <cell r="H77" t="e">
            <v>#VALUE!</v>
          </cell>
          <cell r="I77" t="e">
            <v>#VALUE!</v>
          </cell>
          <cell r="J77" t="e">
            <v>#VALUE!</v>
          </cell>
          <cell r="K77" t="e">
            <v>#VALUE!</v>
          </cell>
          <cell r="L77" t="e">
            <v>#VALUE!</v>
          </cell>
        </row>
        <row r="78">
          <cell r="A78">
            <v>77</v>
          </cell>
          <cell r="B78" t="str">
            <v>Chile</v>
          </cell>
          <cell r="C78" t="str">
            <v>DEF</v>
          </cell>
          <cell r="D78" t="str">
            <v>Ponce W</v>
          </cell>
          <cell r="E78">
            <v>3.1</v>
          </cell>
          <cell r="F78" t="e">
            <v>#VALUE!</v>
          </cell>
          <cell r="G78" t="e">
            <v>#VALUE!</v>
          </cell>
          <cell r="H78" t="e">
            <v>#VALUE!</v>
          </cell>
          <cell r="I78" t="e">
            <v>#VALUE!</v>
          </cell>
          <cell r="J78" t="e">
            <v>#VALUE!</v>
          </cell>
          <cell r="K78" t="e">
            <v>#VALUE!</v>
          </cell>
          <cell r="L78" t="e">
            <v>#VALUE!</v>
          </cell>
        </row>
        <row r="79">
          <cell r="A79">
            <v>78</v>
          </cell>
          <cell r="B79" t="str">
            <v>Chile</v>
          </cell>
          <cell r="C79" t="str">
            <v>DEF</v>
          </cell>
          <cell r="D79" t="str">
            <v>Vidal A</v>
          </cell>
          <cell r="E79">
            <v>3.3</v>
          </cell>
          <cell r="F79" t="e">
            <v>#VALUE!</v>
          </cell>
          <cell r="G79" t="e">
            <v>#VALUE!</v>
          </cell>
          <cell r="H79" t="e">
            <v>#VALUE!</v>
          </cell>
          <cell r="I79" t="e">
            <v>#VALUE!</v>
          </cell>
          <cell r="J79" t="e">
            <v>#VALUE!</v>
          </cell>
          <cell r="K79" t="e">
            <v>#VALUE!</v>
          </cell>
          <cell r="L79" t="e">
            <v>#VALUE!</v>
          </cell>
        </row>
        <row r="80">
          <cell r="A80">
            <v>79</v>
          </cell>
          <cell r="B80" t="str">
            <v>Chile</v>
          </cell>
          <cell r="C80" t="str">
            <v>MID</v>
          </cell>
          <cell r="D80" t="str">
            <v>Fernandez M</v>
          </cell>
          <cell r="E80">
            <v>3.7</v>
          </cell>
          <cell r="F80" t="e">
            <v>#VALUE!</v>
          </cell>
          <cell r="G80" t="e">
            <v>#VALUE!</v>
          </cell>
          <cell r="H80" t="e">
            <v>#VALUE!</v>
          </cell>
          <cell r="I80" t="e">
            <v>#VALUE!</v>
          </cell>
          <cell r="J80" t="e">
            <v>#VALUE!</v>
          </cell>
          <cell r="K80" t="e">
            <v>#VALUE!</v>
          </cell>
          <cell r="L80" t="e">
            <v>#VALUE!</v>
          </cell>
        </row>
        <row r="81">
          <cell r="A81">
            <v>80</v>
          </cell>
          <cell r="B81" t="str">
            <v>Chile</v>
          </cell>
          <cell r="C81" t="str">
            <v>MID</v>
          </cell>
          <cell r="D81" t="str">
            <v>Iturra M</v>
          </cell>
          <cell r="E81">
            <v>2.8</v>
          </cell>
          <cell r="F81" t="e">
            <v>#VALUE!</v>
          </cell>
          <cell r="G81" t="e">
            <v>#VALUE!</v>
          </cell>
          <cell r="H81" t="e">
            <v>#VALUE!</v>
          </cell>
          <cell r="I81" t="e">
            <v>#VALUE!</v>
          </cell>
          <cell r="J81" t="e">
            <v>#VALUE!</v>
          </cell>
          <cell r="K81" t="e">
            <v>#VALUE!</v>
          </cell>
          <cell r="L81" t="e">
            <v>#VALUE!</v>
          </cell>
        </row>
        <row r="82">
          <cell r="A82">
            <v>81</v>
          </cell>
          <cell r="B82" t="str">
            <v>Chile</v>
          </cell>
          <cell r="C82" t="str">
            <v>MID</v>
          </cell>
          <cell r="D82" t="str">
            <v>Millar R</v>
          </cell>
          <cell r="E82">
            <v>3</v>
          </cell>
          <cell r="F82" t="e">
            <v>#VALUE!</v>
          </cell>
          <cell r="G82" t="e">
            <v>#VALUE!</v>
          </cell>
          <cell r="H82" t="e">
            <v>#VALUE!</v>
          </cell>
          <cell r="I82" t="e">
            <v>#VALUE!</v>
          </cell>
          <cell r="J82" t="e">
            <v>#VALUE!</v>
          </cell>
          <cell r="K82" t="e">
            <v>#VALUE!</v>
          </cell>
          <cell r="L82" t="e">
            <v>#VALUE!</v>
          </cell>
        </row>
        <row r="83">
          <cell r="A83">
            <v>82</v>
          </cell>
          <cell r="B83" t="str">
            <v>Chile</v>
          </cell>
          <cell r="C83" t="str">
            <v>MID</v>
          </cell>
          <cell r="D83" t="str">
            <v>Valdivia J</v>
          </cell>
          <cell r="E83">
            <v>3.5</v>
          </cell>
          <cell r="F83" t="e">
            <v>#VALUE!</v>
          </cell>
          <cell r="G83" t="e">
            <v>#VALUE!</v>
          </cell>
          <cell r="H83" t="e">
            <v>#VALUE!</v>
          </cell>
          <cell r="I83" t="e">
            <v>#VALUE!</v>
          </cell>
          <cell r="J83" t="e">
            <v>#VALUE!</v>
          </cell>
          <cell r="K83" t="e">
            <v>#VALUE!</v>
          </cell>
          <cell r="L83" t="e">
            <v>#VALUE!</v>
          </cell>
        </row>
        <row r="84">
          <cell r="A84">
            <v>83</v>
          </cell>
          <cell r="B84" t="str">
            <v>Chile</v>
          </cell>
          <cell r="C84" t="str">
            <v>FOR</v>
          </cell>
          <cell r="D84" t="str">
            <v>Beausejour J</v>
          </cell>
          <cell r="E84">
            <v>3.7</v>
          </cell>
          <cell r="F84" t="e">
            <v>#VALUE!</v>
          </cell>
          <cell r="G84" t="e">
            <v>#VALUE!</v>
          </cell>
          <cell r="H84" t="e">
            <v>#VALUE!</v>
          </cell>
          <cell r="I84" t="e">
            <v>#VALUE!</v>
          </cell>
          <cell r="J84" t="e">
            <v>#VALUE!</v>
          </cell>
          <cell r="K84" t="e">
            <v>#VALUE!</v>
          </cell>
          <cell r="L84" t="e">
            <v>#VALUE!</v>
          </cell>
        </row>
        <row r="85">
          <cell r="A85">
            <v>84</v>
          </cell>
          <cell r="B85" t="str">
            <v>Chile</v>
          </cell>
          <cell r="C85" t="str">
            <v>FOR</v>
          </cell>
          <cell r="D85" t="str">
            <v>Gonzalez M</v>
          </cell>
          <cell r="E85">
            <v>5.2</v>
          </cell>
          <cell r="F85" t="e">
            <v>#VALUE!</v>
          </cell>
          <cell r="G85" t="e">
            <v>#VALUE!</v>
          </cell>
          <cell r="H85" t="e">
            <v>#VALUE!</v>
          </cell>
          <cell r="I85" t="e">
            <v>#VALUE!</v>
          </cell>
          <cell r="J85" t="e">
            <v>#VALUE!</v>
          </cell>
          <cell r="K85" t="e">
            <v>#VALUE!</v>
          </cell>
          <cell r="L85" t="e">
            <v>#VALUE!</v>
          </cell>
        </row>
        <row r="86">
          <cell r="A86">
            <v>85</v>
          </cell>
          <cell r="B86" t="str">
            <v>Chile</v>
          </cell>
          <cell r="C86" t="str">
            <v>FOR</v>
          </cell>
          <cell r="D86" t="str">
            <v>Sanchez A</v>
          </cell>
          <cell r="E86">
            <v>4.5999999999999996</v>
          </cell>
          <cell r="F86" t="e">
            <v>#VALUE!</v>
          </cell>
          <cell r="G86" t="e">
            <v>#VALUE!</v>
          </cell>
          <cell r="H86" t="e">
            <v>#VALUE!</v>
          </cell>
          <cell r="I86" t="e">
            <v>#VALUE!</v>
          </cell>
          <cell r="J86" t="e">
            <v>#VALUE!</v>
          </cell>
          <cell r="K86" t="e">
            <v>#VALUE!</v>
          </cell>
          <cell r="L86" t="e">
            <v>#VALUE!</v>
          </cell>
        </row>
        <row r="87">
          <cell r="A87">
            <v>86</v>
          </cell>
          <cell r="B87" t="str">
            <v>Chile</v>
          </cell>
          <cell r="C87" t="str">
            <v>FOR</v>
          </cell>
          <cell r="D87" t="str">
            <v>Suazo H</v>
          </cell>
          <cell r="E87">
            <v>5.4</v>
          </cell>
          <cell r="F87" t="e">
            <v>#VALUE!</v>
          </cell>
          <cell r="G87" t="e">
            <v>#VALUE!</v>
          </cell>
          <cell r="H87" t="e">
            <v>#VALUE!</v>
          </cell>
          <cell r="I87" t="e">
            <v>#VALUE!</v>
          </cell>
          <cell r="J87" t="e">
            <v>#VALUE!</v>
          </cell>
          <cell r="K87" t="e">
            <v>#VALUE!</v>
          </cell>
          <cell r="L87" t="e">
            <v>#VALUE!</v>
          </cell>
        </row>
        <row r="88">
          <cell r="A88">
            <v>87</v>
          </cell>
          <cell r="B88" t="str">
            <v>Denmark</v>
          </cell>
          <cell r="C88" t="str">
            <v>GK</v>
          </cell>
          <cell r="D88" t="str">
            <v>Sorensen T</v>
          </cell>
          <cell r="E88">
            <v>3</v>
          </cell>
          <cell r="F88" t="e">
            <v>#VALUE!</v>
          </cell>
          <cell r="G88" t="e">
            <v>#VALUE!</v>
          </cell>
          <cell r="H88" t="e">
            <v>#VALUE!</v>
          </cell>
          <cell r="I88" t="e">
            <v>#VALUE!</v>
          </cell>
          <cell r="J88" t="e">
            <v>#VALUE!</v>
          </cell>
          <cell r="K88" t="e">
            <v>#VALUE!</v>
          </cell>
          <cell r="L88" t="e">
            <v>#VALUE!</v>
          </cell>
        </row>
        <row r="89">
          <cell r="A89">
            <v>88</v>
          </cell>
          <cell r="B89" t="str">
            <v>Denmark</v>
          </cell>
          <cell r="C89" t="str">
            <v>DEF</v>
          </cell>
          <cell r="D89" t="str">
            <v>Agger D</v>
          </cell>
          <cell r="E89">
            <v>3.5</v>
          </cell>
          <cell r="F89" t="e">
            <v>#VALUE!</v>
          </cell>
          <cell r="G89" t="e">
            <v>#VALUE!</v>
          </cell>
          <cell r="H89" t="e">
            <v>#VALUE!</v>
          </cell>
          <cell r="I89" t="e">
            <v>#VALUE!</v>
          </cell>
          <cell r="J89" t="e">
            <v>#VALUE!</v>
          </cell>
          <cell r="K89" t="e">
            <v>#VALUE!</v>
          </cell>
          <cell r="L89" t="e">
            <v>#VALUE!</v>
          </cell>
        </row>
        <row r="90">
          <cell r="A90">
            <v>89</v>
          </cell>
          <cell r="B90" t="str">
            <v>Denmark</v>
          </cell>
          <cell r="C90" t="str">
            <v>DEF</v>
          </cell>
          <cell r="D90" t="str">
            <v>Jacobsen L</v>
          </cell>
          <cell r="E90">
            <v>3.3</v>
          </cell>
          <cell r="F90" t="e">
            <v>#VALUE!</v>
          </cell>
          <cell r="G90" t="e">
            <v>#VALUE!</v>
          </cell>
          <cell r="H90" t="e">
            <v>#VALUE!</v>
          </cell>
          <cell r="I90" t="e">
            <v>#VALUE!</v>
          </cell>
          <cell r="J90" t="e">
            <v>#VALUE!</v>
          </cell>
          <cell r="K90" t="e">
            <v>#VALUE!</v>
          </cell>
          <cell r="L90" t="e">
            <v>#VALUE!</v>
          </cell>
        </row>
        <row r="91">
          <cell r="A91">
            <v>90</v>
          </cell>
          <cell r="B91" t="str">
            <v>Denmark</v>
          </cell>
          <cell r="C91" t="str">
            <v>DEF</v>
          </cell>
          <cell r="D91" t="str">
            <v>Jakobsen M</v>
          </cell>
          <cell r="E91">
            <v>3</v>
          </cell>
          <cell r="F91" t="e">
            <v>#VALUE!</v>
          </cell>
          <cell r="G91" t="e">
            <v>#VALUE!</v>
          </cell>
          <cell r="H91" t="e">
            <v>#VALUE!</v>
          </cell>
          <cell r="I91" t="e">
            <v>#VALUE!</v>
          </cell>
          <cell r="J91" t="e">
            <v>#VALUE!</v>
          </cell>
          <cell r="K91" t="e">
            <v>#VALUE!</v>
          </cell>
          <cell r="L91" t="e">
            <v>#VALUE!</v>
          </cell>
        </row>
        <row r="92">
          <cell r="A92">
            <v>91</v>
          </cell>
          <cell r="B92" t="str">
            <v>Denmark</v>
          </cell>
          <cell r="C92" t="str">
            <v>DEF</v>
          </cell>
          <cell r="D92" t="str">
            <v>Moller-Christensen A</v>
          </cell>
          <cell r="E92">
            <v>2.9</v>
          </cell>
          <cell r="F92" t="e">
            <v>#VALUE!</v>
          </cell>
          <cell r="G92" t="e">
            <v>#VALUE!</v>
          </cell>
          <cell r="H92" t="e">
            <v>#VALUE!</v>
          </cell>
          <cell r="I92" t="e">
            <v>#VALUE!</v>
          </cell>
          <cell r="J92" t="e">
            <v>#VALUE!</v>
          </cell>
          <cell r="K92" t="e">
            <v>#VALUE!</v>
          </cell>
          <cell r="L92" t="e">
            <v>#VALUE!</v>
          </cell>
        </row>
        <row r="93">
          <cell r="A93">
            <v>92</v>
          </cell>
          <cell r="B93" t="str">
            <v>Denmark</v>
          </cell>
          <cell r="C93" t="str">
            <v>MID</v>
          </cell>
          <cell r="D93" t="str">
            <v>Enevoldsen T</v>
          </cell>
          <cell r="E93">
            <v>2.7</v>
          </cell>
          <cell r="F93" t="e">
            <v>#VALUE!</v>
          </cell>
          <cell r="G93" t="e">
            <v>#VALUE!</v>
          </cell>
          <cell r="H93" t="e">
            <v>#VALUE!</v>
          </cell>
          <cell r="I93" t="e">
            <v>#VALUE!</v>
          </cell>
          <cell r="J93" t="e">
            <v>#VALUE!</v>
          </cell>
          <cell r="K93" t="e">
            <v>#VALUE!</v>
          </cell>
          <cell r="L93" t="e">
            <v>#VALUE!</v>
          </cell>
        </row>
        <row r="94">
          <cell r="A94">
            <v>93</v>
          </cell>
          <cell r="B94" t="str">
            <v>Denmark</v>
          </cell>
          <cell r="C94" t="str">
            <v>MID</v>
          </cell>
          <cell r="D94" t="str">
            <v>Poulsen C</v>
          </cell>
          <cell r="E94">
            <v>2.9</v>
          </cell>
          <cell r="F94" t="e">
            <v>#VALUE!</v>
          </cell>
          <cell r="G94" t="e">
            <v>#VALUE!</v>
          </cell>
          <cell r="H94" t="e">
            <v>#VALUE!</v>
          </cell>
          <cell r="I94" t="e">
            <v>#VALUE!</v>
          </cell>
          <cell r="J94" t="e">
            <v>#VALUE!</v>
          </cell>
          <cell r="K94" t="e">
            <v>#VALUE!</v>
          </cell>
          <cell r="L94" t="e">
            <v>#VALUE!</v>
          </cell>
        </row>
        <row r="95">
          <cell r="A95">
            <v>94</v>
          </cell>
          <cell r="B95" t="str">
            <v>Denmark</v>
          </cell>
          <cell r="C95" t="str">
            <v>MID</v>
          </cell>
          <cell r="D95" t="str">
            <v>Poulsen J</v>
          </cell>
          <cell r="E95">
            <v>3.5</v>
          </cell>
          <cell r="F95" t="e">
            <v>#VALUE!</v>
          </cell>
          <cell r="G95" t="e">
            <v>#VALUE!</v>
          </cell>
          <cell r="H95" t="e">
            <v>#VALUE!</v>
          </cell>
          <cell r="I95" t="e">
            <v>#VALUE!</v>
          </cell>
          <cell r="J95" t="e">
            <v>#VALUE!</v>
          </cell>
          <cell r="K95" t="e">
            <v>#VALUE!</v>
          </cell>
          <cell r="L95" t="e">
            <v>#VALUE!</v>
          </cell>
        </row>
        <row r="96">
          <cell r="A96">
            <v>95</v>
          </cell>
          <cell r="B96" t="str">
            <v>Denmark</v>
          </cell>
          <cell r="C96" t="str">
            <v>MID</v>
          </cell>
          <cell r="D96" t="str">
            <v>Rommedahl D</v>
          </cell>
          <cell r="E96">
            <v>3.1</v>
          </cell>
          <cell r="F96" t="e">
            <v>#VALUE!</v>
          </cell>
          <cell r="G96" t="e">
            <v>#VALUE!</v>
          </cell>
          <cell r="H96" t="e">
            <v>#VALUE!</v>
          </cell>
          <cell r="I96" t="e">
            <v>#VALUE!</v>
          </cell>
          <cell r="J96" t="e">
            <v>#VALUE!</v>
          </cell>
          <cell r="K96" t="e">
            <v>#VALUE!</v>
          </cell>
          <cell r="L96" t="e">
            <v>#VALUE!</v>
          </cell>
        </row>
        <row r="97">
          <cell r="A97">
            <v>96</v>
          </cell>
          <cell r="B97" t="str">
            <v>Denmark</v>
          </cell>
          <cell r="C97" t="str">
            <v>FOR</v>
          </cell>
          <cell r="D97" t="str">
            <v>Bendtner N</v>
          </cell>
          <cell r="E97">
            <v>5.0999999999999996</v>
          </cell>
          <cell r="F97" t="e">
            <v>#VALUE!</v>
          </cell>
          <cell r="G97" t="e">
            <v>#VALUE!</v>
          </cell>
          <cell r="H97" t="e">
            <v>#VALUE!</v>
          </cell>
          <cell r="I97" t="e">
            <v>#VALUE!</v>
          </cell>
          <cell r="J97" t="e">
            <v>#VALUE!</v>
          </cell>
          <cell r="K97" t="e">
            <v>#VALUE!</v>
          </cell>
          <cell r="L97" t="e">
            <v>#VALUE!</v>
          </cell>
        </row>
        <row r="98">
          <cell r="A98">
            <v>97</v>
          </cell>
          <cell r="B98" t="str">
            <v>Denmark</v>
          </cell>
          <cell r="C98" t="str">
            <v>FOR</v>
          </cell>
          <cell r="D98" t="str">
            <v>Larsen S</v>
          </cell>
          <cell r="E98">
            <v>5.4</v>
          </cell>
          <cell r="F98" t="e">
            <v>#VALUE!</v>
          </cell>
          <cell r="G98" t="e">
            <v>#VALUE!</v>
          </cell>
          <cell r="H98" t="e">
            <v>#VALUE!</v>
          </cell>
          <cell r="I98" t="e">
            <v>#VALUE!</v>
          </cell>
          <cell r="J98" t="e">
            <v>#VALUE!</v>
          </cell>
          <cell r="K98" t="e">
            <v>#VALUE!</v>
          </cell>
          <cell r="L98" t="e">
            <v>#VALUE!</v>
          </cell>
        </row>
        <row r="99">
          <cell r="A99">
            <v>98</v>
          </cell>
          <cell r="B99" t="str">
            <v>Denmark</v>
          </cell>
          <cell r="C99" t="str">
            <v>FOR</v>
          </cell>
          <cell r="D99" t="str">
            <v>Tomasson JD</v>
          </cell>
          <cell r="E99">
            <v>3.6</v>
          </cell>
          <cell r="F99" t="e">
            <v>#VALUE!</v>
          </cell>
          <cell r="G99" t="e">
            <v>#VALUE!</v>
          </cell>
          <cell r="H99" t="e">
            <v>#VALUE!</v>
          </cell>
          <cell r="I99" t="e">
            <v>#VALUE!</v>
          </cell>
          <cell r="J99" t="e">
            <v>#VALUE!</v>
          </cell>
          <cell r="K99" t="e">
            <v>#VALUE!</v>
          </cell>
          <cell r="L99" t="e">
            <v>#VALUE!</v>
          </cell>
        </row>
        <row r="100">
          <cell r="A100">
            <v>99</v>
          </cell>
          <cell r="B100" t="str">
            <v>England</v>
          </cell>
          <cell r="C100" t="str">
            <v>GK</v>
          </cell>
          <cell r="D100" t="str">
            <v>Green R</v>
          </cell>
          <cell r="E100">
            <v>3.7</v>
          </cell>
          <cell r="F100" t="e">
            <v>#VALUE!</v>
          </cell>
          <cell r="G100" t="e">
            <v>#VALUE!</v>
          </cell>
          <cell r="H100" t="e">
            <v>#VALUE!</v>
          </cell>
          <cell r="I100" t="e">
            <v>#VALUE!</v>
          </cell>
          <cell r="J100" t="e">
            <v>#VALUE!</v>
          </cell>
          <cell r="K100" t="e">
            <v>#VALUE!</v>
          </cell>
          <cell r="L100" t="e">
            <v>#VALUE!</v>
          </cell>
        </row>
        <row r="101">
          <cell r="A101">
            <v>100</v>
          </cell>
          <cell r="B101" t="str">
            <v>England</v>
          </cell>
          <cell r="C101" t="str">
            <v>GK</v>
          </cell>
          <cell r="D101" t="str">
            <v>Hart J</v>
          </cell>
          <cell r="E101">
            <v>3.1</v>
          </cell>
          <cell r="F101" t="e">
            <v>#VALUE!</v>
          </cell>
          <cell r="G101" t="e">
            <v>#VALUE!</v>
          </cell>
          <cell r="H101" t="e">
            <v>#VALUE!</v>
          </cell>
          <cell r="I101" t="e">
            <v>#VALUE!</v>
          </cell>
          <cell r="J101" t="e">
            <v>#VALUE!</v>
          </cell>
          <cell r="K101" t="e">
            <v>#VALUE!</v>
          </cell>
          <cell r="L101" t="e">
            <v>#VALUE!</v>
          </cell>
        </row>
        <row r="102">
          <cell r="A102">
            <v>101</v>
          </cell>
          <cell r="B102" t="str">
            <v>England</v>
          </cell>
          <cell r="C102" t="str">
            <v>GK</v>
          </cell>
          <cell r="D102" t="str">
            <v>James D</v>
          </cell>
          <cell r="E102">
            <v>3.5</v>
          </cell>
          <cell r="F102" t="e">
            <v>#VALUE!</v>
          </cell>
          <cell r="G102" t="e">
            <v>#VALUE!</v>
          </cell>
          <cell r="H102" t="e">
            <v>#VALUE!</v>
          </cell>
          <cell r="I102" t="e">
            <v>#VALUE!</v>
          </cell>
          <cell r="J102" t="e">
            <v>#VALUE!</v>
          </cell>
          <cell r="K102" t="e">
            <v>#VALUE!</v>
          </cell>
          <cell r="L102" t="e">
            <v>#VALUE!</v>
          </cell>
        </row>
        <row r="103">
          <cell r="A103">
            <v>102</v>
          </cell>
          <cell r="B103" t="str">
            <v>England</v>
          </cell>
          <cell r="C103" t="str">
            <v>DEF</v>
          </cell>
          <cell r="D103" t="str">
            <v>Cole A</v>
          </cell>
          <cell r="E103">
            <v>4.2</v>
          </cell>
          <cell r="F103" t="e">
            <v>#VALUE!</v>
          </cell>
          <cell r="G103" t="e">
            <v>#VALUE!</v>
          </cell>
          <cell r="H103" t="e">
            <v>#VALUE!</v>
          </cell>
          <cell r="I103" t="e">
            <v>#VALUE!</v>
          </cell>
          <cell r="J103" t="e">
            <v>#VALUE!</v>
          </cell>
          <cell r="K103" t="e">
            <v>#VALUE!</v>
          </cell>
          <cell r="L103" t="e">
            <v>#VALUE!</v>
          </cell>
        </row>
        <row r="104">
          <cell r="A104">
            <v>103</v>
          </cell>
          <cell r="B104" t="str">
            <v>England</v>
          </cell>
          <cell r="C104" t="str">
            <v>DEF</v>
          </cell>
          <cell r="D104" t="str">
            <v>Ferdinand R</v>
          </cell>
          <cell r="E104">
            <v>3.8</v>
          </cell>
          <cell r="F104" t="e">
            <v>#VALUE!</v>
          </cell>
          <cell r="G104" t="e">
            <v>#VALUE!</v>
          </cell>
          <cell r="H104" t="e">
            <v>#VALUE!</v>
          </cell>
          <cell r="I104" t="e">
            <v>#VALUE!</v>
          </cell>
          <cell r="J104" t="e">
            <v>#VALUE!</v>
          </cell>
          <cell r="K104" t="e">
            <v>#VALUE!</v>
          </cell>
          <cell r="L104" t="e">
            <v>#VALUE!</v>
          </cell>
        </row>
        <row r="105">
          <cell r="A105">
            <v>104</v>
          </cell>
          <cell r="B105" t="str">
            <v>England</v>
          </cell>
          <cell r="C105" t="str">
            <v>DEF</v>
          </cell>
          <cell r="D105" t="str">
            <v>Johnson G</v>
          </cell>
          <cell r="E105">
            <v>3.3</v>
          </cell>
          <cell r="F105" t="e">
            <v>#VALUE!</v>
          </cell>
          <cell r="G105" t="e">
            <v>#VALUE!</v>
          </cell>
          <cell r="H105" t="e">
            <v>#VALUE!</v>
          </cell>
          <cell r="I105" t="e">
            <v>#VALUE!</v>
          </cell>
          <cell r="J105" t="e">
            <v>#VALUE!</v>
          </cell>
          <cell r="K105" t="e">
            <v>#VALUE!</v>
          </cell>
          <cell r="L105" t="e">
            <v>#VALUE!</v>
          </cell>
        </row>
        <row r="106">
          <cell r="A106">
            <v>105</v>
          </cell>
          <cell r="B106" t="str">
            <v>England</v>
          </cell>
          <cell r="C106" t="str">
            <v>DEF</v>
          </cell>
          <cell r="D106" t="str">
            <v>King L</v>
          </cell>
          <cell r="E106">
            <v>3.1</v>
          </cell>
          <cell r="F106" t="e">
            <v>#VALUE!</v>
          </cell>
          <cell r="G106" t="e">
            <v>#VALUE!</v>
          </cell>
          <cell r="H106" t="e">
            <v>#VALUE!</v>
          </cell>
          <cell r="I106" t="e">
            <v>#VALUE!</v>
          </cell>
          <cell r="J106" t="e">
            <v>#VALUE!</v>
          </cell>
          <cell r="K106" t="e">
            <v>#VALUE!</v>
          </cell>
          <cell r="L106" t="e">
            <v>#VALUE!</v>
          </cell>
        </row>
        <row r="107">
          <cell r="A107">
            <v>106</v>
          </cell>
          <cell r="B107" t="str">
            <v>England</v>
          </cell>
          <cell r="C107" t="str">
            <v>DEF</v>
          </cell>
          <cell r="D107" t="str">
            <v>Terry J</v>
          </cell>
          <cell r="E107">
            <v>4</v>
          </cell>
          <cell r="F107" t="e">
            <v>#VALUE!</v>
          </cell>
          <cell r="G107" t="e">
            <v>#VALUE!</v>
          </cell>
          <cell r="H107" t="e">
            <v>#VALUE!</v>
          </cell>
          <cell r="I107" t="e">
            <v>#VALUE!</v>
          </cell>
          <cell r="J107" t="e">
            <v>#VALUE!</v>
          </cell>
          <cell r="K107" t="e">
            <v>#VALUE!</v>
          </cell>
          <cell r="L107" t="e">
            <v>#VALUE!</v>
          </cell>
        </row>
        <row r="108">
          <cell r="A108">
            <v>107</v>
          </cell>
          <cell r="B108" t="str">
            <v>England</v>
          </cell>
          <cell r="C108" t="str">
            <v>DEF</v>
          </cell>
          <cell r="D108" t="str">
            <v>Upson M</v>
          </cell>
          <cell r="E108">
            <v>3</v>
          </cell>
          <cell r="F108" t="e">
            <v>#VALUE!</v>
          </cell>
          <cell r="G108" t="e">
            <v>#VALUE!</v>
          </cell>
          <cell r="H108" t="e">
            <v>#VALUE!</v>
          </cell>
          <cell r="I108" t="e">
            <v>#VALUE!</v>
          </cell>
          <cell r="J108" t="e">
            <v>#VALUE!</v>
          </cell>
          <cell r="K108" t="e">
            <v>#VALUE!</v>
          </cell>
          <cell r="L108" t="e">
            <v>#VALUE!</v>
          </cell>
        </row>
        <row r="109">
          <cell r="A109">
            <v>108</v>
          </cell>
          <cell r="B109" t="str">
            <v>England</v>
          </cell>
          <cell r="C109" t="str">
            <v>MID</v>
          </cell>
          <cell r="D109" t="str">
            <v>Barry G</v>
          </cell>
          <cell r="E109">
            <v>3.4</v>
          </cell>
          <cell r="F109" t="e">
            <v>#VALUE!</v>
          </cell>
          <cell r="G109" t="e">
            <v>#VALUE!</v>
          </cell>
          <cell r="H109" t="e">
            <v>#VALUE!</v>
          </cell>
          <cell r="I109" t="e">
            <v>#VALUE!</v>
          </cell>
          <cell r="J109" t="e">
            <v>#VALUE!</v>
          </cell>
          <cell r="K109" t="e">
            <v>#VALUE!</v>
          </cell>
          <cell r="L109" t="e">
            <v>#VALUE!</v>
          </cell>
        </row>
        <row r="110">
          <cell r="A110">
            <v>109</v>
          </cell>
          <cell r="B110" t="str">
            <v>England</v>
          </cell>
          <cell r="C110" t="str">
            <v>MID</v>
          </cell>
          <cell r="D110" t="str">
            <v>Carrick M</v>
          </cell>
          <cell r="E110">
            <v>2.9</v>
          </cell>
          <cell r="F110" t="e">
            <v>#VALUE!</v>
          </cell>
          <cell r="G110" t="e">
            <v>#VALUE!</v>
          </cell>
          <cell r="H110" t="e">
            <v>#VALUE!</v>
          </cell>
          <cell r="I110" t="e">
            <v>#VALUE!</v>
          </cell>
          <cell r="J110" t="e">
            <v>#VALUE!</v>
          </cell>
          <cell r="K110" t="e">
            <v>#VALUE!</v>
          </cell>
          <cell r="L110" t="e">
            <v>#VALUE!</v>
          </cell>
        </row>
        <row r="111">
          <cell r="A111">
            <v>110</v>
          </cell>
          <cell r="B111" t="str">
            <v>England</v>
          </cell>
          <cell r="C111" t="str">
            <v>MID</v>
          </cell>
          <cell r="D111" t="str">
            <v>Gerrard S</v>
          </cell>
          <cell r="E111">
            <v>4.5</v>
          </cell>
          <cell r="F111" t="e">
            <v>#VALUE!</v>
          </cell>
          <cell r="G111" t="e">
            <v>#VALUE!</v>
          </cell>
          <cell r="H111" t="e">
            <v>#VALUE!</v>
          </cell>
          <cell r="I111" t="e">
            <v>#VALUE!</v>
          </cell>
          <cell r="J111" t="e">
            <v>#VALUE!</v>
          </cell>
          <cell r="K111" t="e">
            <v>#VALUE!</v>
          </cell>
          <cell r="L111" t="e">
            <v>#VALUE!</v>
          </cell>
        </row>
        <row r="112">
          <cell r="A112">
            <v>111</v>
          </cell>
          <cell r="B112" t="str">
            <v>England</v>
          </cell>
          <cell r="C112" t="str">
            <v>MID</v>
          </cell>
          <cell r="D112" t="str">
            <v>Lampard F</v>
          </cell>
          <cell r="E112">
            <v>4.8</v>
          </cell>
          <cell r="F112" t="e">
            <v>#VALUE!</v>
          </cell>
          <cell r="G112" t="e">
            <v>#VALUE!</v>
          </cell>
          <cell r="H112" t="e">
            <v>#VALUE!</v>
          </cell>
          <cell r="I112" t="e">
            <v>#VALUE!</v>
          </cell>
          <cell r="J112" t="e">
            <v>#VALUE!</v>
          </cell>
          <cell r="K112" t="e">
            <v>#VALUE!</v>
          </cell>
          <cell r="L112" t="e">
            <v>#VALUE!</v>
          </cell>
        </row>
        <row r="113">
          <cell r="A113">
            <v>112</v>
          </cell>
          <cell r="B113" t="str">
            <v>England</v>
          </cell>
          <cell r="C113" t="str">
            <v>MID</v>
          </cell>
          <cell r="D113" t="str">
            <v>Lennon A</v>
          </cell>
          <cell r="E113">
            <v>3.3</v>
          </cell>
          <cell r="F113" t="e">
            <v>#VALUE!</v>
          </cell>
          <cell r="G113" t="e">
            <v>#VALUE!</v>
          </cell>
          <cell r="H113" t="e">
            <v>#VALUE!</v>
          </cell>
          <cell r="I113" t="e">
            <v>#VALUE!</v>
          </cell>
          <cell r="J113" t="e">
            <v>#VALUE!</v>
          </cell>
          <cell r="K113" t="e">
            <v>#VALUE!</v>
          </cell>
          <cell r="L113" t="e">
            <v>#VALUE!</v>
          </cell>
        </row>
        <row r="114">
          <cell r="A114">
            <v>113</v>
          </cell>
          <cell r="B114" t="str">
            <v>England</v>
          </cell>
          <cell r="C114" t="str">
            <v>MID</v>
          </cell>
          <cell r="D114" t="str">
            <v>Milner J</v>
          </cell>
          <cell r="E114">
            <v>3.1</v>
          </cell>
          <cell r="F114" t="e">
            <v>#VALUE!</v>
          </cell>
          <cell r="G114" t="e">
            <v>#VALUE!</v>
          </cell>
          <cell r="H114" t="e">
            <v>#VALUE!</v>
          </cell>
          <cell r="I114" t="e">
            <v>#VALUE!</v>
          </cell>
          <cell r="J114" t="e">
            <v>#VALUE!</v>
          </cell>
          <cell r="K114" t="e">
            <v>#VALUE!</v>
          </cell>
          <cell r="L114" t="e">
            <v>#VALUE!</v>
          </cell>
        </row>
        <row r="115">
          <cell r="A115">
            <v>114</v>
          </cell>
          <cell r="B115" t="str">
            <v>England</v>
          </cell>
          <cell r="C115" t="str">
            <v>MID</v>
          </cell>
          <cell r="D115" t="str">
            <v>Walcott T</v>
          </cell>
          <cell r="E115">
            <v>3.2</v>
          </cell>
          <cell r="F115" t="e">
            <v>#VALUE!</v>
          </cell>
          <cell r="G115" t="e">
            <v>#VALUE!</v>
          </cell>
          <cell r="H115" t="e">
            <v>#VALUE!</v>
          </cell>
          <cell r="I115" t="e">
            <v>#VALUE!</v>
          </cell>
          <cell r="J115" t="e">
            <v>#VALUE!</v>
          </cell>
          <cell r="K115" t="e">
            <v>#VALUE!</v>
          </cell>
          <cell r="L115" t="e">
            <v>#VALUE!</v>
          </cell>
        </row>
        <row r="116">
          <cell r="A116">
            <v>115</v>
          </cell>
          <cell r="B116" t="str">
            <v>England</v>
          </cell>
          <cell r="C116" t="str">
            <v>FOR</v>
          </cell>
          <cell r="D116" t="str">
            <v>Crouch P</v>
          </cell>
          <cell r="E116">
            <v>5.4</v>
          </cell>
          <cell r="F116" t="e">
            <v>#VALUE!</v>
          </cell>
          <cell r="G116" t="e">
            <v>#VALUE!</v>
          </cell>
          <cell r="H116" t="e">
            <v>#VALUE!</v>
          </cell>
          <cell r="I116" t="e">
            <v>#VALUE!</v>
          </cell>
          <cell r="J116" t="e">
            <v>#VALUE!</v>
          </cell>
          <cell r="K116" t="e">
            <v>#VALUE!</v>
          </cell>
          <cell r="L116" t="e">
            <v>#VALUE!</v>
          </cell>
        </row>
        <row r="117">
          <cell r="A117">
            <v>116</v>
          </cell>
          <cell r="B117" t="str">
            <v>England</v>
          </cell>
          <cell r="C117" t="str">
            <v>FOR</v>
          </cell>
          <cell r="D117" t="str">
            <v>Defoe J</v>
          </cell>
          <cell r="E117">
            <v>4.5</v>
          </cell>
          <cell r="F117" t="e">
            <v>#VALUE!</v>
          </cell>
          <cell r="G117" t="e">
            <v>#VALUE!</v>
          </cell>
          <cell r="H117" t="e">
            <v>#VALUE!</v>
          </cell>
          <cell r="I117" t="e">
            <v>#VALUE!</v>
          </cell>
          <cell r="J117" t="e">
            <v>#VALUE!</v>
          </cell>
          <cell r="K117" t="e">
            <v>#VALUE!</v>
          </cell>
          <cell r="L117" t="e">
            <v>#VALUE!</v>
          </cell>
        </row>
        <row r="118">
          <cell r="A118">
            <v>117</v>
          </cell>
          <cell r="B118" t="str">
            <v>England</v>
          </cell>
          <cell r="C118" t="str">
            <v>FOR</v>
          </cell>
          <cell r="D118" t="str">
            <v>Heskey E</v>
          </cell>
          <cell r="E118">
            <v>4.8</v>
          </cell>
          <cell r="F118" t="e">
            <v>#VALUE!</v>
          </cell>
          <cell r="G118" t="e">
            <v>#VALUE!</v>
          </cell>
          <cell r="H118" t="e">
            <v>#VALUE!</v>
          </cell>
          <cell r="I118" t="e">
            <v>#VALUE!</v>
          </cell>
          <cell r="J118" t="e">
            <v>#VALUE!</v>
          </cell>
          <cell r="K118" t="e">
            <v>#VALUE!</v>
          </cell>
          <cell r="L118" t="e">
            <v>#VALUE!</v>
          </cell>
        </row>
        <row r="119">
          <cell r="A119">
            <v>118</v>
          </cell>
          <cell r="B119" t="str">
            <v>England</v>
          </cell>
          <cell r="C119" t="str">
            <v>FOR</v>
          </cell>
          <cell r="D119" t="str">
            <v>Rooney W</v>
          </cell>
          <cell r="E119">
            <v>6.4</v>
          </cell>
          <cell r="F119" t="e">
            <v>#VALUE!</v>
          </cell>
          <cell r="G119" t="e">
            <v>#VALUE!</v>
          </cell>
          <cell r="H119" t="e">
            <v>#VALUE!</v>
          </cell>
          <cell r="I119" t="e">
            <v>#VALUE!</v>
          </cell>
          <cell r="J119" t="e">
            <v>#VALUE!</v>
          </cell>
          <cell r="K119" t="e">
            <v>#VALUE!</v>
          </cell>
          <cell r="L119" t="e">
            <v>#VALUE!</v>
          </cell>
        </row>
        <row r="120">
          <cell r="A120">
            <v>119</v>
          </cell>
          <cell r="B120" t="str">
            <v>France</v>
          </cell>
          <cell r="C120" t="str">
            <v>GK</v>
          </cell>
          <cell r="D120" t="str">
            <v>Lloris H</v>
          </cell>
          <cell r="E120">
            <v>3.6</v>
          </cell>
          <cell r="F120" t="e">
            <v>#VALUE!</v>
          </cell>
          <cell r="G120" t="e">
            <v>#VALUE!</v>
          </cell>
          <cell r="H120" t="e">
            <v>#VALUE!</v>
          </cell>
          <cell r="I120" t="e">
            <v>#VALUE!</v>
          </cell>
          <cell r="J120" t="e">
            <v>#VALUE!</v>
          </cell>
          <cell r="K120" t="e">
            <v>#VALUE!</v>
          </cell>
          <cell r="L120" t="e">
            <v>#VALUE!</v>
          </cell>
        </row>
        <row r="121">
          <cell r="A121">
            <v>120</v>
          </cell>
          <cell r="B121" t="str">
            <v>France</v>
          </cell>
          <cell r="C121" t="str">
            <v>DEF</v>
          </cell>
          <cell r="D121" t="str">
            <v>Abidal E</v>
          </cell>
          <cell r="E121">
            <v>3.6</v>
          </cell>
          <cell r="F121" t="e">
            <v>#VALUE!</v>
          </cell>
          <cell r="G121" t="e">
            <v>#VALUE!</v>
          </cell>
          <cell r="H121" t="e">
            <v>#VALUE!</v>
          </cell>
          <cell r="I121" t="e">
            <v>#VALUE!</v>
          </cell>
          <cell r="J121" t="e">
            <v>#VALUE!</v>
          </cell>
          <cell r="K121" t="e">
            <v>#VALUE!</v>
          </cell>
          <cell r="L121" t="e">
            <v>#VALUE!</v>
          </cell>
        </row>
        <row r="122">
          <cell r="A122">
            <v>121</v>
          </cell>
          <cell r="B122" t="str">
            <v>France</v>
          </cell>
          <cell r="C122" t="str">
            <v>DEF</v>
          </cell>
          <cell r="D122" t="str">
            <v>Clichy G</v>
          </cell>
          <cell r="E122">
            <v>3</v>
          </cell>
          <cell r="F122" t="e">
            <v>#VALUE!</v>
          </cell>
          <cell r="G122" t="e">
            <v>#VALUE!</v>
          </cell>
          <cell r="H122" t="e">
            <v>#VALUE!</v>
          </cell>
          <cell r="I122" t="e">
            <v>#VALUE!</v>
          </cell>
          <cell r="J122" t="e">
            <v>#VALUE!</v>
          </cell>
          <cell r="K122" t="e">
            <v>#VALUE!</v>
          </cell>
          <cell r="L122" t="e">
            <v>#VALUE!</v>
          </cell>
        </row>
        <row r="123">
          <cell r="A123">
            <v>122</v>
          </cell>
          <cell r="B123" t="str">
            <v>France</v>
          </cell>
          <cell r="C123" t="str">
            <v>DEF</v>
          </cell>
          <cell r="D123" t="str">
            <v>Evra P</v>
          </cell>
          <cell r="E123">
            <v>4</v>
          </cell>
          <cell r="F123" t="e">
            <v>#VALUE!</v>
          </cell>
          <cell r="G123" t="e">
            <v>#VALUE!</v>
          </cell>
          <cell r="H123" t="e">
            <v>#VALUE!</v>
          </cell>
          <cell r="I123" t="e">
            <v>#VALUE!</v>
          </cell>
          <cell r="J123" t="e">
            <v>#VALUE!</v>
          </cell>
          <cell r="K123" t="e">
            <v>#VALUE!</v>
          </cell>
          <cell r="L123" t="e">
            <v>#VALUE!</v>
          </cell>
        </row>
        <row r="124">
          <cell r="A124">
            <v>123</v>
          </cell>
          <cell r="B124" t="str">
            <v>France</v>
          </cell>
          <cell r="C124" t="str">
            <v>DEF</v>
          </cell>
          <cell r="D124" t="str">
            <v>Gallas W</v>
          </cell>
          <cell r="E124">
            <v>3.8</v>
          </cell>
          <cell r="F124" t="e">
            <v>#VALUE!</v>
          </cell>
          <cell r="G124" t="e">
            <v>#VALUE!</v>
          </cell>
          <cell r="H124" t="e">
            <v>#VALUE!</v>
          </cell>
          <cell r="I124" t="e">
            <v>#VALUE!</v>
          </cell>
          <cell r="J124" t="e">
            <v>#VALUE!</v>
          </cell>
          <cell r="K124" t="e">
            <v>#VALUE!</v>
          </cell>
          <cell r="L124" t="e">
            <v>#VALUE!</v>
          </cell>
        </row>
        <row r="125">
          <cell r="A125">
            <v>124</v>
          </cell>
          <cell r="B125" t="str">
            <v>France</v>
          </cell>
          <cell r="C125" t="str">
            <v>DEF</v>
          </cell>
          <cell r="D125" t="str">
            <v>Sagna B</v>
          </cell>
          <cell r="E125">
            <v>3.6</v>
          </cell>
          <cell r="F125" t="e">
            <v>#VALUE!</v>
          </cell>
          <cell r="G125" t="e">
            <v>#VALUE!</v>
          </cell>
          <cell r="H125" t="e">
            <v>#VALUE!</v>
          </cell>
          <cell r="I125" t="e">
            <v>#VALUE!</v>
          </cell>
          <cell r="J125" t="e">
            <v>#VALUE!</v>
          </cell>
          <cell r="K125" t="e">
            <v>#VALUE!</v>
          </cell>
          <cell r="L125" t="e">
            <v>#VALUE!</v>
          </cell>
        </row>
        <row r="126">
          <cell r="A126">
            <v>125</v>
          </cell>
          <cell r="B126" t="str">
            <v>France</v>
          </cell>
          <cell r="C126" t="str">
            <v>MID</v>
          </cell>
          <cell r="D126" t="str">
            <v>Diarra A</v>
          </cell>
          <cell r="E126">
            <v>2.9</v>
          </cell>
          <cell r="F126" t="e">
            <v>#VALUE!</v>
          </cell>
          <cell r="G126" t="e">
            <v>#VALUE!</v>
          </cell>
          <cell r="H126" t="e">
            <v>#VALUE!</v>
          </cell>
          <cell r="I126" t="e">
            <v>#VALUE!</v>
          </cell>
          <cell r="J126" t="e">
            <v>#VALUE!</v>
          </cell>
          <cell r="K126" t="e">
            <v>#VALUE!</v>
          </cell>
          <cell r="L126" t="e">
            <v>#VALUE!</v>
          </cell>
        </row>
        <row r="127">
          <cell r="A127">
            <v>126</v>
          </cell>
          <cell r="B127" t="str">
            <v>France</v>
          </cell>
          <cell r="C127" t="str">
            <v>MID</v>
          </cell>
          <cell r="D127" t="str">
            <v>Diarra L</v>
          </cell>
          <cell r="E127">
            <v>3.4</v>
          </cell>
          <cell r="F127" t="e">
            <v>#VALUE!</v>
          </cell>
          <cell r="G127" t="e">
            <v>#VALUE!</v>
          </cell>
          <cell r="H127" t="e">
            <v>#VALUE!</v>
          </cell>
          <cell r="I127" t="e">
            <v>#VALUE!</v>
          </cell>
          <cell r="J127" t="e">
            <v>#VALUE!</v>
          </cell>
          <cell r="K127" t="e">
            <v>#VALUE!</v>
          </cell>
          <cell r="L127" t="e">
            <v>#VALUE!</v>
          </cell>
        </row>
        <row r="128">
          <cell r="A128">
            <v>127</v>
          </cell>
          <cell r="B128" t="str">
            <v>France</v>
          </cell>
          <cell r="C128" t="str">
            <v>MID</v>
          </cell>
          <cell r="D128" t="str">
            <v>Gourcuff Y</v>
          </cell>
          <cell r="E128">
            <v>3</v>
          </cell>
          <cell r="F128" t="e">
            <v>#VALUE!</v>
          </cell>
          <cell r="G128" t="e">
            <v>#VALUE!</v>
          </cell>
          <cell r="H128" t="e">
            <v>#VALUE!</v>
          </cell>
          <cell r="I128" t="e">
            <v>#VALUE!</v>
          </cell>
          <cell r="J128" t="e">
            <v>#VALUE!</v>
          </cell>
          <cell r="K128" t="e">
            <v>#VALUE!</v>
          </cell>
          <cell r="L128" t="e">
            <v>#VALUE!</v>
          </cell>
        </row>
        <row r="129">
          <cell r="A129">
            <v>128</v>
          </cell>
          <cell r="B129" t="str">
            <v>France</v>
          </cell>
          <cell r="C129" t="str">
            <v>MID</v>
          </cell>
          <cell r="D129" t="str">
            <v>Malouda F</v>
          </cell>
          <cell r="E129">
            <v>3.8</v>
          </cell>
          <cell r="F129" t="e">
            <v>#VALUE!</v>
          </cell>
          <cell r="G129" t="e">
            <v>#VALUE!</v>
          </cell>
          <cell r="H129" t="e">
            <v>#VALUE!</v>
          </cell>
          <cell r="I129" t="e">
            <v>#VALUE!</v>
          </cell>
          <cell r="J129" t="e">
            <v>#VALUE!</v>
          </cell>
          <cell r="K129" t="e">
            <v>#VALUE!</v>
          </cell>
          <cell r="L129" t="e">
            <v>#VALUE!</v>
          </cell>
        </row>
        <row r="130">
          <cell r="A130">
            <v>129</v>
          </cell>
          <cell r="B130" t="str">
            <v>France</v>
          </cell>
          <cell r="C130" t="str">
            <v>MID</v>
          </cell>
          <cell r="D130" t="str">
            <v>Ribery F</v>
          </cell>
          <cell r="E130">
            <v>4.7</v>
          </cell>
          <cell r="F130" t="e">
            <v>#VALUE!</v>
          </cell>
          <cell r="G130" t="e">
            <v>#VALUE!</v>
          </cell>
          <cell r="H130" t="e">
            <v>#VALUE!</v>
          </cell>
          <cell r="I130" t="e">
            <v>#VALUE!</v>
          </cell>
          <cell r="J130" t="e">
            <v>#VALUE!</v>
          </cell>
          <cell r="K130" t="e">
            <v>#VALUE!</v>
          </cell>
          <cell r="L130" t="e">
            <v>#VALUE!</v>
          </cell>
        </row>
        <row r="131">
          <cell r="A131">
            <v>130</v>
          </cell>
          <cell r="B131" t="str">
            <v>France</v>
          </cell>
          <cell r="C131" t="str">
            <v>MID</v>
          </cell>
          <cell r="D131" t="str">
            <v>Toulalan J</v>
          </cell>
          <cell r="E131">
            <v>3.4</v>
          </cell>
          <cell r="F131" t="e">
            <v>#VALUE!</v>
          </cell>
          <cell r="G131" t="e">
            <v>#VALUE!</v>
          </cell>
          <cell r="H131" t="e">
            <v>#VALUE!</v>
          </cell>
          <cell r="I131" t="e">
            <v>#VALUE!</v>
          </cell>
          <cell r="J131" t="e">
            <v>#VALUE!</v>
          </cell>
          <cell r="K131" t="e">
            <v>#VALUE!</v>
          </cell>
          <cell r="L131" t="e">
            <v>#VALUE!</v>
          </cell>
        </row>
        <row r="132">
          <cell r="A132">
            <v>131</v>
          </cell>
          <cell r="B132" t="str">
            <v>France</v>
          </cell>
          <cell r="C132" t="str">
            <v>FOR</v>
          </cell>
          <cell r="D132" t="str">
            <v>Anelka N</v>
          </cell>
          <cell r="E132">
            <v>5.5</v>
          </cell>
          <cell r="F132" t="e">
            <v>#VALUE!</v>
          </cell>
          <cell r="G132" t="e">
            <v>#VALUE!</v>
          </cell>
          <cell r="H132" t="e">
            <v>#VALUE!</v>
          </cell>
          <cell r="I132" t="e">
            <v>#VALUE!</v>
          </cell>
          <cell r="J132" t="e">
            <v>#VALUE!</v>
          </cell>
          <cell r="K132" t="e">
            <v>#VALUE!</v>
          </cell>
          <cell r="L132" t="e">
            <v>#VALUE!</v>
          </cell>
        </row>
        <row r="133">
          <cell r="A133">
            <v>132</v>
          </cell>
          <cell r="B133" t="str">
            <v>France</v>
          </cell>
          <cell r="C133" t="str">
            <v>FOR</v>
          </cell>
          <cell r="D133" t="str">
            <v>Gignac AP</v>
          </cell>
          <cell r="E133">
            <v>5.4</v>
          </cell>
          <cell r="F133" t="e">
            <v>#VALUE!</v>
          </cell>
          <cell r="G133" t="e">
            <v>#VALUE!</v>
          </cell>
          <cell r="H133" t="e">
            <v>#VALUE!</v>
          </cell>
          <cell r="I133" t="e">
            <v>#VALUE!</v>
          </cell>
          <cell r="J133" t="e">
            <v>#VALUE!</v>
          </cell>
          <cell r="K133" t="e">
            <v>#VALUE!</v>
          </cell>
          <cell r="L133" t="e">
            <v>#VALUE!</v>
          </cell>
        </row>
        <row r="134">
          <cell r="A134">
            <v>133</v>
          </cell>
          <cell r="B134" t="str">
            <v>France</v>
          </cell>
          <cell r="C134" t="str">
            <v>FOR</v>
          </cell>
          <cell r="D134" t="str">
            <v>Henry T</v>
          </cell>
          <cell r="E134">
            <v>5.6</v>
          </cell>
          <cell r="F134" t="e">
            <v>#VALUE!</v>
          </cell>
          <cell r="G134" t="e">
            <v>#VALUE!</v>
          </cell>
          <cell r="H134" t="e">
            <v>#VALUE!</v>
          </cell>
          <cell r="I134" t="e">
            <v>#VALUE!</v>
          </cell>
          <cell r="J134" t="e">
            <v>#VALUE!</v>
          </cell>
          <cell r="K134" t="e">
            <v>#VALUE!</v>
          </cell>
          <cell r="L134" t="e">
            <v>#VALUE!</v>
          </cell>
        </row>
        <row r="135">
          <cell r="A135">
            <v>134</v>
          </cell>
          <cell r="B135" t="str">
            <v>Germany</v>
          </cell>
          <cell r="C135" t="str">
            <v>GK</v>
          </cell>
          <cell r="D135" t="str">
            <v>Butt H-J</v>
          </cell>
          <cell r="E135">
            <v>3.4</v>
          </cell>
          <cell r="F135" t="e">
            <v>#VALUE!</v>
          </cell>
          <cell r="G135" t="e">
            <v>#VALUE!</v>
          </cell>
          <cell r="H135" t="e">
            <v>#VALUE!</v>
          </cell>
          <cell r="I135" t="e">
            <v>#VALUE!</v>
          </cell>
          <cell r="J135" t="e">
            <v>#VALUE!</v>
          </cell>
          <cell r="K135" t="e">
            <v>#VALUE!</v>
          </cell>
          <cell r="L135" t="e">
            <v>#VALUE!</v>
          </cell>
        </row>
        <row r="136">
          <cell r="A136">
            <v>135</v>
          </cell>
          <cell r="B136" t="str">
            <v>Germany</v>
          </cell>
          <cell r="C136" t="str">
            <v>GK</v>
          </cell>
          <cell r="D136" t="str">
            <v>Wiese T</v>
          </cell>
          <cell r="E136">
            <v>3.6</v>
          </cell>
          <cell r="F136" t="e">
            <v>#VALUE!</v>
          </cell>
          <cell r="G136" t="e">
            <v>#VALUE!</v>
          </cell>
          <cell r="H136" t="e">
            <v>#VALUE!</v>
          </cell>
          <cell r="I136" t="e">
            <v>#VALUE!</v>
          </cell>
          <cell r="J136" t="e">
            <v>#VALUE!</v>
          </cell>
          <cell r="K136" t="e">
            <v>#VALUE!</v>
          </cell>
          <cell r="L136" t="e">
            <v>#VALUE!</v>
          </cell>
        </row>
        <row r="137">
          <cell r="A137">
            <v>136</v>
          </cell>
          <cell r="B137" t="str">
            <v>Germany</v>
          </cell>
          <cell r="C137" t="str">
            <v>DEF</v>
          </cell>
          <cell r="D137" t="str">
            <v>Badstuber H</v>
          </cell>
          <cell r="E137">
            <v>3.4</v>
          </cell>
          <cell r="F137" t="e">
            <v>#VALUE!</v>
          </cell>
          <cell r="G137" t="e">
            <v>#VALUE!</v>
          </cell>
          <cell r="H137" t="e">
            <v>#VALUE!</v>
          </cell>
          <cell r="I137" t="e">
            <v>#VALUE!</v>
          </cell>
          <cell r="J137" t="e">
            <v>#VALUE!</v>
          </cell>
          <cell r="K137" t="e">
            <v>#VALUE!</v>
          </cell>
          <cell r="L137" t="e">
            <v>#VALUE!</v>
          </cell>
        </row>
        <row r="138">
          <cell r="A138">
            <v>137</v>
          </cell>
          <cell r="B138" t="str">
            <v>Germany</v>
          </cell>
          <cell r="C138" t="str">
            <v>DEF</v>
          </cell>
          <cell r="D138" t="str">
            <v>Beck A</v>
          </cell>
          <cell r="E138">
            <v>3.1</v>
          </cell>
          <cell r="F138" t="e">
            <v>#VALUE!</v>
          </cell>
          <cell r="G138" t="e">
            <v>#VALUE!</v>
          </cell>
          <cell r="H138" t="e">
            <v>#VALUE!</v>
          </cell>
          <cell r="I138" t="e">
            <v>#VALUE!</v>
          </cell>
          <cell r="J138" t="e">
            <v>#VALUE!</v>
          </cell>
          <cell r="K138" t="e">
            <v>#VALUE!</v>
          </cell>
          <cell r="L138" t="e">
            <v>#VALUE!</v>
          </cell>
        </row>
        <row r="139">
          <cell r="A139">
            <v>138</v>
          </cell>
          <cell r="B139" t="str">
            <v>Germany</v>
          </cell>
          <cell r="C139" t="str">
            <v>DEF</v>
          </cell>
          <cell r="D139" t="str">
            <v>Friedrich A</v>
          </cell>
          <cell r="E139">
            <v>3.3</v>
          </cell>
          <cell r="F139" t="e">
            <v>#VALUE!</v>
          </cell>
          <cell r="G139" t="e">
            <v>#VALUE!</v>
          </cell>
          <cell r="H139" t="e">
            <v>#VALUE!</v>
          </cell>
          <cell r="I139" t="e">
            <v>#VALUE!</v>
          </cell>
          <cell r="J139" t="e">
            <v>#VALUE!</v>
          </cell>
          <cell r="K139" t="e">
            <v>#VALUE!</v>
          </cell>
          <cell r="L139" t="e">
            <v>#VALUE!</v>
          </cell>
        </row>
        <row r="140">
          <cell r="A140">
            <v>139</v>
          </cell>
          <cell r="B140" t="str">
            <v>Germany</v>
          </cell>
          <cell r="C140" t="str">
            <v>DEF</v>
          </cell>
          <cell r="D140" t="str">
            <v>Lahm P</v>
          </cell>
          <cell r="E140">
            <v>4.0999999999999996</v>
          </cell>
          <cell r="F140" t="e">
            <v>#VALUE!</v>
          </cell>
          <cell r="G140" t="e">
            <v>#VALUE!</v>
          </cell>
          <cell r="H140" t="e">
            <v>#VALUE!</v>
          </cell>
          <cell r="I140" t="e">
            <v>#VALUE!</v>
          </cell>
          <cell r="J140" t="e">
            <v>#VALUE!</v>
          </cell>
          <cell r="K140" t="e">
            <v>#VALUE!</v>
          </cell>
          <cell r="L140" t="e">
            <v>#VALUE!</v>
          </cell>
        </row>
        <row r="141">
          <cell r="A141">
            <v>140</v>
          </cell>
          <cell r="B141" t="str">
            <v>Germany</v>
          </cell>
          <cell r="C141" t="str">
            <v>DEF</v>
          </cell>
          <cell r="D141" t="str">
            <v>Mertesacker P</v>
          </cell>
          <cell r="E141">
            <v>3.2</v>
          </cell>
          <cell r="F141" t="e">
            <v>#VALUE!</v>
          </cell>
          <cell r="G141" t="e">
            <v>#VALUE!</v>
          </cell>
          <cell r="H141" t="e">
            <v>#VALUE!</v>
          </cell>
          <cell r="I141" t="e">
            <v>#VALUE!</v>
          </cell>
          <cell r="J141" t="e">
            <v>#VALUE!</v>
          </cell>
          <cell r="K141" t="e">
            <v>#VALUE!</v>
          </cell>
          <cell r="L141" t="e">
            <v>#VALUE!</v>
          </cell>
        </row>
        <row r="142">
          <cell r="A142">
            <v>141</v>
          </cell>
          <cell r="B142" t="str">
            <v>Germany</v>
          </cell>
          <cell r="C142" t="str">
            <v>DEF</v>
          </cell>
          <cell r="D142" t="str">
            <v>Westermann H</v>
          </cell>
          <cell r="E142">
            <v>3.8</v>
          </cell>
          <cell r="F142" t="e">
            <v>#VALUE!</v>
          </cell>
          <cell r="G142" t="e">
            <v>#VALUE!</v>
          </cell>
          <cell r="H142" t="e">
            <v>#VALUE!</v>
          </cell>
          <cell r="I142" t="e">
            <v>#VALUE!</v>
          </cell>
          <cell r="J142" t="e">
            <v>#VALUE!</v>
          </cell>
          <cell r="K142" t="e">
            <v>#VALUE!</v>
          </cell>
          <cell r="L142" t="e">
            <v>#VALUE!</v>
          </cell>
        </row>
        <row r="143">
          <cell r="A143">
            <v>142</v>
          </cell>
          <cell r="B143" t="str">
            <v>Germany</v>
          </cell>
          <cell r="C143" t="str">
            <v>MID</v>
          </cell>
          <cell r="D143" t="str">
            <v>Ballack M</v>
          </cell>
          <cell r="E143">
            <v>4.3</v>
          </cell>
          <cell r="F143" t="e">
            <v>#VALUE!</v>
          </cell>
          <cell r="G143" t="e">
            <v>#VALUE!</v>
          </cell>
          <cell r="H143" t="e">
            <v>#VALUE!</v>
          </cell>
          <cell r="I143" t="e">
            <v>#VALUE!</v>
          </cell>
          <cell r="J143" t="e">
            <v>#VALUE!</v>
          </cell>
          <cell r="K143" t="e">
            <v>#VALUE!</v>
          </cell>
          <cell r="L143" t="e">
            <v>#VALUE!</v>
          </cell>
        </row>
        <row r="144">
          <cell r="A144">
            <v>143</v>
          </cell>
          <cell r="B144" t="str">
            <v>Germany</v>
          </cell>
          <cell r="C144" t="str">
            <v>MID</v>
          </cell>
          <cell r="D144" t="str">
            <v>Ozil M</v>
          </cell>
          <cell r="E144">
            <v>2.8</v>
          </cell>
          <cell r="F144" t="e">
            <v>#VALUE!</v>
          </cell>
          <cell r="G144" t="e">
            <v>#VALUE!</v>
          </cell>
          <cell r="H144" t="e">
            <v>#VALUE!</v>
          </cell>
          <cell r="I144" t="e">
            <v>#VALUE!</v>
          </cell>
          <cell r="J144" t="e">
            <v>#VALUE!</v>
          </cell>
          <cell r="K144" t="e">
            <v>#VALUE!</v>
          </cell>
          <cell r="L144" t="e">
            <v>#VALUE!</v>
          </cell>
        </row>
        <row r="145">
          <cell r="A145">
            <v>144</v>
          </cell>
          <cell r="B145" t="str">
            <v>Germany</v>
          </cell>
          <cell r="C145" t="str">
            <v>MID</v>
          </cell>
          <cell r="D145" t="str">
            <v>Schweinsteiger B</v>
          </cell>
          <cell r="E145">
            <v>4.0999999999999996</v>
          </cell>
          <cell r="F145" t="e">
            <v>#VALUE!</v>
          </cell>
          <cell r="G145" t="e">
            <v>#VALUE!</v>
          </cell>
          <cell r="H145" t="e">
            <v>#VALUE!</v>
          </cell>
          <cell r="I145" t="e">
            <v>#VALUE!</v>
          </cell>
          <cell r="J145" t="e">
            <v>#VALUE!</v>
          </cell>
          <cell r="K145" t="e">
            <v>#VALUE!</v>
          </cell>
          <cell r="L145" t="e">
            <v>#VALUE!</v>
          </cell>
        </row>
        <row r="146">
          <cell r="A146">
            <v>145</v>
          </cell>
          <cell r="B146" t="str">
            <v>Germany</v>
          </cell>
          <cell r="C146" t="str">
            <v>MID</v>
          </cell>
          <cell r="D146" t="str">
            <v>Trochowski P</v>
          </cell>
          <cell r="E146">
            <v>3.3</v>
          </cell>
          <cell r="F146" t="e">
            <v>#VALUE!</v>
          </cell>
          <cell r="G146" t="e">
            <v>#VALUE!</v>
          </cell>
          <cell r="H146" t="e">
            <v>#VALUE!</v>
          </cell>
          <cell r="I146" t="e">
            <v>#VALUE!</v>
          </cell>
          <cell r="J146" t="e">
            <v>#VALUE!</v>
          </cell>
          <cell r="K146" t="e">
            <v>#VALUE!</v>
          </cell>
          <cell r="L146" t="e">
            <v>#VALUE!</v>
          </cell>
        </row>
        <row r="147">
          <cell r="A147">
            <v>146</v>
          </cell>
          <cell r="B147" t="str">
            <v>Germany</v>
          </cell>
          <cell r="C147" t="str">
            <v>FOR</v>
          </cell>
          <cell r="D147" t="str">
            <v xml:space="preserve">Cacau </v>
          </cell>
          <cell r="E147">
            <v>4.3</v>
          </cell>
          <cell r="F147" t="e">
            <v>#VALUE!</v>
          </cell>
          <cell r="G147" t="e">
            <v>#VALUE!</v>
          </cell>
          <cell r="H147" t="e">
            <v>#VALUE!</v>
          </cell>
          <cell r="I147" t="e">
            <v>#VALUE!</v>
          </cell>
          <cell r="J147" t="e">
            <v>#VALUE!</v>
          </cell>
          <cell r="K147" t="e">
            <v>#VALUE!</v>
          </cell>
          <cell r="L147" t="e">
            <v>#VALUE!</v>
          </cell>
        </row>
        <row r="148">
          <cell r="A148">
            <v>147</v>
          </cell>
          <cell r="B148" t="str">
            <v>Germany</v>
          </cell>
          <cell r="C148" t="str">
            <v>FOR</v>
          </cell>
          <cell r="D148" t="str">
            <v>Gomez M</v>
          </cell>
          <cell r="E148">
            <v>5.4</v>
          </cell>
          <cell r="F148" t="e">
            <v>#VALUE!</v>
          </cell>
          <cell r="G148" t="e">
            <v>#VALUE!</v>
          </cell>
          <cell r="H148" t="e">
            <v>#VALUE!</v>
          </cell>
          <cell r="I148" t="e">
            <v>#VALUE!</v>
          </cell>
          <cell r="J148" t="e">
            <v>#VALUE!</v>
          </cell>
          <cell r="K148" t="e">
            <v>#VALUE!</v>
          </cell>
          <cell r="L148" t="e">
            <v>#VALUE!</v>
          </cell>
        </row>
        <row r="149">
          <cell r="A149">
            <v>148</v>
          </cell>
          <cell r="B149" t="str">
            <v>Germany</v>
          </cell>
          <cell r="C149" t="str">
            <v>FOR</v>
          </cell>
          <cell r="D149" t="str">
            <v>Klose M</v>
          </cell>
          <cell r="E149">
            <v>6.1</v>
          </cell>
          <cell r="F149" t="e">
            <v>#VALUE!</v>
          </cell>
          <cell r="G149" t="e">
            <v>#VALUE!</v>
          </cell>
          <cell r="H149" t="e">
            <v>#VALUE!</v>
          </cell>
          <cell r="I149" t="e">
            <v>#VALUE!</v>
          </cell>
          <cell r="J149" t="e">
            <v>#VALUE!</v>
          </cell>
          <cell r="K149" t="e">
            <v>#VALUE!</v>
          </cell>
          <cell r="L149" t="e">
            <v>#VALUE!</v>
          </cell>
        </row>
        <row r="150">
          <cell r="A150">
            <v>149</v>
          </cell>
          <cell r="B150" t="str">
            <v>Germany</v>
          </cell>
          <cell r="C150" t="str">
            <v>FOR</v>
          </cell>
          <cell r="D150" t="str">
            <v>Podolski L</v>
          </cell>
          <cell r="E150">
            <v>5.8</v>
          </cell>
          <cell r="F150" t="e">
            <v>#VALUE!</v>
          </cell>
          <cell r="G150" t="e">
            <v>#VALUE!</v>
          </cell>
          <cell r="H150" t="e">
            <v>#VALUE!</v>
          </cell>
          <cell r="I150" t="e">
            <v>#VALUE!</v>
          </cell>
          <cell r="J150" t="e">
            <v>#VALUE!</v>
          </cell>
          <cell r="K150" t="e">
            <v>#VALUE!</v>
          </cell>
          <cell r="L150" t="e">
            <v>#VALUE!</v>
          </cell>
        </row>
        <row r="151">
          <cell r="A151">
            <v>150</v>
          </cell>
          <cell r="B151" t="str">
            <v>Ghana</v>
          </cell>
          <cell r="C151" t="str">
            <v>GK</v>
          </cell>
          <cell r="D151" t="str">
            <v>Kingson R</v>
          </cell>
          <cell r="E151">
            <v>3.3</v>
          </cell>
          <cell r="F151" t="e">
            <v>#VALUE!</v>
          </cell>
          <cell r="G151" t="e">
            <v>#VALUE!</v>
          </cell>
          <cell r="H151" t="e">
            <v>#VALUE!</v>
          </cell>
          <cell r="I151" t="e">
            <v>#VALUE!</v>
          </cell>
          <cell r="J151" t="e">
            <v>#VALUE!</v>
          </cell>
          <cell r="K151" t="e">
            <v>#VALUE!</v>
          </cell>
          <cell r="L151" t="e">
            <v>#VALUE!</v>
          </cell>
        </row>
        <row r="152">
          <cell r="A152">
            <v>151</v>
          </cell>
          <cell r="B152" t="str">
            <v>Ghana</v>
          </cell>
          <cell r="C152" t="str">
            <v>DEF</v>
          </cell>
          <cell r="D152" t="str">
            <v>Addo E</v>
          </cell>
          <cell r="E152">
            <v>3.3</v>
          </cell>
          <cell r="F152" t="e">
            <v>#VALUE!</v>
          </cell>
          <cell r="G152" t="e">
            <v>#VALUE!</v>
          </cell>
          <cell r="H152" t="e">
            <v>#VALUE!</v>
          </cell>
          <cell r="I152" t="e">
            <v>#VALUE!</v>
          </cell>
          <cell r="J152" t="e">
            <v>#VALUE!</v>
          </cell>
          <cell r="K152" t="e">
            <v>#VALUE!</v>
          </cell>
          <cell r="L152" t="e">
            <v>#VALUE!</v>
          </cell>
        </row>
        <row r="153">
          <cell r="A153">
            <v>152</v>
          </cell>
          <cell r="B153" t="str">
            <v>Ghana</v>
          </cell>
          <cell r="C153" t="str">
            <v>DEF</v>
          </cell>
          <cell r="D153" t="str">
            <v>Inkoom S</v>
          </cell>
          <cell r="E153">
            <v>3</v>
          </cell>
          <cell r="F153" t="e">
            <v>#VALUE!</v>
          </cell>
          <cell r="G153" t="e">
            <v>#VALUE!</v>
          </cell>
          <cell r="H153" t="e">
            <v>#VALUE!</v>
          </cell>
          <cell r="I153" t="e">
            <v>#VALUE!</v>
          </cell>
          <cell r="J153" t="e">
            <v>#VALUE!</v>
          </cell>
          <cell r="K153" t="e">
            <v>#VALUE!</v>
          </cell>
          <cell r="L153" t="e">
            <v>#VALUE!</v>
          </cell>
        </row>
        <row r="154">
          <cell r="A154">
            <v>153</v>
          </cell>
          <cell r="B154" t="str">
            <v>Ghana</v>
          </cell>
          <cell r="C154" t="str">
            <v>DEF</v>
          </cell>
          <cell r="D154" t="str">
            <v>Pantsil J</v>
          </cell>
          <cell r="E154">
            <v>3.5</v>
          </cell>
          <cell r="F154" t="e">
            <v>#VALUE!</v>
          </cell>
          <cell r="G154" t="e">
            <v>#VALUE!</v>
          </cell>
          <cell r="H154" t="e">
            <v>#VALUE!</v>
          </cell>
          <cell r="I154" t="e">
            <v>#VALUE!</v>
          </cell>
          <cell r="J154" t="e">
            <v>#VALUE!</v>
          </cell>
          <cell r="K154" t="e">
            <v>#VALUE!</v>
          </cell>
          <cell r="L154" t="e">
            <v>#VALUE!</v>
          </cell>
        </row>
        <row r="155">
          <cell r="A155">
            <v>154</v>
          </cell>
          <cell r="B155" t="str">
            <v>Ghana</v>
          </cell>
          <cell r="C155" t="str">
            <v>DEF</v>
          </cell>
          <cell r="D155" t="str">
            <v>Quartey J</v>
          </cell>
          <cell r="E155">
            <v>2.8</v>
          </cell>
          <cell r="F155" t="e">
            <v>#VALUE!</v>
          </cell>
          <cell r="G155" t="e">
            <v>#VALUE!</v>
          </cell>
          <cell r="H155" t="e">
            <v>#VALUE!</v>
          </cell>
          <cell r="I155" t="e">
            <v>#VALUE!</v>
          </cell>
          <cell r="J155" t="e">
            <v>#VALUE!</v>
          </cell>
          <cell r="K155" t="e">
            <v>#VALUE!</v>
          </cell>
          <cell r="L155" t="e">
            <v>#VALUE!</v>
          </cell>
        </row>
        <row r="156">
          <cell r="A156">
            <v>155</v>
          </cell>
          <cell r="B156" t="str">
            <v>Ghana</v>
          </cell>
          <cell r="C156" t="str">
            <v>MID</v>
          </cell>
          <cell r="D156" t="str">
            <v>Annan A</v>
          </cell>
          <cell r="E156">
            <v>3</v>
          </cell>
          <cell r="F156" t="e">
            <v>#VALUE!</v>
          </cell>
          <cell r="G156" t="e">
            <v>#VALUE!</v>
          </cell>
          <cell r="H156" t="e">
            <v>#VALUE!</v>
          </cell>
          <cell r="I156" t="e">
            <v>#VALUE!</v>
          </cell>
          <cell r="J156" t="e">
            <v>#VALUE!</v>
          </cell>
          <cell r="K156" t="e">
            <v>#VALUE!</v>
          </cell>
          <cell r="L156" t="e">
            <v>#VALUE!</v>
          </cell>
        </row>
        <row r="157">
          <cell r="A157">
            <v>156</v>
          </cell>
          <cell r="B157" t="str">
            <v>Ghana</v>
          </cell>
          <cell r="C157" t="str">
            <v>MID</v>
          </cell>
          <cell r="D157" t="str">
            <v>Appiah S</v>
          </cell>
          <cell r="E157">
            <v>2.8</v>
          </cell>
          <cell r="F157" t="e">
            <v>#VALUE!</v>
          </cell>
          <cell r="G157" t="e">
            <v>#VALUE!</v>
          </cell>
          <cell r="H157" t="e">
            <v>#VALUE!</v>
          </cell>
          <cell r="I157" t="e">
            <v>#VALUE!</v>
          </cell>
          <cell r="J157" t="e">
            <v>#VALUE!</v>
          </cell>
          <cell r="K157" t="e">
            <v>#VALUE!</v>
          </cell>
          <cell r="L157" t="e">
            <v>#VALUE!</v>
          </cell>
        </row>
        <row r="158">
          <cell r="A158">
            <v>157</v>
          </cell>
          <cell r="B158" t="str">
            <v>Ghana</v>
          </cell>
          <cell r="C158" t="str">
            <v>MID</v>
          </cell>
          <cell r="D158" t="str">
            <v>Essien M</v>
          </cell>
          <cell r="E158">
            <v>3.6</v>
          </cell>
          <cell r="F158" t="e">
            <v>#VALUE!</v>
          </cell>
          <cell r="G158" t="e">
            <v>#VALUE!</v>
          </cell>
          <cell r="H158" t="e">
            <v>#VALUE!</v>
          </cell>
          <cell r="I158" t="e">
            <v>#VALUE!</v>
          </cell>
          <cell r="J158" t="e">
            <v>#VALUE!</v>
          </cell>
          <cell r="K158" t="e">
            <v>#VALUE!</v>
          </cell>
          <cell r="L158" t="e">
            <v>#VALUE!</v>
          </cell>
        </row>
        <row r="159">
          <cell r="A159">
            <v>158</v>
          </cell>
          <cell r="B159" t="str">
            <v>Ghana</v>
          </cell>
          <cell r="C159" t="str">
            <v>MID</v>
          </cell>
          <cell r="D159" t="str">
            <v>Muntari S</v>
          </cell>
          <cell r="E159">
            <v>3.1</v>
          </cell>
          <cell r="F159" t="e">
            <v>#VALUE!</v>
          </cell>
          <cell r="G159" t="e">
            <v>#VALUE!</v>
          </cell>
          <cell r="H159" t="e">
            <v>#VALUE!</v>
          </cell>
          <cell r="I159" t="e">
            <v>#VALUE!</v>
          </cell>
          <cell r="J159" t="e">
            <v>#VALUE!</v>
          </cell>
          <cell r="K159" t="e">
            <v>#VALUE!</v>
          </cell>
          <cell r="L159" t="e">
            <v>#VALUE!</v>
          </cell>
        </row>
        <row r="160">
          <cell r="A160">
            <v>159</v>
          </cell>
          <cell r="B160" t="str">
            <v>Ghana</v>
          </cell>
          <cell r="C160" t="str">
            <v>FOR</v>
          </cell>
          <cell r="D160" t="str">
            <v>Amoah M</v>
          </cell>
          <cell r="E160">
            <v>5.0999999999999996</v>
          </cell>
          <cell r="F160" t="e">
            <v>#VALUE!</v>
          </cell>
          <cell r="G160" t="e">
            <v>#VALUE!</v>
          </cell>
          <cell r="H160" t="e">
            <v>#VALUE!</v>
          </cell>
          <cell r="I160" t="e">
            <v>#VALUE!</v>
          </cell>
          <cell r="J160" t="e">
            <v>#VALUE!</v>
          </cell>
          <cell r="K160" t="e">
            <v>#VALUE!</v>
          </cell>
          <cell r="L160" t="e">
            <v>#VALUE!</v>
          </cell>
        </row>
        <row r="161">
          <cell r="A161">
            <v>160</v>
          </cell>
          <cell r="B161" t="str">
            <v>Ghana</v>
          </cell>
          <cell r="C161" t="str">
            <v>FOR</v>
          </cell>
          <cell r="D161" t="str">
            <v>Gyan A</v>
          </cell>
          <cell r="E161">
            <v>3.6</v>
          </cell>
          <cell r="F161" t="e">
            <v>#VALUE!</v>
          </cell>
          <cell r="G161" t="e">
            <v>#VALUE!</v>
          </cell>
          <cell r="H161" t="e">
            <v>#VALUE!</v>
          </cell>
          <cell r="I161" t="e">
            <v>#VALUE!</v>
          </cell>
          <cell r="J161" t="e">
            <v>#VALUE!</v>
          </cell>
          <cell r="K161" t="e">
            <v>#VALUE!</v>
          </cell>
          <cell r="L161" t="e">
            <v>#VALUE!</v>
          </cell>
        </row>
        <row r="162">
          <cell r="A162">
            <v>161</v>
          </cell>
          <cell r="B162" t="str">
            <v>Greece</v>
          </cell>
          <cell r="C162" t="str">
            <v>GK</v>
          </cell>
          <cell r="D162" t="str">
            <v>Chalkias K</v>
          </cell>
          <cell r="E162">
            <v>3</v>
          </cell>
          <cell r="F162" t="e">
            <v>#VALUE!</v>
          </cell>
          <cell r="G162" t="e">
            <v>#VALUE!</v>
          </cell>
          <cell r="H162" t="e">
            <v>#VALUE!</v>
          </cell>
          <cell r="I162" t="e">
            <v>#VALUE!</v>
          </cell>
          <cell r="J162" t="e">
            <v>#VALUE!</v>
          </cell>
          <cell r="K162" t="e">
            <v>#VALUE!</v>
          </cell>
          <cell r="L162" t="e">
            <v>#VALUE!</v>
          </cell>
        </row>
        <row r="163">
          <cell r="A163">
            <v>162</v>
          </cell>
          <cell r="B163" t="str">
            <v>Greece</v>
          </cell>
          <cell r="C163" t="str">
            <v>GK</v>
          </cell>
          <cell r="D163" t="str">
            <v>Tzorvas A</v>
          </cell>
          <cell r="E163">
            <v>2.8</v>
          </cell>
          <cell r="F163" t="e">
            <v>#VALUE!</v>
          </cell>
          <cell r="G163" t="e">
            <v>#VALUE!</v>
          </cell>
          <cell r="H163" t="e">
            <v>#VALUE!</v>
          </cell>
          <cell r="I163" t="e">
            <v>#VALUE!</v>
          </cell>
          <cell r="J163" t="e">
            <v>#VALUE!</v>
          </cell>
          <cell r="K163" t="e">
            <v>#VALUE!</v>
          </cell>
          <cell r="L163" t="e">
            <v>#VALUE!</v>
          </cell>
        </row>
        <row r="164">
          <cell r="A164">
            <v>163</v>
          </cell>
          <cell r="B164" t="str">
            <v>Greece</v>
          </cell>
          <cell r="C164" t="str">
            <v>DEF</v>
          </cell>
          <cell r="D164" t="str">
            <v>Kyrgiakos S</v>
          </cell>
          <cell r="E164">
            <v>3.5</v>
          </cell>
          <cell r="F164" t="e">
            <v>#VALUE!</v>
          </cell>
          <cell r="G164" t="e">
            <v>#VALUE!</v>
          </cell>
          <cell r="H164" t="e">
            <v>#VALUE!</v>
          </cell>
          <cell r="I164" t="e">
            <v>#VALUE!</v>
          </cell>
          <cell r="J164" t="e">
            <v>#VALUE!</v>
          </cell>
          <cell r="K164" t="e">
            <v>#VALUE!</v>
          </cell>
          <cell r="L164" t="e">
            <v>#VALUE!</v>
          </cell>
        </row>
        <row r="165">
          <cell r="A165">
            <v>164</v>
          </cell>
          <cell r="B165" t="str">
            <v>Greece</v>
          </cell>
          <cell r="C165" t="str">
            <v>DEF</v>
          </cell>
          <cell r="D165" t="str">
            <v>Moras V</v>
          </cell>
          <cell r="E165">
            <v>3.2</v>
          </cell>
          <cell r="F165" t="e">
            <v>#VALUE!</v>
          </cell>
          <cell r="G165" t="e">
            <v>#VALUE!</v>
          </cell>
          <cell r="H165" t="e">
            <v>#VALUE!</v>
          </cell>
          <cell r="I165" t="e">
            <v>#VALUE!</v>
          </cell>
          <cell r="J165" t="e">
            <v>#VALUE!</v>
          </cell>
          <cell r="K165" t="e">
            <v>#VALUE!</v>
          </cell>
          <cell r="L165" t="e">
            <v>#VALUE!</v>
          </cell>
        </row>
        <row r="166">
          <cell r="A166">
            <v>165</v>
          </cell>
          <cell r="B166" t="str">
            <v>Greece</v>
          </cell>
          <cell r="C166" t="str">
            <v>DEF</v>
          </cell>
          <cell r="D166" t="str">
            <v>Papastathopoulos S</v>
          </cell>
          <cell r="E166">
            <v>3</v>
          </cell>
          <cell r="F166" t="e">
            <v>#VALUE!</v>
          </cell>
          <cell r="G166" t="e">
            <v>#VALUE!</v>
          </cell>
          <cell r="H166" t="e">
            <v>#VALUE!</v>
          </cell>
          <cell r="I166" t="e">
            <v>#VALUE!</v>
          </cell>
          <cell r="J166" t="e">
            <v>#VALUE!</v>
          </cell>
          <cell r="K166" t="e">
            <v>#VALUE!</v>
          </cell>
          <cell r="L166" t="e">
            <v>#VALUE!</v>
          </cell>
        </row>
        <row r="167">
          <cell r="A167">
            <v>166</v>
          </cell>
          <cell r="B167" t="str">
            <v>Greece</v>
          </cell>
          <cell r="C167" t="str">
            <v>DEF</v>
          </cell>
          <cell r="D167" t="str">
            <v>Patsatzoglou C</v>
          </cell>
          <cell r="E167">
            <v>3</v>
          </cell>
          <cell r="F167" t="e">
            <v>#VALUE!</v>
          </cell>
          <cell r="G167" t="e">
            <v>#VALUE!</v>
          </cell>
          <cell r="H167" t="e">
            <v>#VALUE!</v>
          </cell>
          <cell r="I167" t="e">
            <v>#VALUE!</v>
          </cell>
          <cell r="J167" t="e">
            <v>#VALUE!</v>
          </cell>
          <cell r="K167" t="e">
            <v>#VALUE!</v>
          </cell>
          <cell r="L167" t="e">
            <v>#VALUE!</v>
          </cell>
        </row>
        <row r="168">
          <cell r="A168">
            <v>167</v>
          </cell>
          <cell r="B168" t="str">
            <v>Greece</v>
          </cell>
          <cell r="C168" t="str">
            <v>DEF</v>
          </cell>
          <cell r="D168" t="str">
            <v>Spiropoulos N</v>
          </cell>
          <cell r="E168">
            <v>3.3</v>
          </cell>
          <cell r="F168" t="e">
            <v>#VALUE!</v>
          </cell>
          <cell r="G168" t="e">
            <v>#VALUE!</v>
          </cell>
          <cell r="H168" t="e">
            <v>#VALUE!</v>
          </cell>
          <cell r="I168" t="e">
            <v>#VALUE!</v>
          </cell>
          <cell r="J168" t="e">
            <v>#VALUE!</v>
          </cell>
          <cell r="K168" t="e">
            <v>#VALUE!</v>
          </cell>
          <cell r="L168" t="e">
            <v>#VALUE!</v>
          </cell>
        </row>
        <row r="169">
          <cell r="A169">
            <v>168</v>
          </cell>
          <cell r="B169" t="str">
            <v>Greece</v>
          </cell>
          <cell r="C169" t="str">
            <v>DEF</v>
          </cell>
          <cell r="D169" t="str">
            <v>Vyntra L</v>
          </cell>
          <cell r="E169">
            <v>2.8</v>
          </cell>
          <cell r="F169" t="e">
            <v>#VALUE!</v>
          </cell>
          <cell r="G169" t="e">
            <v>#VALUE!</v>
          </cell>
          <cell r="H169" t="e">
            <v>#VALUE!</v>
          </cell>
          <cell r="I169" t="e">
            <v>#VALUE!</v>
          </cell>
          <cell r="J169" t="e">
            <v>#VALUE!</v>
          </cell>
          <cell r="K169" t="e">
            <v>#VALUE!</v>
          </cell>
          <cell r="L169" t="e">
            <v>#VALUE!</v>
          </cell>
        </row>
        <row r="170">
          <cell r="A170">
            <v>169</v>
          </cell>
          <cell r="B170" t="str">
            <v>Greece</v>
          </cell>
          <cell r="C170" t="str">
            <v>MID</v>
          </cell>
          <cell r="D170" t="str">
            <v>Karagounis G</v>
          </cell>
          <cell r="E170">
            <v>3.2</v>
          </cell>
          <cell r="F170" t="e">
            <v>#VALUE!</v>
          </cell>
          <cell r="G170" t="e">
            <v>#VALUE!</v>
          </cell>
          <cell r="H170" t="e">
            <v>#VALUE!</v>
          </cell>
          <cell r="I170" t="e">
            <v>#VALUE!</v>
          </cell>
          <cell r="J170" t="e">
            <v>#VALUE!</v>
          </cell>
          <cell r="K170" t="e">
            <v>#VALUE!</v>
          </cell>
          <cell r="L170" t="e">
            <v>#VALUE!</v>
          </cell>
        </row>
        <row r="171">
          <cell r="A171">
            <v>170</v>
          </cell>
          <cell r="B171" t="str">
            <v>Greece</v>
          </cell>
          <cell r="C171" t="str">
            <v>MID</v>
          </cell>
          <cell r="D171" t="str">
            <v>Katsouranis K</v>
          </cell>
          <cell r="E171">
            <v>3</v>
          </cell>
          <cell r="F171" t="e">
            <v>#VALUE!</v>
          </cell>
          <cell r="G171" t="e">
            <v>#VALUE!</v>
          </cell>
          <cell r="H171" t="e">
            <v>#VALUE!</v>
          </cell>
          <cell r="I171" t="e">
            <v>#VALUE!</v>
          </cell>
          <cell r="J171" t="e">
            <v>#VALUE!</v>
          </cell>
          <cell r="K171" t="e">
            <v>#VALUE!</v>
          </cell>
          <cell r="L171" t="e">
            <v>#VALUE!</v>
          </cell>
        </row>
        <row r="172">
          <cell r="A172">
            <v>171</v>
          </cell>
          <cell r="B172" t="str">
            <v>Greece</v>
          </cell>
          <cell r="C172" t="str">
            <v>MID</v>
          </cell>
          <cell r="D172" t="str">
            <v>Tziolis A</v>
          </cell>
          <cell r="E172">
            <v>2.7</v>
          </cell>
          <cell r="F172" t="e">
            <v>#VALUE!</v>
          </cell>
          <cell r="G172" t="e">
            <v>#VALUE!</v>
          </cell>
          <cell r="H172" t="e">
            <v>#VALUE!</v>
          </cell>
          <cell r="I172" t="e">
            <v>#VALUE!</v>
          </cell>
          <cell r="J172" t="e">
            <v>#VALUE!</v>
          </cell>
          <cell r="K172" t="e">
            <v>#VALUE!</v>
          </cell>
          <cell r="L172" t="e">
            <v>#VALUE!</v>
          </cell>
        </row>
        <row r="173">
          <cell r="A173">
            <v>172</v>
          </cell>
          <cell r="B173" t="str">
            <v>Greece</v>
          </cell>
          <cell r="C173" t="str">
            <v>FOR</v>
          </cell>
          <cell r="D173" t="str">
            <v>Charisteas A</v>
          </cell>
          <cell r="E173">
            <v>5.3</v>
          </cell>
          <cell r="F173" t="e">
            <v>#VALUE!</v>
          </cell>
          <cell r="G173" t="e">
            <v>#VALUE!</v>
          </cell>
          <cell r="H173" t="e">
            <v>#VALUE!</v>
          </cell>
          <cell r="I173" t="e">
            <v>#VALUE!</v>
          </cell>
          <cell r="J173" t="e">
            <v>#VALUE!</v>
          </cell>
          <cell r="K173" t="e">
            <v>#VALUE!</v>
          </cell>
          <cell r="L173" t="e">
            <v>#VALUE!</v>
          </cell>
        </row>
        <row r="174">
          <cell r="A174">
            <v>173</v>
          </cell>
          <cell r="B174" t="str">
            <v>Greece</v>
          </cell>
          <cell r="C174" t="str">
            <v>FOR</v>
          </cell>
          <cell r="D174" t="str">
            <v>Gekas T</v>
          </cell>
          <cell r="E174">
            <v>4</v>
          </cell>
          <cell r="F174" t="e">
            <v>#VALUE!</v>
          </cell>
          <cell r="G174" t="e">
            <v>#VALUE!</v>
          </cell>
          <cell r="H174" t="e">
            <v>#VALUE!</v>
          </cell>
          <cell r="I174" t="e">
            <v>#VALUE!</v>
          </cell>
          <cell r="J174" t="e">
            <v>#VALUE!</v>
          </cell>
          <cell r="K174" t="e">
            <v>#VALUE!</v>
          </cell>
          <cell r="L174" t="e">
            <v>#VALUE!</v>
          </cell>
        </row>
        <row r="175">
          <cell r="A175">
            <v>174</v>
          </cell>
          <cell r="B175" t="str">
            <v>Greece</v>
          </cell>
          <cell r="C175" t="str">
            <v>FOR</v>
          </cell>
          <cell r="D175" t="str">
            <v>Mitroglou K</v>
          </cell>
          <cell r="E175">
            <v>3.6</v>
          </cell>
          <cell r="F175" t="e">
            <v>#VALUE!</v>
          </cell>
          <cell r="G175" t="e">
            <v>#VALUE!</v>
          </cell>
          <cell r="H175" t="e">
            <v>#VALUE!</v>
          </cell>
          <cell r="I175" t="e">
            <v>#VALUE!</v>
          </cell>
          <cell r="J175" t="e">
            <v>#VALUE!</v>
          </cell>
          <cell r="K175" t="e">
            <v>#VALUE!</v>
          </cell>
          <cell r="L175" t="e">
            <v>#VALUE!</v>
          </cell>
        </row>
        <row r="176">
          <cell r="A176">
            <v>175</v>
          </cell>
          <cell r="B176" t="str">
            <v>Greece</v>
          </cell>
          <cell r="C176" t="str">
            <v>FOR</v>
          </cell>
          <cell r="D176" t="str">
            <v>Salpingidis D</v>
          </cell>
          <cell r="E176">
            <v>4.7</v>
          </cell>
          <cell r="F176" t="e">
            <v>#VALUE!</v>
          </cell>
          <cell r="G176" t="e">
            <v>#VALUE!</v>
          </cell>
          <cell r="H176" t="e">
            <v>#VALUE!</v>
          </cell>
          <cell r="I176" t="e">
            <v>#VALUE!</v>
          </cell>
          <cell r="J176" t="e">
            <v>#VALUE!</v>
          </cell>
          <cell r="K176" t="e">
            <v>#VALUE!</v>
          </cell>
          <cell r="L176" t="e">
            <v>#VALUE!</v>
          </cell>
        </row>
        <row r="177">
          <cell r="A177">
            <v>176</v>
          </cell>
          <cell r="B177" t="str">
            <v>Greece</v>
          </cell>
          <cell r="C177" t="str">
            <v>FOR</v>
          </cell>
          <cell r="D177" t="str">
            <v>Samaras G</v>
          </cell>
          <cell r="E177">
            <v>4.5</v>
          </cell>
          <cell r="F177" t="e">
            <v>#VALUE!</v>
          </cell>
          <cell r="G177" t="e">
            <v>#VALUE!</v>
          </cell>
          <cell r="H177" t="e">
            <v>#VALUE!</v>
          </cell>
          <cell r="I177" t="e">
            <v>#VALUE!</v>
          </cell>
          <cell r="J177" t="e">
            <v>#VALUE!</v>
          </cell>
          <cell r="K177" t="e">
            <v>#VALUE!</v>
          </cell>
          <cell r="L177" t="e">
            <v>#VALUE!</v>
          </cell>
        </row>
        <row r="178">
          <cell r="A178">
            <v>177</v>
          </cell>
          <cell r="B178" t="str">
            <v>Holland</v>
          </cell>
          <cell r="C178" t="str">
            <v>GK</v>
          </cell>
          <cell r="D178" t="str">
            <v>Stekelenburg M</v>
          </cell>
          <cell r="E178">
            <v>3.5</v>
          </cell>
          <cell r="F178" t="e">
            <v>#VALUE!</v>
          </cell>
          <cell r="G178" t="e">
            <v>#VALUE!</v>
          </cell>
          <cell r="H178" t="e">
            <v>#VALUE!</v>
          </cell>
          <cell r="I178" t="e">
            <v>#VALUE!</v>
          </cell>
          <cell r="J178" t="e">
            <v>#VALUE!</v>
          </cell>
          <cell r="K178" t="e">
            <v>#VALUE!</v>
          </cell>
          <cell r="L178" t="e">
            <v>#VALUE!</v>
          </cell>
        </row>
        <row r="179">
          <cell r="A179">
            <v>178</v>
          </cell>
          <cell r="B179" t="str">
            <v>Holland</v>
          </cell>
          <cell r="C179" t="str">
            <v>DEF</v>
          </cell>
          <cell r="D179" t="str">
            <v>Boulahrouz K</v>
          </cell>
          <cell r="E179">
            <v>3.1</v>
          </cell>
          <cell r="F179" t="e">
            <v>#VALUE!</v>
          </cell>
          <cell r="G179" t="e">
            <v>#VALUE!</v>
          </cell>
          <cell r="H179" t="e">
            <v>#VALUE!</v>
          </cell>
          <cell r="I179" t="e">
            <v>#VALUE!</v>
          </cell>
          <cell r="J179" t="e">
            <v>#VALUE!</v>
          </cell>
          <cell r="K179" t="e">
            <v>#VALUE!</v>
          </cell>
          <cell r="L179" t="e">
            <v>#VALUE!</v>
          </cell>
        </row>
        <row r="180">
          <cell r="A180">
            <v>179</v>
          </cell>
          <cell r="B180" t="str">
            <v>Holland</v>
          </cell>
          <cell r="C180" t="str">
            <v>DEF</v>
          </cell>
          <cell r="D180" t="str">
            <v>Heitinga J</v>
          </cell>
          <cell r="E180">
            <v>3.6</v>
          </cell>
          <cell r="F180" t="e">
            <v>#VALUE!</v>
          </cell>
          <cell r="G180" t="e">
            <v>#VALUE!</v>
          </cell>
          <cell r="H180" t="e">
            <v>#VALUE!</v>
          </cell>
          <cell r="I180" t="e">
            <v>#VALUE!</v>
          </cell>
          <cell r="J180" t="e">
            <v>#VALUE!</v>
          </cell>
          <cell r="K180" t="e">
            <v>#VALUE!</v>
          </cell>
          <cell r="L180" t="e">
            <v>#VALUE!</v>
          </cell>
        </row>
        <row r="181">
          <cell r="A181">
            <v>180</v>
          </cell>
          <cell r="B181" t="str">
            <v>Holland</v>
          </cell>
          <cell r="C181" t="str">
            <v>DEF</v>
          </cell>
          <cell r="D181" t="str">
            <v>Mathijsen J</v>
          </cell>
          <cell r="E181">
            <v>3.6</v>
          </cell>
          <cell r="F181" t="e">
            <v>#VALUE!</v>
          </cell>
          <cell r="G181" t="e">
            <v>#VALUE!</v>
          </cell>
          <cell r="H181" t="e">
            <v>#VALUE!</v>
          </cell>
          <cell r="I181" t="e">
            <v>#VALUE!</v>
          </cell>
          <cell r="J181" t="e">
            <v>#VALUE!</v>
          </cell>
          <cell r="K181" t="e">
            <v>#VALUE!</v>
          </cell>
          <cell r="L181" t="e">
            <v>#VALUE!</v>
          </cell>
        </row>
        <row r="182">
          <cell r="A182">
            <v>181</v>
          </cell>
          <cell r="B182" t="str">
            <v>Holland</v>
          </cell>
          <cell r="C182" t="str">
            <v>DEF</v>
          </cell>
          <cell r="D182" t="str">
            <v>Ooijer A</v>
          </cell>
          <cell r="E182">
            <v>3.7</v>
          </cell>
          <cell r="F182" t="e">
            <v>#VALUE!</v>
          </cell>
          <cell r="G182" t="e">
            <v>#VALUE!</v>
          </cell>
          <cell r="H182" t="e">
            <v>#VALUE!</v>
          </cell>
          <cell r="I182" t="e">
            <v>#VALUE!</v>
          </cell>
          <cell r="J182" t="e">
            <v>#VALUE!</v>
          </cell>
          <cell r="K182" t="e">
            <v>#VALUE!</v>
          </cell>
          <cell r="L182" t="e">
            <v>#VALUE!</v>
          </cell>
        </row>
        <row r="183">
          <cell r="A183">
            <v>182</v>
          </cell>
          <cell r="B183" t="str">
            <v>Holland</v>
          </cell>
          <cell r="C183" t="str">
            <v>DEF</v>
          </cell>
          <cell r="D183" t="str">
            <v>vanBronckhorst G</v>
          </cell>
          <cell r="E183">
            <v>3.9</v>
          </cell>
          <cell r="F183" t="e">
            <v>#VALUE!</v>
          </cell>
          <cell r="G183" t="e">
            <v>#VALUE!</v>
          </cell>
          <cell r="H183" t="e">
            <v>#VALUE!</v>
          </cell>
          <cell r="I183" t="e">
            <v>#VALUE!</v>
          </cell>
          <cell r="J183" t="e">
            <v>#VALUE!</v>
          </cell>
          <cell r="K183" t="e">
            <v>#VALUE!</v>
          </cell>
          <cell r="L183" t="e">
            <v>#VALUE!</v>
          </cell>
        </row>
        <row r="184">
          <cell r="A184">
            <v>183</v>
          </cell>
          <cell r="B184" t="str">
            <v>Holland</v>
          </cell>
          <cell r="C184" t="str">
            <v>DEF</v>
          </cell>
          <cell r="D184" t="str">
            <v>vanderWiel G</v>
          </cell>
          <cell r="E184">
            <v>3.1</v>
          </cell>
          <cell r="F184" t="e">
            <v>#VALUE!</v>
          </cell>
          <cell r="G184" t="e">
            <v>#VALUE!</v>
          </cell>
          <cell r="H184" t="e">
            <v>#VALUE!</v>
          </cell>
          <cell r="I184" t="e">
            <v>#VALUE!</v>
          </cell>
          <cell r="J184" t="e">
            <v>#VALUE!</v>
          </cell>
          <cell r="K184" t="e">
            <v>#VALUE!</v>
          </cell>
          <cell r="L184" t="e">
            <v>#VALUE!</v>
          </cell>
        </row>
        <row r="185">
          <cell r="A185">
            <v>184</v>
          </cell>
          <cell r="B185" t="str">
            <v>Holland</v>
          </cell>
          <cell r="C185" t="str">
            <v>MID</v>
          </cell>
          <cell r="D185" t="str">
            <v>Babel R</v>
          </cell>
          <cell r="E185">
            <v>3.2</v>
          </cell>
          <cell r="F185" t="e">
            <v>#VALUE!</v>
          </cell>
          <cell r="G185" t="e">
            <v>#VALUE!</v>
          </cell>
          <cell r="H185" t="e">
            <v>#VALUE!</v>
          </cell>
          <cell r="I185" t="e">
            <v>#VALUE!</v>
          </cell>
          <cell r="J185" t="e">
            <v>#VALUE!</v>
          </cell>
          <cell r="K185" t="e">
            <v>#VALUE!</v>
          </cell>
          <cell r="L185" t="e">
            <v>#VALUE!</v>
          </cell>
        </row>
        <row r="186">
          <cell r="A186">
            <v>185</v>
          </cell>
          <cell r="B186" t="str">
            <v>Holland</v>
          </cell>
          <cell r="C186" t="str">
            <v>MID</v>
          </cell>
          <cell r="D186" t="str">
            <v>DeJong N</v>
          </cell>
          <cell r="E186">
            <v>3</v>
          </cell>
          <cell r="F186" t="e">
            <v>#VALUE!</v>
          </cell>
          <cell r="G186" t="e">
            <v>#VALUE!</v>
          </cell>
          <cell r="H186" t="e">
            <v>#VALUE!</v>
          </cell>
          <cell r="I186" t="e">
            <v>#VALUE!</v>
          </cell>
          <cell r="J186" t="e">
            <v>#VALUE!</v>
          </cell>
          <cell r="K186" t="e">
            <v>#VALUE!</v>
          </cell>
          <cell r="L186" t="e">
            <v>#VALUE!</v>
          </cell>
        </row>
        <row r="187">
          <cell r="A187">
            <v>186</v>
          </cell>
          <cell r="B187" t="str">
            <v>Holland</v>
          </cell>
          <cell r="C187" t="str">
            <v>MID</v>
          </cell>
          <cell r="D187" t="str">
            <v>DeZeeuw D</v>
          </cell>
          <cell r="E187">
            <v>2.8</v>
          </cell>
          <cell r="F187" t="e">
            <v>#VALUE!</v>
          </cell>
          <cell r="G187" t="e">
            <v>#VALUE!</v>
          </cell>
          <cell r="H187" t="e">
            <v>#VALUE!</v>
          </cell>
          <cell r="I187" t="e">
            <v>#VALUE!</v>
          </cell>
          <cell r="J187" t="e">
            <v>#VALUE!</v>
          </cell>
          <cell r="K187" t="e">
            <v>#VALUE!</v>
          </cell>
          <cell r="L187" t="e">
            <v>#VALUE!</v>
          </cell>
        </row>
        <row r="188">
          <cell r="A188">
            <v>187</v>
          </cell>
          <cell r="B188" t="str">
            <v>Holland</v>
          </cell>
          <cell r="C188" t="str">
            <v>MID</v>
          </cell>
          <cell r="D188" t="str">
            <v>Robben A</v>
          </cell>
          <cell r="E188">
            <v>4.5999999999999996</v>
          </cell>
          <cell r="F188" t="e">
            <v>#VALUE!</v>
          </cell>
          <cell r="G188" t="e">
            <v>#VALUE!</v>
          </cell>
          <cell r="H188" t="e">
            <v>#VALUE!</v>
          </cell>
          <cell r="I188" t="e">
            <v>#VALUE!</v>
          </cell>
          <cell r="J188" t="e">
            <v>#VALUE!</v>
          </cell>
          <cell r="K188" t="e">
            <v>#VALUE!</v>
          </cell>
          <cell r="L188" t="e">
            <v>#VALUE!</v>
          </cell>
        </row>
        <row r="189">
          <cell r="A189">
            <v>188</v>
          </cell>
          <cell r="B189" t="str">
            <v>Holland</v>
          </cell>
          <cell r="C189" t="str">
            <v>MID</v>
          </cell>
          <cell r="D189" t="str">
            <v>Sneijder W</v>
          </cell>
          <cell r="E189">
            <v>4.2</v>
          </cell>
          <cell r="F189" t="e">
            <v>#VALUE!</v>
          </cell>
          <cell r="G189" t="e">
            <v>#VALUE!</v>
          </cell>
          <cell r="H189" t="e">
            <v>#VALUE!</v>
          </cell>
          <cell r="I189" t="e">
            <v>#VALUE!</v>
          </cell>
          <cell r="J189" t="e">
            <v>#VALUE!</v>
          </cell>
          <cell r="K189" t="e">
            <v>#VALUE!</v>
          </cell>
          <cell r="L189" t="e">
            <v>#VALUE!</v>
          </cell>
        </row>
        <row r="190">
          <cell r="A190">
            <v>189</v>
          </cell>
          <cell r="B190" t="str">
            <v>Holland</v>
          </cell>
          <cell r="C190" t="str">
            <v>MID</v>
          </cell>
          <cell r="D190" t="str">
            <v>vanderVaart R</v>
          </cell>
          <cell r="E190">
            <v>3.6</v>
          </cell>
          <cell r="F190" t="e">
            <v>#VALUE!</v>
          </cell>
          <cell r="G190" t="e">
            <v>#VALUE!</v>
          </cell>
          <cell r="H190" t="e">
            <v>#VALUE!</v>
          </cell>
          <cell r="I190" t="e">
            <v>#VALUE!</v>
          </cell>
          <cell r="J190" t="e">
            <v>#VALUE!</v>
          </cell>
          <cell r="K190" t="e">
            <v>#VALUE!</v>
          </cell>
          <cell r="L190" t="e">
            <v>#VALUE!</v>
          </cell>
        </row>
        <row r="191">
          <cell r="A191">
            <v>190</v>
          </cell>
          <cell r="B191" t="str">
            <v>Holland</v>
          </cell>
          <cell r="C191" t="str">
            <v>FOR</v>
          </cell>
          <cell r="D191" t="str">
            <v>Huntelaar K</v>
          </cell>
          <cell r="E191">
            <v>6</v>
          </cell>
          <cell r="F191" t="e">
            <v>#VALUE!</v>
          </cell>
          <cell r="G191" t="e">
            <v>#VALUE!</v>
          </cell>
          <cell r="H191" t="e">
            <v>#VALUE!</v>
          </cell>
          <cell r="I191" t="e">
            <v>#VALUE!</v>
          </cell>
          <cell r="J191" t="e">
            <v>#VALUE!</v>
          </cell>
          <cell r="K191" t="e">
            <v>#VALUE!</v>
          </cell>
          <cell r="L191" t="e">
            <v>#VALUE!</v>
          </cell>
        </row>
        <row r="192">
          <cell r="A192">
            <v>191</v>
          </cell>
          <cell r="B192" t="str">
            <v>Holland</v>
          </cell>
          <cell r="C192" t="str">
            <v>FOR</v>
          </cell>
          <cell r="D192" t="str">
            <v>Kuyt D</v>
          </cell>
          <cell r="E192">
            <v>5.3</v>
          </cell>
          <cell r="F192" t="e">
            <v>#VALUE!</v>
          </cell>
          <cell r="G192" t="e">
            <v>#VALUE!</v>
          </cell>
          <cell r="H192" t="e">
            <v>#VALUE!</v>
          </cell>
          <cell r="I192" t="e">
            <v>#VALUE!</v>
          </cell>
          <cell r="J192" t="e">
            <v>#VALUE!</v>
          </cell>
          <cell r="K192" t="e">
            <v>#VALUE!</v>
          </cell>
          <cell r="L192" t="e">
            <v>#VALUE!</v>
          </cell>
        </row>
        <row r="193">
          <cell r="A193">
            <v>192</v>
          </cell>
          <cell r="B193" t="str">
            <v>Holland</v>
          </cell>
          <cell r="C193" t="str">
            <v>FOR</v>
          </cell>
          <cell r="D193" t="str">
            <v>vanPersie R</v>
          </cell>
          <cell r="E193">
            <v>5.7</v>
          </cell>
          <cell r="F193" t="e">
            <v>#VALUE!</v>
          </cell>
          <cell r="G193" t="e">
            <v>#VALUE!</v>
          </cell>
          <cell r="H193" t="e">
            <v>#VALUE!</v>
          </cell>
          <cell r="I193" t="e">
            <v>#VALUE!</v>
          </cell>
          <cell r="J193" t="e">
            <v>#VALUE!</v>
          </cell>
          <cell r="K193" t="e">
            <v>#VALUE!</v>
          </cell>
          <cell r="L193" t="e">
            <v>#VALUE!</v>
          </cell>
        </row>
        <row r="194">
          <cell r="A194">
            <v>193</v>
          </cell>
          <cell r="B194" t="str">
            <v>Honduras</v>
          </cell>
          <cell r="C194" t="str">
            <v>GK</v>
          </cell>
          <cell r="D194" t="str">
            <v>Valladares N</v>
          </cell>
          <cell r="E194">
            <v>2.9</v>
          </cell>
          <cell r="F194" t="e">
            <v>#VALUE!</v>
          </cell>
          <cell r="G194" t="e">
            <v>#VALUE!</v>
          </cell>
          <cell r="H194" t="e">
            <v>#VALUE!</v>
          </cell>
          <cell r="I194" t="e">
            <v>#VALUE!</v>
          </cell>
          <cell r="J194" t="e">
            <v>#VALUE!</v>
          </cell>
          <cell r="K194" t="e">
            <v>#VALUE!</v>
          </cell>
          <cell r="L194" t="e">
            <v>#VALUE!</v>
          </cell>
        </row>
        <row r="195">
          <cell r="A195">
            <v>194</v>
          </cell>
          <cell r="B195" t="str">
            <v>Honduras</v>
          </cell>
          <cell r="C195" t="str">
            <v>DEF</v>
          </cell>
          <cell r="D195" t="str">
            <v>Figueroa M</v>
          </cell>
          <cell r="E195">
            <v>3.3</v>
          </cell>
          <cell r="F195" t="e">
            <v>#VALUE!</v>
          </cell>
          <cell r="G195" t="e">
            <v>#VALUE!</v>
          </cell>
          <cell r="H195" t="e">
            <v>#VALUE!</v>
          </cell>
          <cell r="I195" t="e">
            <v>#VALUE!</v>
          </cell>
          <cell r="J195" t="e">
            <v>#VALUE!</v>
          </cell>
          <cell r="K195" t="e">
            <v>#VALUE!</v>
          </cell>
          <cell r="L195" t="e">
            <v>#VALUE!</v>
          </cell>
        </row>
        <row r="196">
          <cell r="A196">
            <v>195</v>
          </cell>
          <cell r="B196" t="str">
            <v>Honduras</v>
          </cell>
          <cell r="C196" t="str">
            <v>DEF</v>
          </cell>
          <cell r="D196" t="str">
            <v>Izaguirre E</v>
          </cell>
          <cell r="E196">
            <v>3.3</v>
          </cell>
          <cell r="F196" t="e">
            <v>#VALUE!</v>
          </cell>
          <cell r="G196" t="e">
            <v>#VALUE!</v>
          </cell>
          <cell r="H196" t="e">
            <v>#VALUE!</v>
          </cell>
          <cell r="I196" t="e">
            <v>#VALUE!</v>
          </cell>
          <cell r="J196" t="e">
            <v>#VALUE!</v>
          </cell>
          <cell r="K196" t="e">
            <v>#VALUE!</v>
          </cell>
          <cell r="L196" t="e">
            <v>#VALUE!</v>
          </cell>
        </row>
        <row r="197">
          <cell r="A197">
            <v>196</v>
          </cell>
          <cell r="B197" t="str">
            <v>Honduras</v>
          </cell>
          <cell r="C197" t="str">
            <v>DEF</v>
          </cell>
          <cell r="D197" t="str">
            <v>Norales E</v>
          </cell>
          <cell r="E197">
            <v>3</v>
          </cell>
          <cell r="F197" t="e">
            <v>#VALUE!</v>
          </cell>
          <cell r="G197" t="e">
            <v>#VALUE!</v>
          </cell>
          <cell r="H197" t="e">
            <v>#VALUE!</v>
          </cell>
          <cell r="I197" t="e">
            <v>#VALUE!</v>
          </cell>
          <cell r="J197" t="e">
            <v>#VALUE!</v>
          </cell>
          <cell r="K197" t="e">
            <v>#VALUE!</v>
          </cell>
          <cell r="L197" t="e">
            <v>#VALUE!</v>
          </cell>
        </row>
        <row r="198">
          <cell r="A198">
            <v>197</v>
          </cell>
          <cell r="B198" t="str">
            <v>Honduras</v>
          </cell>
          <cell r="C198" t="str">
            <v>DEF</v>
          </cell>
          <cell r="D198" t="str">
            <v>Palacios J</v>
          </cell>
          <cell r="E198">
            <v>2.8</v>
          </cell>
          <cell r="F198" t="e">
            <v>#VALUE!</v>
          </cell>
          <cell r="G198" t="e">
            <v>#VALUE!</v>
          </cell>
          <cell r="H198" t="e">
            <v>#VALUE!</v>
          </cell>
          <cell r="I198" t="e">
            <v>#VALUE!</v>
          </cell>
          <cell r="J198" t="e">
            <v>#VALUE!</v>
          </cell>
          <cell r="K198" t="e">
            <v>#VALUE!</v>
          </cell>
          <cell r="L198" t="e">
            <v>#VALUE!</v>
          </cell>
        </row>
        <row r="199">
          <cell r="A199">
            <v>198</v>
          </cell>
          <cell r="B199" t="str">
            <v>Honduras</v>
          </cell>
          <cell r="C199" t="str">
            <v>MID</v>
          </cell>
          <cell r="D199" t="str">
            <v>Alvarez E</v>
          </cell>
          <cell r="E199">
            <v>2.7</v>
          </cell>
          <cell r="F199" t="e">
            <v>#VALUE!</v>
          </cell>
          <cell r="G199" t="e">
            <v>#VALUE!</v>
          </cell>
          <cell r="H199" t="e">
            <v>#VALUE!</v>
          </cell>
          <cell r="I199" t="e">
            <v>#VALUE!</v>
          </cell>
          <cell r="J199" t="e">
            <v>#VALUE!</v>
          </cell>
          <cell r="K199" t="e">
            <v>#VALUE!</v>
          </cell>
          <cell r="L199" t="e">
            <v>#VALUE!</v>
          </cell>
        </row>
        <row r="200">
          <cell r="A200">
            <v>199</v>
          </cell>
          <cell r="B200" t="str">
            <v>Honduras</v>
          </cell>
          <cell r="C200" t="str">
            <v>MID</v>
          </cell>
          <cell r="D200" t="str">
            <v>DeLeon JC</v>
          </cell>
          <cell r="E200">
            <v>3</v>
          </cell>
          <cell r="F200" t="e">
            <v>#VALUE!</v>
          </cell>
          <cell r="G200" t="e">
            <v>#VALUE!</v>
          </cell>
          <cell r="H200" t="e">
            <v>#VALUE!</v>
          </cell>
          <cell r="I200" t="e">
            <v>#VALUE!</v>
          </cell>
          <cell r="J200" t="e">
            <v>#VALUE!</v>
          </cell>
          <cell r="K200" t="e">
            <v>#VALUE!</v>
          </cell>
          <cell r="L200" t="e">
            <v>#VALUE!</v>
          </cell>
        </row>
        <row r="201">
          <cell r="A201">
            <v>200</v>
          </cell>
          <cell r="B201" t="str">
            <v>Honduras</v>
          </cell>
          <cell r="C201" t="str">
            <v>MID</v>
          </cell>
          <cell r="D201" t="str">
            <v>Guevara A</v>
          </cell>
          <cell r="E201">
            <v>3.1</v>
          </cell>
          <cell r="F201" t="e">
            <v>#VALUE!</v>
          </cell>
          <cell r="G201" t="e">
            <v>#VALUE!</v>
          </cell>
          <cell r="H201" t="e">
            <v>#VALUE!</v>
          </cell>
          <cell r="I201" t="e">
            <v>#VALUE!</v>
          </cell>
          <cell r="J201" t="e">
            <v>#VALUE!</v>
          </cell>
          <cell r="K201" t="e">
            <v>#VALUE!</v>
          </cell>
          <cell r="L201" t="e">
            <v>#VALUE!</v>
          </cell>
        </row>
        <row r="202">
          <cell r="A202">
            <v>201</v>
          </cell>
          <cell r="B202" t="str">
            <v>Honduras</v>
          </cell>
          <cell r="C202" t="str">
            <v>MID</v>
          </cell>
          <cell r="D202" t="str">
            <v>Nunez R</v>
          </cell>
          <cell r="E202">
            <v>3.3</v>
          </cell>
          <cell r="F202" t="e">
            <v>#VALUE!</v>
          </cell>
          <cell r="G202" t="e">
            <v>#VALUE!</v>
          </cell>
          <cell r="H202" t="e">
            <v>#VALUE!</v>
          </cell>
          <cell r="I202" t="e">
            <v>#VALUE!</v>
          </cell>
          <cell r="J202" t="e">
            <v>#VALUE!</v>
          </cell>
          <cell r="K202" t="e">
            <v>#VALUE!</v>
          </cell>
          <cell r="L202" t="e">
            <v>#VALUE!</v>
          </cell>
        </row>
        <row r="203">
          <cell r="A203">
            <v>202</v>
          </cell>
          <cell r="B203" t="str">
            <v>Honduras</v>
          </cell>
          <cell r="C203" t="str">
            <v>MID</v>
          </cell>
          <cell r="D203" t="str">
            <v>Palacios W</v>
          </cell>
          <cell r="E203">
            <v>3.2</v>
          </cell>
          <cell r="F203" t="e">
            <v>#VALUE!</v>
          </cell>
          <cell r="G203" t="e">
            <v>#VALUE!</v>
          </cell>
          <cell r="H203" t="e">
            <v>#VALUE!</v>
          </cell>
          <cell r="I203" t="e">
            <v>#VALUE!</v>
          </cell>
          <cell r="J203" t="e">
            <v>#VALUE!</v>
          </cell>
          <cell r="K203" t="e">
            <v>#VALUE!</v>
          </cell>
          <cell r="L203" t="e">
            <v>#VALUE!</v>
          </cell>
        </row>
        <row r="204">
          <cell r="A204">
            <v>203</v>
          </cell>
          <cell r="B204" t="str">
            <v>Honduras</v>
          </cell>
          <cell r="C204" t="str">
            <v>MID</v>
          </cell>
          <cell r="D204" t="str">
            <v>Thomas H</v>
          </cell>
          <cell r="E204">
            <v>2.9</v>
          </cell>
          <cell r="F204" t="e">
            <v>#VALUE!</v>
          </cell>
          <cell r="G204" t="e">
            <v>#VALUE!</v>
          </cell>
          <cell r="H204" t="e">
            <v>#VALUE!</v>
          </cell>
          <cell r="I204" t="e">
            <v>#VALUE!</v>
          </cell>
          <cell r="J204" t="e">
            <v>#VALUE!</v>
          </cell>
          <cell r="K204" t="e">
            <v>#VALUE!</v>
          </cell>
          <cell r="L204" t="e">
            <v>#VALUE!</v>
          </cell>
        </row>
        <row r="205">
          <cell r="A205">
            <v>204</v>
          </cell>
          <cell r="B205" t="str">
            <v>Honduras</v>
          </cell>
          <cell r="C205" t="str">
            <v>FOR</v>
          </cell>
          <cell r="D205" t="str">
            <v>Pavon C</v>
          </cell>
          <cell r="E205">
            <v>5.0999999999999996</v>
          </cell>
          <cell r="F205" t="e">
            <v>#VALUE!</v>
          </cell>
          <cell r="G205" t="e">
            <v>#VALUE!</v>
          </cell>
          <cell r="H205" t="e">
            <v>#VALUE!</v>
          </cell>
          <cell r="I205" t="e">
            <v>#VALUE!</v>
          </cell>
          <cell r="J205" t="e">
            <v>#VALUE!</v>
          </cell>
          <cell r="K205" t="e">
            <v>#VALUE!</v>
          </cell>
          <cell r="L205" t="e">
            <v>#VALUE!</v>
          </cell>
        </row>
        <row r="206">
          <cell r="A206">
            <v>205</v>
          </cell>
          <cell r="B206" t="str">
            <v>Honduras</v>
          </cell>
          <cell r="C206" t="str">
            <v>FOR</v>
          </cell>
          <cell r="D206" t="str">
            <v>Suazo D</v>
          </cell>
          <cell r="E206">
            <v>4.4000000000000004</v>
          </cell>
          <cell r="F206" t="e">
            <v>#VALUE!</v>
          </cell>
          <cell r="G206" t="e">
            <v>#VALUE!</v>
          </cell>
          <cell r="H206" t="e">
            <v>#VALUE!</v>
          </cell>
          <cell r="I206" t="e">
            <v>#VALUE!</v>
          </cell>
          <cell r="J206" t="e">
            <v>#VALUE!</v>
          </cell>
          <cell r="K206" t="e">
            <v>#VALUE!</v>
          </cell>
          <cell r="L206" t="e">
            <v>#VALUE!</v>
          </cell>
        </row>
        <row r="207">
          <cell r="A207">
            <v>206</v>
          </cell>
          <cell r="B207" t="str">
            <v>Italy</v>
          </cell>
          <cell r="C207" t="str">
            <v>GK</v>
          </cell>
          <cell r="D207" t="str">
            <v>Buffon G</v>
          </cell>
          <cell r="E207">
            <v>3.6</v>
          </cell>
          <cell r="F207" t="e">
            <v>#VALUE!</v>
          </cell>
          <cell r="G207" t="e">
            <v>#VALUE!</v>
          </cell>
          <cell r="H207" t="e">
            <v>#VALUE!</v>
          </cell>
          <cell r="I207" t="e">
            <v>#VALUE!</v>
          </cell>
          <cell r="J207" t="e">
            <v>#VALUE!</v>
          </cell>
          <cell r="K207" t="e">
            <v>#VALUE!</v>
          </cell>
          <cell r="L207" t="e">
            <v>#VALUE!</v>
          </cell>
        </row>
        <row r="208">
          <cell r="A208">
            <v>207</v>
          </cell>
          <cell r="B208" t="str">
            <v>Italy</v>
          </cell>
          <cell r="C208" t="str">
            <v>GK</v>
          </cell>
          <cell r="D208" t="str">
            <v>DeSanctis M</v>
          </cell>
          <cell r="E208">
            <v>3.4</v>
          </cell>
          <cell r="F208" t="e">
            <v>#VALUE!</v>
          </cell>
          <cell r="G208" t="e">
            <v>#VALUE!</v>
          </cell>
          <cell r="H208" t="e">
            <v>#VALUE!</v>
          </cell>
          <cell r="I208" t="e">
            <v>#VALUE!</v>
          </cell>
          <cell r="J208" t="e">
            <v>#VALUE!</v>
          </cell>
          <cell r="K208" t="e">
            <v>#VALUE!</v>
          </cell>
          <cell r="L208" t="e">
            <v>#VALUE!</v>
          </cell>
        </row>
        <row r="209">
          <cell r="A209">
            <v>208</v>
          </cell>
          <cell r="B209" t="str">
            <v>Italy</v>
          </cell>
          <cell r="C209" t="str">
            <v>DEF</v>
          </cell>
          <cell r="D209" t="str">
            <v>Cannavaro F</v>
          </cell>
          <cell r="E209">
            <v>3.9</v>
          </cell>
          <cell r="F209" t="e">
            <v>#VALUE!</v>
          </cell>
          <cell r="G209" t="e">
            <v>#VALUE!</v>
          </cell>
          <cell r="H209" t="e">
            <v>#VALUE!</v>
          </cell>
          <cell r="I209" t="e">
            <v>#VALUE!</v>
          </cell>
          <cell r="J209" t="e">
            <v>#VALUE!</v>
          </cell>
          <cell r="K209" t="e">
            <v>#VALUE!</v>
          </cell>
          <cell r="L209" t="e">
            <v>#VALUE!</v>
          </cell>
        </row>
        <row r="210">
          <cell r="A210">
            <v>209</v>
          </cell>
          <cell r="B210" t="str">
            <v>Italy</v>
          </cell>
          <cell r="C210" t="str">
            <v>DEF</v>
          </cell>
          <cell r="D210" t="str">
            <v>Chiellini G</v>
          </cell>
          <cell r="E210">
            <v>3.3</v>
          </cell>
          <cell r="F210" t="e">
            <v>#VALUE!</v>
          </cell>
          <cell r="G210" t="e">
            <v>#VALUE!</v>
          </cell>
          <cell r="H210" t="e">
            <v>#VALUE!</v>
          </cell>
          <cell r="I210" t="e">
            <v>#VALUE!</v>
          </cell>
          <cell r="J210" t="e">
            <v>#VALUE!</v>
          </cell>
          <cell r="K210" t="e">
            <v>#VALUE!</v>
          </cell>
          <cell r="L210" t="e">
            <v>#VALUE!</v>
          </cell>
        </row>
        <row r="211">
          <cell r="A211">
            <v>210</v>
          </cell>
          <cell r="B211" t="str">
            <v>Italy</v>
          </cell>
          <cell r="C211" t="str">
            <v>DEF</v>
          </cell>
          <cell r="D211" t="str">
            <v>Grosso F</v>
          </cell>
          <cell r="E211">
            <v>3.7</v>
          </cell>
          <cell r="F211" t="e">
            <v>#VALUE!</v>
          </cell>
          <cell r="G211" t="e">
            <v>#VALUE!</v>
          </cell>
          <cell r="H211" t="e">
            <v>#VALUE!</v>
          </cell>
          <cell r="I211" t="e">
            <v>#VALUE!</v>
          </cell>
          <cell r="J211" t="e">
            <v>#VALUE!</v>
          </cell>
          <cell r="K211" t="e">
            <v>#VALUE!</v>
          </cell>
          <cell r="L211" t="e">
            <v>#VALUE!</v>
          </cell>
        </row>
        <row r="212">
          <cell r="A212">
            <v>211</v>
          </cell>
          <cell r="B212" t="str">
            <v>Italy</v>
          </cell>
          <cell r="C212" t="str">
            <v>DEF</v>
          </cell>
          <cell r="D212" t="str">
            <v>Zambrotta G</v>
          </cell>
          <cell r="E212">
            <v>4.0999999999999996</v>
          </cell>
          <cell r="F212" t="e">
            <v>#VALUE!</v>
          </cell>
          <cell r="G212" t="e">
            <v>#VALUE!</v>
          </cell>
          <cell r="H212" t="e">
            <v>#VALUE!</v>
          </cell>
          <cell r="I212" t="e">
            <v>#VALUE!</v>
          </cell>
          <cell r="J212" t="e">
            <v>#VALUE!</v>
          </cell>
          <cell r="K212" t="e">
            <v>#VALUE!</v>
          </cell>
          <cell r="L212" t="e">
            <v>#VALUE!</v>
          </cell>
        </row>
        <row r="213">
          <cell r="A213">
            <v>212</v>
          </cell>
          <cell r="B213" t="str">
            <v>Italy</v>
          </cell>
          <cell r="C213" t="str">
            <v>MID</v>
          </cell>
          <cell r="D213" t="str">
            <v>Camoranesi M</v>
          </cell>
          <cell r="E213">
            <v>2.8</v>
          </cell>
          <cell r="F213" t="e">
            <v>#VALUE!</v>
          </cell>
          <cell r="G213" t="e">
            <v>#VALUE!</v>
          </cell>
          <cell r="H213" t="e">
            <v>#VALUE!</v>
          </cell>
          <cell r="I213" t="e">
            <v>#VALUE!</v>
          </cell>
          <cell r="J213" t="e">
            <v>#VALUE!</v>
          </cell>
          <cell r="K213" t="e">
            <v>#VALUE!</v>
          </cell>
          <cell r="L213" t="e">
            <v>#VALUE!</v>
          </cell>
        </row>
        <row r="214">
          <cell r="A214">
            <v>213</v>
          </cell>
          <cell r="B214" t="str">
            <v>Italy</v>
          </cell>
          <cell r="C214" t="str">
            <v>MID</v>
          </cell>
          <cell r="D214" t="str">
            <v>DeRossi D</v>
          </cell>
          <cell r="E214">
            <v>4.0999999999999996</v>
          </cell>
          <cell r="F214" t="e">
            <v>#VALUE!</v>
          </cell>
          <cell r="G214" t="e">
            <v>#VALUE!</v>
          </cell>
          <cell r="H214" t="e">
            <v>#VALUE!</v>
          </cell>
          <cell r="I214" t="e">
            <v>#VALUE!</v>
          </cell>
          <cell r="J214" t="e">
            <v>#VALUE!</v>
          </cell>
          <cell r="K214" t="e">
            <v>#VALUE!</v>
          </cell>
          <cell r="L214" t="e">
            <v>#VALUE!</v>
          </cell>
        </row>
        <row r="215">
          <cell r="A215">
            <v>214</v>
          </cell>
          <cell r="B215" t="str">
            <v>Italy</v>
          </cell>
          <cell r="C215" t="str">
            <v>MID</v>
          </cell>
          <cell r="D215" t="str">
            <v>Gattuso G</v>
          </cell>
          <cell r="E215">
            <v>3.3</v>
          </cell>
          <cell r="F215" t="e">
            <v>#VALUE!</v>
          </cell>
          <cell r="G215" t="e">
            <v>#VALUE!</v>
          </cell>
          <cell r="H215" t="e">
            <v>#VALUE!</v>
          </cell>
          <cell r="I215" t="e">
            <v>#VALUE!</v>
          </cell>
          <cell r="J215" t="e">
            <v>#VALUE!</v>
          </cell>
          <cell r="K215" t="e">
            <v>#VALUE!</v>
          </cell>
          <cell r="L215" t="e">
            <v>#VALUE!</v>
          </cell>
        </row>
        <row r="216">
          <cell r="A216">
            <v>215</v>
          </cell>
          <cell r="B216" t="str">
            <v>Italy</v>
          </cell>
          <cell r="C216" t="str">
            <v>MID</v>
          </cell>
          <cell r="D216" t="str">
            <v>Pirlo A</v>
          </cell>
          <cell r="E216">
            <v>3.5</v>
          </cell>
          <cell r="F216" t="e">
            <v>#VALUE!</v>
          </cell>
          <cell r="G216" t="e">
            <v>#VALUE!</v>
          </cell>
          <cell r="H216" t="e">
            <v>#VALUE!</v>
          </cell>
          <cell r="I216" t="e">
            <v>#VALUE!</v>
          </cell>
          <cell r="J216" t="e">
            <v>#VALUE!</v>
          </cell>
          <cell r="K216" t="e">
            <v>#VALUE!</v>
          </cell>
          <cell r="L216" t="e">
            <v>#VALUE!</v>
          </cell>
        </row>
        <row r="217">
          <cell r="A217">
            <v>216</v>
          </cell>
          <cell r="B217" t="str">
            <v>Italy</v>
          </cell>
          <cell r="C217" t="str">
            <v>FOR</v>
          </cell>
          <cell r="D217" t="str">
            <v>Borriello M</v>
          </cell>
          <cell r="E217">
            <v>4</v>
          </cell>
          <cell r="F217" t="e">
            <v>#VALUE!</v>
          </cell>
          <cell r="G217" t="e">
            <v>#VALUE!</v>
          </cell>
          <cell r="H217" t="e">
            <v>#VALUE!</v>
          </cell>
          <cell r="I217" t="e">
            <v>#VALUE!</v>
          </cell>
          <cell r="J217" t="e">
            <v>#VALUE!</v>
          </cell>
          <cell r="K217" t="e">
            <v>#VALUE!</v>
          </cell>
          <cell r="L217" t="e">
            <v>#VALUE!</v>
          </cell>
        </row>
        <row r="218">
          <cell r="A218">
            <v>217</v>
          </cell>
          <cell r="B218" t="str">
            <v>Italy</v>
          </cell>
          <cell r="C218" t="str">
            <v>FOR</v>
          </cell>
          <cell r="D218" t="str">
            <v>DiNatale A</v>
          </cell>
          <cell r="E218">
            <v>5.6</v>
          </cell>
          <cell r="F218" t="e">
            <v>#VALUE!</v>
          </cell>
          <cell r="G218" t="e">
            <v>#VALUE!</v>
          </cell>
          <cell r="H218" t="e">
            <v>#VALUE!</v>
          </cell>
          <cell r="I218" t="e">
            <v>#VALUE!</v>
          </cell>
          <cell r="J218" t="e">
            <v>#VALUE!</v>
          </cell>
          <cell r="K218" t="e">
            <v>#VALUE!</v>
          </cell>
          <cell r="L218" t="e">
            <v>#VALUE!</v>
          </cell>
        </row>
        <row r="219">
          <cell r="A219">
            <v>218</v>
          </cell>
          <cell r="B219" t="str">
            <v>Italy</v>
          </cell>
          <cell r="C219" t="str">
            <v>FOR</v>
          </cell>
          <cell r="D219" t="str">
            <v>Gilardino A</v>
          </cell>
          <cell r="E219">
            <v>6</v>
          </cell>
          <cell r="F219" t="e">
            <v>#VALUE!</v>
          </cell>
          <cell r="G219" t="e">
            <v>#VALUE!</v>
          </cell>
          <cell r="H219" t="e">
            <v>#VALUE!</v>
          </cell>
          <cell r="I219" t="e">
            <v>#VALUE!</v>
          </cell>
          <cell r="J219" t="e">
            <v>#VALUE!</v>
          </cell>
          <cell r="K219" t="e">
            <v>#VALUE!</v>
          </cell>
          <cell r="L219" t="e">
            <v>#VALUE!</v>
          </cell>
        </row>
        <row r="220">
          <cell r="A220">
            <v>219</v>
          </cell>
          <cell r="B220" t="str">
            <v>Italy</v>
          </cell>
          <cell r="C220" t="str">
            <v>FOR</v>
          </cell>
          <cell r="D220" t="str">
            <v>Iaquinta V</v>
          </cell>
          <cell r="E220">
            <v>4.3</v>
          </cell>
          <cell r="F220" t="e">
            <v>#VALUE!</v>
          </cell>
          <cell r="G220" t="e">
            <v>#VALUE!</v>
          </cell>
          <cell r="H220" t="e">
            <v>#VALUE!</v>
          </cell>
          <cell r="I220" t="e">
            <v>#VALUE!</v>
          </cell>
          <cell r="J220" t="e">
            <v>#VALUE!</v>
          </cell>
          <cell r="K220" t="e">
            <v>#VALUE!</v>
          </cell>
          <cell r="L220" t="e">
            <v>#VALUE!</v>
          </cell>
        </row>
        <row r="221">
          <cell r="A221">
            <v>220</v>
          </cell>
          <cell r="B221" t="str">
            <v>Ivory Coast</v>
          </cell>
          <cell r="C221" t="str">
            <v>GK</v>
          </cell>
          <cell r="D221" t="str">
            <v>Barry B</v>
          </cell>
          <cell r="E221">
            <v>3.4</v>
          </cell>
          <cell r="F221" t="e">
            <v>#VALUE!</v>
          </cell>
          <cell r="G221" t="e">
            <v>#VALUE!</v>
          </cell>
          <cell r="H221" t="e">
            <v>#VALUE!</v>
          </cell>
          <cell r="I221" t="e">
            <v>#VALUE!</v>
          </cell>
          <cell r="J221" t="e">
            <v>#VALUE!</v>
          </cell>
          <cell r="K221" t="e">
            <v>#VALUE!</v>
          </cell>
          <cell r="L221" t="e">
            <v>#VALUE!</v>
          </cell>
        </row>
        <row r="222">
          <cell r="A222">
            <v>221</v>
          </cell>
          <cell r="B222" t="str">
            <v>Ivory Coast</v>
          </cell>
          <cell r="C222" t="str">
            <v>GK</v>
          </cell>
          <cell r="D222" t="str">
            <v>Zogbo A</v>
          </cell>
          <cell r="E222">
            <v>3.2</v>
          </cell>
          <cell r="F222" t="e">
            <v>#VALUE!</v>
          </cell>
          <cell r="G222" t="e">
            <v>#VALUE!</v>
          </cell>
          <cell r="H222" t="e">
            <v>#VALUE!</v>
          </cell>
          <cell r="I222" t="e">
            <v>#VALUE!</v>
          </cell>
          <cell r="J222" t="e">
            <v>#VALUE!</v>
          </cell>
          <cell r="K222" t="e">
            <v>#VALUE!</v>
          </cell>
          <cell r="L222" t="e">
            <v>#VALUE!</v>
          </cell>
        </row>
        <row r="223">
          <cell r="A223">
            <v>222</v>
          </cell>
          <cell r="B223" t="str">
            <v>Ivory Coast</v>
          </cell>
          <cell r="C223" t="str">
            <v>DEF</v>
          </cell>
          <cell r="D223" t="str">
            <v>Angoua B</v>
          </cell>
          <cell r="E223">
            <v>2.9</v>
          </cell>
          <cell r="F223" t="e">
            <v>#VALUE!</v>
          </cell>
          <cell r="G223" t="e">
            <v>#VALUE!</v>
          </cell>
          <cell r="H223" t="e">
            <v>#VALUE!</v>
          </cell>
          <cell r="I223" t="e">
            <v>#VALUE!</v>
          </cell>
          <cell r="J223" t="e">
            <v>#VALUE!</v>
          </cell>
          <cell r="K223" t="e">
            <v>#VALUE!</v>
          </cell>
          <cell r="L223" t="e">
            <v>#VALUE!</v>
          </cell>
        </row>
        <row r="224">
          <cell r="A224">
            <v>223</v>
          </cell>
          <cell r="B224" t="str">
            <v>Ivory Coast</v>
          </cell>
          <cell r="C224" t="str">
            <v>DEF</v>
          </cell>
          <cell r="D224" t="str">
            <v>Bamba S</v>
          </cell>
          <cell r="E224">
            <v>3.2</v>
          </cell>
          <cell r="F224" t="e">
            <v>#VALUE!</v>
          </cell>
          <cell r="G224" t="e">
            <v>#VALUE!</v>
          </cell>
          <cell r="H224" t="e">
            <v>#VALUE!</v>
          </cell>
          <cell r="I224" t="e">
            <v>#VALUE!</v>
          </cell>
          <cell r="J224" t="e">
            <v>#VALUE!</v>
          </cell>
          <cell r="K224" t="e">
            <v>#VALUE!</v>
          </cell>
          <cell r="L224" t="e">
            <v>#VALUE!</v>
          </cell>
        </row>
        <row r="225">
          <cell r="A225">
            <v>224</v>
          </cell>
          <cell r="B225" t="str">
            <v>Ivory Coast</v>
          </cell>
          <cell r="C225" t="str">
            <v>DEF</v>
          </cell>
          <cell r="D225" t="str">
            <v>Eboue E</v>
          </cell>
          <cell r="E225">
            <v>3.7</v>
          </cell>
          <cell r="F225" t="e">
            <v>#VALUE!</v>
          </cell>
          <cell r="G225" t="e">
            <v>#VALUE!</v>
          </cell>
          <cell r="H225" t="e">
            <v>#VALUE!</v>
          </cell>
          <cell r="I225" t="e">
            <v>#VALUE!</v>
          </cell>
          <cell r="J225" t="e">
            <v>#VALUE!</v>
          </cell>
          <cell r="K225" t="e">
            <v>#VALUE!</v>
          </cell>
          <cell r="L225" t="e">
            <v>#VALUE!</v>
          </cell>
        </row>
        <row r="226">
          <cell r="A226">
            <v>225</v>
          </cell>
          <cell r="B226" t="str">
            <v>Ivory Coast</v>
          </cell>
          <cell r="C226" t="str">
            <v>DEF</v>
          </cell>
          <cell r="D226" t="str">
            <v>Tiene S</v>
          </cell>
          <cell r="E226">
            <v>3.5</v>
          </cell>
          <cell r="F226" t="e">
            <v>#VALUE!</v>
          </cell>
          <cell r="G226" t="e">
            <v>#VALUE!</v>
          </cell>
          <cell r="H226" t="e">
            <v>#VALUE!</v>
          </cell>
          <cell r="I226" t="e">
            <v>#VALUE!</v>
          </cell>
          <cell r="J226" t="e">
            <v>#VALUE!</v>
          </cell>
          <cell r="K226" t="e">
            <v>#VALUE!</v>
          </cell>
          <cell r="L226" t="e">
            <v>#VALUE!</v>
          </cell>
        </row>
        <row r="227">
          <cell r="A227">
            <v>226</v>
          </cell>
          <cell r="B227" t="str">
            <v>Ivory Coast</v>
          </cell>
          <cell r="C227" t="str">
            <v>DEF</v>
          </cell>
          <cell r="D227" t="str">
            <v>Toure K</v>
          </cell>
          <cell r="E227">
            <v>3.6</v>
          </cell>
          <cell r="F227" t="e">
            <v>#VALUE!</v>
          </cell>
          <cell r="G227" t="e">
            <v>#VALUE!</v>
          </cell>
          <cell r="H227" t="e">
            <v>#VALUE!</v>
          </cell>
          <cell r="I227" t="e">
            <v>#VALUE!</v>
          </cell>
          <cell r="J227" t="e">
            <v>#VALUE!</v>
          </cell>
          <cell r="K227" t="e">
            <v>#VALUE!</v>
          </cell>
          <cell r="L227" t="e">
            <v>#VALUE!</v>
          </cell>
        </row>
        <row r="228">
          <cell r="A228">
            <v>227</v>
          </cell>
          <cell r="B228" t="str">
            <v>Ivory Coast</v>
          </cell>
          <cell r="C228" t="str">
            <v>MID</v>
          </cell>
          <cell r="D228" t="str">
            <v xml:space="preserve">Romaric </v>
          </cell>
          <cell r="E228">
            <v>2.8</v>
          </cell>
          <cell r="F228" t="e">
            <v>#VALUE!</v>
          </cell>
          <cell r="G228" t="e">
            <v>#VALUE!</v>
          </cell>
          <cell r="H228" t="e">
            <v>#VALUE!</v>
          </cell>
          <cell r="I228" t="e">
            <v>#VALUE!</v>
          </cell>
          <cell r="J228" t="e">
            <v>#VALUE!</v>
          </cell>
          <cell r="K228" t="e">
            <v>#VALUE!</v>
          </cell>
          <cell r="L228" t="e">
            <v>#VALUE!</v>
          </cell>
        </row>
        <row r="229">
          <cell r="A229">
            <v>228</v>
          </cell>
          <cell r="B229" t="str">
            <v>Ivory Coast</v>
          </cell>
          <cell r="C229" t="str">
            <v>MID</v>
          </cell>
          <cell r="D229" t="str">
            <v>Toure Y</v>
          </cell>
          <cell r="E229">
            <v>3.9</v>
          </cell>
          <cell r="F229" t="e">
            <v>#VALUE!</v>
          </cell>
          <cell r="G229" t="e">
            <v>#VALUE!</v>
          </cell>
          <cell r="H229" t="e">
            <v>#VALUE!</v>
          </cell>
          <cell r="I229" t="e">
            <v>#VALUE!</v>
          </cell>
          <cell r="J229" t="e">
            <v>#VALUE!</v>
          </cell>
          <cell r="K229" t="e">
            <v>#VALUE!</v>
          </cell>
          <cell r="L229" t="e">
            <v>#VALUE!</v>
          </cell>
        </row>
        <row r="230">
          <cell r="A230">
            <v>229</v>
          </cell>
          <cell r="B230" t="str">
            <v>Ivory Coast</v>
          </cell>
          <cell r="C230" t="str">
            <v>MID</v>
          </cell>
          <cell r="D230" t="str">
            <v>Zokora D</v>
          </cell>
          <cell r="E230">
            <v>3.2</v>
          </cell>
          <cell r="F230" t="e">
            <v>#VALUE!</v>
          </cell>
          <cell r="G230" t="e">
            <v>#VALUE!</v>
          </cell>
          <cell r="H230" t="e">
            <v>#VALUE!</v>
          </cell>
          <cell r="I230" t="e">
            <v>#VALUE!</v>
          </cell>
          <cell r="J230" t="e">
            <v>#VALUE!</v>
          </cell>
          <cell r="K230" t="e">
            <v>#VALUE!</v>
          </cell>
          <cell r="L230" t="e">
            <v>#VALUE!</v>
          </cell>
        </row>
        <row r="231">
          <cell r="A231">
            <v>230</v>
          </cell>
          <cell r="B231" t="str">
            <v>Ivory Coast</v>
          </cell>
          <cell r="C231" t="str">
            <v>FOR</v>
          </cell>
          <cell r="D231" t="str">
            <v>Dindane A</v>
          </cell>
          <cell r="E231">
            <v>4.5</v>
          </cell>
          <cell r="F231" t="e">
            <v>#VALUE!</v>
          </cell>
          <cell r="G231" t="e">
            <v>#VALUE!</v>
          </cell>
          <cell r="H231" t="e">
            <v>#VALUE!</v>
          </cell>
          <cell r="I231" t="e">
            <v>#VALUE!</v>
          </cell>
          <cell r="J231" t="e">
            <v>#VALUE!</v>
          </cell>
          <cell r="K231" t="e">
            <v>#VALUE!</v>
          </cell>
          <cell r="L231" t="e">
            <v>#VALUE!</v>
          </cell>
        </row>
        <row r="232">
          <cell r="A232">
            <v>231</v>
          </cell>
          <cell r="B232" t="str">
            <v>Ivory Coast</v>
          </cell>
          <cell r="C232" t="str">
            <v>FOR</v>
          </cell>
          <cell r="D232" t="str">
            <v>Drogba D</v>
          </cell>
          <cell r="E232">
            <v>6.2</v>
          </cell>
          <cell r="F232" t="e">
            <v>#VALUE!</v>
          </cell>
          <cell r="G232" t="e">
            <v>#VALUE!</v>
          </cell>
          <cell r="H232" t="e">
            <v>#VALUE!</v>
          </cell>
          <cell r="I232" t="e">
            <v>#VALUE!</v>
          </cell>
          <cell r="J232" t="e">
            <v>#VALUE!</v>
          </cell>
          <cell r="K232" t="e">
            <v>#VALUE!</v>
          </cell>
          <cell r="L232" t="e">
            <v>#VALUE!</v>
          </cell>
        </row>
        <row r="233">
          <cell r="A233">
            <v>232</v>
          </cell>
          <cell r="B233" t="str">
            <v>Ivory Coast</v>
          </cell>
          <cell r="C233" t="str">
            <v>FOR</v>
          </cell>
          <cell r="D233" t="str">
            <v xml:space="preserve">Gervinho </v>
          </cell>
          <cell r="E233">
            <v>4.0999999999999996</v>
          </cell>
          <cell r="F233" t="e">
            <v>#VALUE!</v>
          </cell>
          <cell r="G233" t="e">
            <v>#VALUE!</v>
          </cell>
          <cell r="H233" t="e">
            <v>#VALUE!</v>
          </cell>
          <cell r="I233" t="e">
            <v>#VALUE!</v>
          </cell>
          <cell r="J233" t="e">
            <v>#VALUE!</v>
          </cell>
          <cell r="K233" t="e">
            <v>#VALUE!</v>
          </cell>
          <cell r="L233" t="e">
            <v>#VALUE!</v>
          </cell>
        </row>
        <row r="234">
          <cell r="A234">
            <v>233</v>
          </cell>
          <cell r="B234" t="str">
            <v>Ivory Coast</v>
          </cell>
          <cell r="C234" t="str">
            <v>FOR</v>
          </cell>
          <cell r="D234" t="str">
            <v>Kalou S</v>
          </cell>
          <cell r="E234">
            <v>4.7</v>
          </cell>
          <cell r="F234" t="e">
            <v>#VALUE!</v>
          </cell>
          <cell r="G234" t="e">
            <v>#VALUE!</v>
          </cell>
          <cell r="H234" t="e">
            <v>#VALUE!</v>
          </cell>
          <cell r="I234" t="e">
            <v>#VALUE!</v>
          </cell>
          <cell r="J234" t="e">
            <v>#VALUE!</v>
          </cell>
          <cell r="K234" t="e">
            <v>#VALUE!</v>
          </cell>
          <cell r="L234" t="e">
            <v>#VALUE!</v>
          </cell>
        </row>
        <row r="235">
          <cell r="A235">
            <v>234</v>
          </cell>
          <cell r="B235" t="str">
            <v>Ivory Coast</v>
          </cell>
          <cell r="C235" t="str">
            <v>FOR</v>
          </cell>
          <cell r="D235" t="str">
            <v>Keita K</v>
          </cell>
          <cell r="E235">
            <v>3.5</v>
          </cell>
          <cell r="F235" t="e">
            <v>#VALUE!</v>
          </cell>
          <cell r="G235" t="e">
            <v>#VALUE!</v>
          </cell>
          <cell r="H235" t="e">
            <v>#VALUE!</v>
          </cell>
          <cell r="I235" t="e">
            <v>#VALUE!</v>
          </cell>
          <cell r="J235" t="e">
            <v>#VALUE!</v>
          </cell>
          <cell r="K235" t="e">
            <v>#VALUE!</v>
          </cell>
          <cell r="L235" t="e">
            <v>#VALUE!</v>
          </cell>
        </row>
        <row r="236">
          <cell r="A236">
            <v>235</v>
          </cell>
          <cell r="B236" t="str">
            <v>Japan</v>
          </cell>
          <cell r="C236" t="str">
            <v>GK</v>
          </cell>
          <cell r="D236" t="str">
            <v>Kawaguchi Y</v>
          </cell>
          <cell r="E236">
            <v>2.7</v>
          </cell>
          <cell r="F236" t="e">
            <v>#VALUE!</v>
          </cell>
          <cell r="G236" t="e">
            <v>#VALUE!</v>
          </cell>
          <cell r="H236" t="e">
            <v>#VALUE!</v>
          </cell>
          <cell r="I236" t="e">
            <v>#VALUE!</v>
          </cell>
          <cell r="J236" t="e">
            <v>#VALUE!</v>
          </cell>
          <cell r="K236" t="e">
            <v>#VALUE!</v>
          </cell>
          <cell r="L236" t="e">
            <v>#VALUE!</v>
          </cell>
        </row>
        <row r="237">
          <cell r="A237">
            <v>236</v>
          </cell>
          <cell r="B237" t="str">
            <v>Japan</v>
          </cell>
          <cell r="C237" t="str">
            <v>GK</v>
          </cell>
          <cell r="D237" t="str">
            <v>Kawashima E</v>
          </cell>
          <cell r="E237">
            <v>2.8</v>
          </cell>
          <cell r="F237" t="e">
            <v>#VALUE!</v>
          </cell>
          <cell r="G237" t="e">
            <v>#VALUE!</v>
          </cell>
          <cell r="H237" t="e">
            <v>#VALUE!</v>
          </cell>
          <cell r="I237" t="e">
            <v>#VALUE!</v>
          </cell>
          <cell r="J237" t="e">
            <v>#VALUE!</v>
          </cell>
          <cell r="K237" t="e">
            <v>#VALUE!</v>
          </cell>
          <cell r="L237" t="e">
            <v>#VALUE!</v>
          </cell>
        </row>
        <row r="238">
          <cell r="A238">
            <v>237</v>
          </cell>
          <cell r="B238" t="str">
            <v>Japan</v>
          </cell>
          <cell r="C238" t="str">
            <v>GK</v>
          </cell>
          <cell r="D238" t="str">
            <v>Narazaki S</v>
          </cell>
          <cell r="E238">
            <v>2.9</v>
          </cell>
          <cell r="F238" t="e">
            <v>#VALUE!</v>
          </cell>
          <cell r="G238" t="e">
            <v>#VALUE!</v>
          </cell>
          <cell r="H238" t="e">
            <v>#VALUE!</v>
          </cell>
          <cell r="I238" t="e">
            <v>#VALUE!</v>
          </cell>
          <cell r="J238" t="e">
            <v>#VALUE!</v>
          </cell>
          <cell r="K238" t="e">
            <v>#VALUE!</v>
          </cell>
          <cell r="L238" t="e">
            <v>#VALUE!</v>
          </cell>
        </row>
        <row r="239">
          <cell r="A239">
            <v>238</v>
          </cell>
          <cell r="B239" t="str">
            <v>Japan</v>
          </cell>
          <cell r="C239" t="str">
            <v>DEF</v>
          </cell>
          <cell r="D239" t="str">
            <v>Iwamasa D</v>
          </cell>
          <cell r="E239">
            <v>2.6</v>
          </cell>
          <cell r="F239" t="e">
            <v>#VALUE!</v>
          </cell>
          <cell r="G239" t="e">
            <v>#VALUE!</v>
          </cell>
          <cell r="H239" t="e">
            <v>#VALUE!</v>
          </cell>
          <cell r="I239" t="e">
            <v>#VALUE!</v>
          </cell>
          <cell r="J239" t="e">
            <v>#VALUE!</v>
          </cell>
          <cell r="K239" t="e">
            <v>#VALUE!</v>
          </cell>
          <cell r="L239" t="e">
            <v>#VALUE!</v>
          </cell>
        </row>
        <row r="240">
          <cell r="A240">
            <v>239</v>
          </cell>
          <cell r="B240" t="str">
            <v>Japan</v>
          </cell>
          <cell r="C240" t="str">
            <v>DEF</v>
          </cell>
          <cell r="D240" t="str">
            <v>Komano Y</v>
          </cell>
          <cell r="E240">
            <v>2.8</v>
          </cell>
          <cell r="F240" t="e">
            <v>#VALUE!</v>
          </cell>
          <cell r="G240" t="e">
            <v>#VALUE!</v>
          </cell>
          <cell r="H240" t="e">
            <v>#VALUE!</v>
          </cell>
          <cell r="I240" t="e">
            <v>#VALUE!</v>
          </cell>
          <cell r="J240" t="e">
            <v>#VALUE!</v>
          </cell>
          <cell r="K240" t="e">
            <v>#VALUE!</v>
          </cell>
          <cell r="L240" t="e">
            <v>#VALUE!</v>
          </cell>
        </row>
        <row r="241">
          <cell r="A241">
            <v>240</v>
          </cell>
          <cell r="B241" t="str">
            <v>Japan</v>
          </cell>
          <cell r="C241" t="str">
            <v>DEF</v>
          </cell>
          <cell r="D241" t="str">
            <v>Konno Y</v>
          </cell>
          <cell r="E241">
            <v>3</v>
          </cell>
          <cell r="F241" t="e">
            <v>#VALUE!</v>
          </cell>
          <cell r="G241" t="e">
            <v>#VALUE!</v>
          </cell>
          <cell r="H241" t="e">
            <v>#VALUE!</v>
          </cell>
          <cell r="I241" t="e">
            <v>#VALUE!</v>
          </cell>
          <cell r="J241" t="e">
            <v>#VALUE!</v>
          </cell>
          <cell r="K241" t="e">
            <v>#VALUE!</v>
          </cell>
          <cell r="L241" t="e">
            <v>#VALUE!</v>
          </cell>
        </row>
        <row r="242">
          <cell r="A242">
            <v>241</v>
          </cell>
          <cell r="B242" t="str">
            <v>Japan</v>
          </cell>
          <cell r="C242" t="str">
            <v>DEF</v>
          </cell>
          <cell r="D242" t="str">
            <v>Nagatomo Y</v>
          </cell>
          <cell r="E242">
            <v>2.9</v>
          </cell>
          <cell r="F242" t="e">
            <v>#VALUE!</v>
          </cell>
          <cell r="G242" t="e">
            <v>#VALUE!</v>
          </cell>
          <cell r="H242" t="e">
            <v>#VALUE!</v>
          </cell>
          <cell r="I242" t="e">
            <v>#VALUE!</v>
          </cell>
          <cell r="J242" t="e">
            <v>#VALUE!</v>
          </cell>
          <cell r="K242" t="e">
            <v>#VALUE!</v>
          </cell>
          <cell r="L242" t="e">
            <v>#VALUE!</v>
          </cell>
        </row>
        <row r="243">
          <cell r="A243">
            <v>242</v>
          </cell>
          <cell r="B243" t="str">
            <v>Japan</v>
          </cell>
          <cell r="C243" t="str">
            <v>DEF</v>
          </cell>
          <cell r="D243" t="str">
            <v>Nakazawa Y</v>
          </cell>
          <cell r="E243">
            <v>3.3</v>
          </cell>
          <cell r="F243" t="e">
            <v>#VALUE!</v>
          </cell>
          <cell r="G243" t="e">
            <v>#VALUE!</v>
          </cell>
          <cell r="H243" t="e">
            <v>#VALUE!</v>
          </cell>
          <cell r="I243" t="e">
            <v>#VALUE!</v>
          </cell>
          <cell r="J243" t="e">
            <v>#VALUE!</v>
          </cell>
          <cell r="K243" t="e">
            <v>#VALUE!</v>
          </cell>
          <cell r="L243" t="e">
            <v>#VALUE!</v>
          </cell>
        </row>
        <row r="244">
          <cell r="A244">
            <v>243</v>
          </cell>
          <cell r="B244" t="str">
            <v>Japan</v>
          </cell>
          <cell r="C244" t="str">
            <v>DEF</v>
          </cell>
          <cell r="D244" t="str">
            <v>Tanaka MT</v>
          </cell>
          <cell r="E244">
            <v>3.4</v>
          </cell>
          <cell r="F244" t="e">
            <v>#VALUE!</v>
          </cell>
          <cell r="G244" t="e">
            <v>#VALUE!</v>
          </cell>
          <cell r="H244" t="e">
            <v>#VALUE!</v>
          </cell>
          <cell r="I244" t="e">
            <v>#VALUE!</v>
          </cell>
          <cell r="J244" t="e">
            <v>#VALUE!</v>
          </cell>
          <cell r="K244" t="e">
            <v>#VALUE!</v>
          </cell>
          <cell r="L244" t="e">
            <v>#VALUE!</v>
          </cell>
        </row>
        <row r="245">
          <cell r="A245">
            <v>244</v>
          </cell>
          <cell r="B245" t="str">
            <v>Japan</v>
          </cell>
          <cell r="C245" t="str">
            <v>DEF</v>
          </cell>
          <cell r="D245" t="str">
            <v>Uchida A</v>
          </cell>
          <cell r="E245">
            <v>3.3</v>
          </cell>
          <cell r="F245" t="e">
            <v>#VALUE!</v>
          </cell>
          <cell r="G245" t="e">
            <v>#VALUE!</v>
          </cell>
          <cell r="H245" t="e">
            <v>#VALUE!</v>
          </cell>
          <cell r="I245" t="e">
            <v>#VALUE!</v>
          </cell>
          <cell r="J245" t="e">
            <v>#VALUE!</v>
          </cell>
          <cell r="K245" t="e">
            <v>#VALUE!</v>
          </cell>
          <cell r="L245" t="e">
            <v>#VALUE!</v>
          </cell>
        </row>
        <row r="246">
          <cell r="A246">
            <v>245</v>
          </cell>
          <cell r="B246" t="str">
            <v>Japan</v>
          </cell>
          <cell r="C246" t="str">
            <v>MID</v>
          </cell>
          <cell r="D246" t="str">
            <v>Abe Y</v>
          </cell>
          <cell r="E246">
            <v>3.1</v>
          </cell>
          <cell r="F246" t="e">
            <v>#VALUE!</v>
          </cell>
          <cell r="G246" t="e">
            <v>#VALUE!</v>
          </cell>
          <cell r="H246" t="e">
            <v>#VALUE!</v>
          </cell>
          <cell r="I246" t="e">
            <v>#VALUE!</v>
          </cell>
          <cell r="J246" t="e">
            <v>#VALUE!</v>
          </cell>
          <cell r="K246" t="e">
            <v>#VALUE!</v>
          </cell>
          <cell r="L246" t="e">
            <v>#VALUE!</v>
          </cell>
        </row>
        <row r="247">
          <cell r="A247">
            <v>246</v>
          </cell>
          <cell r="B247" t="str">
            <v>Japan</v>
          </cell>
          <cell r="C247" t="str">
            <v>MID</v>
          </cell>
          <cell r="D247" t="str">
            <v>Endo Y</v>
          </cell>
          <cell r="E247">
            <v>3.2</v>
          </cell>
          <cell r="F247" t="e">
            <v>#VALUE!</v>
          </cell>
          <cell r="G247" t="e">
            <v>#VALUE!</v>
          </cell>
          <cell r="H247" t="e">
            <v>#VALUE!</v>
          </cell>
          <cell r="I247" t="e">
            <v>#VALUE!</v>
          </cell>
          <cell r="J247" t="e">
            <v>#VALUE!</v>
          </cell>
          <cell r="K247" t="e">
            <v>#VALUE!</v>
          </cell>
          <cell r="L247" t="e">
            <v>#VALUE!</v>
          </cell>
        </row>
        <row r="248">
          <cell r="A248">
            <v>247</v>
          </cell>
          <cell r="B248" t="str">
            <v>Japan</v>
          </cell>
          <cell r="C248" t="str">
            <v>MID</v>
          </cell>
          <cell r="D248" t="str">
            <v>Hasebe M</v>
          </cell>
          <cell r="E248">
            <v>2.6</v>
          </cell>
          <cell r="F248" t="e">
            <v>#VALUE!</v>
          </cell>
          <cell r="G248" t="e">
            <v>#VALUE!</v>
          </cell>
          <cell r="H248" t="e">
            <v>#VALUE!</v>
          </cell>
          <cell r="I248" t="e">
            <v>#VALUE!</v>
          </cell>
          <cell r="J248" t="e">
            <v>#VALUE!</v>
          </cell>
          <cell r="K248" t="e">
            <v>#VALUE!</v>
          </cell>
          <cell r="L248" t="e">
            <v>#VALUE!</v>
          </cell>
        </row>
        <row r="249">
          <cell r="A249">
            <v>248</v>
          </cell>
          <cell r="B249" t="str">
            <v>Japan</v>
          </cell>
          <cell r="C249" t="str">
            <v>MID</v>
          </cell>
          <cell r="D249" t="str">
            <v>Hashimoto H</v>
          </cell>
          <cell r="E249">
            <v>2.7</v>
          </cell>
          <cell r="F249" t="e">
            <v>#VALUE!</v>
          </cell>
          <cell r="G249" t="e">
            <v>#VALUE!</v>
          </cell>
          <cell r="H249" t="e">
            <v>#VALUE!</v>
          </cell>
          <cell r="I249" t="e">
            <v>#VALUE!</v>
          </cell>
          <cell r="J249" t="e">
            <v>#VALUE!</v>
          </cell>
          <cell r="K249" t="e">
            <v>#VALUE!</v>
          </cell>
          <cell r="L249" t="e">
            <v>#VALUE!</v>
          </cell>
        </row>
        <row r="250">
          <cell r="A250">
            <v>249</v>
          </cell>
          <cell r="B250" t="str">
            <v>Japan</v>
          </cell>
          <cell r="C250" t="str">
            <v>MID</v>
          </cell>
          <cell r="D250" t="str">
            <v>Honda K</v>
          </cell>
          <cell r="E250">
            <v>2.9</v>
          </cell>
          <cell r="F250" t="e">
            <v>#VALUE!</v>
          </cell>
          <cell r="G250" t="e">
            <v>#VALUE!</v>
          </cell>
          <cell r="H250" t="e">
            <v>#VALUE!</v>
          </cell>
          <cell r="I250" t="e">
            <v>#VALUE!</v>
          </cell>
          <cell r="J250" t="e">
            <v>#VALUE!</v>
          </cell>
          <cell r="K250" t="e">
            <v>#VALUE!</v>
          </cell>
          <cell r="L250" t="e">
            <v>#VALUE!</v>
          </cell>
        </row>
        <row r="251">
          <cell r="A251">
            <v>250</v>
          </cell>
          <cell r="B251" t="str">
            <v>Japan</v>
          </cell>
          <cell r="C251" t="str">
            <v>MID</v>
          </cell>
          <cell r="D251" t="str">
            <v>Inamoto J</v>
          </cell>
          <cell r="E251">
            <v>3.1</v>
          </cell>
          <cell r="F251" t="e">
            <v>#VALUE!</v>
          </cell>
          <cell r="G251" t="e">
            <v>#VALUE!</v>
          </cell>
          <cell r="H251" t="e">
            <v>#VALUE!</v>
          </cell>
          <cell r="I251" t="e">
            <v>#VALUE!</v>
          </cell>
          <cell r="J251" t="e">
            <v>#VALUE!</v>
          </cell>
          <cell r="K251" t="e">
            <v>#VALUE!</v>
          </cell>
          <cell r="L251" t="e">
            <v>#VALUE!</v>
          </cell>
        </row>
        <row r="252">
          <cell r="A252">
            <v>251</v>
          </cell>
          <cell r="B252" t="str">
            <v>Japan</v>
          </cell>
          <cell r="C252" t="str">
            <v>MID</v>
          </cell>
          <cell r="D252" t="str">
            <v>Matsui D</v>
          </cell>
          <cell r="E252">
            <v>3</v>
          </cell>
          <cell r="F252" t="e">
            <v>#VALUE!</v>
          </cell>
          <cell r="G252" t="e">
            <v>#VALUE!</v>
          </cell>
          <cell r="H252" t="e">
            <v>#VALUE!</v>
          </cell>
          <cell r="I252" t="e">
            <v>#VALUE!</v>
          </cell>
          <cell r="J252" t="e">
            <v>#VALUE!</v>
          </cell>
          <cell r="K252" t="e">
            <v>#VALUE!</v>
          </cell>
          <cell r="L252" t="e">
            <v>#VALUE!</v>
          </cell>
        </row>
        <row r="253">
          <cell r="A253">
            <v>252</v>
          </cell>
          <cell r="B253" t="str">
            <v>Japan</v>
          </cell>
          <cell r="C253" t="str">
            <v>MID</v>
          </cell>
          <cell r="D253" t="str">
            <v>Nakamura K</v>
          </cell>
          <cell r="E253">
            <v>3</v>
          </cell>
          <cell r="F253" t="e">
            <v>#VALUE!</v>
          </cell>
          <cell r="G253" t="e">
            <v>#VALUE!</v>
          </cell>
          <cell r="H253" t="e">
            <v>#VALUE!</v>
          </cell>
          <cell r="I253" t="e">
            <v>#VALUE!</v>
          </cell>
          <cell r="J253" t="e">
            <v>#VALUE!</v>
          </cell>
          <cell r="K253" t="e">
            <v>#VALUE!</v>
          </cell>
          <cell r="L253" t="e">
            <v>#VALUE!</v>
          </cell>
        </row>
        <row r="254">
          <cell r="A254">
            <v>253</v>
          </cell>
          <cell r="B254" t="str">
            <v>Japan</v>
          </cell>
          <cell r="C254" t="str">
            <v>MID</v>
          </cell>
          <cell r="D254" t="str">
            <v>Nakamura S</v>
          </cell>
          <cell r="E254">
            <v>3.2</v>
          </cell>
          <cell r="F254" t="e">
            <v>#VALUE!</v>
          </cell>
          <cell r="G254" t="e">
            <v>#VALUE!</v>
          </cell>
          <cell r="H254" t="e">
            <v>#VALUE!</v>
          </cell>
          <cell r="I254" t="e">
            <v>#VALUE!</v>
          </cell>
          <cell r="J254" t="e">
            <v>#VALUE!</v>
          </cell>
          <cell r="K254" t="e">
            <v>#VALUE!</v>
          </cell>
          <cell r="L254" t="e">
            <v>#VALUE!</v>
          </cell>
        </row>
        <row r="255">
          <cell r="A255">
            <v>254</v>
          </cell>
          <cell r="B255" t="str">
            <v>Japan</v>
          </cell>
          <cell r="C255" t="str">
            <v>FOR</v>
          </cell>
          <cell r="D255" t="str">
            <v>Morimoto T</v>
          </cell>
          <cell r="E255">
            <v>3.5</v>
          </cell>
          <cell r="F255" t="e">
            <v>#VALUE!</v>
          </cell>
          <cell r="G255" t="e">
            <v>#VALUE!</v>
          </cell>
          <cell r="H255" t="e">
            <v>#VALUE!</v>
          </cell>
          <cell r="I255" t="e">
            <v>#VALUE!</v>
          </cell>
          <cell r="J255" t="e">
            <v>#VALUE!</v>
          </cell>
          <cell r="K255" t="e">
            <v>#VALUE!</v>
          </cell>
          <cell r="L255" t="e">
            <v>#VALUE!</v>
          </cell>
        </row>
        <row r="256">
          <cell r="A256">
            <v>255</v>
          </cell>
          <cell r="B256" t="str">
            <v>Japan</v>
          </cell>
          <cell r="C256" t="str">
            <v>FOR</v>
          </cell>
          <cell r="D256" t="str">
            <v>Okazaki S</v>
          </cell>
          <cell r="E256">
            <v>4</v>
          </cell>
          <cell r="F256" t="e">
            <v>#VALUE!</v>
          </cell>
          <cell r="G256" t="e">
            <v>#VALUE!</v>
          </cell>
          <cell r="H256" t="e">
            <v>#VALUE!</v>
          </cell>
          <cell r="I256" t="e">
            <v>#VALUE!</v>
          </cell>
          <cell r="J256" t="e">
            <v>#VALUE!</v>
          </cell>
          <cell r="K256" t="e">
            <v>#VALUE!</v>
          </cell>
          <cell r="L256" t="e">
            <v>#VALUE!</v>
          </cell>
        </row>
        <row r="257">
          <cell r="A257">
            <v>256</v>
          </cell>
          <cell r="B257" t="str">
            <v>Japan</v>
          </cell>
          <cell r="C257" t="str">
            <v>FOR</v>
          </cell>
          <cell r="D257" t="str">
            <v>Okubo Y</v>
          </cell>
          <cell r="E257">
            <v>3.4</v>
          </cell>
          <cell r="F257" t="e">
            <v>#VALUE!</v>
          </cell>
          <cell r="G257" t="e">
            <v>#VALUE!</v>
          </cell>
          <cell r="H257" t="e">
            <v>#VALUE!</v>
          </cell>
          <cell r="I257" t="e">
            <v>#VALUE!</v>
          </cell>
          <cell r="J257" t="e">
            <v>#VALUE!</v>
          </cell>
          <cell r="K257" t="e">
            <v>#VALUE!</v>
          </cell>
          <cell r="L257" t="e">
            <v>#VALUE!</v>
          </cell>
        </row>
        <row r="258">
          <cell r="A258">
            <v>257</v>
          </cell>
          <cell r="B258" t="str">
            <v>Japan</v>
          </cell>
          <cell r="C258" t="str">
            <v>FOR</v>
          </cell>
          <cell r="D258" t="str">
            <v>Tamada K</v>
          </cell>
          <cell r="E258">
            <v>4.5</v>
          </cell>
          <cell r="F258" t="e">
            <v>#VALUE!</v>
          </cell>
          <cell r="G258" t="e">
            <v>#VALUE!</v>
          </cell>
          <cell r="H258" t="e">
            <v>#VALUE!</v>
          </cell>
          <cell r="I258" t="e">
            <v>#VALUE!</v>
          </cell>
          <cell r="J258" t="e">
            <v>#VALUE!</v>
          </cell>
          <cell r="K258" t="e">
            <v>#VALUE!</v>
          </cell>
          <cell r="L258" t="e">
            <v>#VALUE!</v>
          </cell>
        </row>
        <row r="259">
          <cell r="A259">
            <v>258</v>
          </cell>
          <cell r="B259" t="str">
            <v>Japan</v>
          </cell>
          <cell r="C259" t="str">
            <v>FOR</v>
          </cell>
          <cell r="D259" t="str">
            <v>Yano K</v>
          </cell>
          <cell r="E259">
            <v>3.4</v>
          </cell>
          <cell r="F259" t="e">
            <v>#VALUE!</v>
          </cell>
          <cell r="G259" t="e">
            <v>#VALUE!</v>
          </cell>
          <cell r="H259" t="e">
            <v>#VALUE!</v>
          </cell>
          <cell r="I259" t="e">
            <v>#VALUE!</v>
          </cell>
          <cell r="J259" t="e">
            <v>#VALUE!</v>
          </cell>
          <cell r="K259" t="e">
            <v>#VALUE!</v>
          </cell>
          <cell r="L259" t="e">
            <v>#VALUE!</v>
          </cell>
        </row>
        <row r="260">
          <cell r="A260">
            <v>259</v>
          </cell>
          <cell r="B260" t="str">
            <v>Mexico</v>
          </cell>
          <cell r="C260" t="str">
            <v>GK</v>
          </cell>
          <cell r="D260" t="str">
            <v>Ochoa G</v>
          </cell>
          <cell r="E260">
            <v>3.1</v>
          </cell>
          <cell r="F260" t="e">
            <v>#VALUE!</v>
          </cell>
          <cell r="G260" t="e">
            <v>#VALUE!</v>
          </cell>
          <cell r="H260" t="e">
            <v>#VALUE!</v>
          </cell>
          <cell r="I260" t="e">
            <v>#VALUE!</v>
          </cell>
          <cell r="J260" t="e">
            <v>#VALUE!</v>
          </cell>
          <cell r="K260" t="e">
            <v>#VALUE!</v>
          </cell>
          <cell r="L260" t="e">
            <v>#VALUE!</v>
          </cell>
        </row>
        <row r="261">
          <cell r="A261">
            <v>260</v>
          </cell>
          <cell r="B261" t="str">
            <v>Mexico</v>
          </cell>
          <cell r="C261" t="str">
            <v>DEF</v>
          </cell>
          <cell r="D261" t="str">
            <v>Magallon J</v>
          </cell>
          <cell r="E261">
            <v>3.4</v>
          </cell>
          <cell r="F261" t="e">
            <v>#VALUE!</v>
          </cell>
          <cell r="G261" t="e">
            <v>#VALUE!</v>
          </cell>
          <cell r="H261" t="e">
            <v>#VALUE!</v>
          </cell>
          <cell r="I261" t="e">
            <v>#VALUE!</v>
          </cell>
          <cell r="J261" t="e">
            <v>#VALUE!</v>
          </cell>
          <cell r="K261" t="e">
            <v>#VALUE!</v>
          </cell>
          <cell r="L261" t="e">
            <v>#VALUE!</v>
          </cell>
        </row>
        <row r="262">
          <cell r="A262">
            <v>261</v>
          </cell>
          <cell r="B262" t="str">
            <v>Mexico</v>
          </cell>
          <cell r="C262" t="str">
            <v>DEF</v>
          </cell>
          <cell r="D262" t="str">
            <v>Moreno H</v>
          </cell>
          <cell r="E262">
            <v>2.9</v>
          </cell>
          <cell r="F262" t="e">
            <v>#VALUE!</v>
          </cell>
          <cell r="G262" t="e">
            <v>#VALUE!</v>
          </cell>
          <cell r="H262" t="e">
            <v>#VALUE!</v>
          </cell>
          <cell r="I262" t="e">
            <v>#VALUE!</v>
          </cell>
          <cell r="J262" t="e">
            <v>#VALUE!</v>
          </cell>
          <cell r="K262" t="e">
            <v>#VALUE!</v>
          </cell>
          <cell r="L262" t="e">
            <v>#VALUE!</v>
          </cell>
        </row>
        <row r="263">
          <cell r="A263">
            <v>262</v>
          </cell>
          <cell r="B263" t="str">
            <v>Mexico</v>
          </cell>
          <cell r="C263" t="str">
            <v>DEF</v>
          </cell>
          <cell r="D263" t="str">
            <v>Osorio R</v>
          </cell>
          <cell r="E263">
            <v>3.4</v>
          </cell>
          <cell r="F263" t="e">
            <v>#VALUE!</v>
          </cell>
          <cell r="G263" t="e">
            <v>#VALUE!</v>
          </cell>
          <cell r="H263" t="e">
            <v>#VALUE!</v>
          </cell>
          <cell r="I263" t="e">
            <v>#VALUE!</v>
          </cell>
          <cell r="J263" t="e">
            <v>#VALUE!</v>
          </cell>
          <cell r="K263" t="e">
            <v>#VALUE!</v>
          </cell>
          <cell r="L263" t="e">
            <v>#VALUE!</v>
          </cell>
        </row>
        <row r="264">
          <cell r="A264">
            <v>263</v>
          </cell>
          <cell r="B264" t="str">
            <v>Mexico</v>
          </cell>
          <cell r="C264" t="str">
            <v>DEF</v>
          </cell>
          <cell r="D264" t="str">
            <v>Salcido C</v>
          </cell>
          <cell r="E264">
            <v>3.6</v>
          </cell>
          <cell r="F264" t="e">
            <v>#VALUE!</v>
          </cell>
          <cell r="G264" t="e">
            <v>#VALUE!</v>
          </cell>
          <cell r="H264" t="e">
            <v>#VALUE!</v>
          </cell>
          <cell r="I264" t="e">
            <v>#VALUE!</v>
          </cell>
          <cell r="J264" t="e">
            <v>#VALUE!</v>
          </cell>
          <cell r="K264" t="e">
            <v>#VALUE!</v>
          </cell>
          <cell r="L264" t="e">
            <v>#VALUE!</v>
          </cell>
        </row>
        <row r="265">
          <cell r="A265">
            <v>264</v>
          </cell>
          <cell r="B265" t="str">
            <v>Mexico</v>
          </cell>
          <cell r="C265" t="str">
            <v>MID</v>
          </cell>
          <cell r="D265" t="str">
            <v>Castro I</v>
          </cell>
          <cell r="E265">
            <v>2.8</v>
          </cell>
          <cell r="F265" t="e">
            <v>#VALUE!</v>
          </cell>
          <cell r="G265" t="e">
            <v>#VALUE!</v>
          </cell>
          <cell r="H265" t="e">
            <v>#VALUE!</v>
          </cell>
          <cell r="I265" t="e">
            <v>#VALUE!</v>
          </cell>
          <cell r="J265" t="e">
            <v>#VALUE!</v>
          </cell>
          <cell r="K265" t="e">
            <v>#VALUE!</v>
          </cell>
          <cell r="L265" t="e">
            <v>#VALUE!</v>
          </cell>
        </row>
        <row r="266">
          <cell r="A266">
            <v>265</v>
          </cell>
          <cell r="B266" t="str">
            <v>Mexico</v>
          </cell>
          <cell r="C266" t="str">
            <v>MID</v>
          </cell>
          <cell r="D266" t="str">
            <v>Guardado A</v>
          </cell>
          <cell r="E266">
            <v>3.2</v>
          </cell>
          <cell r="F266" t="e">
            <v>#VALUE!</v>
          </cell>
          <cell r="G266" t="e">
            <v>#VALUE!</v>
          </cell>
          <cell r="H266" t="e">
            <v>#VALUE!</v>
          </cell>
          <cell r="I266" t="e">
            <v>#VALUE!</v>
          </cell>
          <cell r="J266" t="e">
            <v>#VALUE!</v>
          </cell>
          <cell r="K266" t="e">
            <v>#VALUE!</v>
          </cell>
          <cell r="L266" t="e">
            <v>#VALUE!</v>
          </cell>
        </row>
        <row r="267">
          <cell r="A267">
            <v>266</v>
          </cell>
          <cell r="B267" t="str">
            <v>Mexico</v>
          </cell>
          <cell r="C267" t="str">
            <v>MID</v>
          </cell>
          <cell r="D267" t="str">
            <v>Torrado G</v>
          </cell>
          <cell r="E267">
            <v>3</v>
          </cell>
          <cell r="F267" t="e">
            <v>#VALUE!</v>
          </cell>
          <cell r="G267" t="e">
            <v>#VALUE!</v>
          </cell>
          <cell r="H267" t="e">
            <v>#VALUE!</v>
          </cell>
          <cell r="I267" t="e">
            <v>#VALUE!</v>
          </cell>
          <cell r="J267" t="e">
            <v>#VALUE!</v>
          </cell>
          <cell r="K267" t="e">
            <v>#VALUE!</v>
          </cell>
          <cell r="L267" t="e">
            <v>#VALUE!</v>
          </cell>
        </row>
        <row r="268">
          <cell r="A268">
            <v>267</v>
          </cell>
          <cell r="B268" t="str">
            <v>Mexico</v>
          </cell>
          <cell r="C268" t="str">
            <v>FOR</v>
          </cell>
          <cell r="D268" t="str">
            <v>Hernandez J</v>
          </cell>
          <cell r="E268">
            <v>4.2</v>
          </cell>
          <cell r="F268" t="e">
            <v>#VALUE!</v>
          </cell>
          <cell r="G268" t="e">
            <v>#VALUE!</v>
          </cell>
          <cell r="H268" t="e">
            <v>#VALUE!</v>
          </cell>
          <cell r="I268" t="e">
            <v>#VALUE!</v>
          </cell>
          <cell r="J268" t="e">
            <v>#VALUE!</v>
          </cell>
          <cell r="K268" t="e">
            <v>#VALUE!</v>
          </cell>
          <cell r="L268" t="e">
            <v>#VALUE!</v>
          </cell>
        </row>
        <row r="269">
          <cell r="A269">
            <v>268</v>
          </cell>
          <cell r="B269" t="str">
            <v>Mexico</v>
          </cell>
          <cell r="C269" t="str">
            <v>FOR</v>
          </cell>
          <cell r="D269" t="str">
            <v>Vela C</v>
          </cell>
          <cell r="E269">
            <v>5.0999999999999996</v>
          </cell>
          <cell r="F269" t="e">
            <v>#VALUE!</v>
          </cell>
          <cell r="G269" t="e">
            <v>#VALUE!</v>
          </cell>
          <cell r="H269" t="e">
            <v>#VALUE!</v>
          </cell>
          <cell r="I269" t="e">
            <v>#VALUE!</v>
          </cell>
          <cell r="J269" t="e">
            <v>#VALUE!</v>
          </cell>
          <cell r="K269" t="e">
            <v>#VALUE!</v>
          </cell>
          <cell r="L269" t="e">
            <v>#VALUE!</v>
          </cell>
        </row>
        <row r="270">
          <cell r="A270">
            <v>269</v>
          </cell>
          <cell r="B270" t="str">
            <v>New Zealand</v>
          </cell>
          <cell r="C270" t="str">
            <v>GK</v>
          </cell>
          <cell r="D270" t="str">
            <v>Bannatyne J</v>
          </cell>
          <cell r="E270">
            <v>2.8</v>
          </cell>
          <cell r="F270" t="e">
            <v>#VALUE!</v>
          </cell>
          <cell r="G270" t="e">
            <v>#VALUE!</v>
          </cell>
          <cell r="H270" t="e">
            <v>#VALUE!</v>
          </cell>
          <cell r="I270" t="e">
            <v>#VALUE!</v>
          </cell>
          <cell r="J270" t="e">
            <v>#VALUE!</v>
          </cell>
          <cell r="K270" t="e">
            <v>#VALUE!</v>
          </cell>
          <cell r="L270" t="e">
            <v>#VALUE!</v>
          </cell>
        </row>
        <row r="271">
          <cell r="A271">
            <v>270</v>
          </cell>
          <cell r="B271" t="str">
            <v>New Zealand</v>
          </cell>
          <cell r="C271" t="str">
            <v>GK</v>
          </cell>
          <cell r="D271" t="str">
            <v>Moss G</v>
          </cell>
          <cell r="E271">
            <v>2.7</v>
          </cell>
          <cell r="F271" t="e">
            <v>#VALUE!</v>
          </cell>
          <cell r="G271" t="e">
            <v>#VALUE!</v>
          </cell>
          <cell r="H271" t="e">
            <v>#VALUE!</v>
          </cell>
          <cell r="I271" t="e">
            <v>#VALUE!</v>
          </cell>
          <cell r="J271" t="e">
            <v>#VALUE!</v>
          </cell>
          <cell r="K271" t="e">
            <v>#VALUE!</v>
          </cell>
          <cell r="L271" t="e">
            <v>#VALUE!</v>
          </cell>
        </row>
        <row r="272">
          <cell r="A272">
            <v>271</v>
          </cell>
          <cell r="B272" t="str">
            <v>New Zealand</v>
          </cell>
          <cell r="C272" t="str">
            <v>GK</v>
          </cell>
          <cell r="D272" t="str">
            <v>Paston M</v>
          </cell>
          <cell r="E272">
            <v>2.9</v>
          </cell>
          <cell r="F272" t="e">
            <v>#VALUE!</v>
          </cell>
          <cell r="G272" t="e">
            <v>#VALUE!</v>
          </cell>
          <cell r="H272" t="e">
            <v>#VALUE!</v>
          </cell>
          <cell r="I272" t="e">
            <v>#VALUE!</v>
          </cell>
          <cell r="J272" t="e">
            <v>#VALUE!</v>
          </cell>
          <cell r="K272" t="e">
            <v>#VALUE!</v>
          </cell>
          <cell r="L272" t="e">
            <v>#VALUE!</v>
          </cell>
        </row>
        <row r="273">
          <cell r="A273">
            <v>272</v>
          </cell>
          <cell r="B273" t="str">
            <v>New Zealand</v>
          </cell>
          <cell r="C273" t="str">
            <v>DEF</v>
          </cell>
          <cell r="D273" t="str">
            <v>Boyens A</v>
          </cell>
          <cell r="E273">
            <v>3.1</v>
          </cell>
          <cell r="F273" t="e">
            <v>#VALUE!</v>
          </cell>
          <cell r="G273" t="e">
            <v>#VALUE!</v>
          </cell>
          <cell r="H273" t="e">
            <v>#VALUE!</v>
          </cell>
          <cell r="I273" t="e">
            <v>#VALUE!</v>
          </cell>
          <cell r="J273" t="e">
            <v>#VALUE!</v>
          </cell>
          <cell r="K273" t="e">
            <v>#VALUE!</v>
          </cell>
          <cell r="L273" t="e">
            <v>#VALUE!</v>
          </cell>
        </row>
        <row r="274">
          <cell r="A274">
            <v>273</v>
          </cell>
          <cell r="B274" t="str">
            <v>New Zealand</v>
          </cell>
          <cell r="C274" t="str">
            <v>DEF</v>
          </cell>
          <cell r="D274" t="str">
            <v>Lochhead T</v>
          </cell>
          <cell r="E274">
            <v>2.9</v>
          </cell>
          <cell r="F274" t="e">
            <v>#VALUE!</v>
          </cell>
          <cell r="G274" t="e">
            <v>#VALUE!</v>
          </cell>
          <cell r="H274" t="e">
            <v>#VALUE!</v>
          </cell>
          <cell r="I274" t="e">
            <v>#VALUE!</v>
          </cell>
          <cell r="J274" t="e">
            <v>#VALUE!</v>
          </cell>
          <cell r="K274" t="e">
            <v>#VALUE!</v>
          </cell>
          <cell r="L274" t="e">
            <v>#VALUE!</v>
          </cell>
        </row>
        <row r="275">
          <cell r="A275">
            <v>274</v>
          </cell>
          <cell r="B275" t="str">
            <v>New Zealand</v>
          </cell>
          <cell r="C275" t="str">
            <v>DEF</v>
          </cell>
          <cell r="D275" t="str">
            <v>Mulligan D</v>
          </cell>
          <cell r="E275">
            <v>3</v>
          </cell>
          <cell r="F275" t="e">
            <v>#VALUE!</v>
          </cell>
          <cell r="G275" t="e">
            <v>#VALUE!</v>
          </cell>
          <cell r="H275" t="e">
            <v>#VALUE!</v>
          </cell>
          <cell r="I275" t="e">
            <v>#VALUE!</v>
          </cell>
          <cell r="J275" t="e">
            <v>#VALUE!</v>
          </cell>
          <cell r="K275" t="e">
            <v>#VALUE!</v>
          </cell>
          <cell r="L275" t="e">
            <v>#VALUE!</v>
          </cell>
        </row>
        <row r="276">
          <cell r="A276">
            <v>275</v>
          </cell>
          <cell r="B276" t="str">
            <v>New Zealand</v>
          </cell>
          <cell r="C276" t="str">
            <v>DEF</v>
          </cell>
          <cell r="D276" t="str">
            <v>Nelsen R</v>
          </cell>
          <cell r="E276">
            <v>3.2</v>
          </cell>
          <cell r="F276" t="e">
            <v>#VALUE!</v>
          </cell>
          <cell r="G276" t="e">
            <v>#VALUE!</v>
          </cell>
          <cell r="H276" t="e">
            <v>#VALUE!</v>
          </cell>
          <cell r="I276" t="e">
            <v>#VALUE!</v>
          </cell>
          <cell r="J276" t="e">
            <v>#VALUE!</v>
          </cell>
          <cell r="K276" t="e">
            <v>#VALUE!</v>
          </cell>
          <cell r="L276" t="e">
            <v>#VALUE!</v>
          </cell>
        </row>
        <row r="277">
          <cell r="A277">
            <v>276</v>
          </cell>
          <cell r="B277" t="str">
            <v>New Zealand</v>
          </cell>
          <cell r="C277" t="str">
            <v>DEF</v>
          </cell>
          <cell r="D277" t="str">
            <v>Oughton D</v>
          </cell>
          <cell r="E277">
            <v>2.7</v>
          </cell>
          <cell r="F277" t="e">
            <v>#VALUE!</v>
          </cell>
          <cell r="G277" t="e">
            <v>#VALUE!</v>
          </cell>
          <cell r="H277" t="e">
            <v>#VALUE!</v>
          </cell>
          <cell r="I277" t="e">
            <v>#VALUE!</v>
          </cell>
          <cell r="J277" t="e">
            <v>#VALUE!</v>
          </cell>
          <cell r="K277" t="e">
            <v>#VALUE!</v>
          </cell>
          <cell r="L277" t="e">
            <v>#VALUE!</v>
          </cell>
        </row>
        <row r="278">
          <cell r="A278">
            <v>277</v>
          </cell>
          <cell r="B278" t="str">
            <v>New Zealand</v>
          </cell>
          <cell r="C278" t="str">
            <v>DEF</v>
          </cell>
          <cell r="D278" t="str">
            <v>Reid W</v>
          </cell>
          <cell r="E278">
            <v>2.9</v>
          </cell>
          <cell r="F278" t="e">
            <v>#VALUE!</v>
          </cell>
          <cell r="G278" t="e">
            <v>#VALUE!</v>
          </cell>
          <cell r="H278" t="e">
            <v>#VALUE!</v>
          </cell>
          <cell r="I278" t="e">
            <v>#VALUE!</v>
          </cell>
          <cell r="J278" t="e">
            <v>#VALUE!</v>
          </cell>
          <cell r="K278" t="e">
            <v>#VALUE!</v>
          </cell>
          <cell r="L278" t="e">
            <v>#VALUE!</v>
          </cell>
        </row>
        <row r="279">
          <cell r="A279">
            <v>278</v>
          </cell>
          <cell r="B279" t="str">
            <v>New Zealand</v>
          </cell>
          <cell r="C279" t="str">
            <v>DEF</v>
          </cell>
          <cell r="D279" t="str">
            <v>Sigmund B</v>
          </cell>
          <cell r="E279">
            <v>3.3</v>
          </cell>
          <cell r="F279" t="e">
            <v>#VALUE!</v>
          </cell>
          <cell r="G279" t="e">
            <v>#VALUE!</v>
          </cell>
          <cell r="H279" t="e">
            <v>#VALUE!</v>
          </cell>
          <cell r="I279" t="e">
            <v>#VALUE!</v>
          </cell>
          <cell r="J279" t="e">
            <v>#VALUE!</v>
          </cell>
          <cell r="K279" t="e">
            <v>#VALUE!</v>
          </cell>
          <cell r="L279" t="e">
            <v>#VALUE!</v>
          </cell>
        </row>
        <row r="280">
          <cell r="A280">
            <v>279</v>
          </cell>
          <cell r="B280" t="str">
            <v>New Zealand</v>
          </cell>
          <cell r="C280" t="str">
            <v>DEF</v>
          </cell>
          <cell r="D280" t="str">
            <v>Smith T</v>
          </cell>
          <cell r="E280">
            <v>2.6</v>
          </cell>
          <cell r="F280" t="e">
            <v>#VALUE!</v>
          </cell>
          <cell r="G280" t="e">
            <v>#VALUE!</v>
          </cell>
          <cell r="H280" t="e">
            <v>#VALUE!</v>
          </cell>
          <cell r="I280" t="e">
            <v>#VALUE!</v>
          </cell>
          <cell r="J280" t="e">
            <v>#VALUE!</v>
          </cell>
          <cell r="K280" t="e">
            <v>#VALUE!</v>
          </cell>
          <cell r="L280" t="e">
            <v>#VALUE!</v>
          </cell>
        </row>
        <row r="281">
          <cell r="A281">
            <v>280</v>
          </cell>
          <cell r="B281" t="str">
            <v>New Zealand</v>
          </cell>
          <cell r="C281" t="str">
            <v>DEF</v>
          </cell>
          <cell r="D281" t="str">
            <v>Vicelich I</v>
          </cell>
          <cell r="E281">
            <v>2.8</v>
          </cell>
          <cell r="F281" t="e">
            <v>#VALUE!</v>
          </cell>
          <cell r="G281" t="e">
            <v>#VALUE!</v>
          </cell>
          <cell r="H281" t="e">
            <v>#VALUE!</v>
          </cell>
          <cell r="I281" t="e">
            <v>#VALUE!</v>
          </cell>
          <cell r="J281" t="e">
            <v>#VALUE!</v>
          </cell>
          <cell r="K281" t="e">
            <v>#VALUE!</v>
          </cell>
          <cell r="L281" t="e">
            <v>#VALUE!</v>
          </cell>
        </row>
        <row r="282">
          <cell r="A282">
            <v>281</v>
          </cell>
          <cell r="B282" t="str">
            <v>New Zealand</v>
          </cell>
          <cell r="C282" t="str">
            <v>MID</v>
          </cell>
          <cell r="D282" t="str">
            <v>Barron A</v>
          </cell>
          <cell r="E282">
            <v>2.7</v>
          </cell>
          <cell r="F282" t="e">
            <v>#VALUE!</v>
          </cell>
          <cell r="G282" t="e">
            <v>#VALUE!</v>
          </cell>
          <cell r="H282" t="e">
            <v>#VALUE!</v>
          </cell>
          <cell r="I282" t="e">
            <v>#VALUE!</v>
          </cell>
          <cell r="J282" t="e">
            <v>#VALUE!</v>
          </cell>
          <cell r="K282" t="e">
            <v>#VALUE!</v>
          </cell>
          <cell r="L282" t="e">
            <v>#VALUE!</v>
          </cell>
        </row>
        <row r="283">
          <cell r="A283">
            <v>282</v>
          </cell>
          <cell r="B283" t="str">
            <v>New Zealand</v>
          </cell>
          <cell r="C283" t="str">
            <v>MID</v>
          </cell>
          <cell r="D283" t="str">
            <v>Bertos L</v>
          </cell>
          <cell r="E283">
            <v>3.1</v>
          </cell>
          <cell r="F283" t="e">
            <v>#VALUE!</v>
          </cell>
          <cell r="G283" t="e">
            <v>#VALUE!</v>
          </cell>
          <cell r="H283" t="e">
            <v>#VALUE!</v>
          </cell>
          <cell r="I283" t="e">
            <v>#VALUE!</v>
          </cell>
          <cell r="J283" t="e">
            <v>#VALUE!</v>
          </cell>
          <cell r="K283" t="e">
            <v>#VALUE!</v>
          </cell>
          <cell r="L283" t="e">
            <v>#VALUE!</v>
          </cell>
        </row>
        <row r="284">
          <cell r="A284">
            <v>283</v>
          </cell>
          <cell r="B284" t="str">
            <v>New Zealand</v>
          </cell>
          <cell r="C284" t="str">
            <v>MID</v>
          </cell>
          <cell r="D284" t="str">
            <v>Brown T</v>
          </cell>
          <cell r="E284">
            <v>2.7</v>
          </cell>
          <cell r="F284" t="e">
            <v>#VALUE!</v>
          </cell>
          <cell r="G284" t="e">
            <v>#VALUE!</v>
          </cell>
          <cell r="H284" t="e">
            <v>#VALUE!</v>
          </cell>
          <cell r="I284" t="e">
            <v>#VALUE!</v>
          </cell>
          <cell r="J284" t="e">
            <v>#VALUE!</v>
          </cell>
          <cell r="K284" t="e">
            <v>#VALUE!</v>
          </cell>
          <cell r="L284" t="e">
            <v>#VALUE!</v>
          </cell>
        </row>
        <row r="285">
          <cell r="A285">
            <v>284</v>
          </cell>
          <cell r="B285" t="str">
            <v>New Zealand</v>
          </cell>
          <cell r="C285" t="str">
            <v>MID</v>
          </cell>
          <cell r="D285" t="str">
            <v>Christie J</v>
          </cell>
          <cell r="E285">
            <v>2.6</v>
          </cell>
          <cell r="F285" t="e">
            <v>#VALUE!</v>
          </cell>
          <cell r="G285" t="e">
            <v>#VALUE!</v>
          </cell>
          <cell r="H285" t="e">
            <v>#VALUE!</v>
          </cell>
          <cell r="I285" t="e">
            <v>#VALUE!</v>
          </cell>
          <cell r="J285" t="e">
            <v>#VALUE!</v>
          </cell>
          <cell r="K285" t="e">
            <v>#VALUE!</v>
          </cell>
          <cell r="L285" t="e">
            <v>#VALUE!</v>
          </cell>
        </row>
        <row r="286">
          <cell r="A286">
            <v>285</v>
          </cell>
          <cell r="B286" t="str">
            <v>New Zealand</v>
          </cell>
          <cell r="C286" t="str">
            <v>MID</v>
          </cell>
          <cell r="D286" t="str">
            <v>Clapham A</v>
          </cell>
          <cell r="E286">
            <v>2.5</v>
          </cell>
          <cell r="F286" t="e">
            <v>#VALUE!</v>
          </cell>
          <cell r="G286" t="e">
            <v>#VALUE!</v>
          </cell>
          <cell r="H286" t="e">
            <v>#VALUE!</v>
          </cell>
          <cell r="I286" t="e">
            <v>#VALUE!</v>
          </cell>
          <cell r="J286" t="e">
            <v>#VALUE!</v>
          </cell>
          <cell r="K286" t="e">
            <v>#VALUE!</v>
          </cell>
          <cell r="L286" t="e">
            <v>#VALUE!</v>
          </cell>
        </row>
        <row r="287">
          <cell r="A287">
            <v>286</v>
          </cell>
          <cell r="B287" t="str">
            <v>New Zealand</v>
          </cell>
          <cell r="C287" t="str">
            <v>MID</v>
          </cell>
          <cell r="D287" t="str">
            <v>Elliott S</v>
          </cell>
          <cell r="E287">
            <v>2.5</v>
          </cell>
          <cell r="F287" t="e">
            <v>#VALUE!</v>
          </cell>
          <cell r="G287" t="e">
            <v>#VALUE!</v>
          </cell>
          <cell r="H287" t="e">
            <v>#VALUE!</v>
          </cell>
          <cell r="I287" t="e">
            <v>#VALUE!</v>
          </cell>
          <cell r="J287" t="e">
            <v>#VALUE!</v>
          </cell>
          <cell r="K287" t="e">
            <v>#VALUE!</v>
          </cell>
          <cell r="L287" t="e">
            <v>#VALUE!</v>
          </cell>
        </row>
        <row r="288">
          <cell r="A288">
            <v>287</v>
          </cell>
          <cell r="B288" t="str">
            <v>New Zealand</v>
          </cell>
          <cell r="C288" t="str">
            <v>MID</v>
          </cell>
          <cell r="D288" t="str">
            <v>McGlinchey M</v>
          </cell>
          <cell r="E288">
            <v>3</v>
          </cell>
          <cell r="F288" t="e">
            <v>#VALUE!</v>
          </cell>
          <cell r="G288" t="e">
            <v>#VALUE!</v>
          </cell>
          <cell r="H288" t="e">
            <v>#VALUE!</v>
          </cell>
          <cell r="I288" t="e">
            <v>#VALUE!</v>
          </cell>
          <cell r="J288" t="e">
            <v>#VALUE!</v>
          </cell>
          <cell r="K288" t="e">
            <v>#VALUE!</v>
          </cell>
          <cell r="L288" t="e">
            <v>#VALUE!</v>
          </cell>
        </row>
        <row r="289">
          <cell r="A289">
            <v>288</v>
          </cell>
          <cell r="B289" t="str">
            <v>New Zealand</v>
          </cell>
          <cell r="C289" t="str">
            <v>FOR</v>
          </cell>
          <cell r="D289" t="str">
            <v>Brockie J</v>
          </cell>
          <cell r="E289">
            <v>3.6</v>
          </cell>
          <cell r="F289" t="e">
            <v>#VALUE!</v>
          </cell>
          <cell r="G289" t="e">
            <v>#VALUE!</v>
          </cell>
          <cell r="H289" t="e">
            <v>#VALUE!</v>
          </cell>
          <cell r="I289" t="e">
            <v>#VALUE!</v>
          </cell>
          <cell r="J289" t="e">
            <v>#VALUE!</v>
          </cell>
          <cell r="K289" t="e">
            <v>#VALUE!</v>
          </cell>
          <cell r="L289" t="e">
            <v>#VALUE!</v>
          </cell>
        </row>
        <row r="290">
          <cell r="A290">
            <v>289</v>
          </cell>
          <cell r="B290" t="str">
            <v>New Zealand</v>
          </cell>
          <cell r="C290" t="str">
            <v>FOR</v>
          </cell>
          <cell r="D290" t="str">
            <v>Fallon R</v>
          </cell>
          <cell r="E290">
            <v>4</v>
          </cell>
          <cell r="F290" t="e">
            <v>#VALUE!</v>
          </cell>
          <cell r="G290" t="e">
            <v>#VALUE!</v>
          </cell>
          <cell r="H290" t="e">
            <v>#VALUE!</v>
          </cell>
          <cell r="I290" t="e">
            <v>#VALUE!</v>
          </cell>
          <cell r="J290" t="e">
            <v>#VALUE!</v>
          </cell>
          <cell r="K290" t="e">
            <v>#VALUE!</v>
          </cell>
          <cell r="L290" t="e">
            <v>#VALUE!</v>
          </cell>
        </row>
        <row r="291">
          <cell r="A291">
            <v>290</v>
          </cell>
          <cell r="B291" t="str">
            <v>New Zealand</v>
          </cell>
          <cell r="C291" t="str">
            <v>FOR</v>
          </cell>
          <cell r="D291" t="str">
            <v>Killen C</v>
          </cell>
          <cell r="E291">
            <v>4.5</v>
          </cell>
          <cell r="F291" t="e">
            <v>#VALUE!</v>
          </cell>
          <cell r="G291" t="e">
            <v>#VALUE!</v>
          </cell>
          <cell r="H291" t="e">
            <v>#VALUE!</v>
          </cell>
          <cell r="I291" t="e">
            <v>#VALUE!</v>
          </cell>
          <cell r="J291" t="e">
            <v>#VALUE!</v>
          </cell>
          <cell r="K291" t="e">
            <v>#VALUE!</v>
          </cell>
          <cell r="L291" t="e">
            <v>#VALUE!</v>
          </cell>
        </row>
        <row r="292">
          <cell r="A292">
            <v>291</v>
          </cell>
          <cell r="B292" t="str">
            <v>New Zealand</v>
          </cell>
          <cell r="C292" t="str">
            <v>FOR</v>
          </cell>
          <cell r="D292" t="str">
            <v>Smeltz S</v>
          </cell>
          <cell r="E292">
            <v>5</v>
          </cell>
          <cell r="F292" t="e">
            <v>#VALUE!</v>
          </cell>
          <cell r="G292" t="e">
            <v>#VALUE!</v>
          </cell>
          <cell r="H292" t="e">
            <v>#VALUE!</v>
          </cell>
          <cell r="I292" t="e">
            <v>#VALUE!</v>
          </cell>
          <cell r="J292" t="e">
            <v>#VALUE!</v>
          </cell>
          <cell r="K292" t="e">
            <v>#VALUE!</v>
          </cell>
          <cell r="L292" t="e">
            <v>#VALUE!</v>
          </cell>
        </row>
        <row r="293">
          <cell r="A293">
            <v>292</v>
          </cell>
          <cell r="B293" t="str">
            <v>New Zealand</v>
          </cell>
          <cell r="C293" t="str">
            <v>FOR</v>
          </cell>
          <cell r="D293" t="str">
            <v>Wood C</v>
          </cell>
          <cell r="E293">
            <v>3.4</v>
          </cell>
          <cell r="F293" t="e">
            <v>#VALUE!</v>
          </cell>
          <cell r="G293" t="e">
            <v>#VALUE!</v>
          </cell>
          <cell r="H293" t="e">
            <v>#VALUE!</v>
          </cell>
          <cell r="I293" t="e">
            <v>#VALUE!</v>
          </cell>
          <cell r="J293" t="e">
            <v>#VALUE!</v>
          </cell>
          <cell r="K293" t="e">
            <v>#VALUE!</v>
          </cell>
          <cell r="L293" t="e">
            <v>#VALUE!</v>
          </cell>
        </row>
        <row r="294">
          <cell r="A294">
            <v>293</v>
          </cell>
          <cell r="B294" t="str">
            <v>Nigeria</v>
          </cell>
          <cell r="C294" t="str">
            <v>GK</v>
          </cell>
          <cell r="D294" t="str">
            <v>Enyeama V</v>
          </cell>
          <cell r="E294">
            <v>3.1</v>
          </cell>
          <cell r="F294" t="e">
            <v>#VALUE!</v>
          </cell>
          <cell r="G294" t="e">
            <v>#VALUE!</v>
          </cell>
          <cell r="H294" t="e">
            <v>#VALUE!</v>
          </cell>
          <cell r="I294" t="e">
            <v>#VALUE!</v>
          </cell>
          <cell r="J294" t="e">
            <v>#VALUE!</v>
          </cell>
          <cell r="K294" t="e">
            <v>#VALUE!</v>
          </cell>
          <cell r="L294" t="e">
            <v>#VALUE!</v>
          </cell>
        </row>
        <row r="295">
          <cell r="A295">
            <v>294</v>
          </cell>
          <cell r="B295" t="str">
            <v>Nigeria</v>
          </cell>
          <cell r="C295" t="str">
            <v>DEF</v>
          </cell>
          <cell r="D295" t="str">
            <v>Apam O</v>
          </cell>
          <cell r="E295">
            <v>3</v>
          </cell>
          <cell r="F295" t="e">
            <v>#VALUE!</v>
          </cell>
          <cell r="G295" t="e">
            <v>#VALUE!</v>
          </cell>
          <cell r="H295" t="e">
            <v>#VALUE!</v>
          </cell>
          <cell r="I295" t="e">
            <v>#VALUE!</v>
          </cell>
          <cell r="J295" t="e">
            <v>#VALUE!</v>
          </cell>
          <cell r="K295" t="e">
            <v>#VALUE!</v>
          </cell>
          <cell r="L295" t="e">
            <v>#VALUE!</v>
          </cell>
        </row>
        <row r="296">
          <cell r="A296">
            <v>295</v>
          </cell>
          <cell r="B296" t="str">
            <v>Nigeria</v>
          </cell>
          <cell r="C296" t="str">
            <v>DEF</v>
          </cell>
          <cell r="D296" t="str">
            <v>Echiejile U</v>
          </cell>
          <cell r="E296">
            <v>2.8</v>
          </cell>
          <cell r="F296" t="e">
            <v>#VALUE!</v>
          </cell>
          <cell r="G296" t="e">
            <v>#VALUE!</v>
          </cell>
          <cell r="H296" t="e">
            <v>#VALUE!</v>
          </cell>
          <cell r="I296" t="e">
            <v>#VALUE!</v>
          </cell>
          <cell r="J296" t="e">
            <v>#VALUE!</v>
          </cell>
          <cell r="K296" t="e">
            <v>#VALUE!</v>
          </cell>
          <cell r="L296" t="e">
            <v>#VALUE!</v>
          </cell>
        </row>
        <row r="297">
          <cell r="A297">
            <v>296</v>
          </cell>
          <cell r="B297" t="str">
            <v>Nigeria</v>
          </cell>
          <cell r="C297" t="str">
            <v>DEF</v>
          </cell>
          <cell r="D297" t="str">
            <v>Yobo J</v>
          </cell>
          <cell r="E297">
            <v>3.4</v>
          </cell>
          <cell r="F297" t="e">
            <v>#VALUE!</v>
          </cell>
          <cell r="G297" t="e">
            <v>#VALUE!</v>
          </cell>
          <cell r="H297" t="e">
            <v>#VALUE!</v>
          </cell>
          <cell r="I297" t="e">
            <v>#VALUE!</v>
          </cell>
          <cell r="J297" t="e">
            <v>#VALUE!</v>
          </cell>
          <cell r="K297" t="e">
            <v>#VALUE!</v>
          </cell>
          <cell r="L297" t="e">
            <v>#VALUE!</v>
          </cell>
        </row>
        <row r="298">
          <cell r="A298">
            <v>297</v>
          </cell>
          <cell r="B298" t="str">
            <v>Nigeria</v>
          </cell>
          <cell r="C298" t="str">
            <v>MID</v>
          </cell>
          <cell r="D298" t="str">
            <v>Mikel JO</v>
          </cell>
          <cell r="E298">
            <v>3.1</v>
          </cell>
          <cell r="F298" t="e">
            <v>#VALUE!</v>
          </cell>
          <cell r="G298" t="e">
            <v>#VALUE!</v>
          </cell>
          <cell r="H298" t="e">
            <v>#VALUE!</v>
          </cell>
          <cell r="I298" t="e">
            <v>#VALUE!</v>
          </cell>
          <cell r="J298" t="e">
            <v>#VALUE!</v>
          </cell>
          <cell r="K298" t="e">
            <v>#VALUE!</v>
          </cell>
          <cell r="L298" t="e">
            <v>#VALUE!</v>
          </cell>
        </row>
        <row r="299">
          <cell r="A299">
            <v>298</v>
          </cell>
          <cell r="B299" t="str">
            <v>Nigeria</v>
          </cell>
          <cell r="C299" t="str">
            <v>FOR</v>
          </cell>
          <cell r="D299" t="str">
            <v>Aiyegbeni Y</v>
          </cell>
          <cell r="E299">
            <v>5</v>
          </cell>
          <cell r="F299" t="e">
            <v>#VALUE!</v>
          </cell>
          <cell r="G299" t="e">
            <v>#VALUE!</v>
          </cell>
          <cell r="H299" t="e">
            <v>#VALUE!</v>
          </cell>
          <cell r="I299" t="e">
            <v>#VALUE!</v>
          </cell>
          <cell r="J299" t="e">
            <v>#VALUE!</v>
          </cell>
          <cell r="K299" t="e">
            <v>#VALUE!</v>
          </cell>
          <cell r="L299" t="e">
            <v>#VALUE!</v>
          </cell>
        </row>
        <row r="300">
          <cell r="A300">
            <v>299</v>
          </cell>
          <cell r="B300" t="str">
            <v>Nigeria</v>
          </cell>
          <cell r="C300" t="str">
            <v>FOR</v>
          </cell>
          <cell r="D300" t="str">
            <v>Kanu N</v>
          </cell>
          <cell r="E300">
            <v>3.4</v>
          </cell>
          <cell r="F300" t="e">
            <v>#VALUE!</v>
          </cell>
          <cell r="G300" t="e">
            <v>#VALUE!</v>
          </cell>
          <cell r="H300" t="e">
            <v>#VALUE!</v>
          </cell>
          <cell r="I300" t="e">
            <v>#VALUE!</v>
          </cell>
          <cell r="J300" t="e">
            <v>#VALUE!</v>
          </cell>
          <cell r="K300" t="e">
            <v>#VALUE!</v>
          </cell>
          <cell r="L300" t="e">
            <v>#VALUE!</v>
          </cell>
        </row>
        <row r="301">
          <cell r="A301">
            <v>300</v>
          </cell>
          <cell r="B301" t="str">
            <v>Nigeria</v>
          </cell>
          <cell r="C301" t="str">
            <v>FOR</v>
          </cell>
          <cell r="D301" t="str">
            <v>Martins O</v>
          </cell>
          <cell r="E301">
            <v>4.2</v>
          </cell>
          <cell r="F301" t="e">
            <v>#VALUE!</v>
          </cell>
          <cell r="G301" t="e">
            <v>#VALUE!</v>
          </cell>
          <cell r="H301" t="e">
            <v>#VALUE!</v>
          </cell>
          <cell r="I301" t="e">
            <v>#VALUE!</v>
          </cell>
          <cell r="J301" t="e">
            <v>#VALUE!</v>
          </cell>
          <cell r="K301" t="e">
            <v>#VALUE!</v>
          </cell>
          <cell r="L301" t="e">
            <v>#VALUE!</v>
          </cell>
        </row>
        <row r="302">
          <cell r="A302">
            <v>301</v>
          </cell>
          <cell r="B302" t="str">
            <v>Nigeria</v>
          </cell>
          <cell r="C302" t="str">
            <v>FOR</v>
          </cell>
          <cell r="D302" t="str">
            <v>Obinna V</v>
          </cell>
          <cell r="E302">
            <v>4.4000000000000004</v>
          </cell>
          <cell r="F302" t="e">
            <v>#VALUE!</v>
          </cell>
          <cell r="G302" t="e">
            <v>#VALUE!</v>
          </cell>
          <cell r="H302" t="e">
            <v>#VALUE!</v>
          </cell>
          <cell r="I302" t="e">
            <v>#VALUE!</v>
          </cell>
          <cell r="J302" t="e">
            <v>#VALUE!</v>
          </cell>
          <cell r="K302" t="e">
            <v>#VALUE!</v>
          </cell>
          <cell r="L302" t="e">
            <v>#VALUE!</v>
          </cell>
        </row>
        <row r="303">
          <cell r="A303">
            <v>302</v>
          </cell>
          <cell r="B303" t="str">
            <v>Nigeria</v>
          </cell>
          <cell r="C303" t="str">
            <v>FOR</v>
          </cell>
          <cell r="D303" t="str">
            <v>Odemwingie P</v>
          </cell>
          <cell r="E303">
            <v>5.3</v>
          </cell>
          <cell r="F303" t="e">
            <v>#VALUE!</v>
          </cell>
          <cell r="G303" t="e">
            <v>#VALUE!</v>
          </cell>
          <cell r="H303" t="e">
            <v>#VALUE!</v>
          </cell>
          <cell r="I303" t="e">
            <v>#VALUE!</v>
          </cell>
          <cell r="J303" t="e">
            <v>#VALUE!</v>
          </cell>
          <cell r="K303" t="e">
            <v>#VALUE!</v>
          </cell>
          <cell r="L303" t="e">
            <v>#VALUE!</v>
          </cell>
        </row>
        <row r="304">
          <cell r="A304">
            <v>303</v>
          </cell>
          <cell r="B304" t="str">
            <v>North Korea</v>
          </cell>
          <cell r="C304" t="str">
            <v>GK</v>
          </cell>
          <cell r="D304" t="str">
            <v>Ri MG</v>
          </cell>
          <cell r="E304">
            <v>2.9</v>
          </cell>
          <cell r="F304" t="e">
            <v>#VALUE!</v>
          </cell>
          <cell r="G304" t="e">
            <v>#VALUE!</v>
          </cell>
          <cell r="H304" t="e">
            <v>#VALUE!</v>
          </cell>
          <cell r="I304" t="e">
            <v>#VALUE!</v>
          </cell>
          <cell r="J304" t="e">
            <v>#VALUE!</v>
          </cell>
          <cell r="K304" t="e">
            <v>#VALUE!</v>
          </cell>
          <cell r="L304" t="e">
            <v>#VALUE!</v>
          </cell>
        </row>
        <row r="305">
          <cell r="A305">
            <v>304</v>
          </cell>
          <cell r="B305" t="str">
            <v>North Korea</v>
          </cell>
          <cell r="C305" t="str">
            <v>DEF</v>
          </cell>
          <cell r="D305" t="str">
            <v>Cha JH</v>
          </cell>
          <cell r="E305">
            <v>3.2</v>
          </cell>
          <cell r="F305" t="e">
            <v>#VALUE!</v>
          </cell>
          <cell r="G305" t="e">
            <v>#VALUE!</v>
          </cell>
          <cell r="H305" t="e">
            <v>#VALUE!</v>
          </cell>
          <cell r="I305" t="e">
            <v>#VALUE!</v>
          </cell>
          <cell r="J305" t="e">
            <v>#VALUE!</v>
          </cell>
          <cell r="K305" t="e">
            <v>#VALUE!</v>
          </cell>
          <cell r="L305" t="e">
            <v>#VALUE!</v>
          </cell>
        </row>
        <row r="306">
          <cell r="A306">
            <v>305</v>
          </cell>
          <cell r="B306" t="str">
            <v>North Korea</v>
          </cell>
          <cell r="C306" t="str">
            <v>DEF</v>
          </cell>
          <cell r="D306" t="str">
            <v>Ji YN</v>
          </cell>
          <cell r="E306">
            <v>2.8</v>
          </cell>
          <cell r="F306" t="e">
            <v>#VALUE!</v>
          </cell>
          <cell r="G306" t="e">
            <v>#VALUE!</v>
          </cell>
          <cell r="H306" t="e">
            <v>#VALUE!</v>
          </cell>
          <cell r="I306" t="e">
            <v>#VALUE!</v>
          </cell>
          <cell r="J306" t="e">
            <v>#VALUE!</v>
          </cell>
          <cell r="K306" t="e">
            <v>#VALUE!</v>
          </cell>
          <cell r="L306" t="e">
            <v>#VALUE!</v>
          </cell>
        </row>
        <row r="307">
          <cell r="A307">
            <v>306</v>
          </cell>
          <cell r="B307" t="str">
            <v>North Korea</v>
          </cell>
          <cell r="C307" t="str">
            <v>DEF</v>
          </cell>
          <cell r="D307" t="str">
            <v>Pak CJ</v>
          </cell>
          <cell r="E307">
            <v>2.9</v>
          </cell>
          <cell r="F307" t="e">
            <v>#VALUE!</v>
          </cell>
          <cell r="G307" t="e">
            <v>#VALUE!</v>
          </cell>
          <cell r="H307" t="e">
            <v>#VALUE!</v>
          </cell>
          <cell r="I307" t="e">
            <v>#VALUE!</v>
          </cell>
          <cell r="J307" t="e">
            <v>#VALUE!</v>
          </cell>
          <cell r="K307" t="e">
            <v>#VALUE!</v>
          </cell>
          <cell r="L307" t="e">
            <v>#VALUE!</v>
          </cell>
        </row>
        <row r="308">
          <cell r="A308">
            <v>307</v>
          </cell>
          <cell r="B308" t="str">
            <v>North Korea</v>
          </cell>
          <cell r="C308" t="str">
            <v>DEF</v>
          </cell>
          <cell r="D308" t="str">
            <v>Ri JI</v>
          </cell>
          <cell r="E308">
            <v>3.3</v>
          </cell>
          <cell r="F308" t="e">
            <v>#VALUE!</v>
          </cell>
          <cell r="G308" t="e">
            <v>#VALUE!</v>
          </cell>
          <cell r="H308" t="e">
            <v>#VALUE!</v>
          </cell>
          <cell r="I308" t="e">
            <v>#VALUE!</v>
          </cell>
          <cell r="J308" t="e">
            <v>#VALUE!</v>
          </cell>
          <cell r="K308" t="e">
            <v>#VALUE!</v>
          </cell>
          <cell r="L308" t="e">
            <v>#VALUE!</v>
          </cell>
        </row>
        <row r="309">
          <cell r="A309">
            <v>308</v>
          </cell>
          <cell r="B309" t="str">
            <v>North Korea</v>
          </cell>
          <cell r="C309" t="str">
            <v>MID</v>
          </cell>
          <cell r="D309" t="str">
            <v>An YH</v>
          </cell>
          <cell r="E309">
            <v>2.9</v>
          </cell>
          <cell r="F309" t="e">
            <v>#VALUE!</v>
          </cell>
          <cell r="G309" t="e">
            <v>#VALUE!</v>
          </cell>
          <cell r="H309" t="e">
            <v>#VALUE!</v>
          </cell>
          <cell r="I309" t="e">
            <v>#VALUE!</v>
          </cell>
          <cell r="J309" t="e">
            <v>#VALUE!</v>
          </cell>
          <cell r="K309" t="e">
            <v>#VALUE!</v>
          </cell>
          <cell r="L309" t="e">
            <v>#VALUE!</v>
          </cell>
        </row>
        <row r="310">
          <cell r="A310">
            <v>309</v>
          </cell>
          <cell r="B310" t="str">
            <v>North Korea</v>
          </cell>
          <cell r="C310" t="str">
            <v>MID</v>
          </cell>
          <cell r="D310" t="str">
            <v>Mun IG</v>
          </cell>
          <cell r="E310">
            <v>3.1</v>
          </cell>
          <cell r="F310" t="e">
            <v>#VALUE!</v>
          </cell>
          <cell r="G310" t="e">
            <v>#VALUE!</v>
          </cell>
          <cell r="H310" t="e">
            <v>#VALUE!</v>
          </cell>
          <cell r="I310" t="e">
            <v>#VALUE!</v>
          </cell>
          <cell r="J310" t="e">
            <v>#VALUE!</v>
          </cell>
          <cell r="K310" t="e">
            <v>#VALUE!</v>
          </cell>
          <cell r="L310" t="e">
            <v>#VALUE!</v>
          </cell>
        </row>
        <row r="311">
          <cell r="A311">
            <v>310</v>
          </cell>
          <cell r="B311" t="str">
            <v>North Korea</v>
          </cell>
          <cell r="C311" t="str">
            <v>MID</v>
          </cell>
          <cell r="D311" t="str">
            <v>Pak NC</v>
          </cell>
          <cell r="E311">
            <v>2.7</v>
          </cell>
          <cell r="F311" t="e">
            <v>#VALUE!</v>
          </cell>
          <cell r="G311" t="e">
            <v>#VALUE!</v>
          </cell>
          <cell r="H311" t="e">
            <v>#VALUE!</v>
          </cell>
          <cell r="I311" t="e">
            <v>#VALUE!</v>
          </cell>
          <cell r="J311" t="e">
            <v>#VALUE!</v>
          </cell>
          <cell r="K311" t="e">
            <v>#VALUE!</v>
          </cell>
          <cell r="L311" t="e">
            <v>#VALUE!</v>
          </cell>
        </row>
        <row r="312">
          <cell r="A312">
            <v>311</v>
          </cell>
          <cell r="B312" t="str">
            <v>North Korea</v>
          </cell>
          <cell r="C312" t="str">
            <v>MID</v>
          </cell>
          <cell r="D312" t="str">
            <v>Ri KC</v>
          </cell>
          <cell r="E312">
            <v>3</v>
          </cell>
          <cell r="F312" t="e">
            <v>#VALUE!</v>
          </cell>
          <cell r="G312" t="e">
            <v>#VALUE!</v>
          </cell>
          <cell r="H312" t="e">
            <v>#VALUE!</v>
          </cell>
          <cell r="I312" t="e">
            <v>#VALUE!</v>
          </cell>
          <cell r="J312" t="e">
            <v>#VALUE!</v>
          </cell>
          <cell r="K312" t="e">
            <v>#VALUE!</v>
          </cell>
          <cell r="L312" t="e">
            <v>#VALUE!</v>
          </cell>
        </row>
        <row r="313">
          <cell r="A313">
            <v>312</v>
          </cell>
          <cell r="B313" t="str">
            <v>North Korea</v>
          </cell>
          <cell r="C313" t="str">
            <v>FOR</v>
          </cell>
          <cell r="D313" t="str">
            <v>Hong YJ</v>
          </cell>
          <cell r="E313">
            <v>4.4000000000000004</v>
          </cell>
          <cell r="F313" t="e">
            <v>#VALUE!</v>
          </cell>
          <cell r="G313" t="e">
            <v>#VALUE!</v>
          </cell>
          <cell r="H313" t="e">
            <v>#VALUE!</v>
          </cell>
          <cell r="I313" t="e">
            <v>#VALUE!</v>
          </cell>
          <cell r="J313" t="e">
            <v>#VALUE!</v>
          </cell>
          <cell r="K313" t="e">
            <v>#VALUE!</v>
          </cell>
          <cell r="L313" t="e">
            <v>#VALUE!</v>
          </cell>
        </row>
        <row r="314">
          <cell r="A314">
            <v>313</v>
          </cell>
          <cell r="B314" t="str">
            <v>North Korea</v>
          </cell>
          <cell r="C314" t="str">
            <v>FOR</v>
          </cell>
          <cell r="D314" t="str">
            <v>Jong TS</v>
          </cell>
          <cell r="E314">
            <v>3.4</v>
          </cell>
          <cell r="F314" t="e">
            <v>#VALUE!</v>
          </cell>
          <cell r="G314" t="e">
            <v>#VALUE!</v>
          </cell>
          <cell r="H314" t="e">
            <v>#VALUE!</v>
          </cell>
          <cell r="I314" t="e">
            <v>#VALUE!</v>
          </cell>
          <cell r="J314" t="e">
            <v>#VALUE!</v>
          </cell>
          <cell r="K314" t="e">
            <v>#VALUE!</v>
          </cell>
          <cell r="L314" t="e">
            <v>#VALUE!</v>
          </cell>
        </row>
        <row r="315">
          <cell r="A315">
            <v>314</v>
          </cell>
          <cell r="B315" t="str">
            <v>Paraguay</v>
          </cell>
          <cell r="C315" t="str">
            <v>GK</v>
          </cell>
          <cell r="D315" t="str">
            <v>Villar J</v>
          </cell>
          <cell r="E315">
            <v>3.2</v>
          </cell>
          <cell r="F315" t="e">
            <v>#VALUE!</v>
          </cell>
          <cell r="G315" t="e">
            <v>#VALUE!</v>
          </cell>
          <cell r="H315" t="e">
            <v>#VALUE!</v>
          </cell>
          <cell r="I315" t="e">
            <v>#VALUE!</v>
          </cell>
          <cell r="J315" t="e">
            <v>#VALUE!</v>
          </cell>
          <cell r="K315" t="e">
            <v>#VALUE!</v>
          </cell>
          <cell r="L315" t="e">
            <v>#VALUE!</v>
          </cell>
        </row>
        <row r="316">
          <cell r="A316">
            <v>315</v>
          </cell>
          <cell r="B316" t="str">
            <v>Paraguay</v>
          </cell>
          <cell r="C316" t="str">
            <v>DEF</v>
          </cell>
          <cell r="D316" t="str">
            <v>Bonet C</v>
          </cell>
          <cell r="E316">
            <v>3</v>
          </cell>
          <cell r="F316" t="e">
            <v>#VALUE!</v>
          </cell>
          <cell r="G316" t="e">
            <v>#VALUE!</v>
          </cell>
          <cell r="H316" t="e">
            <v>#VALUE!</v>
          </cell>
          <cell r="I316" t="e">
            <v>#VALUE!</v>
          </cell>
          <cell r="J316" t="e">
            <v>#VALUE!</v>
          </cell>
          <cell r="K316" t="e">
            <v>#VALUE!</v>
          </cell>
          <cell r="L316" t="e">
            <v>#VALUE!</v>
          </cell>
        </row>
        <row r="317">
          <cell r="A317">
            <v>316</v>
          </cell>
          <cell r="B317" t="str">
            <v>Paraguay</v>
          </cell>
          <cell r="C317" t="str">
            <v>DEF</v>
          </cell>
          <cell r="D317" t="str">
            <v>Caceres JC</v>
          </cell>
          <cell r="E317">
            <v>3.4</v>
          </cell>
          <cell r="F317" t="e">
            <v>#VALUE!</v>
          </cell>
          <cell r="G317" t="e">
            <v>#VALUE!</v>
          </cell>
          <cell r="H317" t="e">
            <v>#VALUE!</v>
          </cell>
          <cell r="I317" t="e">
            <v>#VALUE!</v>
          </cell>
          <cell r="J317" t="e">
            <v>#VALUE!</v>
          </cell>
          <cell r="K317" t="e">
            <v>#VALUE!</v>
          </cell>
          <cell r="L317" t="e">
            <v>#VALUE!</v>
          </cell>
        </row>
        <row r="318">
          <cell r="A318">
            <v>317</v>
          </cell>
          <cell r="B318" t="str">
            <v>Paraguay</v>
          </cell>
          <cell r="C318" t="str">
            <v>DEF</v>
          </cell>
          <cell r="D318" t="str">
            <v>DaSilva P</v>
          </cell>
          <cell r="E318">
            <v>3.6</v>
          </cell>
          <cell r="F318" t="e">
            <v>#VALUE!</v>
          </cell>
          <cell r="G318" t="e">
            <v>#VALUE!</v>
          </cell>
          <cell r="H318" t="e">
            <v>#VALUE!</v>
          </cell>
          <cell r="I318" t="e">
            <v>#VALUE!</v>
          </cell>
          <cell r="J318" t="e">
            <v>#VALUE!</v>
          </cell>
          <cell r="K318" t="e">
            <v>#VALUE!</v>
          </cell>
          <cell r="L318" t="e">
            <v>#VALUE!</v>
          </cell>
        </row>
        <row r="319">
          <cell r="A319">
            <v>318</v>
          </cell>
          <cell r="B319" t="str">
            <v>Paraguay</v>
          </cell>
          <cell r="C319" t="str">
            <v>DEF</v>
          </cell>
          <cell r="D319" t="str">
            <v>Veron D</v>
          </cell>
          <cell r="E319">
            <v>3.2</v>
          </cell>
          <cell r="F319" t="e">
            <v>#VALUE!</v>
          </cell>
          <cell r="G319" t="e">
            <v>#VALUE!</v>
          </cell>
          <cell r="H319" t="e">
            <v>#VALUE!</v>
          </cell>
          <cell r="I319" t="e">
            <v>#VALUE!</v>
          </cell>
          <cell r="J319" t="e">
            <v>#VALUE!</v>
          </cell>
          <cell r="K319" t="e">
            <v>#VALUE!</v>
          </cell>
          <cell r="L319" t="e">
            <v>#VALUE!</v>
          </cell>
        </row>
        <row r="320">
          <cell r="A320">
            <v>319</v>
          </cell>
          <cell r="B320" t="str">
            <v>Paraguay</v>
          </cell>
          <cell r="C320" t="str">
            <v>MID</v>
          </cell>
          <cell r="D320" t="str">
            <v>Riveros C</v>
          </cell>
          <cell r="E320">
            <v>3.1</v>
          </cell>
          <cell r="F320" t="e">
            <v>#VALUE!</v>
          </cell>
          <cell r="G320" t="e">
            <v>#VALUE!</v>
          </cell>
          <cell r="H320" t="e">
            <v>#VALUE!</v>
          </cell>
          <cell r="I320" t="e">
            <v>#VALUE!</v>
          </cell>
          <cell r="J320" t="e">
            <v>#VALUE!</v>
          </cell>
          <cell r="K320" t="e">
            <v>#VALUE!</v>
          </cell>
          <cell r="L320" t="e">
            <v>#VALUE!</v>
          </cell>
        </row>
        <row r="321">
          <cell r="A321">
            <v>320</v>
          </cell>
          <cell r="B321" t="str">
            <v>Paraguay</v>
          </cell>
          <cell r="C321" t="str">
            <v>MID</v>
          </cell>
          <cell r="D321" t="str">
            <v>Santana J</v>
          </cell>
          <cell r="E321">
            <v>2.7</v>
          </cell>
          <cell r="F321" t="e">
            <v>#VALUE!</v>
          </cell>
          <cell r="G321" t="e">
            <v>#VALUE!</v>
          </cell>
          <cell r="H321" t="e">
            <v>#VALUE!</v>
          </cell>
          <cell r="I321" t="e">
            <v>#VALUE!</v>
          </cell>
          <cell r="J321" t="e">
            <v>#VALUE!</v>
          </cell>
          <cell r="K321" t="e">
            <v>#VALUE!</v>
          </cell>
          <cell r="L321" t="e">
            <v>#VALUE!</v>
          </cell>
        </row>
        <row r="322">
          <cell r="A322">
            <v>321</v>
          </cell>
          <cell r="B322" t="str">
            <v>Paraguay</v>
          </cell>
          <cell r="C322" t="str">
            <v>MID</v>
          </cell>
          <cell r="D322" t="str">
            <v>Vera E</v>
          </cell>
          <cell r="E322">
            <v>3</v>
          </cell>
          <cell r="F322" t="e">
            <v>#VALUE!</v>
          </cell>
          <cell r="G322" t="e">
            <v>#VALUE!</v>
          </cell>
          <cell r="H322" t="e">
            <v>#VALUE!</v>
          </cell>
          <cell r="I322" t="e">
            <v>#VALUE!</v>
          </cell>
          <cell r="J322" t="e">
            <v>#VALUE!</v>
          </cell>
          <cell r="K322" t="e">
            <v>#VALUE!</v>
          </cell>
          <cell r="L322" t="e">
            <v>#VALUE!</v>
          </cell>
        </row>
        <row r="323">
          <cell r="A323">
            <v>322</v>
          </cell>
          <cell r="B323" t="str">
            <v>Paraguay</v>
          </cell>
          <cell r="C323" t="str">
            <v>FOR</v>
          </cell>
          <cell r="D323" t="str">
            <v>Achucarro J</v>
          </cell>
          <cell r="E323">
            <v>3.6</v>
          </cell>
          <cell r="F323" t="e">
            <v>#VALUE!</v>
          </cell>
          <cell r="G323" t="e">
            <v>#VALUE!</v>
          </cell>
          <cell r="H323" t="e">
            <v>#VALUE!</v>
          </cell>
          <cell r="I323" t="e">
            <v>#VALUE!</v>
          </cell>
          <cell r="J323" t="e">
            <v>#VALUE!</v>
          </cell>
          <cell r="K323" t="e">
            <v>#VALUE!</v>
          </cell>
          <cell r="L323" t="e">
            <v>#VALUE!</v>
          </cell>
        </row>
        <row r="324">
          <cell r="A324">
            <v>323</v>
          </cell>
          <cell r="B324" t="str">
            <v>Paraguay</v>
          </cell>
          <cell r="C324" t="str">
            <v>FOR</v>
          </cell>
          <cell r="D324" t="str">
            <v>Cardozo O</v>
          </cell>
          <cell r="E324">
            <v>4</v>
          </cell>
          <cell r="F324" t="e">
            <v>#VALUE!</v>
          </cell>
          <cell r="G324" t="e">
            <v>#VALUE!</v>
          </cell>
          <cell r="H324" t="e">
            <v>#VALUE!</v>
          </cell>
          <cell r="I324" t="e">
            <v>#VALUE!</v>
          </cell>
          <cell r="J324" t="e">
            <v>#VALUE!</v>
          </cell>
          <cell r="K324" t="e">
            <v>#VALUE!</v>
          </cell>
          <cell r="L324" t="e">
            <v>#VALUE!</v>
          </cell>
        </row>
        <row r="325">
          <cell r="A325">
            <v>324</v>
          </cell>
          <cell r="B325" t="str">
            <v>Paraguay</v>
          </cell>
          <cell r="C325" t="str">
            <v>FOR</v>
          </cell>
          <cell r="D325" t="str">
            <v>SantaCruz R</v>
          </cell>
          <cell r="E325">
            <v>5.4</v>
          </cell>
          <cell r="F325" t="e">
            <v>#VALUE!</v>
          </cell>
          <cell r="G325" t="e">
            <v>#VALUE!</v>
          </cell>
          <cell r="H325" t="e">
            <v>#VALUE!</v>
          </cell>
          <cell r="I325" t="e">
            <v>#VALUE!</v>
          </cell>
          <cell r="J325" t="e">
            <v>#VALUE!</v>
          </cell>
          <cell r="K325" t="e">
            <v>#VALUE!</v>
          </cell>
          <cell r="L325" t="e">
            <v>#VALUE!</v>
          </cell>
        </row>
        <row r="326">
          <cell r="A326">
            <v>325</v>
          </cell>
          <cell r="B326" t="str">
            <v>Paraguay</v>
          </cell>
          <cell r="C326" t="str">
            <v>FOR</v>
          </cell>
          <cell r="D326" t="str">
            <v>Valdez N</v>
          </cell>
          <cell r="E326">
            <v>5.3</v>
          </cell>
          <cell r="F326" t="e">
            <v>#VALUE!</v>
          </cell>
          <cell r="G326" t="e">
            <v>#VALUE!</v>
          </cell>
          <cell r="H326" t="e">
            <v>#VALUE!</v>
          </cell>
          <cell r="I326" t="e">
            <v>#VALUE!</v>
          </cell>
          <cell r="J326" t="e">
            <v>#VALUE!</v>
          </cell>
          <cell r="K326" t="e">
            <v>#VALUE!</v>
          </cell>
          <cell r="L326" t="e">
            <v>#VALUE!</v>
          </cell>
        </row>
        <row r="327">
          <cell r="A327">
            <v>326</v>
          </cell>
          <cell r="B327" t="str">
            <v>Portugal</v>
          </cell>
          <cell r="C327" t="str">
            <v>GK</v>
          </cell>
          <cell r="D327" t="str">
            <v xml:space="preserve">Eduardo </v>
          </cell>
          <cell r="E327">
            <v>3.5</v>
          </cell>
          <cell r="F327" t="e">
            <v>#VALUE!</v>
          </cell>
          <cell r="G327" t="e">
            <v>#VALUE!</v>
          </cell>
          <cell r="H327" t="e">
            <v>#VALUE!</v>
          </cell>
          <cell r="I327" t="e">
            <v>#VALUE!</v>
          </cell>
          <cell r="J327" t="e">
            <v>#VALUE!</v>
          </cell>
          <cell r="K327" t="e">
            <v>#VALUE!</v>
          </cell>
          <cell r="L327" t="e">
            <v>#VALUE!</v>
          </cell>
        </row>
        <row r="328">
          <cell r="A328">
            <v>327</v>
          </cell>
          <cell r="B328" t="str">
            <v>Portugal</v>
          </cell>
          <cell r="C328" t="str">
            <v>DEF</v>
          </cell>
          <cell r="D328" t="str">
            <v>Alves B</v>
          </cell>
          <cell r="E328">
            <v>3.8</v>
          </cell>
          <cell r="F328" t="e">
            <v>#VALUE!</v>
          </cell>
          <cell r="G328" t="e">
            <v>#VALUE!</v>
          </cell>
          <cell r="H328" t="e">
            <v>#VALUE!</v>
          </cell>
          <cell r="I328" t="e">
            <v>#VALUE!</v>
          </cell>
          <cell r="J328" t="e">
            <v>#VALUE!</v>
          </cell>
          <cell r="K328" t="e">
            <v>#VALUE!</v>
          </cell>
          <cell r="L328" t="e">
            <v>#VALUE!</v>
          </cell>
        </row>
        <row r="329">
          <cell r="A329">
            <v>328</v>
          </cell>
          <cell r="B329" t="str">
            <v>Portugal</v>
          </cell>
          <cell r="C329" t="str">
            <v>DEF</v>
          </cell>
          <cell r="D329" t="str">
            <v>Carvalho R</v>
          </cell>
          <cell r="E329">
            <v>3.5</v>
          </cell>
          <cell r="F329" t="e">
            <v>#VALUE!</v>
          </cell>
          <cell r="G329" t="e">
            <v>#VALUE!</v>
          </cell>
          <cell r="H329" t="e">
            <v>#VALUE!</v>
          </cell>
          <cell r="I329" t="e">
            <v>#VALUE!</v>
          </cell>
          <cell r="J329" t="e">
            <v>#VALUE!</v>
          </cell>
          <cell r="K329" t="e">
            <v>#VALUE!</v>
          </cell>
          <cell r="L329" t="e">
            <v>#VALUE!</v>
          </cell>
        </row>
        <row r="330">
          <cell r="A330">
            <v>329</v>
          </cell>
          <cell r="B330" t="str">
            <v>Portugal</v>
          </cell>
          <cell r="C330" t="str">
            <v>DEF</v>
          </cell>
          <cell r="D330" t="str">
            <v xml:space="preserve">Duda </v>
          </cell>
          <cell r="E330">
            <v>3</v>
          </cell>
          <cell r="F330" t="e">
            <v>#VALUE!</v>
          </cell>
          <cell r="G330" t="e">
            <v>#VALUE!</v>
          </cell>
          <cell r="H330" t="e">
            <v>#VALUE!</v>
          </cell>
          <cell r="I330" t="e">
            <v>#VALUE!</v>
          </cell>
          <cell r="J330" t="e">
            <v>#VALUE!</v>
          </cell>
          <cell r="K330" t="e">
            <v>#VALUE!</v>
          </cell>
          <cell r="L330" t="e">
            <v>#VALUE!</v>
          </cell>
        </row>
        <row r="331">
          <cell r="A331">
            <v>330</v>
          </cell>
          <cell r="B331" t="str">
            <v>Portugal</v>
          </cell>
          <cell r="C331" t="str">
            <v>DEF</v>
          </cell>
          <cell r="D331" t="str">
            <v>Ferreira P</v>
          </cell>
          <cell r="E331">
            <v>3.3</v>
          </cell>
          <cell r="F331" t="e">
            <v>#VALUE!</v>
          </cell>
          <cell r="G331" t="e">
            <v>#VALUE!</v>
          </cell>
          <cell r="H331" t="e">
            <v>#VALUE!</v>
          </cell>
          <cell r="I331" t="e">
            <v>#VALUE!</v>
          </cell>
          <cell r="J331" t="e">
            <v>#VALUE!</v>
          </cell>
          <cell r="K331" t="e">
            <v>#VALUE!</v>
          </cell>
          <cell r="L331" t="e">
            <v>#VALUE!</v>
          </cell>
        </row>
        <row r="332">
          <cell r="A332">
            <v>331</v>
          </cell>
          <cell r="B332" t="str">
            <v>Portugal</v>
          </cell>
          <cell r="C332" t="str">
            <v>MID</v>
          </cell>
          <cell r="D332" t="str">
            <v xml:space="preserve">Deco </v>
          </cell>
          <cell r="E332">
            <v>3.4</v>
          </cell>
          <cell r="F332" t="e">
            <v>#VALUE!</v>
          </cell>
          <cell r="G332" t="e">
            <v>#VALUE!</v>
          </cell>
          <cell r="H332" t="e">
            <v>#VALUE!</v>
          </cell>
          <cell r="I332" t="e">
            <v>#VALUE!</v>
          </cell>
          <cell r="J332" t="e">
            <v>#VALUE!</v>
          </cell>
          <cell r="K332" t="e">
            <v>#VALUE!</v>
          </cell>
          <cell r="L332" t="e">
            <v>#VALUE!</v>
          </cell>
        </row>
        <row r="333">
          <cell r="A333">
            <v>332</v>
          </cell>
          <cell r="B333" t="str">
            <v>Portugal</v>
          </cell>
          <cell r="C333" t="str">
            <v>MID</v>
          </cell>
          <cell r="D333" t="str">
            <v>Meireles R</v>
          </cell>
          <cell r="E333">
            <v>3.1</v>
          </cell>
          <cell r="F333" t="e">
            <v>#VALUE!</v>
          </cell>
          <cell r="G333" t="e">
            <v>#VALUE!</v>
          </cell>
          <cell r="H333" t="e">
            <v>#VALUE!</v>
          </cell>
          <cell r="I333" t="e">
            <v>#VALUE!</v>
          </cell>
          <cell r="J333" t="e">
            <v>#VALUE!</v>
          </cell>
          <cell r="K333" t="e">
            <v>#VALUE!</v>
          </cell>
          <cell r="L333" t="e">
            <v>#VALUE!</v>
          </cell>
        </row>
        <row r="334">
          <cell r="A334">
            <v>333</v>
          </cell>
          <cell r="B334" t="str">
            <v>Portugal</v>
          </cell>
          <cell r="C334" t="str">
            <v>MID</v>
          </cell>
          <cell r="D334" t="str">
            <v>Moutinho J</v>
          </cell>
          <cell r="E334">
            <v>3.1</v>
          </cell>
          <cell r="F334" t="e">
            <v>#VALUE!</v>
          </cell>
          <cell r="G334" t="e">
            <v>#VALUE!</v>
          </cell>
          <cell r="H334" t="e">
            <v>#VALUE!</v>
          </cell>
          <cell r="I334" t="e">
            <v>#VALUE!</v>
          </cell>
          <cell r="J334" t="e">
            <v>#VALUE!</v>
          </cell>
          <cell r="K334" t="e">
            <v>#VALUE!</v>
          </cell>
          <cell r="L334" t="e">
            <v>#VALUE!</v>
          </cell>
        </row>
        <row r="335">
          <cell r="A335">
            <v>334</v>
          </cell>
          <cell r="B335" t="str">
            <v>Portugal</v>
          </cell>
          <cell r="C335" t="str">
            <v>MID</v>
          </cell>
          <cell r="D335" t="str">
            <v xml:space="preserve">Nani </v>
          </cell>
          <cell r="E335">
            <v>4</v>
          </cell>
          <cell r="F335" t="e">
            <v>#VALUE!</v>
          </cell>
          <cell r="G335" t="e">
            <v>#VALUE!</v>
          </cell>
          <cell r="H335" t="e">
            <v>#VALUE!</v>
          </cell>
          <cell r="I335" t="e">
            <v>#VALUE!</v>
          </cell>
          <cell r="J335" t="e">
            <v>#VALUE!</v>
          </cell>
          <cell r="K335" t="e">
            <v>#VALUE!</v>
          </cell>
          <cell r="L335" t="e">
            <v>#VALUE!</v>
          </cell>
        </row>
        <row r="336">
          <cell r="A336">
            <v>335</v>
          </cell>
          <cell r="B336" t="str">
            <v>Portugal</v>
          </cell>
          <cell r="C336" t="str">
            <v>MID</v>
          </cell>
          <cell r="D336" t="str">
            <v xml:space="preserve">Pepe </v>
          </cell>
          <cell r="E336">
            <v>3</v>
          </cell>
          <cell r="F336" t="e">
            <v>#VALUE!</v>
          </cell>
          <cell r="G336" t="e">
            <v>#VALUE!</v>
          </cell>
          <cell r="H336" t="e">
            <v>#VALUE!</v>
          </cell>
          <cell r="I336" t="e">
            <v>#VALUE!</v>
          </cell>
          <cell r="J336" t="e">
            <v>#VALUE!</v>
          </cell>
          <cell r="K336" t="e">
            <v>#VALUE!</v>
          </cell>
          <cell r="L336" t="e">
            <v>#VALUE!</v>
          </cell>
        </row>
        <row r="337">
          <cell r="A337">
            <v>336</v>
          </cell>
          <cell r="B337" t="str">
            <v>Portugal</v>
          </cell>
          <cell r="C337" t="str">
            <v>MID</v>
          </cell>
          <cell r="D337" t="str">
            <v>Ronaldo C</v>
          </cell>
          <cell r="E337">
            <v>6</v>
          </cell>
          <cell r="F337" t="e">
            <v>#VALUE!</v>
          </cell>
          <cell r="G337" t="e">
            <v>#VALUE!</v>
          </cell>
          <cell r="H337" t="e">
            <v>#VALUE!</v>
          </cell>
          <cell r="I337" t="e">
            <v>#VALUE!</v>
          </cell>
          <cell r="J337" t="e">
            <v>#VALUE!</v>
          </cell>
          <cell r="K337" t="e">
            <v>#VALUE!</v>
          </cell>
          <cell r="L337" t="e">
            <v>#VALUE!</v>
          </cell>
        </row>
        <row r="338">
          <cell r="A338">
            <v>337</v>
          </cell>
          <cell r="B338" t="str">
            <v>Portugal</v>
          </cell>
          <cell r="C338" t="str">
            <v>MID</v>
          </cell>
          <cell r="D338" t="str">
            <v xml:space="preserve">Tiago </v>
          </cell>
          <cell r="E338">
            <v>2.7</v>
          </cell>
          <cell r="F338" t="e">
            <v>#VALUE!</v>
          </cell>
          <cell r="G338" t="e">
            <v>#VALUE!</v>
          </cell>
          <cell r="H338" t="e">
            <v>#VALUE!</v>
          </cell>
          <cell r="I338" t="e">
            <v>#VALUE!</v>
          </cell>
          <cell r="J338" t="e">
            <v>#VALUE!</v>
          </cell>
          <cell r="K338" t="e">
            <v>#VALUE!</v>
          </cell>
          <cell r="L338" t="e">
            <v>#VALUE!</v>
          </cell>
        </row>
        <row r="339">
          <cell r="A339">
            <v>338</v>
          </cell>
          <cell r="B339" t="str">
            <v>Portugal</v>
          </cell>
          <cell r="C339" t="str">
            <v>FOR</v>
          </cell>
          <cell r="D339" t="str">
            <v xml:space="preserve">Liedson </v>
          </cell>
          <cell r="E339">
            <v>3.9</v>
          </cell>
          <cell r="F339" t="e">
            <v>#VALUE!</v>
          </cell>
          <cell r="G339" t="e">
            <v>#VALUE!</v>
          </cell>
          <cell r="H339" t="e">
            <v>#VALUE!</v>
          </cell>
          <cell r="I339" t="e">
            <v>#VALUE!</v>
          </cell>
          <cell r="J339" t="e">
            <v>#VALUE!</v>
          </cell>
          <cell r="K339" t="e">
            <v>#VALUE!</v>
          </cell>
          <cell r="L339" t="e">
            <v>#VALUE!</v>
          </cell>
        </row>
        <row r="340">
          <cell r="A340">
            <v>339</v>
          </cell>
          <cell r="B340" t="str">
            <v>Portugal</v>
          </cell>
          <cell r="C340" t="str">
            <v>FOR</v>
          </cell>
          <cell r="D340" t="str">
            <v xml:space="preserve">Simao </v>
          </cell>
          <cell r="E340">
            <v>5.3</v>
          </cell>
          <cell r="F340" t="e">
            <v>#VALUE!</v>
          </cell>
          <cell r="G340" t="e">
            <v>#VALUE!</v>
          </cell>
          <cell r="H340" t="e">
            <v>#VALUE!</v>
          </cell>
          <cell r="I340" t="e">
            <v>#VALUE!</v>
          </cell>
          <cell r="J340" t="e">
            <v>#VALUE!</v>
          </cell>
          <cell r="K340" t="e">
            <v>#VALUE!</v>
          </cell>
          <cell r="L340" t="e">
            <v>#VALUE!</v>
          </cell>
        </row>
        <row r="341">
          <cell r="A341">
            <v>340</v>
          </cell>
          <cell r="B341" t="str">
            <v>Serbia</v>
          </cell>
          <cell r="C341" t="str">
            <v>GK</v>
          </cell>
          <cell r="D341" t="str">
            <v>Stojkovic V</v>
          </cell>
          <cell r="E341">
            <v>3.3</v>
          </cell>
          <cell r="F341" t="e">
            <v>#VALUE!</v>
          </cell>
          <cell r="G341" t="e">
            <v>#VALUE!</v>
          </cell>
          <cell r="H341" t="e">
            <v>#VALUE!</v>
          </cell>
          <cell r="I341" t="e">
            <v>#VALUE!</v>
          </cell>
          <cell r="J341" t="e">
            <v>#VALUE!</v>
          </cell>
          <cell r="K341" t="e">
            <v>#VALUE!</v>
          </cell>
          <cell r="L341" t="e">
            <v>#VALUE!</v>
          </cell>
        </row>
        <row r="342">
          <cell r="A342">
            <v>341</v>
          </cell>
          <cell r="B342" t="str">
            <v>Serbia</v>
          </cell>
          <cell r="C342" t="str">
            <v>DEF</v>
          </cell>
          <cell r="D342" t="str">
            <v>Ivanovic B</v>
          </cell>
          <cell r="E342">
            <v>3.5</v>
          </cell>
          <cell r="F342" t="e">
            <v>#VALUE!</v>
          </cell>
          <cell r="G342" t="e">
            <v>#VALUE!</v>
          </cell>
          <cell r="H342" t="e">
            <v>#VALUE!</v>
          </cell>
          <cell r="I342" t="e">
            <v>#VALUE!</v>
          </cell>
          <cell r="J342" t="e">
            <v>#VALUE!</v>
          </cell>
          <cell r="K342" t="e">
            <v>#VALUE!</v>
          </cell>
          <cell r="L342" t="e">
            <v>#VALUE!</v>
          </cell>
        </row>
        <row r="343">
          <cell r="A343">
            <v>342</v>
          </cell>
          <cell r="B343" t="str">
            <v>Serbia</v>
          </cell>
          <cell r="C343" t="str">
            <v>DEF</v>
          </cell>
          <cell r="D343" t="str">
            <v>Obradovic I</v>
          </cell>
          <cell r="E343">
            <v>3.1</v>
          </cell>
          <cell r="F343" t="e">
            <v>#VALUE!</v>
          </cell>
          <cell r="G343" t="e">
            <v>#VALUE!</v>
          </cell>
          <cell r="H343" t="e">
            <v>#VALUE!</v>
          </cell>
          <cell r="I343" t="e">
            <v>#VALUE!</v>
          </cell>
          <cell r="J343" t="e">
            <v>#VALUE!</v>
          </cell>
          <cell r="K343" t="e">
            <v>#VALUE!</v>
          </cell>
          <cell r="L343" t="e">
            <v>#VALUE!</v>
          </cell>
        </row>
        <row r="344">
          <cell r="A344">
            <v>343</v>
          </cell>
          <cell r="B344" t="str">
            <v>Serbia</v>
          </cell>
          <cell r="C344" t="str">
            <v>DEF</v>
          </cell>
          <cell r="D344" t="str">
            <v>Subotic N</v>
          </cell>
          <cell r="E344">
            <v>2.9</v>
          </cell>
          <cell r="F344" t="e">
            <v>#VALUE!</v>
          </cell>
          <cell r="G344" t="e">
            <v>#VALUE!</v>
          </cell>
          <cell r="H344" t="e">
            <v>#VALUE!</v>
          </cell>
          <cell r="I344" t="e">
            <v>#VALUE!</v>
          </cell>
          <cell r="J344" t="e">
            <v>#VALUE!</v>
          </cell>
          <cell r="K344" t="e">
            <v>#VALUE!</v>
          </cell>
          <cell r="L344" t="e">
            <v>#VALUE!</v>
          </cell>
        </row>
        <row r="345">
          <cell r="A345">
            <v>344</v>
          </cell>
          <cell r="B345" t="str">
            <v>Serbia</v>
          </cell>
          <cell r="C345" t="str">
            <v>DEF</v>
          </cell>
          <cell r="D345" t="str">
            <v>Vidic N</v>
          </cell>
          <cell r="E345">
            <v>3.6</v>
          </cell>
          <cell r="F345" t="e">
            <v>#VALUE!</v>
          </cell>
          <cell r="G345" t="e">
            <v>#VALUE!</v>
          </cell>
          <cell r="H345" t="e">
            <v>#VALUE!</v>
          </cell>
          <cell r="I345" t="e">
            <v>#VALUE!</v>
          </cell>
          <cell r="J345" t="e">
            <v>#VALUE!</v>
          </cell>
          <cell r="K345" t="e">
            <v>#VALUE!</v>
          </cell>
          <cell r="L345" t="e">
            <v>#VALUE!</v>
          </cell>
        </row>
        <row r="346">
          <cell r="A346">
            <v>345</v>
          </cell>
          <cell r="B346" t="str">
            <v>Serbia</v>
          </cell>
          <cell r="C346" t="str">
            <v>MID</v>
          </cell>
          <cell r="D346" t="str">
            <v>Jovanovic M</v>
          </cell>
          <cell r="E346">
            <v>3.5</v>
          </cell>
          <cell r="F346" t="e">
            <v>#VALUE!</v>
          </cell>
          <cell r="G346" t="e">
            <v>#VALUE!</v>
          </cell>
          <cell r="H346" t="e">
            <v>#VALUE!</v>
          </cell>
          <cell r="I346" t="e">
            <v>#VALUE!</v>
          </cell>
          <cell r="J346" t="e">
            <v>#VALUE!</v>
          </cell>
          <cell r="K346" t="e">
            <v>#VALUE!</v>
          </cell>
          <cell r="L346" t="e">
            <v>#VALUE!</v>
          </cell>
        </row>
        <row r="347">
          <cell r="A347">
            <v>346</v>
          </cell>
          <cell r="B347" t="str">
            <v>Serbia</v>
          </cell>
          <cell r="C347" t="str">
            <v>MID</v>
          </cell>
          <cell r="D347" t="str">
            <v>Kacar G</v>
          </cell>
          <cell r="E347">
            <v>3</v>
          </cell>
          <cell r="F347" t="e">
            <v>#VALUE!</v>
          </cell>
          <cell r="G347" t="e">
            <v>#VALUE!</v>
          </cell>
          <cell r="H347" t="e">
            <v>#VALUE!</v>
          </cell>
          <cell r="I347" t="e">
            <v>#VALUE!</v>
          </cell>
          <cell r="J347" t="e">
            <v>#VALUE!</v>
          </cell>
          <cell r="K347" t="e">
            <v>#VALUE!</v>
          </cell>
          <cell r="L347" t="e">
            <v>#VALUE!</v>
          </cell>
        </row>
        <row r="348">
          <cell r="A348">
            <v>347</v>
          </cell>
          <cell r="B348" t="str">
            <v>Serbia</v>
          </cell>
          <cell r="C348" t="str">
            <v>MID</v>
          </cell>
          <cell r="D348" t="str">
            <v>Krasic M</v>
          </cell>
          <cell r="E348">
            <v>3.1</v>
          </cell>
          <cell r="F348" t="e">
            <v>#VALUE!</v>
          </cell>
          <cell r="G348" t="e">
            <v>#VALUE!</v>
          </cell>
          <cell r="H348" t="e">
            <v>#VALUE!</v>
          </cell>
          <cell r="I348" t="e">
            <v>#VALUE!</v>
          </cell>
          <cell r="J348" t="e">
            <v>#VALUE!</v>
          </cell>
          <cell r="K348" t="e">
            <v>#VALUE!</v>
          </cell>
          <cell r="L348" t="e">
            <v>#VALUE!</v>
          </cell>
        </row>
        <row r="349">
          <cell r="A349">
            <v>348</v>
          </cell>
          <cell r="B349" t="str">
            <v>Serbia</v>
          </cell>
          <cell r="C349" t="str">
            <v>MID</v>
          </cell>
          <cell r="D349" t="str">
            <v>Petrovic R</v>
          </cell>
          <cell r="E349">
            <v>2.7</v>
          </cell>
          <cell r="F349" t="e">
            <v>#VALUE!</v>
          </cell>
          <cell r="G349" t="e">
            <v>#VALUE!</v>
          </cell>
          <cell r="H349" t="e">
            <v>#VALUE!</v>
          </cell>
          <cell r="I349" t="e">
            <v>#VALUE!</v>
          </cell>
          <cell r="J349" t="e">
            <v>#VALUE!</v>
          </cell>
          <cell r="K349" t="e">
            <v>#VALUE!</v>
          </cell>
          <cell r="L349" t="e">
            <v>#VALUE!</v>
          </cell>
        </row>
        <row r="350">
          <cell r="A350">
            <v>349</v>
          </cell>
          <cell r="B350" t="str">
            <v>Serbia</v>
          </cell>
          <cell r="C350" t="str">
            <v>MID</v>
          </cell>
          <cell r="D350" t="str">
            <v>Tosic Z</v>
          </cell>
          <cell r="E350">
            <v>2.9</v>
          </cell>
          <cell r="F350" t="e">
            <v>#VALUE!</v>
          </cell>
          <cell r="G350" t="e">
            <v>#VALUE!</v>
          </cell>
          <cell r="H350" t="e">
            <v>#VALUE!</v>
          </cell>
          <cell r="I350" t="e">
            <v>#VALUE!</v>
          </cell>
          <cell r="J350" t="e">
            <v>#VALUE!</v>
          </cell>
          <cell r="K350" t="e">
            <v>#VALUE!</v>
          </cell>
          <cell r="L350" t="e">
            <v>#VALUE!</v>
          </cell>
        </row>
        <row r="351">
          <cell r="A351">
            <v>350</v>
          </cell>
          <cell r="B351" t="str">
            <v>Serbia</v>
          </cell>
          <cell r="C351" t="str">
            <v>FOR</v>
          </cell>
          <cell r="D351" t="str">
            <v>Pantelic M</v>
          </cell>
          <cell r="E351">
            <v>3.5</v>
          </cell>
          <cell r="F351" t="e">
            <v>#VALUE!</v>
          </cell>
          <cell r="G351" t="e">
            <v>#VALUE!</v>
          </cell>
          <cell r="H351" t="e">
            <v>#VALUE!</v>
          </cell>
          <cell r="I351" t="e">
            <v>#VALUE!</v>
          </cell>
          <cell r="J351" t="e">
            <v>#VALUE!</v>
          </cell>
          <cell r="K351" t="e">
            <v>#VALUE!</v>
          </cell>
          <cell r="L351" t="e">
            <v>#VALUE!</v>
          </cell>
        </row>
        <row r="352">
          <cell r="A352">
            <v>351</v>
          </cell>
          <cell r="B352" t="str">
            <v>Serbia</v>
          </cell>
          <cell r="C352" t="str">
            <v>FOR</v>
          </cell>
          <cell r="D352" t="str">
            <v>Zigic N</v>
          </cell>
          <cell r="E352">
            <v>3.9</v>
          </cell>
          <cell r="F352" t="e">
            <v>#VALUE!</v>
          </cell>
          <cell r="G352" t="e">
            <v>#VALUE!</v>
          </cell>
          <cell r="H352" t="e">
            <v>#VALUE!</v>
          </cell>
          <cell r="I352" t="e">
            <v>#VALUE!</v>
          </cell>
          <cell r="J352" t="e">
            <v>#VALUE!</v>
          </cell>
          <cell r="K352" t="e">
            <v>#VALUE!</v>
          </cell>
          <cell r="L352" t="e">
            <v>#VALUE!</v>
          </cell>
        </row>
        <row r="353">
          <cell r="A353">
            <v>352</v>
          </cell>
          <cell r="B353" t="str">
            <v>Slovakia</v>
          </cell>
          <cell r="C353" t="str">
            <v>GK</v>
          </cell>
          <cell r="D353" t="str">
            <v>Mucha J</v>
          </cell>
          <cell r="E353">
            <v>3</v>
          </cell>
          <cell r="F353" t="e">
            <v>#VALUE!</v>
          </cell>
          <cell r="G353" t="e">
            <v>#VALUE!</v>
          </cell>
          <cell r="H353" t="e">
            <v>#VALUE!</v>
          </cell>
          <cell r="I353" t="e">
            <v>#VALUE!</v>
          </cell>
          <cell r="J353" t="e">
            <v>#VALUE!</v>
          </cell>
          <cell r="K353" t="e">
            <v>#VALUE!</v>
          </cell>
          <cell r="L353" t="e">
            <v>#VALUE!</v>
          </cell>
        </row>
        <row r="354">
          <cell r="A354">
            <v>353</v>
          </cell>
          <cell r="B354" t="str">
            <v>Slovakia</v>
          </cell>
          <cell r="C354" t="str">
            <v>DEF</v>
          </cell>
          <cell r="D354" t="str">
            <v>Cech M</v>
          </cell>
          <cell r="E354">
            <v>3.4</v>
          </cell>
          <cell r="F354" t="e">
            <v>#VALUE!</v>
          </cell>
          <cell r="G354" t="e">
            <v>#VALUE!</v>
          </cell>
          <cell r="H354" t="e">
            <v>#VALUE!</v>
          </cell>
          <cell r="I354" t="e">
            <v>#VALUE!</v>
          </cell>
          <cell r="J354" t="e">
            <v>#VALUE!</v>
          </cell>
          <cell r="K354" t="e">
            <v>#VALUE!</v>
          </cell>
          <cell r="L354" t="e">
            <v>#VALUE!</v>
          </cell>
        </row>
        <row r="355">
          <cell r="A355">
            <v>354</v>
          </cell>
          <cell r="B355" t="str">
            <v>Slovakia</v>
          </cell>
          <cell r="C355" t="str">
            <v>DEF</v>
          </cell>
          <cell r="D355" t="str">
            <v>Pekarik P</v>
          </cell>
          <cell r="E355">
            <v>3.3</v>
          </cell>
          <cell r="F355" t="e">
            <v>#VALUE!</v>
          </cell>
          <cell r="G355" t="e">
            <v>#VALUE!</v>
          </cell>
          <cell r="H355" t="e">
            <v>#VALUE!</v>
          </cell>
          <cell r="I355" t="e">
            <v>#VALUE!</v>
          </cell>
          <cell r="J355" t="e">
            <v>#VALUE!</v>
          </cell>
          <cell r="K355" t="e">
            <v>#VALUE!</v>
          </cell>
          <cell r="L355" t="e">
            <v>#VALUE!</v>
          </cell>
        </row>
        <row r="356">
          <cell r="A356">
            <v>355</v>
          </cell>
          <cell r="B356" t="str">
            <v>Slovakia</v>
          </cell>
          <cell r="C356" t="str">
            <v>DEF</v>
          </cell>
          <cell r="D356" t="str">
            <v>Petras M</v>
          </cell>
          <cell r="E356">
            <v>2.9</v>
          </cell>
          <cell r="F356" t="e">
            <v>#VALUE!</v>
          </cell>
          <cell r="G356" t="e">
            <v>#VALUE!</v>
          </cell>
          <cell r="H356" t="e">
            <v>#VALUE!</v>
          </cell>
          <cell r="I356" t="e">
            <v>#VALUE!</v>
          </cell>
          <cell r="J356" t="e">
            <v>#VALUE!</v>
          </cell>
          <cell r="K356" t="e">
            <v>#VALUE!</v>
          </cell>
          <cell r="L356" t="e">
            <v>#VALUE!</v>
          </cell>
        </row>
        <row r="357">
          <cell r="A357">
            <v>356</v>
          </cell>
          <cell r="B357" t="str">
            <v>Slovakia</v>
          </cell>
          <cell r="C357" t="str">
            <v>DEF</v>
          </cell>
          <cell r="D357" t="str">
            <v>Salata K</v>
          </cell>
          <cell r="E357">
            <v>2.7</v>
          </cell>
          <cell r="F357" t="e">
            <v>#VALUE!</v>
          </cell>
          <cell r="G357" t="e">
            <v>#VALUE!</v>
          </cell>
          <cell r="H357" t="e">
            <v>#VALUE!</v>
          </cell>
          <cell r="I357" t="e">
            <v>#VALUE!</v>
          </cell>
          <cell r="J357" t="e">
            <v>#VALUE!</v>
          </cell>
          <cell r="K357" t="e">
            <v>#VALUE!</v>
          </cell>
          <cell r="L357" t="e">
            <v>#VALUE!</v>
          </cell>
        </row>
        <row r="358">
          <cell r="A358">
            <v>357</v>
          </cell>
          <cell r="B358" t="str">
            <v>Slovakia</v>
          </cell>
          <cell r="C358" t="str">
            <v>DEF</v>
          </cell>
          <cell r="D358" t="str">
            <v>Skrtel M</v>
          </cell>
          <cell r="E358">
            <v>3.2</v>
          </cell>
          <cell r="F358" t="e">
            <v>#VALUE!</v>
          </cell>
          <cell r="G358" t="e">
            <v>#VALUE!</v>
          </cell>
          <cell r="H358" t="e">
            <v>#VALUE!</v>
          </cell>
          <cell r="I358" t="e">
            <v>#VALUE!</v>
          </cell>
          <cell r="J358" t="e">
            <v>#VALUE!</v>
          </cell>
          <cell r="K358" t="e">
            <v>#VALUE!</v>
          </cell>
          <cell r="L358" t="e">
            <v>#VALUE!</v>
          </cell>
        </row>
        <row r="359">
          <cell r="A359">
            <v>358</v>
          </cell>
          <cell r="B359" t="str">
            <v>Slovakia</v>
          </cell>
          <cell r="C359" t="str">
            <v>MID</v>
          </cell>
          <cell r="D359" t="str">
            <v>Hamsik M</v>
          </cell>
          <cell r="E359">
            <v>3.2</v>
          </cell>
          <cell r="F359" t="e">
            <v>#VALUE!</v>
          </cell>
          <cell r="G359" t="e">
            <v>#VALUE!</v>
          </cell>
          <cell r="H359" t="e">
            <v>#VALUE!</v>
          </cell>
          <cell r="I359" t="e">
            <v>#VALUE!</v>
          </cell>
          <cell r="J359" t="e">
            <v>#VALUE!</v>
          </cell>
          <cell r="K359" t="e">
            <v>#VALUE!</v>
          </cell>
          <cell r="L359" t="e">
            <v>#VALUE!</v>
          </cell>
        </row>
        <row r="360">
          <cell r="A360">
            <v>359</v>
          </cell>
          <cell r="B360" t="str">
            <v>Slovakia</v>
          </cell>
          <cell r="C360" t="str">
            <v>MID</v>
          </cell>
          <cell r="D360" t="str">
            <v>Kopunek K</v>
          </cell>
          <cell r="E360">
            <v>2.7</v>
          </cell>
          <cell r="F360" t="e">
            <v>#VALUE!</v>
          </cell>
          <cell r="G360" t="e">
            <v>#VALUE!</v>
          </cell>
          <cell r="H360" t="e">
            <v>#VALUE!</v>
          </cell>
          <cell r="I360" t="e">
            <v>#VALUE!</v>
          </cell>
          <cell r="J360" t="e">
            <v>#VALUE!</v>
          </cell>
          <cell r="K360" t="e">
            <v>#VALUE!</v>
          </cell>
          <cell r="L360" t="e">
            <v>#VALUE!</v>
          </cell>
        </row>
        <row r="361">
          <cell r="A361">
            <v>360</v>
          </cell>
          <cell r="B361" t="str">
            <v>Slovakia</v>
          </cell>
          <cell r="C361" t="str">
            <v>MID</v>
          </cell>
          <cell r="D361" t="str">
            <v>Kozak J</v>
          </cell>
          <cell r="E361">
            <v>3</v>
          </cell>
          <cell r="F361" t="e">
            <v>#VALUE!</v>
          </cell>
          <cell r="G361" t="e">
            <v>#VALUE!</v>
          </cell>
          <cell r="H361" t="e">
            <v>#VALUE!</v>
          </cell>
          <cell r="I361" t="e">
            <v>#VALUE!</v>
          </cell>
          <cell r="J361" t="e">
            <v>#VALUE!</v>
          </cell>
          <cell r="K361" t="e">
            <v>#VALUE!</v>
          </cell>
          <cell r="L361" t="e">
            <v>#VALUE!</v>
          </cell>
        </row>
        <row r="362">
          <cell r="A362">
            <v>361</v>
          </cell>
          <cell r="B362" t="str">
            <v>Slovakia</v>
          </cell>
          <cell r="C362" t="str">
            <v>MID</v>
          </cell>
          <cell r="D362" t="str">
            <v>Strba Z</v>
          </cell>
          <cell r="E362">
            <v>2.9</v>
          </cell>
          <cell r="F362" t="e">
            <v>#VALUE!</v>
          </cell>
          <cell r="G362" t="e">
            <v>#VALUE!</v>
          </cell>
          <cell r="H362" t="e">
            <v>#VALUE!</v>
          </cell>
          <cell r="I362" t="e">
            <v>#VALUE!</v>
          </cell>
          <cell r="J362" t="e">
            <v>#VALUE!</v>
          </cell>
          <cell r="K362" t="e">
            <v>#VALUE!</v>
          </cell>
          <cell r="L362" t="e">
            <v>#VALUE!</v>
          </cell>
        </row>
        <row r="363">
          <cell r="A363">
            <v>362</v>
          </cell>
          <cell r="B363" t="str">
            <v>Slovakia</v>
          </cell>
          <cell r="C363" t="str">
            <v>MID</v>
          </cell>
          <cell r="D363" t="str">
            <v>Weiss V</v>
          </cell>
          <cell r="E363">
            <v>2.8</v>
          </cell>
          <cell r="F363" t="e">
            <v>#VALUE!</v>
          </cell>
          <cell r="G363" t="e">
            <v>#VALUE!</v>
          </cell>
          <cell r="H363" t="e">
            <v>#VALUE!</v>
          </cell>
          <cell r="I363" t="e">
            <v>#VALUE!</v>
          </cell>
          <cell r="J363" t="e">
            <v>#VALUE!</v>
          </cell>
          <cell r="K363" t="e">
            <v>#VALUE!</v>
          </cell>
          <cell r="L363" t="e">
            <v>#VALUE!</v>
          </cell>
        </row>
        <row r="364">
          <cell r="A364">
            <v>363</v>
          </cell>
          <cell r="B364" t="str">
            <v>Slovakia</v>
          </cell>
          <cell r="C364" t="str">
            <v>FOR</v>
          </cell>
          <cell r="D364" t="str">
            <v>Jendrisek E</v>
          </cell>
          <cell r="E364">
            <v>4.5999999999999996</v>
          </cell>
          <cell r="F364" t="e">
            <v>#VALUE!</v>
          </cell>
          <cell r="G364" t="e">
            <v>#VALUE!</v>
          </cell>
          <cell r="H364" t="e">
            <v>#VALUE!</v>
          </cell>
          <cell r="I364" t="e">
            <v>#VALUE!</v>
          </cell>
          <cell r="J364" t="e">
            <v>#VALUE!</v>
          </cell>
          <cell r="K364" t="e">
            <v>#VALUE!</v>
          </cell>
          <cell r="L364" t="e">
            <v>#VALUE!</v>
          </cell>
        </row>
        <row r="365">
          <cell r="A365">
            <v>364</v>
          </cell>
          <cell r="B365" t="str">
            <v>Slovakia</v>
          </cell>
          <cell r="C365" t="str">
            <v>FOR</v>
          </cell>
          <cell r="D365" t="str">
            <v>Sestak S</v>
          </cell>
          <cell r="E365">
            <v>5.3</v>
          </cell>
          <cell r="F365" t="e">
            <v>#VALUE!</v>
          </cell>
          <cell r="G365" t="e">
            <v>#VALUE!</v>
          </cell>
          <cell r="H365" t="e">
            <v>#VALUE!</v>
          </cell>
          <cell r="I365" t="e">
            <v>#VALUE!</v>
          </cell>
          <cell r="J365" t="e">
            <v>#VALUE!</v>
          </cell>
          <cell r="K365" t="e">
            <v>#VALUE!</v>
          </cell>
          <cell r="L365" t="e">
            <v>#VALUE!</v>
          </cell>
        </row>
        <row r="366">
          <cell r="A366">
            <v>365</v>
          </cell>
          <cell r="B366" t="str">
            <v>Slovenia</v>
          </cell>
          <cell r="C366" t="str">
            <v>GK</v>
          </cell>
          <cell r="D366" t="str">
            <v>Handanovic S</v>
          </cell>
          <cell r="E366">
            <v>2.9</v>
          </cell>
          <cell r="F366" t="e">
            <v>#VALUE!</v>
          </cell>
          <cell r="G366" t="e">
            <v>#VALUE!</v>
          </cell>
          <cell r="H366" t="e">
            <v>#VALUE!</v>
          </cell>
          <cell r="I366" t="e">
            <v>#VALUE!</v>
          </cell>
          <cell r="J366" t="e">
            <v>#VALUE!</v>
          </cell>
          <cell r="K366" t="e">
            <v>#VALUE!</v>
          </cell>
          <cell r="L366" t="e">
            <v>#VALUE!</v>
          </cell>
        </row>
        <row r="367">
          <cell r="A367">
            <v>366</v>
          </cell>
          <cell r="B367" t="str">
            <v>Slovenia</v>
          </cell>
          <cell r="C367" t="str">
            <v>DEF</v>
          </cell>
          <cell r="D367" t="str">
            <v>Brecko M</v>
          </cell>
          <cell r="E367">
            <v>3.1</v>
          </cell>
          <cell r="F367" t="e">
            <v>#VALUE!</v>
          </cell>
          <cell r="G367" t="e">
            <v>#VALUE!</v>
          </cell>
          <cell r="H367" t="e">
            <v>#VALUE!</v>
          </cell>
          <cell r="I367" t="e">
            <v>#VALUE!</v>
          </cell>
          <cell r="J367" t="e">
            <v>#VALUE!</v>
          </cell>
          <cell r="K367" t="e">
            <v>#VALUE!</v>
          </cell>
          <cell r="L367" t="e">
            <v>#VALUE!</v>
          </cell>
        </row>
        <row r="368">
          <cell r="A368">
            <v>367</v>
          </cell>
          <cell r="B368" t="str">
            <v>Slovenia</v>
          </cell>
          <cell r="C368" t="str">
            <v>DEF</v>
          </cell>
          <cell r="D368" t="str">
            <v>Cesar B</v>
          </cell>
          <cell r="E368">
            <v>2.9</v>
          </cell>
          <cell r="F368" t="e">
            <v>#VALUE!</v>
          </cell>
          <cell r="G368" t="e">
            <v>#VALUE!</v>
          </cell>
          <cell r="H368" t="e">
            <v>#VALUE!</v>
          </cell>
          <cell r="I368" t="e">
            <v>#VALUE!</v>
          </cell>
          <cell r="J368" t="e">
            <v>#VALUE!</v>
          </cell>
          <cell r="K368" t="e">
            <v>#VALUE!</v>
          </cell>
          <cell r="L368" t="e">
            <v>#VALUE!</v>
          </cell>
        </row>
        <row r="369">
          <cell r="A369">
            <v>368</v>
          </cell>
          <cell r="B369" t="str">
            <v>Slovenia</v>
          </cell>
          <cell r="C369" t="str">
            <v>DEF</v>
          </cell>
          <cell r="D369" t="str">
            <v>Jokic B</v>
          </cell>
          <cell r="E369">
            <v>2.8</v>
          </cell>
          <cell r="F369" t="e">
            <v>#VALUE!</v>
          </cell>
          <cell r="G369" t="e">
            <v>#VALUE!</v>
          </cell>
          <cell r="H369" t="e">
            <v>#VALUE!</v>
          </cell>
          <cell r="I369" t="e">
            <v>#VALUE!</v>
          </cell>
          <cell r="J369" t="e">
            <v>#VALUE!</v>
          </cell>
          <cell r="K369" t="e">
            <v>#VALUE!</v>
          </cell>
          <cell r="L369" t="e">
            <v>#VALUE!</v>
          </cell>
        </row>
        <row r="370">
          <cell r="A370">
            <v>369</v>
          </cell>
          <cell r="B370" t="str">
            <v>Slovenia</v>
          </cell>
          <cell r="C370" t="str">
            <v>DEF</v>
          </cell>
          <cell r="D370" t="str">
            <v>Suler M</v>
          </cell>
          <cell r="E370">
            <v>3.4</v>
          </cell>
          <cell r="F370" t="e">
            <v>#VALUE!</v>
          </cell>
          <cell r="G370" t="e">
            <v>#VALUE!</v>
          </cell>
          <cell r="H370" t="e">
            <v>#VALUE!</v>
          </cell>
          <cell r="I370" t="e">
            <v>#VALUE!</v>
          </cell>
          <cell r="J370" t="e">
            <v>#VALUE!</v>
          </cell>
          <cell r="K370" t="e">
            <v>#VALUE!</v>
          </cell>
          <cell r="L370" t="e">
            <v>#VALUE!</v>
          </cell>
        </row>
        <row r="371">
          <cell r="A371">
            <v>370</v>
          </cell>
          <cell r="B371" t="str">
            <v>Slovenia</v>
          </cell>
          <cell r="C371" t="str">
            <v>MID</v>
          </cell>
          <cell r="D371" t="str">
            <v>Kirm A</v>
          </cell>
          <cell r="E371">
            <v>3</v>
          </cell>
          <cell r="F371" t="e">
            <v>#VALUE!</v>
          </cell>
          <cell r="G371" t="e">
            <v>#VALUE!</v>
          </cell>
          <cell r="H371" t="e">
            <v>#VALUE!</v>
          </cell>
          <cell r="I371" t="e">
            <v>#VALUE!</v>
          </cell>
          <cell r="J371" t="e">
            <v>#VALUE!</v>
          </cell>
          <cell r="K371" t="e">
            <v>#VALUE!</v>
          </cell>
          <cell r="L371" t="e">
            <v>#VALUE!</v>
          </cell>
        </row>
        <row r="372">
          <cell r="A372">
            <v>371</v>
          </cell>
          <cell r="B372" t="str">
            <v>Slovenia</v>
          </cell>
          <cell r="C372" t="str">
            <v>MID</v>
          </cell>
          <cell r="D372" t="str">
            <v>Koren R</v>
          </cell>
          <cell r="E372">
            <v>3.2</v>
          </cell>
          <cell r="F372" t="e">
            <v>#VALUE!</v>
          </cell>
          <cell r="G372" t="e">
            <v>#VALUE!</v>
          </cell>
          <cell r="H372" t="e">
            <v>#VALUE!</v>
          </cell>
          <cell r="I372" t="e">
            <v>#VALUE!</v>
          </cell>
          <cell r="J372" t="e">
            <v>#VALUE!</v>
          </cell>
          <cell r="K372" t="e">
            <v>#VALUE!</v>
          </cell>
          <cell r="L372" t="e">
            <v>#VALUE!</v>
          </cell>
        </row>
        <row r="373">
          <cell r="A373">
            <v>372</v>
          </cell>
          <cell r="B373" t="str">
            <v>Slovenia</v>
          </cell>
          <cell r="C373" t="str">
            <v>MID</v>
          </cell>
          <cell r="D373" t="str">
            <v>Radosavljevic A</v>
          </cell>
          <cell r="E373">
            <v>2.8</v>
          </cell>
          <cell r="F373" t="e">
            <v>#VALUE!</v>
          </cell>
          <cell r="G373" t="e">
            <v>#VALUE!</v>
          </cell>
          <cell r="H373" t="e">
            <v>#VALUE!</v>
          </cell>
          <cell r="I373" t="e">
            <v>#VALUE!</v>
          </cell>
          <cell r="J373" t="e">
            <v>#VALUE!</v>
          </cell>
          <cell r="K373" t="e">
            <v>#VALUE!</v>
          </cell>
          <cell r="L373" t="e">
            <v>#VALUE!</v>
          </cell>
        </row>
        <row r="374">
          <cell r="A374">
            <v>373</v>
          </cell>
          <cell r="B374" t="str">
            <v>Slovenia</v>
          </cell>
          <cell r="C374" t="str">
            <v>FOR</v>
          </cell>
          <cell r="D374" t="str">
            <v>Birsa V</v>
          </cell>
          <cell r="E374">
            <v>3.9</v>
          </cell>
          <cell r="F374" t="e">
            <v>#VALUE!</v>
          </cell>
          <cell r="G374" t="e">
            <v>#VALUE!</v>
          </cell>
          <cell r="H374" t="e">
            <v>#VALUE!</v>
          </cell>
          <cell r="I374" t="e">
            <v>#VALUE!</v>
          </cell>
          <cell r="J374" t="e">
            <v>#VALUE!</v>
          </cell>
          <cell r="K374" t="e">
            <v>#VALUE!</v>
          </cell>
          <cell r="L374" t="e">
            <v>#VALUE!</v>
          </cell>
        </row>
        <row r="375">
          <cell r="A375">
            <v>374</v>
          </cell>
          <cell r="B375" t="str">
            <v>Slovenia</v>
          </cell>
          <cell r="C375" t="str">
            <v>FOR</v>
          </cell>
          <cell r="D375" t="str">
            <v>Dedic Z</v>
          </cell>
          <cell r="E375">
            <v>4.5999999999999996</v>
          </cell>
          <cell r="F375" t="e">
            <v>#VALUE!</v>
          </cell>
          <cell r="G375" t="e">
            <v>#VALUE!</v>
          </cell>
          <cell r="H375" t="e">
            <v>#VALUE!</v>
          </cell>
          <cell r="I375" t="e">
            <v>#VALUE!</v>
          </cell>
          <cell r="J375" t="e">
            <v>#VALUE!</v>
          </cell>
          <cell r="K375" t="e">
            <v>#VALUE!</v>
          </cell>
          <cell r="L375" t="e">
            <v>#VALUE!</v>
          </cell>
        </row>
        <row r="376">
          <cell r="A376">
            <v>375</v>
          </cell>
          <cell r="B376" t="str">
            <v>Slovenia</v>
          </cell>
          <cell r="C376" t="str">
            <v>FOR</v>
          </cell>
          <cell r="D376" t="str">
            <v>Novakovic M</v>
          </cell>
          <cell r="E376">
            <v>5.2</v>
          </cell>
          <cell r="F376" t="e">
            <v>#VALUE!</v>
          </cell>
          <cell r="G376" t="e">
            <v>#VALUE!</v>
          </cell>
          <cell r="H376" t="e">
            <v>#VALUE!</v>
          </cell>
          <cell r="I376" t="e">
            <v>#VALUE!</v>
          </cell>
          <cell r="J376" t="e">
            <v>#VALUE!</v>
          </cell>
          <cell r="K376" t="e">
            <v>#VALUE!</v>
          </cell>
          <cell r="L376" t="e">
            <v>#VALUE!</v>
          </cell>
        </row>
        <row r="377">
          <cell r="A377">
            <v>376</v>
          </cell>
          <cell r="B377" t="str">
            <v>South Africa</v>
          </cell>
          <cell r="C377" t="str">
            <v>GK</v>
          </cell>
          <cell r="D377" t="str">
            <v>Khune I</v>
          </cell>
          <cell r="E377">
            <v>3</v>
          </cell>
          <cell r="F377" t="e">
            <v>#VALUE!</v>
          </cell>
          <cell r="G377" t="e">
            <v>#VALUE!</v>
          </cell>
          <cell r="H377" t="e">
            <v>#VALUE!</v>
          </cell>
          <cell r="I377" t="e">
            <v>#VALUE!</v>
          </cell>
          <cell r="J377" t="e">
            <v>#VALUE!</v>
          </cell>
          <cell r="K377" t="e">
            <v>#VALUE!</v>
          </cell>
          <cell r="L377" t="e">
            <v>#VALUE!</v>
          </cell>
        </row>
        <row r="378">
          <cell r="A378">
            <v>377</v>
          </cell>
          <cell r="B378" t="str">
            <v>South Africa</v>
          </cell>
          <cell r="C378" t="str">
            <v>DEF</v>
          </cell>
          <cell r="D378" t="str">
            <v>Carnell B</v>
          </cell>
          <cell r="E378">
            <v>2.8</v>
          </cell>
          <cell r="F378" t="e">
            <v>#VALUE!</v>
          </cell>
          <cell r="G378" t="e">
            <v>#VALUE!</v>
          </cell>
          <cell r="H378" t="e">
            <v>#VALUE!</v>
          </cell>
          <cell r="I378" t="e">
            <v>#VALUE!</v>
          </cell>
          <cell r="J378" t="e">
            <v>#VALUE!</v>
          </cell>
          <cell r="K378" t="e">
            <v>#VALUE!</v>
          </cell>
          <cell r="L378" t="e">
            <v>#VALUE!</v>
          </cell>
        </row>
        <row r="379">
          <cell r="A379">
            <v>378</v>
          </cell>
          <cell r="B379" t="str">
            <v>South Africa</v>
          </cell>
          <cell r="C379" t="str">
            <v>DEF</v>
          </cell>
          <cell r="D379" t="str">
            <v>Gaxa S</v>
          </cell>
          <cell r="E379">
            <v>3.4</v>
          </cell>
          <cell r="F379" t="e">
            <v>#VALUE!</v>
          </cell>
          <cell r="G379" t="e">
            <v>#VALUE!</v>
          </cell>
          <cell r="H379" t="e">
            <v>#VALUE!</v>
          </cell>
          <cell r="I379" t="e">
            <v>#VALUE!</v>
          </cell>
          <cell r="J379" t="e">
            <v>#VALUE!</v>
          </cell>
          <cell r="K379" t="e">
            <v>#VALUE!</v>
          </cell>
          <cell r="L379" t="e">
            <v>#VALUE!</v>
          </cell>
        </row>
        <row r="380">
          <cell r="A380">
            <v>379</v>
          </cell>
          <cell r="B380" t="str">
            <v>South Africa</v>
          </cell>
          <cell r="C380" t="str">
            <v>DEF</v>
          </cell>
          <cell r="D380" t="str">
            <v>Morris N</v>
          </cell>
          <cell r="E380">
            <v>2.9</v>
          </cell>
          <cell r="F380" t="e">
            <v>#VALUE!</v>
          </cell>
          <cell r="G380" t="e">
            <v>#VALUE!</v>
          </cell>
          <cell r="H380" t="e">
            <v>#VALUE!</v>
          </cell>
          <cell r="I380" t="e">
            <v>#VALUE!</v>
          </cell>
          <cell r="J380" t="e">
            <v>#VALUE!</v>
          </cell>
          <cell r="K380" t="e">
            <v>#VALUE!</v>
          </cell>
          <cell r="L380" t="e">
            <v>#VALUE!</v>
          </cell>
        </row>
        <row r="381">
          <cell r="A381">
            <v>380</v>
          </cell>
          <cell r="B381" t="str">
            <v>South Africa</v>
          </cell>
          <cell r="C381" t="str">
            <v>MID</v>
          </cell>
          <cell r="D381" t="str">
            <v>Davids L</v>
          </cell>
          <cell r="E381">
            <v>2.7</v>
          </cell>
          <cell r="F381" t="e">
            <v>#VALUE!</v>
          </cell>
          <cell r="G381" t="e">
            <v>#VALUE!</v>
          </cell>
          <cell r="H381" t="e">
            <v>#VALUE!</v>
          </cell>
          <cell r="I381" t="e">
            <v>#VALUE!</v>
          </cell>
          <cell r="J381" t="e">
            <v>#VALUE!</v>
          </cell>
          <cell r="K381" t="e">
            <v>#VALUE!</v>
          </cell>
          <cell r="L381" t="e">
            <v>#VALUE!</v>
          </cell>
        </row>
        <row r="382">
          <cell r="A382">
            <v>381</v>
          </cell>
          <cell r="B382" t="str">
            <v>South Africa</v>
          </cell>
          <cell r="C382" t="str">
            <v>MID</v>
          </cell>
          <cell r="D382" t="str">
            <v>Dikgacoi K</v>
          </cell>
          <cell r="E382">
            <v>3.2</v>
          </cell>
          <cell r="F382" t="e">
            <v>#VALUE!</v>
          </cell>
          <cell r="G382" t="e">
            <v>#VALUE!</v>
          </cell>
          <cell r="H382" t="e">
            <v>#VALUE!</v>
          </cell>
          <cell r="I382" t="e">
            <v>#VALUE!</v>
          </cell>
          <cell r="J382" t="e">
            <v>#VALUE!</v>
          </cell>
          <cell r="K382" t="e">
            <v>#VALUE!</v>
          </cell>
          <cell r="L382" t="e">
            <v>#VALUE!</v>
          </cell>
        </row>
        <row r="383">
          <cell r="A383">
            <v>382</v>
          </cell>
          <cell r="B383" t="str">
            <v>South Africa</v>
          </cell>
          <cell r="C383" t="str">
            <v>MID</v>
          </cell>
          <cell r="D383" t="str">
            <v>Modise T</v>
          </cell>
          <cell r="E383">
            <v>2.9</v>
          </cell>
          <cell r="F383" t="e">
            <v>#VALUE!</v>
          </cell>
          <cell r="G383" t="e">
            <v>#VALUE!</v>
          </cell>
          <cell r="H383" t="e">
            <v>#VALUE!</v>
          </cell>
          <cell r="I383" t="e">
            <v>#VALUE!</v>
          </cell>
          <cell r="J383" t="e">
            <v>#VALUE!</v>
          </cell>
          <cell r="K383" t="e">
            <v>#VALUE!</v>
          </cell>
          <cell r="L383" t="e">
            <v>#VALUE!</v>
          </cell>
        </row>
        <row r="384">
          <cell r="A384">
            <v>383</v>
          </cell>
          <cell r="B384" t="str">
            <v>South Africa</v>
          </cell>
          <cell r="C384" t="str">
            <v>MID</v>
          </cell>
          <cell r="D384" t="str">
            <v>Mokoena A</v>
          </cell>
          <cell r="E384">
            <v>3</v>
          </cell>
          <cell r="F384" t="e">
            <v>#VALUE!</v>
          </cell>
          <cell r="G384" t="e">
            <v>#VALUE!</v>
          </cell>
          <cell r="H384" t="e">
            <v>#VALUE!</v>
          </cell>
          <cell r="I384" t="e">
            <v>#VALUE!</v>
          </cell>
          <cell r="J384" t="e">
            <v>#VALUE!</v>
          </cell>
          <cell r="K384" t="e">
            <v>#VALUE!</v>
          </cell>
          <cell r="L384" t="e">
            <v>#VALUE!</v>
          </cell>
        </row>
        <row r="385">
          <cell r="A385">
            <v>384</v>
          </cell>
          <cell r="B385" t="str">
            <v>South Africa</v>
          </cell>
          <cell r="C385" t="str">
            <v>MID</v>
          </cell>
          <cell r="D385" t="str">
            <v>Nkosi S</v>
          </cell>
          <cell r="E385">
            <v>2.5</v>
          </cell>
          <cell r="F385" t="e">
            <v>#VALUE!</v>
          </cell>
          <cell r="G385" t="e">
            <v>#VALUE!</v>
          </cell>
          <cell r="H385" t="e">
            <v>#VALUE!</v>
          </cell>
          <cell r="I385" t="e">
            <v>#VALUE!</v>
          </cell>
          <cell r="J385" t="e">
            <v>#VALUE!</v>
          </cell>
          <cell r="K385" t="e">
            <v>#VALUE!</v>
          </cell>
          <cell r="L385" t="e">
            <v>#VALUE!</v>
          </cell>
        </row>
        <row r="386">
          <cell r="A386">
            <v>385</v>
          </cell>
          <cell r="B386" t="str">
            <v>South Africa</v>
          </cell>
          <cell r="C386" t="str">
            <v>MID</v>
          </cell>
          <cell r="D386" t="str">
            <v>Pienaar S</v>
          </cell>
          <cell r="E386">
            <v>3.1</v>
          </cell>
          <cell r="F386" t="e">
            <v>#VALUE!</v>
          </cell>
          <cell r="G386" t="e">
            <v>#VALUE!</v>
          </cell>
          <cell r="H386" t="e">
            <v>#VALUE!</v>
          </cell>
          <cell r="I386" t="e">
            <v>#VALUE!</v>
          </cell>
          <cell r="J386" t="e">
            <v>#VALUE!</v>
          </cell>
          <cell r="K386" t="e">
            <v>#VALUE!</v>
          </cell>
          <cell r="L386" t="e">
            <v>#VALUE!</v>
          </cell>
        </row>
        <row r="387">
          <cell r="A387">
            <v>386</v>
          </cell>
          <cell r="B387" t="str">
            <v>South Africa</v>
          </cell>
          <cell r="C387" t="str">
            <v>MID</v>
          </cell>
          <cell r="D387" t="str">
            <v>Tshabalala S</v>
          </cell>
          <cell r="E387">
            <v>2.8</v>
          </cell>
          <cell r="F387" t="e">
            <v>#VALUE!</v>
          </cell>
          <cell r="G387" t="e">
            <v>#VALUE!</v>
          </cell>
          <cell r="H387" t="e">
            <v>#VALUE!</v>
          </cell>
          <cell r="I387" t="e">
            <v>#VALUE!</v>
          </cell>
          <cell r="J387" t="e">
            <v>#VALUE!</v>
          </cell>
          <cell r="K387" t="e">
            <v>#VALUE!</v>
          </cell>
          <cell r="L387" t="e">
            <v>#VALUE!</v>
          </cell>
        </row>
        <row r="388">
          <cell r="A388">
            <v>387</v>
          </cell>
          <cell r="B388" t="str">
            <v>South Africa</v>
          </cell>
          <cell r="C388" t="str">
            <v>FOR</v>
          </cell>
          <cell r="D388" t="str">
            <v>McCarthy B</v>
          </cell>
          <cell r="E388">
            <v>3.9</v>
          </cell>
          <cell r="F388" t="e">
            <v>#VALUE!</v>
          </cell>
          <cell r="G388" t="e">
            <v>#VALUE!</v>
          </cell>
          <cell r="H388" t="e">
            <v>#VALUE!</v>
          </cell>
          <cell r="I388" t="e">
            <v>#VALUE!</v>
          </cell>
          <cell r="J388" t="e">
            <v>#VALUE!</v>
          </cell>
          <cell r="K388" t="e">
            <v>#VALUE!</v>
          </cell>
          <cell r="L388" t="e">
            <v>#VALUE!</v>
          </cell>
        </row>
        <row r="389">
          <cell r="A389">
            <v>388</v>
          </cell>
          <cell r="B389" t="str">
            <v>South Africa</v>
          </cell>
          <cell r="C389" t="str">
            <v>FOR</v>
          </cell>
          <cell r="D389" t="str">
            <v>Parker B</v>
          </cell>
          <cell r="E389">
            <v>3.4</v>
          </cell>
          <cell r="F389" t="e">
            <v>#VALUE!</v>
          </cell>
          <cell r="G389" t="e">
            <v>#VALUE!</v>
          </cell>
          <cell r="H389" t="e">
            <v>#VALUE!</v>
          </cell>
          <cell r="I389" t="e">
            <v>#VALUE!</v>
          </cell>
          <cell r="J389" t="e">
            <v>#VALUE!</v>
          </cell>
          <cell r="K389" t="e">
            <v>#VALUE!</v>
          </cell>
          <cell r="L389" t="e">
            <v>#VALUE!</v>
          </cell>
        </row>
        <row r="390">
          <cell r="A390">
            <v>389</v>
          </cell>
          <cell r="B390" t="str">
            <v>South Korea</v>
          </cell>
          <cell r="C390" t="str">
            <v>GK</v>
          </cell>
          <cell r="D390" t="str">
            <v>Jung SR</v>
          </cell>
          <cell r="E390">
            <v>2.9</v>
          </cell>
          <cell r="F390" t="e">
            <v>#VALUE!</v>
          </cell>
          <cell r="G390" t="e">
            <v>#VALUE!</v>
          </cell>
          <cell r="H390" t="e">
            <v>#VALUE!</v>
          </cell>
          <cell r="I390" t="e">
            <v>#VALUE!</v>
          </cell>
          <cell r="J390" t="e">
            <v>#VALUE!</v>
          </cell>
          <cell r="K390" t="e">
            <v>#VALUE!</v>
          </cell>
          <cell r="L390" t="e">
            <v>#VALUE!</v>
          </cell>
        </row>
        <row r="391">
          <cell r="A391">
            <v>390</v>
          </cell>
          <cell r="B391" t="str">
            <v>South Korea</v>
          </cell>
          <cell r="C391" t="str">
            <v>GK</v>
          </cell>
          <cell r="D391" t="str">
            <v>Lee WJ</v>
          </cell>
          <cell r="E391">
            <v>2.7</v>
          </cell>
          <cell r="F391" t="e">
            <v>#VALUE!</v>
          </cell>
          <cell r="G391" t="e">
            <v>#VALUE!</v>
          </cell>
          <cell r="H391" t="e">
            <v>#VALUE!</v>
          </cell>
          <cell r="I391" t="e">
            <v>#VALUE!</v>
          </cell>
          <cell r="J391" t="e">
            <v>#VALUE!</v>
          </cell>
          <cell r="K391" t="e">
            <v>#VALUE!</v>
          </cell>
          <cell r="L391" t="e">
            <v>#VALUE!</v>
          </cell>
        </row>
        <row r="392">
          <cell r="A392">
            <v>391</v>
          </cell>
          <cell r="B392" t="str">
            <v>South Korea</v>
          </cell>
          <cell r="C392" t="str">
            <v>DEF</v>
          </cell>
          <cell r="D392" t="str">
            <v>Cha DR</v>
          </cell>
          <cell r="E392">
            <v>3</v>
          </cell>
          <cell r="F392" t="e">
            <v>#VALUE!</v>
          </cell>
          <cell r="G392" t="e">
            <v>#VALUE!</v>
          </cell>
          <cell r="H392" t="e">
            <v>#VALUE!</v>
          </cell>
          <cell r="I392" t="e">
            <v>#VALUE!</v>
          </cell>
          <cell r="J392" t="e">
            <v>#VALUE!</v>
          </cell>
          <cell r="K392" t="e">
            <v>#VALUE!</v>
          </cell>
          <cell r="L392" t="e">
            <v>#VALUE!</v>
          </cell>
        </row>
        <row r="393">
          <cell r="A393">
            <v>392</v>
          </cell>
          <cell r="B393" t="str">
            <v>South Korea</v>
          </cell>
          <cell r="C393" t="str">
            <v>DEF</v>
          </cell>
          <cell r="D393" t="str">
            <v>Cho YH</v>
          </cell>
          <cell r="E393">
            <v>3.1</v>
          </cell>
          <cell r="F393" t="e">
            <v>#VALUE!</v>
          </cell>
          <cell r="G393" t="e">
            <v>#VALUE!</v>
          </cell>
          <cell r="H393" t="e">
            <v>#VALUE!</v>
          </cell>
          <cell r="I393" t="e">
            <v>#VALUE!</v>
          </cell>
          <cell r="J393" t="e">
            <v>#VALUE!</v>
          </cell>
          <cell r="K393" t="e">
            <v>#VALUE!</v>
          </cell>
          <cell r="L393" t="e">
            <v>#VALUE!</v>
          </cell>
        </row>
        <row r="394">
          <cell r="A394">
            <v>393</v>
          </cell>
          <cell r="B394" t="str">
            <v>South Korea</v>
          </cell>
          <cell r="C394" t="str">
            <v>DEF</v>
          </cell>
          <cell r="D394" t="str">
            <v>Kim DJ</v>
          </cell>
          <cell r="E394">
            <v>2.8</v>
          </cell>
          <cell r="F394" t="e">
            <v>#VALUE!</v>
          </cell>
          <cell r="G394" t="e">
            <v>#VALUE!</v>
          </cell>
          <cell r="H394" t="e">
            <v>#VALUE!</v>
          </cell>
          <cell r="I394" t="e">
            <v>#VALUE!</v>
          </cell>
          <cell r="J394" t="e">
            <v>#VALUE!</v>
          </cell>
          <cell r="K394" t="e">
            <v>#VALUE!</v>
          </cell>
          <cell r="L394" t="e">
            <v>#VALUE!</v>
          </cell>
        </row>
        <row r="395">
          <cell r="A395">
            <v>394</v>
          </cell>
          <cell r="B395" t="str">
            <v>South Korea</v>
          </cell>
          <cell r="C395" t="str">
            <v>DEF</v>
          </cell>
          <cell r="D395" t="str">
            <v>Lee JS</v>
          </cell>
          <cell r="E395">
            <v>2.9</v>
          </cell>
          <cell r="F395" t="e">
            <v>#VALUE!</v>
          </cell>
          <cell r="G395" t="e">
            <v>#VALUE!</v>
          </cell>
          <cell r="H395" t="e">
            <v>#VALUE!</v>
          </cell>
          <cell r="I395" t="e">
            <v>#VALUE!</v>
          </cell>
          <cell r="J395" t="e">
            <v>#VALUE!</v>
          </cell>
          <cell r="K395" t="e">
            <v>#VALUE!</v>
          </cell>
          <cell r="L395" t="e">
            <v>#VALUE!</v>
          </cell>
        </row>
        <row r="396">
          <cell r="A396">
            <v>395</v>
          </cell>
          <cell r="B396" t="str">
            <v>South Korea</v>
          </cell>
          <cell r="C396" t="str">
            <v>DEF</v>
          </cell>
          <cell r="D396" t="str">
            <v>Lee YP</v>
          </cell>
          <cell r="E396">
            <v>3.2</v>
          </cell>
          <cell r="F396" t="e">
            <v>#VALUE!</v>
          </cell>
          <cell r="G396" t="e">
            <v>#VALUE!</v>
          </cell>
          <cell r="H396" t="e">
            <v>#VALUE!</v>
          </cell>
          <cell r="I396" t="e">
            <v>#VALUE!</v>
          </cell>
          <cell r="J396" t="e">
            <v>#VALUE!</v>
          </cell>
          <cell r="K396" t="e">
            <v>#VALUE!</v>
          </cell>
          <cell r="L396" t="e">
            <v>#VALUE!</v>
          </cell>
        </row>
        <row r="397">
          <cell r="A397">
            <v>396</v>
          </cell>
          <cell r="B397" t="str">
            <v>South Korea</v>
          </cell>
          <cell r="C397" t="str">
            <v>DEF</v>
          </cell>
          <cell r="D397" t="str">
            <v>Oh BS</v>
          </cell>
          <cell r="E397">
            <v>3.3</v>
          </cell>
          <cell r="F397" t="e">
            <v>#VALUE!</v>
          </cell>
          <cell r="G397" t="e">
            <v>#VALUE!</v>
          </cell>
          <cell r="H397" t="e">
            <v>#VALUE!</v>
          </cell>
          <cell r="I397" t="e">
            <v>#VALUE!</v>
          </cell>
          <cell r="J397" t="e">
            <v>#VALUE!</v>
          </cell>
          <cell r="K397" t="e">
            <v>#VALUE!</v>
          </cell>
          <cell r="L397" t="e">
            <v>#VALUE!</v>
          </cell>
        </row>
        <row r="398">
          <cell r="A398">
            <v>397</v>
          </cell>
          <cell r="B398" t="str">
            <v>South Korea</v>
          </cell>
          <cell r="C398" t="str">
            <v>MID</v>
          </cell>
          <cell r="D398" t="str">
            <v>Cho WH</v>
          </cell>
          <cell r="E398">
            <v>2.8</v>
          </cell>
          <cell r="F398" t="e">
            <v>#VALUE!</v>
          </cell>
          <cell r="G398" t="e">
            <v>#VALUE!</v>
          </cell>
          <cell r="H398" t="e">
            <v>#VALUE!</v>
          </cell>
          <cell r="I398" t="e">
            <v>#VALUE!</v>
          </cell>
          <cell r="J398" t="e">
            <v>#VALUE!</v>
          </cell>
          <cell r="K398" t="e">
            <v>#VALUE!</v>
          </cell>
          <cell r="L398" t="e">
            <v>#VALUE!</v>
          </cell>
        </row>
        <row r="399">
          <cell r="A399">
            <v>398</v>
          </cell>
          <cell r="B399" t="str">
            <v>South Korea</v>
          </cell>
          <cell r="C399" t="str">
            <v>MID</v>
          </cell>
          <cell r="D399" t="str">
            <v>Kim JW</v>
          </cell>
          <cell r="E399">
            <v>2.7</v>
          </cell>
          <cell r="F399" t="e">
            <v>#VALUE!</v>
          </cell>
          <cell r="G399" t="e">
            <v>#VALUE!</v>
          </cell>
          <cell r="H399" t="e">
            <v>#VALUE!</v>
          </cell>
          <cell r="I399" t="e">
            <v>#VALUE!</v>
          </cell>
          <cell r="J399" t="e">
            <v>#VALUE!</v>
          </cell>
          <cell r="K399" t="e">
            <v>#VALUE!</v>
          </cell>
          <cell r="L399" t="e">
            <v>#VALUE!</v>
          </cell>
        </row>
        <row r="400">
          <cell r="A400">
            <v>399</v>
          </cell>
          <cell r="B400" t="str">
            <v>South Korea</v>
          </cell>
          <cell r="C400" t="str">
            <v>MID</v>
          </cell>
          <cell r="D400" t="str">
            <v>Kim SY</v>
          </cell>
          <cell r="E400">
            <v>3.1</v>
          </cell>
          <cell r="F400" t="e">
            <v>#VALUE!</v>
          </cell>
          <cell r="G400" t="e">
            <v>#VALUE!</v>
          </cell>
          <cell r="H400" t="e">
            <v>#VALUE!</v>
          </cell>
          <cell r="I400" t="e">
            <v>#VALUE!</v>
          </cell>
          <cell r="J400" t="e">
            <v>#VALUE!</v>
          </cell>
          <cell r="K400" t="e">
            <v>#VALUE!</v>
          </cell>
          <cell r="L400" t="e">
            <v>#VALUE!</v>
          </cell>
        </row>
        <row r="401">
          <cell r="A401">
            <v>400</v>
          </cell>
          <cell r="B401" t="str">
            <v>South Korea</v>
          </cell>
          <cell r="C401" t="str">
            <v>MID</v>
          </cell>
          <cell r="D401" t="str">
            <v>Lee CY</v>
          </cell>
          <cell r="E401">
            <v>3</v>
          </cell>
          <cell r="F401" t="e">
            <v>#VALUE!</v>
          </cell>
          <cell r="G401" t="e">
            <v>#VALUE!</v>
          </cell>
          <cell r="H401" t="e">
            <v>#VALUE!</v>
          </cell>
          <cell r="I401" t="e">
            <v>#VALUE!</v>
          </cell>
          <cell r="J401" t="e">
            <v>#VALUE!</v>
          </cell>
          <cell r="K401" t="e">
            <v>#VALUE!</v>
          </cell>
          <cell r="L401" t="e">
            <v>#VALUE!</v>
          </cell>
        </row>
        <row r="402">
          <cell r="A402">
            <v>401</v>
          </cell>
          <cell r="B402" t="str">
            <v>South Korea</v>
          </cell>
          <cell r="C402" t="str">
            <v>MID</v>
          </cell>
          <cell r="D402" t="str">
            <v>Park J</v>
          </cell>
          <cell r="E402">
            <v>3.2</v>
          </cell>
          <cell r="F402" t="e">
            <v>#VALUE!</v>
          </cell>
          <cell r="G402" t="e">
            <v>#VALUE!</v>
          </cell>
          <cell r="H402" t="e">
            <v>#VALUE!</v>
          </cell>
          <cell r="I402" t="e">
            <v>#VALUE!</v>
          </cell>
          <cell r="J402" t="e">
            <v>#VALUE!</v>
          </cell>
          <cell r="K402" t="e">
            <v>#VALUE!</v>
          </cell>
          <cell r="L402" t="e">
            <v>#VALUE!</v>
          </cell>
        </row>
        <row r="403">
          <cell r="A403">
            <v>402</v>
          </cell>
          <cell r="B403" t="str">
            <v>South Korea</v>
          </cell>
          <cell r="C403" t="str">
            <v>FOR</v>
          </cell>
          <cell r="D403" t="str">
            <v>Lee KH</v>
          </cell>
          <cell r="E403">
            <v>4.3</v>
          </cell>
          <cell r="F403" t="e">
            <v>#VALUE!</v>
          </cell>
          <cell r="G403" t="e">
            <v>#VALUE!</v>
          </cell>
          <cell r="H403" t="e">
            <v>#VALUE!</v>
          </cell>
          <cell r="I403" t="e">
            <v>#VALUE!</v>
          </cell>
          <cell r="J403" t="e">
            <v>#VALUE!</v>
          </cell>
          <cell r="K403" t="e">
            <v>#VALUE!</v>
          </cell>
          <cell r="L403" t="e">
            <v>#VALUE!</v>
          </cell>
        </row>
        <row r="404">
          <cell r="A404">
            <v>403</v>
          </cell>
          <cell r="B404" t="str">
            <v>South Korea</v>
          </cell>
          <cell r="C404" t="str">
            <v>FOR</v>
          </cell>
          <cell r="D404" t="str">
            <v>Park CY</v>
          </cell>
          <cell r="E404">
            <v>4.7</v>
          </cell>
          <cell r="F404" t="e">
            <v>#VALUE!</v>
          </cell>
          <cell r="G404" t="e">
            <v>#VALUE!</v>
          </cell>
          <cell r="H404" t="e">
            <v>#VALUE!</v>
          </cell>
          <cell r="I404" t="e">
            <v>#VALUE!</v>
          </cell>
          <cell r="J404" t="e">
            <v>#VALUE!</v>
          </cell>
          <cell r="K404" t="e">
            <v>#VALUE!</v>
          </cell>
          <cell r="L404" t="e">
            <v>#VALUE!</v>
          </cell>
        </row>
        <row r="405">
          <cell r="A405">
            <v>404</v>
          </cell>
          <cell r="B405" t="str">
            <v>Spain</v>
          </cell>
          <cell r="C405" t="str">
            <v>GK</v>
          </cell>
          <cell r="D405" t="str">
            <v>Casillas I</v>
          </cell>
          <cell r="E405">
            <v>4</v>
          </cell>
          <cell r="F405" t="e">
            <v>#VALUE!</v>
          </cell>
          <cell r="G405" t="e">
            <v>#VALUE!</v>
          </cell>
          <cell r="H405" t="e">
            <v>#VALUE!</v>
          </cell>
          <cell r="I405" t="e">
            <v>#VALUE!</v>
          </cell>
          <cell r="J405" t="e">
            <v>#VALUE!</v>
          </cell>
          <cell r="K405" t="e">
            <v>#VALUE!</v>
          </cell>
          <cell r="L405" t="e">
            <v>#VALUE!</v>
          </cell>
        </row>
        <row r="406">
          <cell r="A406">
            <v>405</v>
          </cell>
          <cell r="B406" t="str">
            <v>Spain</v>
          </cell>
          <cell r="C406" t="str">
            <v>DEF</v>
          </cell>
          <cell r="D406" t="str">
            <v>Albiol R</v>
          </cell>
          <cell r="E406">
            <v>3.2</v>
          </cell>
          <cell r="F406" t="e">
            <v>#VALUE!</v>
          </cell>
          <cell r="G406" t="e">
            <v>#VALUE!</v>
          </cell>
          <cell r="H406" t="e">
            <v>#VALUE!</v>
          </cell>
          <cell r="I406" t="e">
            <v>#VALUE!</v>
          </cell>
          <cell r="J406" t="e">
            <v>#VALUE!</v>
          </cell>
          <cell r="K406" t="e">
            <v>#VALUE!</v>
          </cell>
          <cell r="L406" t="e">
            <v>#VALUE!</v>
          </cell>
        </row>
        <row r="407">
          <cell r="A407">
            <v>406</v>
          </cell>
          <cell r="B407" t="str">
            <v>Spain</v>
          </cell>
          <cell r="C407" t="str">
            <v>DEF</v>
          </cell>
          <cell r="D407" t="str">
            <v>Capdevila J</v>
          </cell>
          <cell r="E407">
            <v>3.4</v>
          </cell>
          <cell r="F407" t="e">
            <v>#VALUE!</v>
          </cell>
          <cell r="G407" t="e">
            <v>#VALUE!</v>
          </cell>
          <cell r="H407" t="e">
            <v>#VALUE!</v>
          </cell>
          <cell r="I407" t="e">
            <v>#VALUE!</v>
          </cell>
          <cell r="J407" t="e">
            <v>#VALUE!</v>
          </cell>
          <cell r="K407" t="e">
            <v>#VALUE!</v>
          </cell>
          <cell r="L407" t="e">
            <v>#VALUE!</v>
          </cell>
        </row>
        <row r="408">
          <cell r="A408">
            <v>407</v>
          </cell>
          <cell r="B408" t="str">
            <v>Spain</v>
          </cell>
          <cell r="C408" t="str">
            <v>DEF</v>
          </cell>
          <cell r="D408" t="str">
            <v>Pique G</v>
          </cell>
          <cell r="E408">
            <v>3.8</v>
          </cell>
          <cell r="F408" t="e">
            <v>#VALUE!</v>
          </cell>
          <cell r="G408" t="e">
            <v>#VALUE!</v>
          </cell>
          <cell r="H408" t="e">
            <v>#VALUE!</v>
          </cell>
          <cell r="I408" t="e">
            <v>#VALUE!</v>
          </cell>
          <cell r="J408" t="e">
            <v>#VALUE!</v>
          </cell>
          <cell r="K408" t="e">
            <v>#VALUE!</v>
          </cell>
          <cell r="L408" t="e">
            <v>#VALUE!</v>
          </cell>
        </row>
        <row r="409">
          <cell r="A409">
            <v>408</v>
          </cell>
          <cell r="B409" t="str">
            <v>Spain</v>
          </cell>
          <cell r="C409" t="str">
            <v>DEF</v>
          </cell>
          <cell r="D409" t="str">
            <v>Ramos S</v>
          </cell>
          <cell r="E409">
            <v>4.3</v>
          </cell>
          <cell r="F409" t="e">
            <v>#VALUE!</v>
          </cell>
          <cell r="G409" t="e">
            <v>#VALUE!</v>
          </cell>
          <cell r="H409" t="e">
            <v>#VALUE!</v>
          </cell>
          <cell r="I409" t="e">
            <v>#VALUE!</v>
          </cell>
          <cell r="J409" t="e">
            <v>#VALUE!</v>
          </cell>
          <cell r="K409" t="e">
            <v>#VALUE!</v>
          </cell>
          <cell r="L409" t="e">
            <v>#VALUE!</v>
          </cell>
        </row>
        <row r="410">
          <cell r="A410">
            <v>409</v>
          </cell>
          <cell r="B410" t="str">
            <v>Spain</v>
          </cell>
          <cell r="C410" t="str">
            <v>MID</v>
          </cell>
          <cell r="D410" t="str">
            <v>Alonso X</v>
          </cell>
          <cell r="E410">
            <v>3.4</v>
          </cell>
          <cell r="F410" t="e">
            <v>#VALUE!</v>
          </cell>
          <cell r="G410" t="e">
            <v>#VALUE!</v>
          </cell>
          <cell r="H410" t="e">
            <v>#VALUE!</v>
          </cell>
          <cell r="I410" t="e">
            <v>#VALUE!</v>
          </cell>
          <cell r="J410" t="e">
            <v>#VALUE!</v>
          </cell>
          <cell r="K410" t="e">
            <v>#VALUE!</v>
          </cell>
          <cell r="L410" t="e">
            <v>#VALUE!</v>
          </cell>
        </row>
        <row r="411">
          <cell r="A411">
            <v>410</v>
          </cell>
          <cell r="B411" t="str">
            <v>Spain</v>
          </cell>
          <cell r="C411" t="str">
            <v>MID</v>
          </cell>
          <cell r="D411" t="str">
            <v>Busquets S</v>
          </cell>
          <cell r="E411">
            <v>2.7</v>
          </cell>
          <cell r="F411" t="e">
            <v>#VALUE!</v>
          </cell>
          <cell r="G411" t="e">
            <v>#VALUE!</v>
          </cell>
          <cell r="H411" t="e">
            <v>#VALUE!</v>
          </cell>
          <cell r="I411" t="e">
            <v>#VALUE!</v>
          </cell>
          <cell r="J411" t="e">
            <v>#VALUE!</v>
          </cell>
          <cell r="K411" t="e">
            <v>#VALUE!</v>
          </cell>
          <cell r="L411" t="e">
            <v>#VALUE!</v>
          </cell>
        </row>
        <row r="412">
          <cell r="A412">
            <v>411</v>
          </cell>
          <cell r="B412" t="str">
            <v>Spain</v>
          </cell>
          <cell r="C412" t="str">
            <v>MID</v>
          </cell>
          <cell r="D412" t="str">
            <v>Fabregas C</v>
          </cell>
          <cell r="E412">
            <v>3.9</v>
          </cell>
          <cell r="F412" t="e">
            <v>#VALUE!</v>
          </cell>
          <cell r="G412" t="e">
            <v>#VALUE!</v>
          </cell>
          <cell r="H412" t="e">
            <v>#VALUE!</v>
          </cell>
          <cell r="I412" t="e">
            <v>#VALUE!</v>
          </cell>
          <cell r="J412" t="e">
            <v>#VALUE!</v>
          </cell>
          <cell r="K412" t="e">
            <v>#VALUE!</v>
          </cell>
          <cell r="L412" t="e">
            <v>#VALUE!</v>
          </cell>
        </row>
        <row r="413">
          <cell r="A413">
            <v>412</v>
          </cell>
          <cell r="B413" t="str">
            <v>Spain</v>
          </cell>
          <cell r="C413" t="str">
            <v>MID</v>
          </cell>
          <cell r="D413" t="str">
            <v>Iniesta A</v>
          </cell>
          <cell r="E413">
            <v>3.8</v>
          </cell>
          <cell r="F413" t="e">
            <v>#VALUE!</v>
          </cell>
          <cell r="G413" t="e">
            <v>#VALUE!</v>
          </cell>
          <cell r="H413" t="e">
            <v>#VALUE!</v>
          </cell>
          <cell r="I413" t="e">
            <v>#VALUE!</v>
          </cell>
          <cell r="J413" t="e">
            <v>#VALUE!</v>
          </cell>
          <cell r="K413" t="e">
            <v>#VALUE!</v>
          </cell>
          <cell r="L413" t="e">
            <v>#VALUE!</v>
          </cell>
        </row>
        <row r="414">
          <cell r="A414">
            <v>413</v>
          </cell>
          <cell r="B414" t="str">
            <v>Spain</v>
          </cell>
          <cell r="C414" t="str">
            <v>MID</v>
          </cell>
          <cell r="D414" t="str">
            <v>Senna M</v>
          </cell>
          <cell r="E414">
            <v>3</v>
          </cell>
          <cell r="F414" t="e">
            <v>#VALUE!</v>
          </cell>
          <cell r="G414" t="e">
            <v>#VALUE!</v>
          </cell>
          <cell r="H414" t="e">
            <v>#VALUE!</v>
          </cell>
          <cell r="I414" t="e">
            <v>#VALUE!</v>
          </cell>
          <cell r="J414" t="e">
            <v>#VALUE!</v>
          </cell>
          <cell r="K414" t="e">
            <v>#VALUE!</v>
          </cell>
          <cell r="L414" t="e">
            <v>#VALUE!</v>
          </cell>
        </row>
        <row r="415">
          <cell r="A415">
            <v>414</v>
          </cell>
          <cell r="B415" t="str">
            <v>Spain</v>
          </cell>
          <cell r="C415" t="str">
            <v>MID</v>
          </cell>
          <cell r="D415" t="str">
            <v>Silva D</v>
          </cell>
          <cell r="E415">
            <v>4.0999999999999996</v>
          </cell>
          <cell r="F415" t="e">
            <v>#VALUE!</v>
          </cell>
          <cell r="G415" t="e">
            <v>#VALUE!</v>
          </cell>
          <cell r="H415" t="e">
            <v>#VALUE!</v>
          </cell>
          <cell r="I415" t="e">
            <v>#VALUE!</v>
          </cell>
          <cell r="J415" t="e">
            <v>#VALUE!</v>
          </cell>
          <cell r="K415" t="e">
            <v>#VALUE!</v>
          </cell>
          <cell r="L415" t="e">
            <v>#VALUE!</v>
          </cell>
        </row>
        <row r="416">
          <cell r="A416">
            <v>415</v>
          </cell>
          <cell r="B416" t="str">
            <v>Spain</v>
          </cell>
          <cell r="C416" t="str">
            <v>MID</v>
          </cell>
          <cell r="D416" t="str">
            <v xml:space="preserve">Xavi </v>
          </cell>
          <cell r="E416">
            <v>5.3</v>
          </cell>
          <cell r="F416" t="e">
            <v>#VALUE!</v>
          </cell>
          <cell r="G416" t="e">
            <v>#VALUE!</v>
          </cell>
          <cell r="H416" t="e">
            <v>#VALUE!</v>
          </cell>
          <cell r="I416" t="e">
            <v>#VALUE!</v>
          </cell>
          <cell r="J416" t="e">
            <v>#VALUE!</v>
          </cell>
          <cell r="K416" t="e">
            <v>#VALUE!</v>
          </cell>
          <cell r="L416" t="e">
            <v>#VALUE!</v>
          </cell>
        </row>
        <row r="417">
          <cell r="A417">
            <v>416</v>
          </cell>
          <cell r="B417" t="str">
            <v>Spain</v>
          </cell>
          <cell r="C417" t="str">
            <v>FOR</v>
          </cell>
          <cell r="D417" t="str">
            <v>Negredo A</v>
          </cell>
          <cell r="E417">
            <v>3.9</v>
          </cell>
          <cell r="F417" t="e">
            <v>#VALUE!</v>
          </cell>
          <cell r="G417" t="e">
            <v>#VALUE!</v>
          </cell>
          <cell r="H417" t="e">
            <v>#VALUE!</v>
          </cell>
          <cell r="I417" t="e">
            <v>#VALUE!</v>
          </cell>
          <cell r="J417" t="e">
            <v>#VALUE!</v>
          </cell>
          <cell r="K417" t="e">
            <v>#VALUE!</v>
          </cell>
          <cell r="L417" t="e">
            <v>#VALUE!</v>
          </cell>
        </row>
        <row r="418">
          <cell r="A418">
            <v>417</v>
          </cell>
          <cell r="B418" t="str">
            <v>Spain</v>
          </cell>
          <cell r="C418" t="str">
            <v>FOR</v>
          </cell>
          <cell r="D418" t="str">
            <v>Torres F</v>
          </cell>
          <cell r="E418">
            <v>6.3</v>
          </cell>
          <cell r="F418" t="e">
            <v>#VALUE!</v>
          </cell>
          <cell r="G418" t="e">
            <v>#VALUE!</v>
          </cell>
          <cell r="H418" t="e">
            <v>#VALUE!</v>
          </cell>
          <cell r="I418" t="e">
            <v>#VALUE!</v>
          </cell>
          <cell r="J418" t="e">
            <v>#VALUE!</v>
          </cell>
          <cell r="K418" t="e">
            <v>#VALUE!</v>
          </cell>
          <cell r="L418" t="e">
            <v>#VALUE!</v>
          </cell>
        </row>
        <row r="419">
          <cell r="A419">
            <v>418</v>
          </cell>
          <cell r="B419" t="str">
            <v>Spain</v>
          </cell>
          <cell r="C419" t="str">
            <v>FOR</v>
          </cell>
          <cell r="D419" t="str">
            <v>Villa D</v>
          </cell>
          <cell r="E419">
            <v>6.6</v>
          </cell>
          <cell r="F419" t="e">
            <v>#VALUE!</v>
          </cell>
          <cell r="G419" t="e">
            <v>#VALUE!</v>
          </cell>
          <cell r="H419" t="e">
            <v>#VALUE!</v>
          </cell>
          <cell r="I419" t="e">
            <v>#VALUE!</v>
          </cell>
          <cell r="J419" t="e">
            <v>#VALUE!</v>
          </cell>
          <cell r="K419" t="e">
            <v>#VALUE!</v>
          </cell>
          <cell r="L419" t="e">
            <v>#VALUE!</v>
          </cell>
        </row>
        <row r="420">
          <cell r="A420">
            <v>419</v>
          </cell>
          <cell r="B420" t="str">
            <v>Switzerland</v>
          </cell>
          <cell r="C420" t="str">
            <v>GK</v>
          </cell>
          <cell r="D420" t="str">
            <v>Benaglio D</v>
          </cell>
          <cell r="E420">
            <v>3</v>
          </cell>
          <cell r="F420" t="e">
            <v>#VALUE!</v>
          </cell>
          <cell r="G420" t="e">
            <v>#VALUE!</v>
          </cell>
          <cell r="H420" t="e">
            <v>#VALUE!</v>
          </cell>
          <cell r="I420" t="e">
            <v>#VALUE!</v>
          </cell>
          <cell r="J420" t="e">
            <v>#VALUE!</v>
          </cell>
          <cell r="K420" t="e">
            <v>#VALUE!</v>
          </cell>
          <cell r="L420" t="e">
            <v>#VALUE!</v>
          </cell>
        </row>
        <row r="421">
          <cell r="A421">
            <v>420</v>
          </cell>
          <cell r="B421" t="str">
            <v>Switzerland</v>
          </cell>
          <cell r="C421" t="str">
            <v>DEF</v>
          </cell>
          <cell r="D421" t="str">
            <v>Grichting S</v>
          </cell>
          <cell r="E421">
            <v>3.2</v>
          </cell>
          <cell r="F421" t="e">
            <v>#VALUE!</v>
          </cell>
          <cell r="G421" t="e">
            <v>#VALUE!</v>
          </cell>
          <cell r="H421" t="e">
            <v>#VALUE!</v>
          </cell>
          <cell r="I421" t="e">
            <v>#VALUE!</v>
          </cell>
          <cell r="J421" t="e">
            <v>#VALUE!</v>
          </cell>
          <cell r="K421" t="e">
            <v>#VALUE!</v>
          </cell>
          <cell r="L421" t="e">
            <v>#VALUE!</v>
          </cell>
        </row>
        <row r="422">
          <cell r="A422">
            <v>421</v>
          </cell>
          <cell r="B422" t="str">
            <v>Switzerland</v>
          </cell>
          <cell r="C422" t="str">
            <v>DEF</v>
          </cell>
          <cell r="D422" t="str">
            <v>Lichtsteiner S</v>
          </cell>
          <cell r="E422">
            <v>3.1</v>
          </cell>
          <cell r="F422" t="e">
            <v>#VALUE!</v>
          </cell>
          <cell r="G422" t="e">
            <v>#VALUE!</v>
          </cell>
          <cell r="H422" t="e">
            <v>#VALUE!</v>
          </cell>
          <cell r="I422" t="e">
            <v>#VALUE!</v>
          </cell>
          <cell r="J422" t="e">
            <v>#VALUE!</v>
          </cell>
          <cell r="K422" t="e">
            <v>#VALUE!</v>
          </cell>
          <cell r="L422" t="e">
            <v>#VALUE!</v>
          </cell>
        </row>
        <row r="423">
          <cell r="A423">
            <v>422</v>
          </cell>
          <cell r="B423" t="str">
            <v>Switzerland</v>
          </cell>
          <cell r="C423" t="str">
            <v>DEF</v>
          </cell>
          <cell r="D423" t="str">
            <v>Senderos P</v>
          </cell>
          <cell r="E423">
            <v>3.4</v>
          </cell>
          <cell r="F423" t="e">
            <v>#VALUE!</v>
          </cell>
          <cell r="G423" t="e">
            <v>#VALUE!</v>
          </cell>
          <cell r="H423" t="e">
            <v>#VALUE!</v>
          </cell>
          <cell r="I423" t="e">
            <v>#VALUE!</v>
          </cell>
          <cell r="J423" t="e">
            <v>#VALUE!</v>
          </cell>
          <cell r="K423" t="e">
            <v>#VALUE!</v>
          </cell>
          <cell r="L423" t="e">
            <v>#VALUE!</v>
          </cell>
        </row>
        <row r="424">
          <cell r="A424">
            <v>423</v>
          </cell>
          <cell r="B424" t="str">
            <v>Switzerland</v>
          </cell>
          <cell r="C424" t="str">
            <v>DEF</v>
          </cell>
          <cell r="D424" t="str">
            <v>Spycher C</v>
          </cell>
          <cell r="E424">
            <v>2.9</v>
          </cell>
          <cell r="F424" t="e">
            <v>#VALUE!</v>
          </cell>
          <cell r="G424" t="e">
            <v>#VALUE!</v>
          </cell>
          <cell r="H424" t="e">
            <v>#VALUE!</v>
          </cell>
          <cell r="I424" t="e">
            <v>#VALUE!</v>
          </cell>
          <cell r="J424" t="e">
            <v>#VALUE!</v>
          </cell>
          <cell r="K424" t="e">
            <v>#VALUE!</v>
          </cell>
          <cell r="L424" t="e">
            <v>#VALUE!</v>
          </cell>
        </row>
        <row r="425">
          <cell r="A425">
            <v>424</v>
          </cell>
          <cell r="B425" t="str">
            <v>Switzerland</v>
          </cell>
          <cell r="C425" t="str">
            <v>DEF</v>
          </cell>
          <cell r="D425" t="str">
            <v>Ziegler R</v>
          </cell>
          <cell r="E425">
            <v>2.7</v>
          </cell>
          <cell r="F425" t="e">
            <v>#VALUE!</v>
          </cell>
          <cell r="G425" t="e">
            <v>#VALUE!</v>
          </cell>
          <cell r="H425" t="e">
            <v>#VALUE!</v>
          </cell>
          <cell r="I425" t="e">
            <v>#VALUE!</v>
          </cell>
          <cell r="J425" t="e">
            <v>#VALUE!</v>
          </cell>
          <cell r="K425" t="e">
            <v>#VALUE!</v>
          </cell>
          <cell r="L425" t="e">
            <v>#VALUE!</v>
          </cell>
        </row>
        <row r="426">
          <cell r="A426">
            <v>425</v>
          </cell>
          <cell r="B426" t="str">
            <v>Switzerland</v>
          </cell>
          <cell r="C426" t="str">
            <v>MID</v>
          </cell>
          <cell r="D426" t="str">
            <v>Barnetta T</v>
          </cell>
          <cell r="E426">
            <v>3.1</v>
          </cell>
          <cell r="F426" t="e">
            <v>#VALUE!</v>
          </cell>
          <cell r="G426" t="e">
            <v>#VALUE!</v>
          </cell>
          <cell r="H426" t="e">
            <v>#VALUE!</v>
          </cell>
          <cell r="I426" t="e">
            <v>#VALUE!</v>
          </cell>
          <cell r="J426" t="e">
            <v>#VALUE!</v>
          </cell>
          <cell r="K426" t="e">
            <v>#VALUE!</v>
          </cell>
          <cell r="L426" t="e">
            <v>#VALUE!</v>
          </cell>
        </row>
        <row r="427">
          <cell r="A427">
            <v>426</v>
          </cell>
          <cell r="B427" t="str">
            <v>Switzerland</v>
          </cell>
          <cell r="C427" t="str">
            <v>MID</v>
          </cell>
          <cell r="D427" t="str">
            <v>Fernandes G</v>
          </cell>
          <cell r="E427">
            <v>3</v>
          </cell>
          <cell r="F427" t="e">
            <v>#VALUE!</v>
          </cell>
          <cell r="G427" t="e">
            <v>#VALUE!</v>
          </cell>
          <cell r="H427" t="e">
            <v>#VALUE!</v>
          </cell>
          <cell r="I427" t="e">
            <v>#VALUE!</v>
          </cell>
          <cell r="J427" t="e">
            <v>#VALUE!</v>
          </cell>
          <cell r="K427" t="e">
            <v>#VALUE!</v>
          </cell>
          <cell r="L427" t="e">
            <v>#VALUE!</v>
          </cell>
        </row>
        <row r="428">
          <cell r="A428">
            <v>427</v>
          </cell>
          <cell r="B428" t="str">
            <v>Switzerland</v>
          </cell>
          <cell r="C428" t="str">
            <v>MID</v>
          </cell>
          <cell r="D428" t="str">
            <v>Inler G</v>
          </cell>
          <cell r="E428">
            <v>2.8</v>
          </cell>
          <cell r="F428" t="e">
            <v>#VALUE!</v>
          </cell>
          <cell r="G428" t="e">
            <v>#VALUE!</v>
          </cell>
          <cell r="H428" t="e">
            <v>#VALUE!</v>
          </cell>
          <cell r="I428" t="e">
            <v>#VALUE!</v>
          </cell>
          <cell r="J428" t="e">
            <v>#VALUE!</v>
          </cell>
          <cell r="K428" t="e">
            <v>#VALUE!</v>
          </cell>
          <cell r="L428" t="e">
            <v>#VALUE!</v>
          </cell>
        </row>
        <row r="429">
          <cell r="A429">
            <v>428</v>
          </cell>
          <cell r="B429" t="str">
            <v>Switzerland</v>
          </cell>
          <cell r="C429" t="str">
            <v>MID</v>
          </cell>
          <cell r="D429" t="str">
            <v>Padalino M</v>
          </cell>
          <cell r="E429">
            <v>2.9</v>
          </cell>
          <cell r="F429" t="e">
            <v>#VALUE!</v>
          </cell>
          <cell r="G429" t="e">
            <v>#VALUE!</v>
          </cell>
          <cell r="H429" t="e">
            <v>#VALUE!</v>
          </cell>
          <cell r="I429" t="e">
            <v>#VALUE!</v>
          </cell>
          <cell r="J429" t="e">
            <v>#VALUE!</v>
          </cell>
          <cell r="K429" t="e">
            <v>#VALUE!</v>
          </cell>
          <cell r="L429" t="e">
            <v>#VALUE!</v>
          </cell>
        </row>
        <row r="430">
          <cell r="A430">
            <v>429</v>
          </cell>
          <cell r="B430" t="str">
            <v>Switzerland</v>
          </cell>
          <cell r="C430" t="str">
            <v>MID</v>
          </cell>
          <cell r="D430" t="str">
            <v>Yakin H</v>
          </cell>
          <cell r="E430">
            <v>3.2</v>
          </cell>
          <cell r="F430" t="e">
            <v>#VALUE!</v>
          </cell>
          <cell r="G430" t="e">
            <v>#VALUE!</v>
          </cell>
          <cell r="H430" t="e">
            <v>#VALUE!</v>
          </cell>
          <cell r="I430" t="e">
            <v>#VALUE!</v>
          </cell>
          <cell r="J430" t="e">
            <v>#VALUE!</v>
          </cell>
          <cell r="K430" t="e">
            <v>#VALUE!</v>
          </cell>
          <cell r="L430" t="e">
            <v>#VALUE!</v>
          </cell>
        </row>
        <row r="431">
          <cell r="A431">
            <v>430</v>
          </cell>
          <cell r="B431" t="str">
            <v>Switzerland</v>
          </cell>
          <cell r="C431" t="str">
            <v>FOR</v>
          </cell>
          <cell r="D431" t="str">
            <v>Derdiyok E</v>
          </cell>
          <cell r="E431">
            <v>3.5</v>
          </cell>
          <cell r="F431" t="e">
            <v>#VALUE!</v>
          </cell>
          <cell r="G431" t="e">
            <v>#VALUE!</v>
          </cell>
          <cell r="H431" t="e">
            <v>#VALUE!</v>
          </cell>
          <cell r="I431" t="e">
            <v>#VALUE!</v>
          </cell>
          <cell r="J431" t="e">
            <v>#VALUE!</v>
          </cell>
          <cell r="K431" t="e">
            <v>#VALUE!</v>
          </cell>
          <cell r="L431" t="e">
            <v>#VALUE!</v>
          </cell>
        </row>
        <row r="432">
          <cell r="A432">
            <v>431</v>
          </cell>
          <cell r="B432" t="str">
            <v>Switzerland</v>
          </cell>
          <cell r="C432" t="str">
            <v>FOR</v>
          </cell>
          <cell r="D432" t="str">
            <v>Frei A</v>
          </cell>
          <cell r="E432">
            <v>5.2</v>
          </cell>
          <cell r="F432" t="e">
            <v>#VALUE!</v>
          </cell>
          <cell r="G432" t="e">
            <v>#VALUE!</v>
          </cell>
          <cell r="H432" t="e">
            <v>#VALUE!</v>
          </cell>
          <cell r="I432" t="e">
            <v>#VALUE!</v>
          </cell>
          <cell r="J432" t="e">
            <v>#VALUE!</v>
          </cell>
          <cell r="K432" t="e">
            <v>#VALUE!</v>
          </cell>
          <cell r="L432" t="e">
            <v>#VALUE!</v>
          </cell>
        </row>
        <row r="433">
          <cell r="A433">
            <v>432</v>
          </cell>
          <cell r="B433" t="str">
            <v>Switzerland</v>
          </cell>
          <cell r="C433" t="str">
            <v>FOR</v>
          </cell>
          <cell r="D433" t="str">
            <v>Nkufo B</v>
          </cell>
          <cell r="E433">
            <v>4.5999999999999996</v>
          </cell>
          <cell r="F433" t="e">
            <v>#VALUE!</v>
          </cell>
          <cell r="G433" t="e">
            <v>#VALUE!</v>
          </cell>
          <cell r="H433" t="e">
            <v>#VALUE!</v>
          </cell>
          <cell r="I433" t="e">
            <v>#VALUE!</v>
          </cell>
          <cell r="J433" t="e">
            <v>#VALUE!</v>
          </cell>
          <cell r="K433" t="e">
            <v>#VALUE!</v>
          </cell>
          <cell r="L433" t="e">
            <v>#VALUE!</v>
          </cell>
        </row>
        <row r="434">
          <cell r="A434">
            <v>433</v>
          </cell>
          <cell r="B434" t="str">
            <v>Uruguay</v>
          </cell>
          <cell r="C434" t="str">
            <v>GK</v>
          </cell>
          <cell r="D434" t="str">
            <v>Muslera F</v>
          </cell>
          <cell r="E434">
            <v>3.1</v>
          </cell>
          <cell r="F434" t="e">
            <v>#VALUE!</v>
          </cell>
          <cell r="G434" t="e">
            <v>#VALUE!</v>
          </cell>
          <cell r="H434" t="e">
            <v>#VALUE!</v>
          </cell>
          <cell r="I434" t="e">
            <v>#VALUE!</v>
          </cell>
          <cell r="J434" t="e">
            <v>#VALUE!</v>
          </cell>
          <cell r="K434" t="e">
            <v>#VALUE!</v>
          </cell>
          <cell r="L434" t="e">
            <v>#VALUE!</v>
          </cell>
        </row>
        <row r="435">
          <cell r="A435">
            <v>434</v>
          </cell>
          <cell r="B435" t="str">
            <v>Uruguay</v>
          </cell>
          <cell r="C435" t="str">
            <v>DEF</v>
          </cell>
          <cell r="D435" t="str">
            <v>Godin D</v>
          </cell>
          <cell r="E435">
            <v>3.2</v>
          </cell>
          <cell r="F435" t="e">
            <v>#VALUE!</v>
          </cell>
          <cell r="G435" t="e">
            <v>#VALUE!</v>
          </cell>
          <cell r="H435" t="e">
            <v>#VALUE!</v>
          </cell>
          <cell r="I435" t="e">
            <v>#VALUE!</v>
          </cell>
          <cell r="J435" t="e">
            <v>#VALUE!</v>
          </cell>
          <cell r="K435" t="e">
            <v>#VALUE!</v>
          </cell>
          <cell r="L435" t="e">
            <v>#VALUE!</v>
          </cell>
        </row>
        <row r="436">
          <cell r="A436">
            <v>435</v>
          </cell>
          <cell r="B436" t="str">
            <v>Uruguay</v>
          </cell>
          <cell r="C436" t="str">
            <v>DEF</v>
          </cell>
          <cell r="D436" t="str">
            <v>Lugano D</v>
          </cell>
          <cell r="E436">
            <v>3.6</v>
          </cell>
          <cell r="F436" t="e">
            <v>#VALUE!</v>
          </cell>
          <cell r="G436" t="e">
            <v>#VALUE!</v>
          </cell>
          <cell r="H436" t="e">
            <v>#VALUE!</v>
          </cell>
          <cell r="I436" t="e">
            <v>#VALUE!</v>
          </cell>
          <cell r="J436" t="e">
            <v>#VALUE!</v>
          </cell>
          <cell r="K436" t="e">
            <v>#VALUE!</v>
          </cell>
          <cell r="L436" t="e">
            <v>#VALUE!</v>
          </cell>
        </row>
        <row r="437">
          <cell r="A437">
            <v>436</v>
          </cell>
          <cell r="B437" t="str">
            <v>Uruguay</v>
          </cell>
          <cell r="C437" t="str">
            <v>DEF</v>
          </cell>
          <cell r="D437" t="str">
            <v>Pereira M</v>
          </cell>
          <cell r="E437">
            <v>2.9</v>
          </cell>
          <cell r="F437" t="e">
            <v>#VALUE!</v>
          </cell>
          <cell r="G437" t="e">
            <v>#VALUE!</v>
          </cell>
          <cell r="H437" t="e">
            <v>#VALUE!</v>
          </cell>
          <cell r="I437" t="e">
            <v>#VALUE!</v>
          </cell>
          <cell r="J437" t="e">
            <v>#VALUE!</v>
          </cell>
          <cell r="K437" t="e">
            <v>#VALUE!</v>
          </cell>
          <cell r="L437" t="e">
            <v>#VALUE!</v>
          </cell>
        </row>
        <row r="438">
          <cell r="A438">
            <v>437</v>
          </cell>
          <cell r="B438" t="str">
            <v>Uruguay</v>
          </cell>
          <cell r="C438" t="str">
            <v>DEF</v>
          </cell>
          <cell r="D438" t="str">
            <v>Scotti A</v>
          </cell>
          <cell r="E438">
            <v>2.9</v>
          </cell>
          <cell r="F438" t="e">
            <v>#VALUE!</v>
          </cell>
          <cell r="G438" t="e">
            <v>#VALUE!</v>
          </cell>
          <cell r="H438" t="e">
            <v>#VALUE!</v>
          </cell>
          <cell r="I438" t="e">
            <v>#VALUE!</v>
          </cell>
          <cell r="J438" t="e">
            <v>#VALUE!</v>
          </cell>
          <cell r="K438" t="e">
            <v>#VALUE!</v>
          </cell>
          <cell r="L438" t="e">
            <v>#VALUE!</v>
          </cell>
        </row>
        <row r="439">
          <cell r="A439">
            <v>438</v>
          </cell>
          <cell r="B439" t="str">
            <v>Uruguay</v>
          </cell>
          <cell r="C439" t="str">
            <v>MID</v>
          </cell>
          <cell r="D439" t="str">
            <v>Eguren S</v>
          </cell>
          <cell r="E439">
            <v>3.3</v>
          </cell>
          <cell r="F439" t="e">
            <v>#VALUE!</v>
          </cell>
          <cell r="G439" t="e">
            <v>#VALUE!</v>
          </cell>
          <cell r="H439" t="e">
            <v>#VALUE!</v>
          </cell>
          <cell r="I439" t="e">
            <v>#VALUE!</v>
          </cell>
          <cell r="J439" t="e">
            <v>#VALUE!</v>
          </cell>
          <cell r="K439" t="e">
            <v>#VALUE!</v>
          </cell>
          <cell r="L439" t="e">
            <v>#VALUE!</v>
          </cell>
        </row>
        <row r="440">
          <cell r="A440">
            <v>439</v>
          </cell>
          <cell r="B440" t="str">
            <v>Uruguay</v>
          </cell>
          <cell r="C440" t="str">
            <v>MID</v>
          </cell>
          <cell r="D440" t="str">
            <v>Lodeiro N</v>
          </cell>
          <cell r="E440">
            <v>2.7</v>
          </cell>
          <cell r="F440" t="e">
            <v>#VALUE!</v>
          </cell>
          <cell r="G440" t="e">
            <v>#VALUE!</v>
          </cell>
          <cell r="H440" t="e">
            <v>#VALUE!</v>
          </cell>
          <cell r="I440" t="e">
            <v>#VALUE!</v>
          </cell>
          <cell r="J440" t="e">
            <v>#VALUE!</v>
          </cell>
          <cell r="K440" t="e">
            <v>#VALUE!</v>
          </cell>
          <cell r="L440" t="e">
            <v>#VALUE!</v>
          </cell>
        </row>
        <row r="441">
          <cell r="A441">
            <v>440</v>
          </cell>
          <cell r="B441" t="str">
            <v>Uruguay</v>
          </cell>
          <cell r="C441" t="str">
            <v>MID</v>
          </cell>
          <cell r="D441" t="str">
            <v>Pereira A</v>
          </cell>
          <cell r="E441">
            <v>2.9</v>
          </cell>
          <cell r="F441" t="e">
            <v>#VALUE!</v>
          </cell>
          <cell r="G441" t="e">
            <v>#VALUE!</v>
          </cell>
          <cell r="H441" t="e">
            <v>#VALUE!</v>
          </cell>
          <cell r="I441" t="e">
            <v>#VALUE!</v>
          </cell>
          <cell r="J441" t="e">
            <v>#VALUE!</v>
          </cell>
          <cell r="K441" t="e">
            <v>#VALUE!</v>
          </cell>
          <cell r="L441" t="e">
            <v>#VALUE!</v>
          </cell>
        </row>
        <row r="442">
          <cell r="A442">
            <v>441</v>
          </cell>
          <cell r="B442" t="str">
            <v>Uruguay</v>
          </cell>
          <cell r="C442" t="str">
            <v>MID</v>
          </cell>
          <cell r="D442" t="str">
            <v>Perez D</v>
          </cell>
          <cell r="E442">
            <v>3</v>
          </cell>
          <cell r="F442" t="e">
            <v>#VALUE!</v>
          </cell>
          <cell r="G442" t="e">
            <v>#VALUE!</v>
          </cell>
          <cell r="H442" t="e">
            <v>#VALUE!</v>
          </cell>
          <cell r="I442" t="e">
            <v>#VALUE!</v>
          </cell>
          <cell r="J442" t="e">
            <v>#VALUE!</v>
          </cell>
          <cell r="K442" t="e">
            <v>#VALUE!</v>
          </cell>
          <cell r="L442" t="e">
            <v>#VALUE!</v>
          </cell>
        </row>
        <row r="443">
          <cell r="A443">
            <v>442</v>
          </cell>
          <cell r="B443" t="str">
            <v>Uruguay</v>
          </cell>
          <cell r="C443" t="str">
            <v>FOR</v>
          </cell>
          <cell r="D443" t="str">
            <v>Abreu S</v>
          </cell>
          <cell r="E443">
            <v>4.4000000000000004</v>
          </cell>
          <cell r="F443" t="e">
            <v>#VALUE!</v>
          </cell>
          <cell r="G443" t="e">
            <v>#VALUE!</v>
          </cell>
          <cell r="H443" t="e">
            <v>#VALUE!</v>
          </cell>
          <cell r="I443" t="e">
            <v>#VALUE!</v>
          </cell>
          <cell r="J443" t="e">
            <v>#VALUE!</v>
          </cell>
          <cell r="K443" t="e">
            <v>#VALUE!</v>
          </cell>
          <cell r="L443" t="e">
            <v>#VALUE!</v>
          </cell>
        </row>
        <row r="444">
          <cell r="A444">
            <v>443</v>
          </cell>
          <cell r="B444" t="str">
            <v>Uruguay</v>
          </cell>
          <cell r="C444" t="str">
            <v>FOR</v>
          </cell>
          <cell r="D444" t="str">
            <v>Forlan D</v>
          </cell>
          <cell r="E444">
            <v>5.5</v>
          </cell>
          <cell r="F444" t="e">
            <v>#VALUE!</v>
          </cell>
          <cell r="G444" t="e">
            <v>#VALUE!</v>
          </cell>
          <cell r="H444" t="e">
            <v>#VALUE!</v>
          </cell>
          <cell r="I444" t="e">
            <v>#VALUE!</v>
          </cell>
          <cell r="J444" t="e">
            <v>#VALUE!</v>
          </cell>
          <cell r="K444" t="e">
            <v>#VALUE!</v>
          </cell>
          <cell r="L444" t="e">
            <v>#VALUE!</v>
          </cell>
        </row>
        <row r="445">
          <cell r="A445">
            <v>444</v>
          </cell>
          <cell r="B445" t="str">
            <v>Uruguay</v>
          </cell>
          <cell r="C445" t="str">
            <v>FOR</v>
          </cell>
          <cell r="D445" t="str">
            <v>Suarez L</v>
          </cell>
          <cell r="E445">
            <v>5.9</v>
          </cell>
          <cell r="F445" t="e">
            <v>#VALUE!</v>
          </cell>
          <cell r="G445" t="e">
            <v>#VALUE!</v>
          </cell>
          <cell r="H445" t="e">
            <v>#VALUE!</v>
          </cell>
          <cell r="I445" t="e">
            <v>#VALUE!</v>
          </cell>
          <cell r="J445" t="e">
            <v>#VALUE!</v>
          </cell>
          <cell r="K445" t="e">
            <v>#VALUE!</v>
          </cell>
          <cell r="L445" t="e">
            <v>#VALUE!</v>
          </cell>
        </row>
        <row r="446">
          <cell r="A446">
            <v>445</v>
          </cell>
          <cell r="B446" t="str">
            <v>USA</v>
          </cell>
          <cell r="C446" t="str">
            <v>GK</v>
          </cell>
          <cell r="D446" t="str">
            <v>Howard T</v>
          </cell>
          <cell r="E446">
            <v>3.2</v>
          </cell>
          <cell r="F446" t="e">
            <v>#VALUE!</v>
          </cell>
          <cell r="G446" t="e">
            <v>#VALUE!</v>
          </cell>
          <cell r="H446" t="e">
            <v>#VALUE!</v>
          </cell>
          <cell r="I446" t="e">
            <v>#VALUE!</v>
          </cell>
          <cell r="J446" t="e">
            <v>#VALUE!</v>
          </cell>
          <cell r="K446" t="e">
            <v>#VALUE!</v>
          </cell>
          <cell r="L446" t="e">
            <v>#VALUE!</v>
          </cell>
        </row>
        <row r="447">
          <cell r="A447">
            <v>446</v>
          </cell>
          <cell r="B447" t="str">
            <v>USA</v>
          </cell>
          <cell r="C447" t="str">
            <v>DEF</v>
          </cell>
          <cell r="D447" t="str">
            <v>Bocanegra C</v>
          </cell>
          <cell r="E447">
            <v>3.6</v>
          </cell>
          <cell r="F447" t="e">
            <v>#VALUE!</v>
          </cell>
          <cell r="G447" t="e">
            <v>#VALUE!</v>
          </cell>
          <cell r="H447" t="e">
            <v>#VALUE!</v>
          </cell>
          <cell r="I447" t="e">
            <v>#VALUE!</v>
          </cell>
          <cell r="J447" t="e">
            <v>#VALUE!</v>
          </cell>
          <cell r="K447" t="e">
            <v>#VALUE!</v>
          </cell>
          <cell r="L447" t="e">
            <v>#VALUE!</v>
          </cell>
        </row>
        <row r="448">
          <cell r="A448">
            <v>447</v>
          </cell>
          <cell r="B448" t="str">
            <v>USA</v>
          </cell>
          <cell r="C448" t="str">
            <v>DEF</v>
          </cell>
          <cell r="D448" t="str">
            <v>Bornstein J</v>
          </cell>
          <cell r="E448">
            <v>2.8</v>
          </cell>
          <cell r="F448" t="e">
            <v>#VALUE!</v>
          </cell>
          <cell r="G448" t="e">
            <v>#VALUE!</v>
          </cell>
          <cell r="H448" t="e">
            <v>#VALUE!</v>
          </cell>
          <cell r="I448" t="e">
            <v>#VALUE!</v>
          </cell>
          <cell r="J448" t="e">
            <v>#VALUE!</v>
          </cell>
          <cell r="K448" t="e">
            <v>#VALUE!</v>
          </cell>
          <cell r="L448" t="e">
            <v>#VALUE!</v>
          </cell>
        </row>
        <row r="449">
          <cell r="A449">
            <v>448</v>
          </cell>
          <cell r="B449" t="str">
            <v>USA</v>
          </cell>
          <cell r="C449" t="str">
            <v>DEF</v>
          </cell>
          <cell r="D449" t="str">
            <v>Cherundolo S</v>
          </cell>
          <cell r="E449">
            <v>2.9</v>
          </cell>
          <cell r="F449" t="e">
            <v>#VALUE!</v>
          </cell>
          <cell r="G449" t="e">
            <v>#VALUE!</v>
          </cell>
          <cell r="H449" t="e">
            <v>#VALUE!</v>
          </cell>
          <cell r="I449" t="e">
            <v>#VALUE!</v>
          </cell>
          <cell r="J449" t="e">
            <v>#VALUE!</v>
          </cell>
          <cell r="K449" t="e">
            <v>#VALUE!</v>
          </cell>
          <cell r="L449" t="e">
            <v>#VALUE!</v>
          </cell>
        </row>
        <row r="450">
          <cell r="A450">
            <v>449</v>
          </cell>
          <cell r="B450" t="str">
            <v>USA</v>
          </cell>
          <cell r="C450" t="str">
            <v>DEF</v>
          </cell>
          <cell r="D450" t="str">
            <v>Onyewu O</v>
          </cell>
          <cell r="E450">
            <v>3.4</v>
          </cell>
          <cell r="F450" t="e">
            <v>#VALUE!</v>
          </cell>
          <cell r="G450" t="e">
            <v>#VALUE!</v>
          </cell>
          <cell r="H450" t="e">
            <v>#VALUE!</v>
          </cell>
          <cell r="I450" t="e">
            <v>#VALUE!</v>
          </cell>
          <cell r="J450" t="e">
            <v>#VALUE!</v>
          </cell>
          <cell r="K450" t="e">
            <v>#VALUE!</v>
          </cell>
          <cell r="L450" t="e">
            <v>#VALUE!</v>
          </cell>
        </row>
        <row r="451">
          <cell r="A451">
            <v>450</v>
          </cell>
          <cell r="B451" t="str">
            <v>USA</v>
          </cell>
          <cell r="C451" t="str">
            <v>DEF</v>
          </cell>
          <cell r="D451" t="str">
            <v>Spector J</v>
          </cell>
          <cell r="E451">
            <v>3.2</v>
          </cell>
          <cell r="F451" t="e">
            <v>#VALUE!</v>
          </cell>
          <cell r="G451" t="e">
            <v>#VALUE!</v>
          </cell>
          <cell r="H451" t="e">
            <v>#VALUE!</v>
          </cell>
          <cell r="I451" t="e">
            <v>#VALUE!</v>
          </cell>
          <cell r="J451" t="e">
            <v>#VALUE!</v>
          </cell>
          <cell r="K451" t="e">
            <v>#VALUE!</v>
          </cell>
          <cell r="L451" t="e">
            <v>#VALUE!</v>
          </cell>
        </row>
        <row r="452">
          <cell r="A452">
            <v>451</v>
          </cell>
          <cell r="B452" t="str">
            <v>USA</v>
          </cell>
          <cell r="C452" t="str">
            <v>MID</v>
          </cell>
          <cell r="D452" t="str">
            <v>Bradley M</v>
          </cell>
          <cell r="E452">
            <v>3.2</v>
          </cell>
          <cell r="F452" t="e">
            <v>#VALUE!</v>
          </cell>
          <cell r="G452" t="e">
            <v>#VALUE!</v>
          </cell>
          <cell r="H452" t="e">
            <v>#VALUE!</v>
          </cell>
          <cell r="I452" t="e">
            <v>#VALUE!</v>
          </cell>
          <cell r="J452" t="e">
            <v>#VALUE!</v>
          </cell>
          <cell r="K452" t="e">
            <v>#VALUE!</v>
          </cell>
          <cell r="L452" t="e">
            <v>#VALUE!</v>
          </cell>
        </row>
        <row r="453">
          <cell r="A453">
            <v>452</v>
          </cell>
          <cell r="B453" t="str">
            <v>USA</v>
          </cell>
          <cell r="C453" t="str">
            <v>MID</v>
          </cell>
          <cell r="D453" t="str">
            <v>Donovan L</v>
          </cell>
          <cell r="E453">
            <v>3.3</v>
          </cell>
          <cell r="F453" t="e">
            <v>#VALUE!</v>
          </cell>
          <cell r="G453" t="e">
            <v>#VALUE!</v>
          </cell>
          <cell r="H453" t="e">
            <v>#VALUE!</v>
          </cell>
          <cell r="I453" t="e">
            <v>#VALUE!</v>
          </cell>
          <cell r="J453" t="e">
            <v>#VALUE!</v>
          </cell>
          <cell r="K453" t="e">
            <v>#VALUE!</v>
          </cell>
          <cell r="L453" t="e">
            <v>#VALUE!</v>
          </cell>
        </row>
        <row r="454">
          <cell r="A454">
            <v>453</v>
          </cell>
          <cell r="B454" t="str">
            <v>USA</v>
          </cell>
          <cell r="C454" t="str">
            <v>MID</v>
          </cell>
          <cell r="D454" t="str">
            <v>Feilhaber B</v>
          </cell>
          <cell r="E454">
            <v>3</v>
          </cell>
          <cell r="F454" t="e">
            <v>#VALUE!</v>
          </cell>
          <cell r="G454" t="e">
            <v>#VALUE!</v>
          </cell>
          <cell r="H454" t="e">
            <v>#VALUE!</v>
          </cell>
          <cell r="I454" t="e">
            <v>#VALUE!</v>
          </cell>
          <cell r="J454" t="e">
            <v>#VALUE!</v>
          </cell>
          <cell r="K454" t="e">
            <v>#VALUE!</v>
          </cell>
          <cell r="L454" t="e">
            <v>#VALUE!</v>
          </cell>
        </row>
        <row r="455">
          <cell r="A455">
            <v>454</v>
          </cell>
          <cell r="B455" t="str">
            <v>USA</v>
          </cell>
          <cell r="C455" t="str">
            <v>MID</v>
          </cell>
          <cell r="D455" t="str">
            <v>Holden S</v>
          </cell>
          <cell r="E455">
            <v>2.7</v>
          </cell>
          <cell r="F455" t="e">
            <v>#VALUE!</v>
          </cell>
          <cell r="G455" t="e">
            <v>#VALUE!</v>
          </cell>
          <cell r="H455" t="e">
            <v>#VALUE!</v>
          </cell>
          <cell r="I455" t="e">
            <v>#VALUE!</v>
          </cell>
          <cell r="J455" t="e">
            <v>#VALUE!</v>
          </cell>
          <cell r="K455" t="e">
            <v>#VALUE!</v>
          </cell>
          <cell r="L455" t="e">
            <v>#VALUE!</v>
          </cell>
        </row>
        <row r="456">
          <cell r="A456">
            <v>455</v>
          </cell>
          <cell r="B456" t="str">
            <v>USA</v>
          </cell>
          <cell r="C456" t="str">
            <v>MID</v>
          </cell>
          <cell r="D456" t="str">
            <v>Kljestan S</v>
          </cell>
          <cell r="E456">
            <v>3</v>
          </cell>
          <cell r="F456" t="e">
            <v>#VALUE!</v>
          </cell>
          <cell r="G456" t="e">
            <v>#VALUE!</v>
          </cell>
          <cell r="H456" t="e">
            <v>#VALUE!</v>
          </cell>
          <cell r="I456" t="e">
            <v>#VALUE!</v>
          </cell>
          <cell r="J456" t="e">
            <v>#VALUE!</v>
          </cell>
          <cell r="K456" t="e">
            <v>#VALUE!</v>
          </cell>
          <cell r="L456" t="e">
            <v>#VALUE!</v>
          </cell>
        </row>
        <row r="457">
          <cell r="A457">
            <v>456</v>
          </cell>
          <cell r="B457" t="str">
            <v>USA</v>
          </cell>
          <cell r="C457" t="str">
            <v>FOR</v>
          </cell>
          <cell r="D457" t="str">
            <v>Altidore J</v>
          </cell>
          <cell r="E457">
            <v>5.2</v>
          </cell>
          <cell r="F457" t="e">
            <v>#VALUE!</v>
          </cell>
          <cell r="G457" t="e">
            <v>#VALUE!</v>
          </cell>
          <cell r="H457" t="e">
            <v>#VALUE!</v>
          </cell>
          <cell r="I457" t="e">
            <v>#VALUE!</v>
          </cell>
          <cell r="J457" t="e">
            <v>#VALUE!</v>
          </cell>
          <cell r="K457" t="e">
            <v>#VALUE!</v>
          </cell>
          <cell r="L457" t="e">
            <v>#VALUE!</v>
          </cell>
        </row>
        <row r="458">
          <cell r="A458">
            <v>457</v>
          </cell>
          <cell r="B458" t="str">
            <v>USA</v>
          </cell>
          <cell r="C458" t="str">
            <v>FOR</v>
          </cell>
          <cell r="D458" t="str">
            <v>Ching B</v>
          </cell>
          <cell r="E458">
            <v>4.9000000000000004</v>
          </cell>
          <cell r="F458" t="e">
            <v>#VALUE!</v>
          </cell>
          <cell r="G458" t="e">
            <v>#VALUE!</v>
          </cell>
          <cell r="H458" t="e">
            <v>#VALUE!</v>
          </cell>
          <cell r="I458" t="e">
            <v>#VALUE!</v>
          </cell>
          <cell r="J458" t="e">
            <v>#VALUE!</v>
          </cell>
          <cell r="K458" t="e">
            <v>#VALUE!</v>
          </cell>
          <cell r="L458" t="e">
            <v>#VALUE!</v>
          </cell>
        </row>
        <row r="459">
          <cell r="A459">
            <v>458</v>
          </cell>
          <cell r="F459" t="str">
            <v/>
          </cell>
          <cell r="G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</row>
        <row r="460">
          <cell r="A460">
            <v>459</v>
          </cell>
          <cell r="F460" t="str">
            <v/>
          </cell>
          <cell r="G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</row>
        <row r="461">
          <cell r="A461">
            <v>460</v>
          </cell>
          <cell r="F461" t="str">
            <v/>
          </cell>
          <cell r="G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</row>
        <row r="462">
          <cell r="A462">
            <v>461</v>
          </cell>
          <cell r="F462" t="str">
            <v/>
          </cell>
          <cell r="G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</row>
        <row r="463">
          <cell r="A463">
            <v>462</v>
          </cell>
          <cell r="F463" t="str">
            <v/>
          </cell>
          <cell r="G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</row>
        <row r="464">
          <cell r="A464">
            <v>463</v>
          </cell>
          <cell r="F464" t="str">
            <v/>
          </cell>
          <cell r="G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</row>
        <row r="465">
          <cell r="A465">
            <v>464</v>
          </cell>
          <cell r="F465" t="str">
            <v/>
          </cell>
          <cell r="G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</row>
        <row r="466">
          <cell r="A466">
            <v>465</v>
          </cell>
          <cell r="F466" t="str">
            <v/>
          </cell>
          <cell r="G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</row>
        <row r="467">
          <cell r="A467">
            <v>466</v>
          </cell>
          <cell r="F467" t="str">
            <v/>
          </cell>
          <cell r="G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</row>
        <row r="468">
          <cell r="A468">
            <v>467</v>
          </cell>
          <cell r="F468" t="str">
            <v/>
          </cell>
          <cell r="G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</row>
        <row r="469">
          <cell r="A469">
            <v>468</v>
          </cell>
          <cell r="F469" t="str">
            <v/>
          </cell>
          <cell r="G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</row>
        <row r="470">
          <cell r="A470">
            <v>469</v>
          </cell>
          <cell r="F470" t="str">
            <v/>
          </cell>
          <cell r="G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</row>
        <row r="471">
          <cell r="A471">
            <v>470</v>
          </cell>
          <cell r="F471" t="str">
            <v/>
          </cell>
          <cell r="G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</row>
        <row r="472">
          <cell r="A472">
            <v>471</v>
          </cell>
          <cell r="F472" t="str">
            <v/>
          </cell>
          <cell r="G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</row>
        <row r="473">
          <cell r="A473">
            <v>472</v>
          </cell>
          <cell r="F473" t="str">
            <v/>
          </cell>
          <cell r="G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</row>
        <row r="474">
          <cell r="A474">
            <v>473</v>
          </cell>
          <cell r="F474" t="str">
            <v/>
          </cell>
          <cell r="G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</row>
        <row r="475">
          <cell r="A475">
            <v>474</v>
          </cell>
          <cell r="F475" t="str">
            <v/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</row>
        <row r="476">
          <cell r="A476">
            <v>475</v>
          </cell>
          <cell r="F476" t="str">
            <v/>
          </cell>
          <cell r="G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</row>
        <row r="477">
          <cell r="A477">
            <v>476</v>
          </cell>
          <cell r="F477" t="str">
            <v/>
          </cell>
          <cell r="G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</row>
        <row r="478">
          <cell r="A478">
            <v>477</v>
          </cell>
          <cell r="F478" t="str">
            <v/>
          </cell>
          <cell r="G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</row>
        <row r="479">
          <cell r="A479">
            <v>478</v>
          </cell>
          <cell r="F479" t="str">
            <v/>
          </cell>
          <cell r="G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</row>
        <row r="480">
          <cell r="A480">
            <v>479</v>
          </cell>
          <cell r="F480" t="str">
            <v/>
          </cell>
          <cell r="G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</row>
        <row r="481">
          <cell r="A481">
            <v>480</v>
          </cell>
          <cell r="F481" t="str">
            <v/>
          </cell>
          <cell r="G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</row>
        <row r="482">
          <cell r="A482">
            <v>481</v>
          </cell>
          <cell r="F482" t="str">
            <v/>
          </cell>
          <cell r="G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</row>
        <row r="483">
          <cell r="A483">
            <v>482</v>
          </cell>
          <cell r="F483" t="str">
            <v/>
          </cell>
          <cell r="G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</row>
        <row r="484">
          <cell r="A484">
            <v>483</v>
          </cell>
          <cell r="F484" t="str">
            <v/>
          </cell>
          <cell r="G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</row>
        <row r="485">
          <cell r="A485">
            <v>484</v>
          </cell>
          <cell r="F485" t="str">
            <v/>
          </cell>
          <cell r="G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</row>
        <row r="486">
          <cell r="A486">
            <v>485</v>
          </cell>
          <cell r="F486" t="str">
            <v/>
          </cell>
          <cell r="G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</row>
        <row r="487">
          <cell r="A487">
            <v>486</v>
          </cell>
          <cell r="F487" t="str">
            <v/>
          </cell>
          <cell r="G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</row>
        <row r="488">
          <cell r="A488">
            <v>487</v>
          </cell>
          <cell r="F488" t="str">
            <v/>
          </cell>
          <cell r="G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</row>
        <row r="489">
          <cell r="A489">
            <v>488</v>
          </cell>
          <cell r="F489" t="str">
            <v/>
          </cell>
          <cell r="G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</row>
        <row r="490">
          <cell r="A490">
            <v>489</v>
          </cell>
          <cell r="F490" t="str">
            <v/>
          </cell>
          <cell r="G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</row>
        <row r="491">
          <cell r="A491">
            <v>490</v>
          </cell>
          <cell r="F491" t="str">
            <v/>
          </cell>
          <cell r="G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</row>
        <row r="492">
          <cell r="A492">
            <v>491</v>
          </cell>
          <cell r="F492" t="str">
            <v/>
          </cell>
          <cell r="G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</row>
        <row r="493">
          <cell r="A493">
            <v>492</v>
          </cell>
          <cell r="F493" t="str">
            <v/>
          </cell>
          <cell r="G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</row>
        <row r="494">
          <cell r="A494">
            <v>493</v>
          </cell>
          <cell r="F494" t="str">
            <v/>
          </cell>
          <cell r="G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</row>
        <row r="495">
          <cell r="A495">
            <v>494</v>
          </cell>
          <cell r="F495" t="str">
            <v/>
          </cell>
          <cell r="G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</row>
        <row r="496">
          <cell r="A496">
            <v>495</v>
          </cell>
          <cell r="F496" t="str">
            <v/>
          </cell>
          <cell r="G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</row>
        <row r="497">
          <cell r="A497">
            <v>496</v>
          </cell>
          <cell r="F497" t="str">
            <v/>
          </cell>
          <cell r="G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</row>
        <row r="498">
          <cell r="A498">
            <v>497</v>
          </cell>
          <cell r="F498" t="str">
            <v/>
          </cell>
          <cell r="G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</row>
        <row r="499">
          <cell r="A499">
            <v>498</v>
          </cell>
          <cell r="F499" t="str">
            <v/>
          </cell>
          <cell r="G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</row>
        <row r="500">
          <cell r="A500">
            <v>499</v>
          </cell>
          <cell r="F500" t="str">
            <v/>
          </cell>
          <cell r="G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</row>
        <row r="501">
          <cell r="A501">
            <v>500</v>
          </cell>
          <cell r="F501" t="str">
            <v/>
          </cell>
          <cell r="G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</row>
        <row r="502">
          <cell r="A502">
            <v>501</v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</row>
        <row r="503">
          <cell r="A503">
            <v>502</v>
          </cell>
          <cell r="F503" t="str">
            <v/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</row>
        <row r="504">
          <cell r="A504">
            <v>503</v>
          </cell>
          <cell r="F504" t="str">
            <v/>
          </cell>
          <cell r="G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</row>
        <row r="505">
          <cell r="A505">
            <v>504</v>
          </cell>
          <cell r="F505" t="str">
            <v/>
          </cell>
          <cell r="G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</row>
        <row r="506">
          <cell r="A506">
            <v>505</v>
          </cell>
          <cell r="F506" t="str">
            <v/>
          </cell>
          <cell r="G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</row>
        <row r="507">
          <cell r="A507">
            <v>506</v>
          </cell>
          <cell r="F507" t="str">
            <v/>
          </cell>
          <cell r="G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</row>
        <row r="508">
          <cell r="A508">
            <v>507</v>
          </cell>
          <cell r="F508" t="str">
            <v/>
          </cell>
          <cell r="G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</row>
        <row r="509">
          <cell r="A509">
            <v>508</v>
          </cell>
          <cell r="F509" t="str">
            <v/>
          </cell>
          <cell r="G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</row>
        <row r="510">
          <cell r="A510">
            <v>509</v>
          </cell>
          <cell r="F510" t="str">
            <v/>
          </cell>
          <cell r="G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</row>
        <row r="511">
          <cell r="A511">
            <v>510</v>
          </cell>
          <cell r="F511" t="str">
            <v/>
          </cell>
          <cell r="G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</row>
        <row r="512">
          <cell r="A512">
            <v>511</v>
          </cell>
          <cell r="F512" t="str">
            <v/>
          </cell>
          <cell r="G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</row>
        <row r="513">
          <cell r="A513">
            <v>512</v>
          </cell>
          <cell r="F513" t="str">
            <v/>
          </cell>
          <cell r="G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</row>
        <row r="514">
          <cell r="A514">
            <v>513</v>
          </cell>
          <cell r="F514" t="str">
            <v/>
          </cell>
          <cell r="G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</row>
        <row r="515">
          <cell r="A515">
            <v>514</v>
          </cell>
          <cell r="F515" t="str">
            <v/>
          </cell>
          <cell r="G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</row>
        <row r="516">
          <cell r="A516">
            <v>515</v>
          </cell>
          <cell r="F516" t="str">
            <v/>
          </cell>
          <cell r="G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</row>
        <row r="517">
          <cell r="A517">
            <v>516</v>
          </cell>
          <cell r="F517" t="str">
            <v/>
          </cell>
          <cell r="G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</row>
        <row r="518">
          <cell r="A518">
            <v>517</v>
          </cell>
          <cell r="F518" t="str">
            <v/>
          </cell>
          <cell r="G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</row>
        <row r="519">
          <cell r="A519">
            <v>518</v>
          </cell>
          <cell r="F519" t="str">
            <v/>
          </cell>
          <cell r="G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</row>
        <row r="520">
          <cell r="A520">
            <v>519</v>
          </cell>
          <cell r="F520" t="str">
            <v/>
          </cell>
          <cell r="G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</row>
        <row r="521">
          <cell r="A521">
            <v>520</v>
          </cell>
          <cell r="F521" t="str">
            <v/>
          </cell>
          <cell r="G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</row>
        <row r="522">
          <cell r="A522">
            <v>521</v>
          </cell>
          <cell r="F522" t="str">
            <v/>
          </cell>
          <cell r="G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</row>
        <row r="523">
          <cell r="A523">
            <v>522</v>
          </cell>
          <cell r="F523" t="str">
            <v/>
          </cell>
          <cell r="G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</row>
        <row r="524">
          <cell r="A524">
            <v>523</v>
          </cell>
          <cell r="F524" t="str">
            <v/>
          </cell>
          <cell r="G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</row>
        <row r="525">
          <cell r="A525">
            <v>524</v>
          </cell>
          <cell r="F525" t="str">
            <v/>
          </cell>
          <cell r="G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</row>
        <row r="526">
          <cell r="A526">
            <v>525</v>
          </cell>
          <cell r="F526" t="str">
            <v/>
          </cell>
          <cell r="G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</row>
        <row r="527">
          <cell r="A527">
            <v>526</v>
          </cell>
          <cell r="F527" t="str">
            <v/>
          </cell>
          <cell r="G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</row>
        <row r="528">
          <cell r="A528">
            <v>527</v>
          </cell>
          <cell r="F528" t="str">
            <v/>
          </cell>
          <cell r="G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</row>
        <row r="529">
          <cell r="A529">
            <v>528</v>
          </cell>
          <cell r="F529" t="str">
            <v/>
          </cell>
          <cell r="G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</row>
        <row r="530">
          <cell r="A530">
            <v>529</v>
          </cell>
          <cell r="F530" t="str">
            <v/>
          </cell>
          <cell r="G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</row>
        <row r="531">
          <cell r="A531">
            <v>530</v>
          </cell>
          <cell r="F531" t="str">
            <v/>
          </cell>
          <cell r="G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</row>
        <row r="532">
          <cell r="A532">
            <v>531</v>
          </cell>
          <cell r="F532" t="str">
            <v/>
          </cell>
          <cell r="G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</row>
        <row r="533">
          <cell r="A533">
            <v>532</v>
          </cell>
          <cell r="F533" t="str">
            <v/>
          </cell>
          <cell r="G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</row>
        <row r="534">
          <cell r="A534">
            <v>533</v>
          </cell>
          <cell r="F534" t="str">
            <v/>
          </cell>
          <cell r="G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</row>
        <row r="535">
          <cell r="A535">
            <v>534</v>
          </cell>
          <cell r="F535" t="str">
            <v/>
          </cell>
          <cell r="G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</row>
        <row r="536">
          <cell r="A536">
            <v>535</v>
          </cell>
          <cell r="F536" t="str">
            <v/>
          </cell>
          <cell r="G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</row>
        <row r="537">
          <cell r="A537">
            <v>536</v>
          </cell>
          <cell r="F537" t="str">
            <v/>
          </cell>
          <cell r="G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</row>
        <row r="538">
          <cell r="A538">
            <v>537</v>
          </cell>
          <cell r="F538" t="str">
            <v/>
          </cell>
          <cell r="G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</row>
        <row r="539">
          <cell r="A539">
            <v>538</v>
          </cell>
          <cell r="F539" t="str">
            <v/>
          </cell>
          <cell r="G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</row>
        <row r="540">
          <cell r="A540">
            <v>539</v>
          </cell>
          <cell r="F540" t="str">
            <v/>
          </cell>
          <cell r="G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</row>
        <row r="541">
          <cell r="A541">
            <v>540</v>
          </cell>
          <cell r="F541" t="str">
            <v/>
          </cell>
          <cell r="G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</row>
        <row r="542">
          <cell r="A542">
            <v>541</v>
          </cell>
          <cell r="F542" t="str">
            <v/>
          </cell>
          <cell r="G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</row>
        <row r="543">
          <cell r="A543">
            <v>542</v>
          </cell>
          <cell r="F543" t="str">
            <v/>
          </cell>
          <cell r="G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</row>
        <row r="544">
          <cell r="A544">
            <v>543</v>
          </cell>
          <cell r="F544" t="str">
            <v/>
          </cell>
          <cell r="G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</row>
        <row r="545">
          <cell r="A545">
            <v>544</v>
          </cell>
          <cell r="F545" t="str">
            <v/>
          </cell>
          <cell r="G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</row>
        <row r="546">
          <cell r="A546">
            <v>545</v>
          </cell>
          <cell r="F546" t="str">
            <v/>
          </cell>
          <cell r="G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</row>
        <row r="547">
          <cell r="A547">
            <v>546</v>
          </cell>
          <cell r="F547" t="str">
            <v/>
          </cell>
          <cell r="G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</row>
        <row r="548">
          <cell r="A548">
            <v>547</v>
          </cell>
          <cell r="F548" t="str">
            <v/>
          </cell>
          <cell r="G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</row>
        <row r="549">
          <cell r="A549">
            <v>548</v>
          </cell>
          <cell r="F549" t="str">
            <v/>
          </cell>
          <cell r="G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</row>
        <row r="550">
          <cell r="A550">
            <v>549</v>
          </cell>
          <cell r="F550" t="str">
            <v/>
          </cell>
          <cell r="G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</row>
        <row r="551">
          <cell r="A551">
            <v>550</v>
          </cell>
          <cell r="F551" t="str">
            <v/>
          </cell>
          <cell r="G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</row>
        <row r="552">
          <cell r="A552">
            <v>551</v>
          </cell>
          <cell r="F552" t="str">
            <v/>
          </cell>
          <cell r="G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</row>
        <row r="553">
          <cell r="A553">
            <v>552</v>
          </cell>
          <cell r="F553" t="str">
            <v/>
          </cell>
          <cell r="G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</row>
        <row r="554">
          <cell r="A554">
            <v>553</v>
          </cell>
          <cell r="F554" t="str">
            <v/>
          </cell>
          <cell r="G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</row>
        <row r="555">
          <cell r="A555">
            <v>554</v>
          </cell>
          <cell r="F555" t="str">
            <v/>
          </cell>
          <cell r="G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</row>
        <row r="556">
          <cell r="A556">
            <v>555</v>
          </cell>
          <cell r="F556" t="str">
            <v/>
          </cell>
          <cell r="G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</row>
        <row r="557">
          <cell r="A557">
            <v>556</v>
          </cell>
          <cell r="F557" t="str">
            <v/>
          </cell>
          <cell r="G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</row>
        <row r="558">
          <cell r="A558">
            <v>557</v>
          </cell>
          <cell r="F558" t="str">
            <v/>
          </cell>
          <cell r="G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</row>
        <row r="559">
          <cell r="A559">
            <v>558</v>
          </cell>
          <cell r="F559" t="str">
            <v/>
          </cell>
          <cell r="G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</row>
        <row r="560">
          <cell r="A560">
            <v>559</v>
          </cell>
          <cell r="F560" t="str">
            <v/>
          </cell>
          <cell r="G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</row>
        <row r="561">
          <cell r="A561">
            <v>560</v>
          </cell>
          <cell r="F561" t="str">
            <v/>
          </cell>
          <cell r="G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</row>
        <row r="562">
          <cell r="A562">
            <v>561</v>
          </cell>
          <cell r="F562" t="str">
            <v/>
          </cell>
          <cell r="G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</row>
        <row r="563">
          <cell r="A563">
            <v>562</v>
          </cell>
          <cell r="F563" t="str">
            <v/>
          </cell>
          <cell r="G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</row>
        <row r="564">
          <cell r="A564">
            <v>563</v>
          </cell>
          <cell r="F564" t="str">
            <v/>
          </cell>
          <cell r="G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</row>
        <row r="565">
          <cell r="A565">
            <v>564</v>
          </cell>
          <cell r="F565" t="str">
            <v/>
          </cell>
          <cell r="G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</row>
        <row r="566">
          <cell r="A566">
            <v>565</v>
          </cell>
          <cell r="F566" t="str">
            <v/>
          </cell>
          <cell r="G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</row>
        <row r="567">
          <cell r="A567">
            <v>566</v>
          </cell>
          <cell r="F567" t="str">
            <v/>
          </cell>
          <cell r="G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</row>
        <row r="568">
          <cell r="A568">
            <v>567</v>
          </cell>
          <cell r="F568" t="str">
            <v/>
          </cell>
          <cell r="G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</row>
        <row r="569">
          <cell r="A569">
            <v>568</v>
          </cell>
          <cell r="F569" t="str">
            <v/>
          </cell>
          <cell r="G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</row>
        <row r="570">
          <cell r="A570">
            <v>569</v>
          </cell>
          <cell r="F570" t="str">
            <v/>
          </cell>
          <cell r="G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</row>
        <row r="571">
          <cell r="A571">
            <v>570</v>
          </cell>
          <cell r="F571" t="str">
            <v/>
          </cell>
          <cell r="G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</row>
        <row r="572">
          <cell r="A572">
            <v>571</v>
          </cell>
          <cell r="F572" t="str">
            <v/>
          </cell>
          <cell r="G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</row>
        <row r="573">
          <cell r="A573">
            <v>572</v>
          </cell>
          <cell r="F573" t="str">
            <v/>
          </cell>
          <cell r="G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</row>
        <row r="574">
          <cell r="A574">
            <v>573</v>
          </cell>
          <cell r="F574" t="str">
            <v/>
          </cell>
          <cell r="G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</row>
        <row r="575">
          <cell r="A575">
            <v>574</v>
          </cell>
          <cell r="F575" t="str">
            <v/>
          </cell>
          <cell r="G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</row>
        <row r="576">
          <cell r="A576">
            <v>575</v>
          </cell>
          <cell r="F576" t="str">
            <v/>
          </cell>
          <cell r="G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</row>
        <row r="577">
          <cell r="A577">
            <v>576</v>
          </cell>
          <cell r="F577" t="str">
            <v/>
          </cell>
          <cell r="G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</row>
        <row r="578">
          <cell r="A578">
            <v>577</v>
          </cell>
          <cell r="F578" t="str">
            <v/>
          </cell>
          <cell r="G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</row>
        <row r="579">
          <cell r="A579">
            <v>578</v>
          </cell>
          <cell r="F579" t="str">
            <v/>
          </cell>
          <cell r="G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</row>
        <row r="580">
          <cell r="A580">
            <v>579</v>
          </cell>
          <cell r="F580" t="str">
            <v/>
          </cell>
          <cell r="G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</row>
        <row r="581">
          <cell r="A581">
            <v>580</v>
          </cell>
          <cell r="F581" t="str">
            <v/>
          </cell>
          <cell r="G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</row>
        <row r="582">
          <cell r="A582">
            <v>581</v>
          </cell>
          <cell r="F582" t="str">
            <v/>
          </cell>
          <cell r="G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</row>
        <row r="583">
          <cell r="A583">
            <v>582</v>
          </cell>
          <cell r="F583" t="str">
            <v/>
          </cell>
          <cell r="G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</row>
        <row r="584">
          <cell r="A584">
            <v>583</v>
          </cell>
          <cell r="F584" t="str">
            <v/>
          </cell>
          <cell r="G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</row>
        <row r="585">
          <cell r="A585">
            <v>584</v>
          </cell>
          <cell r="F585" t="str">
            <v/>
          </cell>
          <cell r="G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</row>
        <row r="586">
          <cell r="A586">
            <v>585</v>
          </cell>
          <cell r="F586" t="str">
            <v/>
          </cell>
          <cell r="G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</row>
        <row r="587">
          <cell r="A587">
            <v>586</v>
          </cell>
          <cell r="F587" t="str">
            <v/>
          </cell>
          <cell r="G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</row>
        <row r="588">
          <cell r="A588">
            <v>587</v>
          </cell>
          <cell r="F588" t="str">
            <v/>
          </cell>
          <cell r="G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</row>
        <row r="589">
          <cell r="A589">
            <v>588</v>
          </cell>
          <cell r="F589" t="str">
            <v/>
          </cell>
          <cell r="G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</row>
        <row r="590">
          <cell r="A590">
            <v>589</v>
          </cell>
          <cell r="F590" t="str">
            <v/>
          </cell>
          <cell r="G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</row>
        <row r="591">
          <cell r="A591">
            <v>590</v>
          </cell>
          <cell r="F591" t="str">
            <v/>
          </cell>
          <cell r="G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</row>
        <row r="592">
          <cell r="A592">
            <v>591</v>
          </cell>
          <cell r="F592" t="str">
            <v/>
          </cell>
          <cell r="G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</row>
        <row r="593">
          <cell r="A593">
            <v>592</v>
          </cell>
          <cell r="F593" t="str">
            <v/>
          </cell>
          <cell r="G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</row>
        <row r="594">
          <cell r="A594">
            <v>593</v>
          </cell>
          <cell r="F594" t="str">
            <v/>
          </cell>
          <cell r="G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</row>
        <row r="595">
          <cell r="A595">
            <v>594</v>
          </cell>
          <cell r="F595" t="str">
            <v/>
          </cell>
          <cell r="G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</row>
        <row r="596">
          <cell r="A596">
            <v>595</v>
          </cell>
          <cell r="F596" t="str">
            <v/>
          </cell>
          <cell r="G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</row>
        <row r="597">
          <cell r="A597">
            <v>596</v>
          </cell>
          <cell r="F597" t="str">
            <v/>
          </cell>
          <cell r="G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</row>
        <row r="598">
          <cell r="A598">
            <v>597</v>
          </cell>
          <cell r="F598" t="str">
            <v/>
          </cell>
          <cell r="G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</row>
        <row r="599">
          <cell r="A599">
            <v>598</v>
          </cell>
          <cell r="F599" t="str">
            <v/>
          </cell>
          <cell r="G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</row>
        <row r="600">
          <cell r="A600">
            <v>599</v>
          </cell>
          <cell r="F600" t="str">
            <v/>
          </cell>
          <cell r="G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</row>
        <row r="601">
          <cell r="A601">
            <v>600</v>
          </cell>
          <cell r="F601" t="str">
            <v/>
          </cell>
          <cell r="G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</row>
        <row r="602">
          <cell r="A602">
            <v>601</v>
          </cell>
          <cell r="F602" t="str">
            <v/>
          </cell>
          <cell r="G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</row>
        <row r="603">
          <cell r="A603">
            <v>602</v>
          </cell>
          <cell r="F603" t="str">
            <v/>
          </cell>
          <cell r="G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</row>
        <row r="604">
          <cell r="A604">
            <v>603</v>
          </cell>
          <cell r="F604" t="str">
            <v/>
          </cell>
          <cell r="G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</row>
        <row r="605">
          <cell r="A605">
            <v>604</v>
          </cell>
          <cell r="F605" t="str">
            <v/>
          </cell>
          <cell r="G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</row>
        <row r="606">
          <cell r="A606">
            <v>605</v>
          </cell>
          <cell r="F606" t="str">
            <v/>
          </cell>
          <cell r="G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</row>
        <row r="607">
          <cell r="A607">
            <v>606</v>
          </cell>
          <cell r="F607" t="str">
            <v/>
          </cell>
          <cell r="G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</row>
        <row r="608">
          <cell r="A608">
            <v>607</v>
          </cell>
          <cell r="F608" t="str">
            <v/>
          </cell>
          <cell r="G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</row>
        <row r="609">
          <cell r="A609">
            <v>608</v>
          </cell>
          <cell r="F609" t="str">
            <v/>
          </cell>
          <cell r="G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</row>
        <row r="610">
          <cell r="A610">
            <v>609</v>
          </cell>
          <cell r="F610" t="str">
            <v/>
          </cell>
          <cell r="G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</row>
        <row r="611">
          <cell r="A611">
            <v>610</v>
          </cell>
          <cell r="F611" t="str">
            <v/>
          </cell>
          <cell r="G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</row>
        <row r="612">
          <cell r="A612">
            <v>611</v>
          </cell>
          <cell r="F612" t="str">
            <v/>
          </cell>
          <cell r="G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</row>
        <row r="613">
          <cell r="A613">
            <v>612</v>
          </cell>
          <cell r="F613" t="str">
            <v/>
          </cell>
          <cell r="G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</row>
        <row r="614">
          <cell r="A614">
            <v>613</v>
          </cell>
          <cell r="F614" t="str">
            <v/>
          </cell>
          <cell r="G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</row>
        <row r="615">
          <cell r="A615">
            <v>614</v>
          </cell>
          <cell r="F615" t="str">
            <v/>
          </cell>
          <cell r="G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</row>
        <row r="616">
          <cell r="A616">
            <v>615</v>
          </cell>
          <cell r="F616" t="str">
            <v/>
          </cell>
          <cell r="G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</row>
        <row r="617">
          <cell r="A617">
            <v>616</v>
          </cell>
          <cell r="F617" t="str">
            <v/>
          </cell>
          <cell r="G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</row>
        <row r="618">
          <cell r="A618">
            <v>617</v>
          </cell>
          <cell r="F618" t="str">
            <v/>
          </cell>
          <cell r="G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</row>
        <row r="619">
          <cell r="A619">
            <v>618</v>
          </cell>
          <cell r="F619" t="str">
            <v/>
          </cell>
          <cell r="G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</row>
        <row r="620">
          <cell r="A620">
            <v>619</v>
          </cell>
          <cell r="F620" t="str">
            <v/>
          </cell>
          <cell r="G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</row>
        <row r="621">
          <cell r="A621">
            <v>620</v>
          </cell>
          <cell r="F621" t="str">
            <v/>
          </cell>
          <cell r="G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</row>
        <row r="622">
          <cell r="A622">
            <v>621</v>
          </cell>
          <cell r="F622" t="str">
            <v/>
          </cell>
          <cell r="G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</row>
        <row r="623">
          <cell r="A623">
            <v>622</v>
          </cell>
          <cell r="F623" t="str">
            <v/>
          </cell>
          <cell r="G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</row>
        <row r="624">
          <cell r="A624">
            <v>623</v>
          </cell>
          <cell r="F624" t="str">
            <v/>
          </cell>
          <cell r="G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</row>
        <row r="625">
          <cell r="A625">
            <v>624</v>
          </cell>
          <cell r="F625" t="str">
            <v/>
          </cell>
          <cell r="G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</row>
        <row r="626">
          <cell r="A626">
            <v>625</v>
          </cell>
          <cell r="F626" t="str">
            <v/>
          </cell>
          <cell r="G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</row>
        <row r="627">
          <cell r="A627">
            <v>626</v>
          </cell>
          <cell r="F627" t="str">
            <v/>
          </cell>
          <cell r="G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</row>
        <row r="628">
          <cell r="A628">
            <v>627</v>
          </cell>
          <cell r="F628" t="str">
            <v/>
          </cell>
          <cell r="G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</row>
        <row r="629">
          <cell r="A629">
            <v>628</v>
          </cell>
          <cell r="F629" t="str">
            <v/>
          </cell>
          <cell r="G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</row>
        <row r="630">
          <cell r="A630">
            <v>629</v>
          </cell>
          <cell r="F630" t="str">
            <v/>
          </cell>
          <cell r="G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</row>
        <row r="631">
          <cell r="A631">
            <v>630</v>
          </cell>
          <cell r="F631" t="str">
            <v/>
          </cell>
          <cell r="G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</row>
        <row r="632">
          <cell r="A632">
            <v>631</v>
          </cell>
          <cell r="F632" t="str">
            <v/>
          </cell>
          <cell r="G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</row>
        <row r="633">
          <cell r="A633">
            <v>632</v>
          </cell>
          <cell r="F633" t="str">
            <v/>
          </cell>
          <cell r="G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</row>
        <row r="634">
          <cell r="A634">
            <v>633</v>
          </cell>
          <cell r="F634" t="str">
            <v/>
          </cell>
          <cell r="G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</row>
        <row r="635">
          <cell r="A635">
            <v>634</v>
          </cell>
          <cell r="F635" t="str">
            <v/>
          </cell>
          <cell r="G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</row>
        <row r="636">
          <cell r="A636">
            <v>635</v>
          </cell>
          <cell r="F636" t="str">
            <v/>
          </cell>
          <cell r="G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</row>
        <row r="637">
          <cell r="A637">
            <v>636</v>
          </cell>
          <cell r="F637" t="str">
            <v/>
          </cell>
          <cell r="G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</row>
        <row r="638">
          <cell r="A638">
            <v>637</v>
          </cell>
          <cell r="F638" t="str">
            <v/>
          </cell>
          <cell r="G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</row>
        <row r="639">
          <cell r="A639">
            <v>638</v>
          </cell>
          <cell r="F639" t="str">
            <v/>
          </cell>
          <cell r="G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</row>
        <row r="640">
          <cell r="A640">
            <v>639</v>
          </cell>
          <cell r="F640" t="str">
            <v/>
          </cell>
          <cell r="G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</row>
        <row r="641">
          <cell r="A641">
            <v>640</v>
          </cell>
          <cell r="F641" t="str">
            <v/>
          </cell>
          <cell r="G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</row>
        <row r="642">
          <cell r="A642">
            <v>641</v>
          </cell>
          <cell r="F642" t="str">
            <v/>
          </cell>
          <cell r="G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</row>
        <row r="643">
          <cell r="A643">
            <v>642</v>
          </cell>
          <cell r="F643" t="str">
            <v/>
          </cell>
          <cell r="G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</row>
        <row r="644">
          <cell r="A644">
            <v>643</v>
          </cell>
          <cell r="F644" t="str">
            <v/>
          </cell>
          <cell r="G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</row>
        <row r="645">
          <cell r="A645">
            <v>644</v>
          </cell>
          <cell r="F645" t="str">
            <v/>
          </cell>
          <cell r="G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</row>
        <row r="646">
          <cell r="A646">
            <v>645</v>
          </cell>
          <cell r="F646" t="str">
            <v/>
          </cell>
          <cell r="G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</row>
        <row r="647">
          <cell r="A647">
            <v>646</v>
          </cell>
          <cell r="F647" t="str">
            <v/>
          </cell>
          <cell r="G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</row>
        <row r="648">
          <cell r="A648">
            <v>647</v>
          </cell>
          <cell r="F648" t="str">
            <v/>
          </cell>
          <cell r="G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</row>
        <row r="649">
          <cell r="A649">
            <v>648</v>
          </cell>
          <cell r="F649" t="str">
            <v/>
          </cell>
          <cell r="G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</row>
        <row r="650">
          <cell r="A650">
            <v>649</v>
          </cell>
          <cell r="F650" t="str">
            <v/>
          </cell>
          <cell r="G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</row>
        <row r="651">
          <cell r="A651">
            <v>650</v>
          </cell>
          <cell r="F651" t="str">
            <v/>
          </cell>
          <cell r="G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</row>
        <row r="652">
          <cell r="A652">
            <v>651</v>
          </cell>
          <cell r="F652" t="str">
            <v/>
          </cell>
          <cell r="G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</row>
        <row r="653">
          <cell r="A653">
            <v>652</v>
          </cell>
          <cell r="F653" t="str">
            <v/>
          </cell>
          <cell r="G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</row>
        <row r="654">
          <cell r="A654">
            <v>653</v>
          </cell>
          <cell r="F654" t="str">
            <v/>
          </cell>
          <cell r="G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</row>
        <row r="655">
          <cell r="A655">
            <v>654</v>
          </cell>
          <cell r="F655" t="str">
            <v/>
          </cell>
          <cell r="G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</row>
        <row r="656">
          <cell r="A656">
            <v>655</v>
          </cell>
          <cell r="F656" t="str">
            <v/>
          </cell>
          <cell r="G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</row>
        <row r="657">
          <cell r="A657">
            <v>656</v>
          </cell>
          <cell r="F657" t="str">
            <v/>
          </cell>
          <cell r="G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</row>
        <row r="658">
          <cell r="A658">
            <v>657</v>
          </cell>
          <cell r="F658" t="str">
            <v/>
          </cell>
          <cell r="G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</row>
        <row r="659">
          <cell r="A659">
            <v>658</v>
          </cell>
          <cell r="F659" t="str">
            <v/>
          </cell>
          <cell r="G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</row>
        <row r="660">
          <cell r="A660">
            <v>659</v>
          </cell>
          <cell r="F660" t="str">
            <v/>
          </cell>
          <cell r="G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</row>
        <row r="661">
          <cell r="A661">
            <v>660</v>
          </cell>
          <cell r="F661" t="str">
            <v/>
          </cell>
          <cell r="G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</row>
        <row r="662">
          <cell r="A662">
            <v>661</v>
          </cell>
          <cell r="F662" t="str">
            <v/>
          </cell>
          <cell r="G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</row>
        <row r="663">
          <cell r="A663">
            <v>662</v>
          </cell>
          <cell r="F663" t="str">
            <v/>
          </cell>
          <cell r="G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</row>
        <row r="664">
          <cell r="A664">
            <v>663</v>
          </cell>
          <cell r="F664" t="str">
            <v/>
          </cell>
          <cell r="G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</row>
        <row r="665">
          <cell r="A665">
            <v>664</v>
          </cell>
          <cell r="F665" t="str">
            <v/>
          </cell>
          <cell r="G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</row>
        <row r="666">
          <cell r="A666">
            <v>665</v>
          </cell>
          <cell r="F666" t="str">
            <v/>
          </cell>
          <cell r="G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</row>
        <row r="667">
          <cell r="A667">
            <v>666</v>
          </cell>
          <cell r="F667" t="str">
            <v/>
          </cell>
          <cell r="G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</row>
        <row r="668">
          <cell r="A668">
            <v>667</v>
          </cell>
          <cell r="F668" t="str">
            <v/>
          </cell>
          <cell r="G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</row>
        <row r="669">
          <cell r="A669">
            <v>668</v>
          </cell>
          <cell r="F669" t="str">
            <v/>
          </cell>
          <cell r="G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</row>
        <row r="670">
          <cell r="A670">
            <v>669</v>
          </cell>
          <cell r="F670" t="str">
            <v/>
          </cell>
          <cell r="G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</row>
        <row r="671">
          <cell r="A671">
            <v>670</v>
          </cell>
          <cell r="F671" t="str">
            <v/>
          </cell>
          <cell r="G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</row>
        <row r="672">
          <cell r="A672">
            <v>671</v>
          </cell>
          <cell r="F672" t="str">
            <v/>
          </cell>
          <cell r="G672" t="str">
            <v/>
          </cell>
          <cell r="H672" t="str">
            <v/>
          </cell>
          <cell r="I672" t="str">
            <v/>
          </cell>
          <cell r="J672" t="str">
            <v/>
          </cell>
          <cell r="K672" t="str">
            <v/>
          </cell>
          <cell r="L672" t="str">
            <v/>
          </cell>
        </row>
        <row r="673">
          <cell r="A673">
            <v>672</v>
          </cell>
          <cell r="F673" t="str">
            <v/>
          </cell>
          <cell r="G673" t="str">
            <v/>
          </cell>
          <cell r="H673" t="str">
            <v/>
          </cell>
          <cell r="I673" t="str">
            <v/>
          </cell>
          <cell r="J673" t="str">
            <v/>
          </cell>
          <cell r="K673" t="str">
            <v/>
          </cell>
          <cell r="L673" t="str">
            <v/>
          </cell>
        </row>
        <row r="674">
          <cell r="A674">
            <v>673</v>
          </cell>
          <cell r="F674" t="str">
            <v/>
          </cell>
          <cell r="G674" t="str">
            <v/>
          </cell>
          <cell r="H674" t="str">
            <v/>
          </cell>
          <cell r="I674" t="str">
            <v/>
          </cell>
          <cell r="J674" t="str">
            <v/>
          </cell>
          <cell r="K674" t="str">
            <v/>
          </cell>
          <cell r="L674" t="str">
            <v/>
          </cell>
        </row>
        <row r="675">
          <cell r="A675">
            <v>674</v>
          </cell>
          <cell r="F675" t="str">
            <v/>
          </cell>
          <cell r="G675" t="str">
            <v/>
          </cell>
          <cell r="H675" t="str">
            <v/>
          </cell>
          <cell r="I675" t="str">
            <v/>
          </cell>
          <cell r="J675" t="str">
            <v/>
          </cell>
          <cell r="K675" t="str">
            <v/>
          </cell>
          <cell r="L675" t="str">
            <v/>
          </cell>
        </row>
        <row r="676">
          <cell r="A676">
            <v>675</v>
          </cell>
          <cell r="F676" t="str">
            <v/>
          </cell>
          <cell r="G676" t="str">
            <v/>
          </cell>
          <cell r="H676" t="str">
            <v/>
          </cell>
          <cell r="I676" t="str">
            <v/>
          </cell>
          <cell r="J676" t="str">
            <v/>
          </cell>
          <cell r="K676" t="str">
            <v/>
          </cell>
          <cell r="L676" t="str">
            <v/>
          </cell>
        </row>
        <row r="677">
          <cell r="A677">
            <v>676</v>
          </cell>
          <cell r="F677" t="str">
            <v/>
          </cell>
          <cell r="G677" t="str">
            <v/>
          </cell>
          <cell r="H677" t="str">
            <v/>
          </cell>
          <cell r="I677" t="str">
            <v/>
          </cell>
          <cell r="J677" t="str">
            <v/>
          </cell>
          <cell r="K677" t="str">
            <v/>
          </cell>
          <cell r="L677" t="str">
            <v/>
          </cell>
        </row>
        <row r="678">
          <cell r="A678">
            <v>677</v>
          </cell>
          <cell r="F678" t="str">
            <v/>
          </cell>
          <cell r="G678" t="str">
            <v/>
          </cell>
          <cell r="H678" t="str">
            <v/>
          </cell>
          <cell r="I678" t="str">
            <v/>
          </cell>
          <cell r="J678" t="str">
            <v/>
          </cell>
          <cell r="K678" t="str">
            <v/>
          </cell>
          <cell r="L678" t="str">
            <v/>
          </cell>
        </row>
        <row r="679">
          <cell r="A679">
            <v>678</v>
          </cell>
          <cell r="F679" t="str">
            <v/>
          </cell>
          <cell r="G679" t="str">
            <v/>
          </cell>
          <cell r="H679" t="str">
            <v/>
          </cell>
          <cell r="I679" t="str">
            <v/>
          </cell>
          <cell r="J679" t="str">
            <v/>
          </cell>
          <cell r="K679" t="str">
            <v/>
          </cell>
          <cell r="L679" t="str">
            <v/>
          </cell>
        </row>
        <row r="680">
          <cell r="A680">
            <v>679</v>
          </cell>
          <cell r="F680" t="str">
            <v/>
          </cell>
          <cell r="G680" t="str">
            <v/>
          </cell>
          <cell r="H680" t="str">
            <v/>
          </cell>
          <cell r="I680" t="str">
            <v/>
          </cell>
          <cell r="J680" t="str">
            <v/>
          </cell>
          <cell r="K680" t="str">
            <v/>
          </cell>
          <cell r="L680" t="str">
            <v/>
          </cell>
        </row>
        <row r="681">
          <cell r="A681">
            <v>680</v>
          </cell>
          <cell r="F681" t="str">
            <v/>
          </cell>
          <cell r="G681" t="str">
            <v/>
          </cell>
          <cell r="H681" t="str">
            <v/>
          </cell>
          <cell r="I681" t="str">
            <v/>
          </cell>
          <cell r="J681" t="str">
            <v/>
          </cell>
          <cell r="K681" t="str">
            <v/>
          </cell>
          <cell r="L681" t="str">
            <v/>
          </cell>
        </row>
        <row r="682">
          <cell r="A682">
            <v>681</v>
          </cell>
          <cell r="F682" t="str">
            <v/>
          </cell>
          <cell r="G682" t="str">
            <v/>
          </cell>
          <cell r="H682" t="str">
            <v/>
          </cell>
          <cell r="I682" t="str">
            <v/>
          </cell>
          <cell r="J682" t="str">
            <v/>
          </cell>
          <cell r="K682" t="str">
            <v/>
          </cell>
          <cell r="L682" t="str">
            <v/>
          </cell>
        </row>
        <row r="683">
          <cell r="A683">
            <v>682</v>
          </cell>
          <cell r="F683" t="str">
            <v/>
          </cell>
          <cell r="G683" t="str">
            <v/>
          </cell>
          <cell r="H683" t="str">
            <v/>
          </cell>
          <cell r="I683" t="str">
            <v/>
          </cell>
          <cell r="J683" t="str">
            <v/>
          </cell>
          <cell r="K683" t="str">
            <v/>
          </cell>
          <cell r="L683" t="str">
            <v/>
          </cell>
        </row>
        <row r="684">
          <cell r="A684">
            <v>683</v>
          </cell>
          <cell r="F684" t="str">
            <v/>
          </cell>
          <cell r="G684" t="str">
            <v/>
          </cell>
          <cell r="H684" t="str">
            <v/>
          </cell>
          <cell r="I684" t="str">
            <v/>
          </cell>
          <cell r="J684" t="str">
            <v/>
          </cell>
          <cell r="K684" t="str">
            <v/>
          </cell>
          <cell r="L684" t="str">
            <v/>
          </cell>
        </row>
        <row r="685">
          <cell r="A685">
            <v>684</v>
          </cell>
          <cell r="F685" t="str">
            <v/>
          </cell>
          <cell r="G685" t="str">
            <v/>
          </cell>
          <cell r="H685" t="str">
            <v/>
          </cell>
          <cell r="I685" t="str">
            <v/>
          </cell>
          <cell r="J685" t="str">
            <v/>
          </cell>
          <cell r="K685" t="str">
            <v/>
          </cell>
          <cell r="L685" t="str">
            <v/>
          </cell>
        </row>
        <row r="686">
          <cell r="A686">
            <v>685</v>
          </cell>
          <cell r="F686" t="str">
            <v/>
          </cell>
          <cell r="G686" t="str">
            <v/>
          </cell>
          <cell r="H686" t="str">
            <v/>
          </cell>
          <cell r="I686" t="str">
            <v/>
          </cell>
          <cell r="J686" t="str">
            <v/>
          </cell>
          <cell r="K686" t="str">
            <v/>
          </cell>
          <cell r="L686" t="str">
            <v/>
          </cell>
        </row>
        <row r="687">
          <cell r="A687">
            <v>686</v>
          </cell>
          <cell r="F687" t="str">
            <v/>
          </cell>
          <cell r="G687" t="str">
            <v/>
          </cell>
          <cell r="H687" t="str">
            <v/>
          </cell>
          <cell r="I687" t="str">
            <v/>
          </cell>
          <cell r="J687" t="str">
            <v/>
          </cell>
          <cell r="K687" t="str">
            <v/>
          </cell>
          <cell r="L687" t="str">
            <v/>
          </cell>
        </row>
        <row r="688">
          <cell r="A688">
            <v>687</v>
          </cell>
          <cell r="F688" t="str">
            <v/>
          </cell>
          <cell r="G688" t="str">
            <v/>
          </cell>
          <cell r="H688" t="str">
            <v/>
          </cell>
          <cell r="I688" t="str">
            <v/>
          </cell>
          <cell r="J688" t="str">
            <v/>
          </cell>
          <cell r="K688" t="str">
            <v/>
          </cell>
          <cell r="L688" t="str">
            <v/>
          </cell>
        </row>
        <row r="689">
          <cell r="A689">
            <v>688</v>
          </cell>
          <cell r="F689" t="str">
            <v/>
          </cell>
          <cell r="G689" t="str">
            <v/>
          </cell>
          <cell r="H689" t="str">
            <v/>
          </cell>
          <cell r="I689" t="str">
            <v/>
          </cell>
          <cell r="J689" t="str">
            <v/>
          </cell>
          <cell r="K689" t="str">
            <v/>
          </cell>
          <cell r="L689" t="str">
            <v/>
          </cell>
        </row>
        <row r="690">
          <cell r="A690">
            <v>689</v>
          </cell>
          <cell r="F690" t="str">
            <v/>
          </cell>
          <cell r="G690" t="str">
            <v/>
          </cell>
          <cell r="H690" t="str">
            <v/>
          </cell>
          <cell r="I690" t="str">
            <v/>
          </cell>
          <cell r="J690" t="str">
            <v/>
          </cell>
          <cell r="K690" t="str">
            <v/>
          </cell>
          <cell r="L690" t="str">
            <v/>
          </cell>
        </row>
        <row r="691">
          <cell r="A691">
            <v>690</v>
          </cell>
          <cell r="F691" t="str">
            <v/>
          </cell>
          <cell r="G691" t="str">
            <v/>
          </cell>
          <cell r="H691" t="str">
            <v/>
          </cell>
          <cell r="I691" t="str">
            <v/>
          </cell>
          <cell r="J691" t="str">
            <v/>
          </cell>
          <cell r="K691" t="str">
            <v/>
          </cell>
          <cell r="L691" t="str">
            <v/>
          </cell>
        </row>
        <row r="692">
          <cell r="A692">
            <v>691</v>
          </cell>
          <cell r="F692" t="str">
            <v/>
          </cell>
          <cell r="G692" t="str">
            <v/>
          </cell>
          <cell r="H692" t="str">
            <v/>
          </cell>
          <cell r="I692" t="str">
            <v/>
          </cell>
          <cell r="J692" t="str">
            <v/>
          </cell>
          <cell r="K692" t="str">
            <v/>
          </cell>
          <cell r="L692" t="str">
            <v/>
          </cell>
        </row>
        <row r="693">
          <cell r="A693">
            <v>692</v>
          </cell>
          <cell r="F693" t="str">
            <v/>
          </cell>
          <cell r="G693" t="str">
            <v/>
          </cell>
          <cell r="H693" t="str">
            <v/>
          </cell>
          <cell r="I693" t="str">
            <v/>
          </cell>
          <cell r="J693" t="str">
            <v/>
          </cell>
          <cell r="K693" t="str">
            <v/>
          </cell>
          <cell r="L693" t="str">
            <v/>
          </cell>
        </row>
        <row r="694">
          <cell r="A694">
            <v>693</v>
          </cell>
          <cell r="F694" t="str">
            <v/>
          </cell>
          <cell r="G694" t="str">
            <v/>
          </cell>
          <cell r="H694" t="str">
            <v/>
          </cell>
          <cell r="I694" t="str">
            <v/>
          </cell>
          <cell r="J694" t="str">
            <v/>
          </cell>
          <cell r="K694" t="str">
            <v/>
          </cell>
          <cell r="L694" t="str">
            <v/>
          </cell>
        </row>
        <row r="695">
          <cell r="A695">
            <v>694</v>
          </cell>
          <cell r="F695" t="str">
            <v/>
          </cell>
          <cell r="G695" t="str">
            <v/>
          </cell>
          <cell r="H695" t="str">
            <v/>
          </cell>
          <cell r="I695" t="str">
            <v/>
          </cell>
          <cell r="J695" t="str">
            <v/>
          </cell>
          <cell r="K695" t="str">
            <v/>
          </cell>
          <cell r="L695" t="str">
            <v/>
          </cell>
        </row>
        <row r="696">
          <cell r="A696">
            <v>695</v>
          </cell>
          <cell r="F696" t="str">
            <v/>
          </cell>
          <cell r="G696" t="str">
            <v/>
          </cell>
          <cell r="H696" t="str">
            <v/>
          </cell>
          <cell r="I696" t="str">
            <v/>
          </cell>
          <cell r="J696" t="str">
            <v/>
          </cell>
          <cell r="K696" t="str">
            <v/>
          </cell>
          <cell r="L696" t="str">
            <v/>
          </cell>
        </row>
        <row r="697">
          <cell r="A697">
            <v>696</v>
          </cell>
          <cell r="F697" t="str">
            <v/>
          </cell>
          <cell r="G697" t="str">
            <v/>
          </cell>
          <cell r="H697" t="str">
            <v/>
          </cell>
          <cell r="I697" t="str">
            <v/>
          </cell>
          <cell r="J697" t="str">
            <v/>
          </cell>
          <cell r="K697" t="str">
            <v/>
          </cell>
          <cell r="L697" t="str">
            <v/>
          </cell>
        </row>
        <row r="698">
          <cell r="A698">
            <v>697</v>
          </cell>
          <cell r="F698" t="str">
            <v/>
          </cell>
          <cell r="G698" t="str">
            <v/>
          </cell>
          <cell r="H698" t="str">
            <v/>
          </cell>
          <cell r="I698" t="str">
            <v/>
          </cell>
          <cell r="J698" t="str">
            <v/>
          </cell>
          <cell r="K698" t="str">
            <v/>
          </cell>
          <cell r="L698" t="str">
            <v/>
          </cell>
        </row>
        <row r="699">
          <cell r="A699">
            <v>698</v>
          </cell>
          <cell r="F699" t="str">
            <v/>
          </cell>
          <cell r="G699" t="str">
            <v/>
          </cell>
          <cell r="H699" t="str">
            <v/>
          </cell>
          <cell r="I699" t="str">
            <v/>
          </cell>
          <cell r="J699" t="str">
            <v/>
          </cell>
          <cell r="K699" t="str">
            <v/>
          </cell>
          <cell r="L699" t="str">
            <v/>
          </cell>
        </row>
        <row r="700">
          <cell r="A700">
            <v>699</v>
          </cell>
          <cell r="F700" t="str">
            <v/>
          </cell>
          <cell r="G700" t="str">
            <v/>
          </cell>
          <cell r="H700" t="str">
            <v/>
          </cell>
          <cell r="I700" t="str">
            <v/>
          </cell>
          <cell r="J700" t="str">
            <v/>
          </cell>
          <cell r="K700" t="str">
            <v/>
          </cell>
          <cell r="L700" t="str">
            <v/>
          </cell>
        </row>
        <row r="701">
          <cell r="A701">
            <v>700</v>
          </cell>
          <cell r="F701" t="str">
            <v/>
          </cell>
          <cell r="G701" t="str">
            <v/>
          </cell>
          <cell r="H701" t="str">
            <v/>
          </cell>
          <cell r="I701" t="str">
            <v/>
          </cell>
          <cell r="J701" t="str">
            <v/>
          </cell>
          <cell r="K701" t="str">
            <v/>
          </cell>
          <cell r="L701" t="str">
            <v/>
          </cell>
        </row>
        <row r="702">
          <cell r="A702">
            <v>701</v>
          </cell>
          <cell r="F702" t="str">
            <v/>
          </cell>
          <cell r="G702" t="str">
            <v/>
          </cell>
          <cell r="H702" t="str">
            <v/>
          </cell>
          <cell r="I702" t="str">
            <v/>
          </cell>
          <cell r="J702" t="str">
            <v/>
          </cell>
          <cell r="K702" t="str">
            <v/>
          </cell>
          <cell r="L702" t="str">
            <v/>
          </cell>
        </row>
        <row r="703">
          <cell r="A703">
            <v>702</v>
          </cell>
          <cell r="F703" t="str">
            <v/>
          </cell>
          <cell r="G703" t="str">
            <v/>
          </cell>
          <cell r="H703" t="str">
            <v/>
          </cell>
          <cell r="I703" t="str">
            <v/>
          </cell>
          <cell r="J703" t="str">
            <v/>
          </cell>
          <cell r="K703" t="str">
            <v/>
          </cell>
          <cell r="L703" t="str">
            <v/>
          </cell>
        </row>
        <row r="704">
          <cell r="A704">
            <v>703</v>
          </cell>
          <cell r="F704" t="str">
            <v/>
          </cell>
          <cell r="G704" t="str">
            <v/>
          </cell>
          <cell r="H704" t="str">
            <v/>
          </cell>
          <cell r="I704" t="str">
            <v/>
          </cell>
          <cell r="J704" t="str">
            <v/>
          </cell>
          <cell r="K704" t="str">
            <v/>
          </cell>
          <cell r="L704" t="str">
            <v/>
          </cell>
        </row>
        <row r="705">
          <cell r="A705">
            <v>704</v>
          </cell>
          <cell r="F705" t="str">
            <v/>
          </cell>
          <cell r="G705" t="str">
            <v/>
          </cell>
          <cell r="H705" t="str">
            <v/>
          </cell>
          <cell r="I705" t="str">
            <v/>
          </cell>
          <cell r="J705" t="str">
            <v/>
          </cell>
          <cell r="K705" t="str">
            <v/>
          </cell>
          <cell r="L705" t="str">
            <v/>
          </cell>
        </row>
        <row r="706">
          <cell r="A706">
            <v>705</v>
          </cell>
          <cell r="F706" t="str">
            <v/>
          </cell>
          <cell r="G706" t="str">
            <v/>
          </cell>
          <cell r="H706" t="str">
            <v/>
          </cell>
          <cell r="I706" t="str">
            <v/>
          </cell>
          <cell r="J706" t="str">
            <v/>
          </cell>
          <cell r="K706" t="str">
            <v/>
          </cell>
          <cell r="L706" t="str">
            <v/>
          </cell>
        </row>
        <row r="707">
          <cell r="A707">
            <v>706</v>
          </cell>
          <cell r="F707" t="str">
            <v/>
          </cell>
          <cell r="G707" t="str">
            <v/>
          </cell>
          <cell r="H707" t="str">
            <v/>
          </cell>
          <cell r="I707" t="str">
            <v/>
          </cell>
          <cell r="J707" t="str">
            <v/>
          </cell>
          <cell r="K707" t="str">
            <v/>
          </cell>
          <cell r="L707" t="str">
            <v/>
          </cell>
        </row>
        <row r="708">
          <cell r="A708">
            <v>707</v>
          </cell>
          <cell r="F708" t="str">
            <v/>
          </cell>
          <cell r="G708" t="str">
            <v/>
          </cell>
          <cell r="H708" t="str">
            <v/>
          </cell>
          <cell r="I708" t="str">
            <v/>
          </cell>
          <cell r="J708" t="str">
            <v/>
          </cell>
          <cell r="K708" t="str">
            <v/>
          </cell>
          <cell r="L708" t="str">
            <v/>
          </cell>
        </row>
        <row r="709">
          <cell r="A709">
            <v>708</v>
          </cell>
          <cell r="F709" t="str">
            <v/>
          </cell>
          <cell r="G709" t="str">
            <v/>
          </cell>
          <cell r="H709" t="str">
            <v/>
          </cell>
          <cell r="I709" t="str">
            <v/>
          </cell>
          <cell r="J709" t="str">
            <v/>
          </cell>
          <cell r="K709" t="str">
            <v/>
          </cell>
          <cell r="L709" t="str">
            <v/>
          </cell>
        </row>
        <row r="710">
          <cell r="A710">
            <v>709</v>
          </cell>
          <cell r="F710" t="str">
            <v/>
          </cell>
          <cell r="G710" t="str">
            <v/>
          </cell>
          <cell r="H710" t="str">
            <v/>
          </cell>
          <cell r="I710" t="str">
            <v/>
          </cell>
          <cell r="J710" t="str">
            <v/>
          </cell>
          <cell r="K710" t="str">
            <v/>
          </cell>
          <cell r="L710" t="str">
            <v/>
          </cell>
        </row>
        <row r="711">
          <cell r="A711">
            <v>710</v>
          </cell>
          <cell r="F711" t="str">
            <v/>
          </cell>
          <cell r="G711" t="str">
            <v/>
          </cell>
          <cell r="H711" t="str">
            <v/>
          </cell>
          <cell r="I711" t="str">
            <v/>
          </cell>
          <cell r="J711" t="str">
            <v/>
          </cell>
          <cell r="K711" t="str">
            <v/>
          </cell>
          <cell r="L711" t="str">
            <v/>
          </cell>
        </row>
        <row r="712">
          <cell r="A712">
            <v>711</v>
          </cell>
          <cell r="F712" t="str">
            <v/>
          </cell>
          <cell r="G712" t="str">
            <v/>
          </cell>
          <cell r="H712" t="str">
            <v/>
          </cell>
          <cell r="I712" t="str">
            <v/>
          </cell>
          <cell r="J712" t="str">
            <v/>
          </cell>
          <cell r="K712" t="str">
            <v/>
          </cell>
          <cell r="L712" t="str">
            <v/>
          </cell>
        </row>
        <row r="713">
          <cell r="A713">
            <v>712</v>
          </cell>
          <cell r="F713" t="str">
            <v/>
          </cell>
          <cell r="G713" t="str">
            <v/>
          </cell>
          <cell r="H713" t="str">
            <v/>
          </cell>
          <cell r="I713" t="str">
            <v/>
          </cell>
          <cell r="J713" t="str">
            <v/>
          </cell>
          <cell r="K713" t="str">
            <v/>
          </cell>
          <cell r="L713" t="str">
            <v/>
          </cell>
        </row>
        <row r="714">
          <cell r="A714">
            <v>713</v>
          </cell>
          <cell r="F714" t="str">
            <v/>
          </cell>
          <cell r="G714" t="str">
            <v/>
          </cell>
          <cell r="H714" t="str">
            <v/>
          </cell>
          <cell r="I714" t="str">
            <v/>
          </cell>
          <cell r="J714" t="str">
            <v/>
          </cell>
          <cell r="K714" t="str">
            <v/>
          </cell>
          <cell r="L714" t="str">
            <v/>
          </cell>
        </row>
        <row r="715">
          <cell r="A715">
            <v>714</v>
          </cell>
          <cell r="F715" t="str">
            <v/>
          </cell>
          <cell r="G715" t="str">
            <v/>
          </cell>
          <cell r="H715" t="str">
            <v/>
          </cell>
          <cell r="I715" t="str">
            <v/>
          </cell>
          <cell r="J715" t="str">
            <v/>
          </cell>
          <cell r="K715" t="str">
            <v/>
          </cell>
          <cell r="L715" t="str">
            <v/>
          </cell>
        </row>
        <row r="716">
          <cell r="A716">
            <v>715</v>
          </cell>
          <cell r="F716" t="str">
            <v/>
          </cell>
          <cell r="G716" t="str">
            <v/>
          </cell>
          <cell r="H716" t="str">
            <v/>
          </cell>
          <cell r="I716" t="str">
            <v/>
          </cell>
          <cell r="J716" t="str">
            <v/>
          </cell>
          <cell r="K716" t="str">
            <v/>
          </cell>
          <cell r="L716" t="str">
            <v/>
          </cell>
        </row>
        <row r="717">
          <cell r="A717">
            <v>716</v>
          </cell>
          <cell r="F717" t="str">
            <v/>
          </cell>
          <cell r="G717" t="str">
            <v/>
          </cell>
          <cell r="H717" t="str">
            <v/>
          </cell>
          <cell r="I717" t="str">
            <v/>
          </cell>
          <cell r="J717" t="str">
            <v/>
          </cell>
          <cell r="K717" t="str">
            <v/>
          </cell>
          <cell r="L717" t="str">
            <v/>
          </cell>
        </row>
        <row r="718">
          <cell r="A718">
            <v>717</v>
          </cell>
          <cell r="F718" t="str">
            <v/>
          </cell>
          <cell r="G718" t="str">
            <v/>
          </cell>
          <cell r="H718" t="str">
            <v/>
          </cell>
          <cell r="I718" t="str">
            <v/>
          </cell>
          <cell r="J718" t="str">
            <v/>
          </cell>
          <cell r="K718" t="str">
            <v/>
          </cell>
          <cell r="L718" t="str">
            <v/>
          </cell>
        </row>
        <row r="719">
          <cell r="A719">
            <v>718</v>
          </cell>
          <cell r="F719" t="str">
            <v/>
          </cell>
          <cell r="G719" t="str">
            <v/>
          </cell>
          <cell r="H719" t="str">
            <v/>
          </cell>
          <cell r="I719" t="str">
            <v/>
          </cell>
          <cell r="J719" t="str">
            <v/>
          </cell>
          <cell r="K719" t="str">
            <v/>
          </cell>
          <cell r="L719" t="str">
            <v/>
          </cell>
        </row>
        <row r="720">
          <cell r="A720">
            <v>719</v>
          </cell>
          <cell r="F720" t="str">
            <v/>
          </cell>
          <cell r="G720" t="str">
            <v/>
          </cell>
          <cell r="H720" t="str">
            <v/>
          </cell>
          <cell r="I720" t="str">
            <v/>
          </cell>
          <cell r="J720" t="str">
            <v/>
          </cell>
          <cell r="K720" t="str">
            <v/>
          </cell>
          <cell r="L720" t="str">
            <v/>
          </cell>
        </row>
        <row r="721">
          <cell r="A721">
            <v>720</v>
          </cell>
          <cell r="F721" t="str">
            <v/>
          </cell>
          <cell r="G721" t="str">
            <v/>
          </cell>
          <cell r="H721" t="str">
            <v/>
          </cell>
          <cell r="I721" t="str">
            <v/>
          </cell>
          <cell r="J721" t="str">
            <v/>
          </cell>
          <cell r="K721" t="str">
            <v/>
          </cell>
          <cell r="L721" t="str">
            <v/>
          </cell>
        </row>
        <row r="722">
          <cell r="A722">
            <v>721</v>
          </cell>
          <cell r="F722" t="str">
            <v/>
          </cell>
          <cell r="G722" t="str">
            <v/>
          </cell>
          <cell r="H722" t="str">
            <v/>
          </cell>
          <cell r="I722" t="str">
            <v/>
          </cell>
          <cell r="J722" t="str">
            <v/>
          </cell>
          <cell r="K722" t="str">
            <v/>
          </cell>
          <cell r="L722" t="str">
            <v/>
          </cell>
        </row>
        <row r="723">
          <cell r="A723">
            <v>722</v>
          </cell>
          <cell r="F723" t="str">
            <v/>
          </cell>
          <cell r="G723" t="str">
            <v/>
          </cell>
          <cell r="H723" t="str">
            <v/>
          </cell>
          <cell r="I723" t="str">
            <v/>
          </cell>
          <cell r="J723" t="str">
            <v/>
          </cell>
          <cell r="K723" t="str">
            <v/>
          </cell>
          <cell r="L723" t="str">
            <v/>
          </cell>
        </row>
        <row r="724">
          <cell r="A724">
            <v>723</v>
          </cell>
          <cell r="F724" t="str">
            <v/>
          </cell>
          <cell r="G724" t="str">
            <v/>
          </cell>
          <cell r="H724" t="str">
            <v/>
          </cell>
          <cell r="I724" t="str">
            <v/>
          </cell>
          <cell r="J724" t="str">
            <v/>
          </cell>
          <cell r="K724" t="str">
            <v/>
          </cell>
          <cell r="L724" t="str">
            <v/>
          </cell>
        </row>
        <row r="725">
          <cell r="A725">
            <v>724</v>
          </cell>
          <cell r="F725" t="str">
            <v/>
          </cell>
          <cell r="G725" t="str">
            <v/>
          </cell>
          <cell r="H725" t="str">
            <v/>
          </cell>
          <cell r="I725" t="str">
            <v/>
          </cell>
          <cell r="J725" t="str">
            <v/>
          </cell>
          <cell r="K725" t="str">
            <v/>
          </cell>
          <cell r="L725" t="str">
            <v/>
          </cell>
        </row>
        <row r="726">
          <cell r="A726">
            <v>725</v>
          </cell>
          <cell r="F726" t="str">
            <v/>
          </cell>
          <cell r="G726" t="str">
            <v/>
          </cell>
          <cell r="H726" t="str">
            <v/>
          </cell>
          <cell r="I726" t="str">
            <v/>
          </cell>
          <cell r="J726" t="str">
            <v/>
          </cell>
          <cell r="K726" t="str">
            <v/>
          </cell>
          <cell r="L726" t="str">
            <v/>
          </cell>
        </row>
        <row r="727">
          <cell r="A727">
            <v>726</v>
          </cell>
          <cell r="F727" t="str">
            <v/>
          </cell>
          <cell r="G727" t="str">
            <v/>
          </cell>
          <cell r="H727" t="str">
            <v/>
          </cell>
          <cell r="I727" t="str">
            <v/>
          </cell>
          <cell r="J727" t="str">
            <v/>
          </cell>
          <cell r="K727" t="str">
            <v/>
          </cell>
          <cell r="L727" t="str">
            <v/>
          </cell>
        </row>
        <row r="728">
          <cell r="A728">
            <v>727</v>
          </cell>
          <cell r="F728" t="str">
            <v/>
          </cell>
          <cell r="G728" t="str">
            <v/>
          </cell>
          <cell r="H728" t="str">
            <v/>
          </cell>
          <cell r="I728" t="str">
            <v/>
          </cell>
          <cell r="J728" t="str">
            <v/>
          </cell>
          <cell r="K728" t="str">
            <v/>
          </cell>
          <cell r="L728" t="str">
            <v/>
          </cell>
        </row>
        <row r="729">
          <cell r="A729">
            <v>728</v>
          </cell>
          <cell r="F729" t="str">
            <v/>
          </cell>
          <cell r="G729" t="str">
            <v/>
          </cell>
          <cell r="H729" t="str">
            <v/>
          </cell>
          <cell r="I729" t="str">
            <v/>
          </cell>
          <cell r="J729" t="str">
            <v/>
          </cell>
          <cell r="K729" t="str">
            <v/>
          </cell>
          <cell r="L729" t="str">
            <v/>
          </cell>
        </row>
        <row r="730">
          <cell r="A730">
            <v>729</v>
          </cell>
          <cell r="F730" t="str">
            <v/>
          </cell>
          <cell r="G730" t="str">
            <v/>
          </cell>
          <cell r="H730" t="str">
            <v/>
          </cell>
          <cell r="I730" t="str">
            <v/>
          </cell>
          <cell r="J730" t="str">
            <v/>
          </cell>
          <cell r="K730" t="str">
            <v/>
          </cell>
          <cell r="L730" t="str">
            <v/>
          </cell>
        </row>
        <row r="731">
          <cell r="A731">
            <v>730</v>
          </cell>
          <cell r="F731" t="str">
            <v/>
          </cell>
          <cell r="G731" t="str">
            <v/>
          </cell>
          <cell r="H731" t="str">
            <v/>
          </cell>
          <cell r="I731" t="str">
            <v/>
          </cell>
          <cell r="J731" t="str">
            <v/>
          </cell>
          <cell r="K731" t="str">
            <v/>
          </cell>
          <cell r="L731" t="str">
            <v/>
          </cell>
        </row>
        <row r="732">
          <cell r="A732">
            <v>731</v>
          </cell>
          <cell r="F732" t="str">
            <v/>
          </cell>
          <cell r="G732" t="str">
            <v/>
          </cell>
          <cell r="H732" t="str">
            <v/>
          </cell>
          <cell r="I732" t="str">
            <v/>
          </cell>
          <cell r="J732" t="str">
            <v/>
          </cell>
          <cell r="K732" t="str">
            <v/>
          </cell>
          <cell r="L732" t="str">
            <v/>
          </cell>
        </row>
        <row r="733">
          <cell r="A733">
            <v>732</v>
          </cell>
          <cell r="F733" t="str">
            <v/>
          </cell>
          <cell r="G733" t="str">
            <v/>
          </cell>
          <cell r="H733" t="str">
            <v/>
          </cell>
          <cell r="I733" t="str">
            <v/>
          </cell>
          <cell r="J733" t="str">
            <v/>
          </cell>
          <cell r="K733" t="str">
            <v/>
          </cell>
          <cell r="L733" t="str">
            <v/>
          </cell>
        </row>
        <row r="734">
          <cell r="A734">
            <v>733</v>
          </cell>
          <cell r="F734" t="str">
            <v/>
          </cell>
          <cell r="G734" t="str">
            <v/>
          </cell>
          <cell r="H734" t="str">
            <v/>
          </cell>
          <cell r="I734" t="str">
            <v/>
          </cell>
          <cell r="J734" t="str">
            <v/>
          </cell>
          <cell r="K734" t="str">
            <v/>
          </cell>
          <cell r="L734" t="str">
            <v/>
          </cell>
        </row>
        <row r="735">
          <cell r="A735">
            <v>734</v>
          </cell>
          <cell r="F735" t="str">
            <v/>
          </cell>
          <cell r="G735" t="str">
            <v/>
          </cell>
          <cell r="H735" t="str">
            <v/>
          </cell>
          <cell r="I735" t="str">
            <v/>
          </cell>
          <cell r="J735" t="str">
            <v/>
          </cell>
          <cell r="K735" t="str">
            <v/>
          </cell>
          <cell r="L735" t="str">
            <v/>
          </cell>
        </row>
        <row r="736">
          <cell r="A736">
            <v>735</v>
          </cell>
          <cell r="F736" t="str">
            <v/>
          </cell>
          <cell r="G736" t="str">
            <v/>
          </cell>
          <cell r="H736" t="str">
            <v/>
          </cell>
          <cell r="I736" t="str">
            <v/>
          </cell>
          <cell r="J736" t="str">
            <v/>
          </cell>
          <cell r="K736" t="str">
            <v/>
          </cell>
          <cell r="L736" t="str">
            <v/>
          </cell>
        </row>
        <row r="737">
          <cell r="A737">
            <v>736</v>
          </cell>
          <cell r="F737" t="str">
            <v/>
          </cell>
          <cell r="G737" t="str">
            <v/>
          </cell>
          <cell r="H737" t="str">
            <v/>
          </cell>
          <cell r="I737" t="str">
            <v/>
          </cell>
          <cell r="J737" t="str">
            <v/>
          </cell>
          <cell r="K737" t="str">
            <v/>
          </cell>
          <cell r="L737" t="str">
            <v/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BC64-698F-48D3-88F7-C50AD3662B96}">
  <sheetPr codeName="Sheet9"/>
  <dimension ref="A1:M1808"/>
  <sheetViews>
    <sheetView zoomScale="70" zoomScaleNormal="100" zoomScaleSheetLayoutView="100" workbookViewId="0">
      <selection activeCell="K4" sqref="K4"/>
    </sheetView>
  </sheetViews>
  <sheetFormatPr defaultColWidth="9.109375" defaultRowHeight="17.399999999999999"/>
  <cols>
    <col min="1" max="1" width="9.109375" style="22"/>
    <col min="2" max="2" width="9.5546875" style="22" customWidth="1"/>
    <col min="3" max="3" width="7.88671875" style="22" customWidth="1"/>
    <col min="4" max="4" width="21" style="22" customWidth="1"/>
    <col min="5" max="5" width="7.33203125" style="22" customWidth="1"/>
    <col min="6" max="11" width="11.44140625" style="22" customWidth="1"/>
    <col min="12" max="12" width="11" style="22" customWidth="1"/>
    <col min="13" max="257" width="9.109375" style="22"/>
    <col min="258" max="258" width="9.5546875" style="22" customWidth="1"/>
    <col min="259" max="259" width="7.88671875" style="22" customWidth="1"/>
    <col min="260" max="260" width="21" style="22" customWidth="1"/>
    <col min="261" max="261" width="7.33203125" style="22" customWidth="1"/>
    <col min="262" max="267" width="11.44140625" style="22" customWidth="1"/>
    <col min="268" max="268" width="11" style="22" customWidth="1"/>
    <col min="269" max="513" width="9.109375" style="22"/>
    <col min="514" max="514" width="9.5546875" style="22" customWidth="1"/>
    <col min="515" max="515" width="7.88671875" style="22" customWidth="1"/>
    <col min="516" max="516" width="21" style="22" customWidth="1"/>
    <col min="517" max="517" width="7.33203125" style="22" customWidth="1"/>
    <col min="518" max="523" width="11.44140625" style="22" customWidth="1"/>
    <col min="524" max="524" width="11" style="22" customWidth="1"/>
    <col min="525" max="769" width="9.109375" style="22"/>
    <col min="770" max="770" width="9.5546875" style="22" customWidth="1"/>
    <col min="771" max="771" width="7.88671875" style="22" customWidth="1"/>
    <col min="772" max="772" width="21" style="22" customWidth="1"/>
    <col min="773" max="773" width="7.33203125" style="22" customWidth="1"/>
    <col min="774" max="779" width="11.44140625" style="22" customWidth="1"/>
    <col min="780" max="780" width="11" style="22" customWidth="1"/>
    <col min="781" max="1025" width="9.109375" style="22"/>
    <col min="1026" max="1026" width="9.5546875" style="22" customWidth="1"/>
    <col min="1027" max="1027" width="7.88671875" style="22" customWidth="1"/>
    <col min="1028" max="1028" width="21" style="22" customWidth="1"/>
    <col min="1029" max="1029" width="7.33203125" style="22" customWidth="1"/>
    <col min="1030" max="1035" width="11.44140625" style="22" customWidth="1"/>
    <col min="1036" max="1036" width="11" style="22" customWidth="1"/>
    <col min="1037" max="1281" width="9.109375" style="22"/>
    <col min="1282" max="1282" width="9.5546875" style="22" customWidth="1"/>
    <col min="1283" max="1283" width="7.88671875" style="22" customWidth="1"/>
    <col min="1284" max="1284" width="21" style="22" customWidth="1"/>
    <col min="1285" max="1285" width="7.33203125" style="22" customWidth="1"/>
    <col min="1286" max="1291" width="11.44140625" style="22" customWidth="1"/>
    <col min="1292" max="1292" width="11" style="22" customWidth="1"/>
    <col min="1293" max="1537" width="9.109375" style="22"/>
    <col min="1538" max="1538" width="9.5546875" style="22" customWidth="1"/>
    <col min="1539" max="1539" width="7.88671875" style="22" customWidth="1"/>
    <col min="1540" max="1540" width="21" style="22" customWidth="1"/>
    <col min="1541" max="1541" width="7.33203125" style="22" customWidth="1"/>
    <col min="1542" max="1547" width="11.44140625" style="22" customWidth="1"/>
    <col min="1548" max="1548" width="11" style="22" customWidth="1"/>
    <col min="1549" max="1793" width="9.109375" style="22"/>
    <col min="1794" max="1794" width="9.5546875" style="22" customWidth="1"/>
    <col min="1795" max="1795" width="7.88671875" style="22" customWidth="1"/>
    <col min="1796" max="1796" width="21" style="22" customWidth="1"/>
    <col min="1797" max="1797" width="7.33203125" style="22" customWidth="1"/>
    <col min="1798" max="1803" width="11.44140625" style="22" customWidth="1"/>
    <col min="1804" max="1804" width="11" style="22" customWidth="1"/>
    <col min="1805" max="2049" width="9.109375" style="22"/>
    <col min="2050" max="2050" width="9.5546875" style="22" customWidth="1"/>
    <col min="2051" max="2051" width="7.88671875" style="22" customWidth="1"/>
    <col min="2052" max="2052" width="21" style="22" customWidth="1"/>
    <col min="2053" max="2053" width="7.33203125" style="22" customWidth="1"/>
    <col min="2054" max="2059" width="11.44140625" style="22" customWidth="1"/>
    <col min="2060" max="2060" width="11" style="22" customWidth="1"/>
    <col min="2061" max="2305" width="9.109375" style="22"/>
    <col min="2306" max="2306" width="9.5546875" style="22" customWidth="1"/>
    <col min="2307" max="2307" width="7.88671875" style="22" customWidth="1"/>
    <col min="2308" max="2308" width="21" style="22" customWidth="1"/>
    <col min="2309" max="2309" width="7.33203125" style="22" customWidth="1"/>
    <col min="2310" max="2315" width="11.44140625" style="22" customWidth="1"/>
    <col min="2316" max="2316" width="11" style="22" customWidth="1"/>
    <col min="2317" max="2561" width="9.109375" style="22"/>
    <col min="2562" max="2562" width="9.5546875" style="22" customWidth="1"/>
    <col min="2563" max="2563" width="7.88671875" style="22" customWidth="1"/>
    <col min="2564" max="2564" width="21" style="22" customWidth="1"/>
    <col min="2565" max="2565" width="7.33203125" style="22" customWidth="1"/>
    <col min="2566" max="2571" width="11.44140625" style="22" customWidth="1"/>
    <col min="2572" max="2572" width="11" style="22" customWidth="1"/>
    <col min="2573" max="2817" width="9.109375" style="22"/>
    <col min="2818" max="2818" width="9.5546875" style="22" customWidth="1"/>
    <col min="2819" max="2819" width="7.88671875" style="22" customWidth="1"/>
    <col min="2820" max="2820" width="21" style="22" customWidth="1"/>
    <col min="2821" max="2821" width="7.33203125" style="22" customWidth="1"/>
    <col min="2822" max="2827" width="11.44140625" style="22" customWidth="1"/>
    <col min="2828" max="2828" width="11" style="22" customWidth="1"/>
    <col min="2829" max="3073" width="9.109375" style="22"/>
    <col min="3074" max="3074" width="9.5546875" style="22" customWidth="1"/>
    <col min="3075" max="3075" width="7.88671875" style="22" customWidth="1"/>
    <col min="3076" max="3076" width="21" style="22" customWidth="1"/>
    <col min="3077" max="3077" width="7.33203125" style="22" customWidth="1"/>
    <col min="3078" max="3083" width="11.44140625" style="22" customWidth="1"/>
    <col min="3084" max="3084" width="11" style="22" customWidth="1"/>
    <col min="3085" max="3329" width="9.109375" style="22"/>
    <col min="3330" max="3330" width="9.5546875" style="22" customWidth="1"/>
    <col min="3331" max="3331" width="7.88671875" style="22" customWidth="1"/>
    <col min="3332" max="3332" width="21" style="22" customWidth="1"/>
    <col min="3333" max="3333" width="7.33203125" style="22" customWidth="1"/>
    <col min="3334" max="3339" width="11.44140625" style="22" customWidth="1"/>
    <col min="3340" max="3340" width="11" style="22" customWidth="1"/>
    <col min="3341" max="3585" width="9.109375" style="22"/>
    <col min="3586" max="3586" width="9.5546875" style="22" customWidth="1"/>
    <col min="3587" max="3587" width="7.88671875" style="22" customWidth="1"/>
    <col min="3588" max="3588" width="21" style="22" customWidth="1"/>
    <col min="3589" max="3589" width="7.33203125" style="22" customWidth="1"/>
    <col min="3590" max="3595" width="11.44140625" style="22" customWidth="1"/>
    <col min="3596" max="3596" width="11" style="22" customWidth="1"/>
    <col min="3597" max="3841" width="9.109375" style="22"/>
    <col min="3842" max="3842" width="9.5546875" style="22" customWidth="1"/>
    <col min="3843" max="3843" width="7.88671875" style="22" customWidth="1"/>
    <col min="3844" max="3844" width="21" style="22" customWidth="1"/>
    <col min="3845" max="3845" width="7.33203125" style="22" customWidth="1"/>
    <col min="3846" max="3851" width="11.44140625" style="22" customWidth="1"/>
    <col min="3852" max="3852" width="11" style="22" customWidth="1"/>
    <col min="3853" max="4097" width="9.109375" style="22"/>
    <col min="4098" max="4098" width="9.5546875" style="22" customWidth="1"/>
    <col min="4099" max="4099" width="7.88671875" style="22" customWidth="1"/>
    <col min="4100" max="4100" width="21" style="22" customWidth="1"/>
    <col min="4101" max="4101" width="7.33203125" style="22" customWidth="1"/>
    <col min="4102" max="4107" width="11.44140625" style="22" customWidth="1"/>
    <col min="4108" max="4108" width="11" style="22" customWidth="1"/>
    <col min="4109" max="4353" width="9.109375" style="22"/>
    <col min="4354" max="4354" width="9.5546875" style="22" customWidth="1"/>
    <col min="4355" max="4355" width="7.88671875" style="22" customWidth="1"/>
    <col min="4356" max="4356" width="21" style="22" customWidth="1"/>
    <col min="4357" max="4357" width="7.33203125" style="22" customWidth="1"/>
    <col min="4358" max="4363" width="11.44140625" style="22" customWidth="1"/>
    <col min="4364" max="4364" width="11" style="22" customWidth="1"/>
    <col min="4365" max="4609" width="9.109375" style="22"/>
    <col min="4610" max="4610" width="9.5546875" style="22" customWidth="1"/>
    <col min="4611" max="4611" width="7.88671875" style="22" customWidth="1"/>
    <col min="4612" max="4612" width="21" style="22" customWidth="1"/>
    <col min="4613" max="4613" width="7.33203125" style="22" customWidth="1"/>
    <col min="4614" max="4619" width="11.44140625" style="22" customWidth="1"/>
    <col min="4620" max="4620" width="11" style="22" customWidth="1"/>
    <col min="4621" max="4865" width="9.109375" style="22"/>
    <col min="4866" max="4866" width="9.5546875" style="22" customWidth="1"/>
    <col min="4867" max="4867" width="7.88671875" style="22" customWidth="1"/>
    <col min="4868" max="4868" width="21" style="22" customWidth="1"/>
    <col min="4869" max="4869" width="7.33203125" style="22" customWidth="1"/>
    <col min="4870" max="4875" width="11.44140625" style="22" customWidth="1"/>
    <col min="4876" max="4876" width="11" style="22" customWidth="1"/>
    <col min="4877" max="5121" width="9.109375" style="22"/>
    <col min="5122" max="5122" width="9.5546875" style="22" customWidth="1"/>
    <col min="5123" max="5123" width="7.88671875" style="22" customWidth="1"/>
    <col min="5124" max="5124" width="21" style="22" customWidth="1"/>
    <col min="5125" max="5125" width="7.33203125" style="22" customWidth="1"/>
    <col min="5126" max="5131" width="11.44140625" style="22" customWidth="1"/>
    <col min="5132" max="5132" width="11" style="22" customWidth="1"/>
    <col min="5133" max="5377" width="9.109375" style="22"/>
    <col min="5378" max="5378" width="9.5546875" style="22" customWidth="1"/>
    <col min="5379" max="5379" width="7.88671875" style="22" customWidth="1"/>
    <col min="5380" max="5380" width="21" style="22" customWidth="1"/>
    <col min="5381" max="5381" width="7.33203125" style="22" customWidth="1"/>
    <col min="5382" max="5387" width="11.44140625" style="22" customWidth="1"/>
    <col min="5388" max="5388" width="11" style="22" customWidth="1"/>
    <col min="5389" max="5633" width="9.109375" style="22"/>
    <col min="5634" max="5634" width="9.5546875" style="22" customWidth="1"/>
    <col min="5635" max="5635" width="7.88671875" style="22" customWidth="1"/>
    <col min="5636" max="5636" width="21" style="22" customWidth="1"/>
    <col min="5637" max="5637" width="7.33203125" style="22" customWidth="1"/>
    <col min="5638" max="5643" width="11.44140625" style="22" customWidth="1"/>
    <col min="5644" max="5644" width="11" style="22" customWidth="1"/>
    <col min="5645" max="5889" width="9.109375" style="22"/>
    <col min="5890" max="5890" width="9.5546875" style="22" customWidth="1"/>
    <col min="5891" max="5891" width="7.88671875" style="22" customWidth="1"/>
    <col min="5892" max="5892" width="21" style="22" customWidth="1"/>
    <col min="5893" max="5893" width="7.33203125" style="22" customWidth="1"/>
    <col min="5894" max="5899" width="11.44140625" style="22" customWidth="1"/>
    <col min="5900" max="5900" width="11" style="22" customWidth="1"/>
    <col min="5901" max="6145" width="9.109375" style="22"/>
    <col min="6146" max="6146" width="9.5546875" style="22" customWidth="1"/>
    <col min="6147" max="6147" width="7.88671875" style="22" customWidth="1"/>
    <col min="6148" max="6148" width="21" style="22" customWidth="1"/>
    <col min="6149" max="6149" width="7.33203125" style="22" customWidth="1"/>
    <col min="6150" max="6155" width="11.44140625" style="22" customWidth="1"/>
    <col min="6156" max="6156" width="11" style="22" customWidth="1"/>
    <col min="6157" max="6401" width="9.109375" style="22"/>
    <col min="6402" max="6402" width="9.5546875" style="22" customWidth="1"/>
    <col min="6403" max="6403" width="7.88671875" style="22" customWidth="1"/>
    <col min="6404" max="6404" width="21" style="22" customWidth="1"/>
    <col min="6405" max="6405" width="7.33203125" style="22" customWidth="1"/>
    <col min="6406" max="6411" width="11.44140625" style="22" customWidth="1"/>
    <col min="6412" max="6412" width="11" style="22" customWidth="1"/>
    <col min="6413" max="6657" width="9.109375" style="22"/>
    <col min="6658" max="6658" width="9.5546875" style="22" customWidth="1"/>
    <col min="6659" max="6659" width="7.88671875" style="22" customWidth="1"/>
    <col min="6660" max="6660" width="21" style="22" customWidth="1"/>
    <col min="6661" max="6661" width="7.33203125" style="22" customWidth="1"/>
    <col min="6662" max="6667" width="11.44140625" style="22" customWidth="1"/>
    <col min="6668" max="6668" width="11" style="22" customWidth="1"/>
    <col min="6669" max="6913" width="9.109375" style="22"/>
    <col min="6914" max="6914" width="9.5546875" style="22" customWidth="1"/>
    <col min="6915" max="6915" width="7.88671875" style="22" customWidth="1"/>
    <col min="6916" max="6916" width="21" style="22" customWidth="1"/>
    <col min="6917" max="6917" width="7.33203125" style="22" customWidth="1"/>
    <col min="6918" max="6923" width="11.44140625" style="22" customWidth="1"/>
    <col min="6924" max="6924" width="11" style="22" customWidth="1"/>
    <col min="6925" max="7169" width="9.109375" style="22"/>
    <col min="7170" max="7170" width="9.5546875" style="22" customWidth="1"/>
    <col min="7171" max="7171" width="7.88671875" style="22" customWidth="1"/>
    <col min="7172" max="7172" width="21" style="22" customWidth="1"/>
    <col min="7173" max="7173" width="7.33203125" style="22" customWidth="1"/>
    <col min="7174" max="7179" width="11.44140625" style="22" customWidth="1"/>
    <col min="7180" max="7180" width="11" style="22" customWidth="1"/>
    <col min="7181" max="7425" width="9.109375" style="22"/>
    <col min="7426" max="7426" width="9.5546875" style="22" customWidth="1"/>
    <col min="7427" max="7427" width="7.88671875" style="22" customWidth="1"/>
    <col min="7428" max="7428" width="21" style="22" customWidth="1"/>
    <col min="7429" max="7429" width="7.33203125" style="22" customWidth="1"/>
    <col min="7430" max="7435" width="11.44140625" style="22" customWidth="1"/>
    <col min="7436" max="7436" width="11" style="22" customWidth="1"/>
    <col min="7437" max="7681" width="9.109375" style="22"/>
    <col min="7682" max="7682" width="9.5546875" style="22" customWidth="1"/>
    <col min="7683" max="7683" width="7.88671875" style="22" customWidth="1"/>
    <col min="7684" max="7684" width="21" style="22" customWidth="1"/>
    <col min="7685" max="7685" width="7.33203125" style="22" customWidth="1"/>
    <col min="7686" max="7691" width="11.44140625" style="22" customWidth="1"/>
    <col min="7692" max="7692" width="11" style="22" customWidth="1"/>
    <col min="7693" max="7937" width="9.109375" style="22"/>
    <col min="7938" max="7938" width="9.5546875" style="22" customWidth="1"/>
    <col min="7939" max="7939" width="7.88671875" style="22" customWidth="1"/>
    <col min="7940" max="7940" width="21" style="22" customWidth="1"/>
    <col min="7941" max="7941" width="7.33203125" style="22" customWidth="1"/>
    <col min="7942" max="7947" width="11.44140625" style="22" customWidth="1"/>
    <col min="7948" max="7948" width="11" style="22" customWidth="1"/>
    <col min="7949" max="8193" width="9.109375" style="22"/>
    <col min="8194" max="8194" width="9.5546875" style="22" customWidth="1"/>
    <col min="8195" max="8195" width="7.88671875" style="22" customWidth="1"/>
    <col min="8196" max="8196" width="21" style="22" customWidth="1"/>
    <col min="8197" max="8197" width="7.33203125" style="22" customWidth="1"/>
    <col min="8198" max="8203" width="11.44140625" style="22" customWidth="1"/>
    <col min="8204" max="8204" width="11" style="22" customWidth="1"/>
    <col min="8205" max="8449" width="9.109375" style="22"/>
    <col min="8450" max="8450" width="9.5546875" style="22" customWidth="1"/>
    <col min="8451" max="8451" width="7.88671875" style="22" customWidth="1"/>
    <col min="8452" max="8452" width="21" style="22" customWidth="1"/>
    <col min="8453" max="8453" width="7.33203125" style="22" customWidth="1"/>
    <col min="8454" max="8459" width="11.44140625" style="22" customWidth="1"/>
    <col min="8460" max="8460" width="11" style="22" customWidth="1"/>
    <col min="8461" max="8705" width="9.109375" style="22"/>
    <col min="8706" max="8706" width="9.5546875" style="22" customWidth="1"/>
    <col min="8707" max="8707" width="7.88671875" style="22" customWidth="1"/>
    <col min="8708" max="8708" width="21" style="22" customWidth="1"/>
    <col min="8709" max="8709" width="7.33203125" style="22" customWidth="1"/>
    <col min="8710" max="8715" width="11.44140625" style="22" customWidth="1"/>
    <col min="8716" max="8716" width="11" style="22" customWidth="1"/>
    <col min="8717" max="8961" width="9.109375" style="22"/>
    <col min="8962" max="8962" width="9.5546875" style="22" customWidth="1"/>
    <col min="8963" max="8963" width="7.88671875" style="22" customWidth="1"/>
    <col min="8964" max="8964" width="21" style="22" customWidth="1"/>
    <col min="8965" max="8965" width="7.33203125" style="22" customWidth="1"/>
    <col min="8966" max="8971" width="11.44140625" style="22" customWidth="1"/>
    <col min="8972" max="8972" width="11" style="22" customWidth="1"/>
    <col min="8973" max="9217" width="9.109375" style="22"/>
    <col min="9218" max="9218" width="9.5546875" style="22" customWidth="1"/>
    <col min="9219" max="9219" width="7.88671875" style="22" customWidth="1"/>
    <col min="9220" max="9220" width="21" style="22" customWidth="1"/>
    <col min="9221" max="9221" width="7.33203125" style="22" customWidth="1"/>
    <col min="9222" max="9227" width="11.44140625" style="22" customWidth="1"/>
    <col min="9228" max="9228" width="11" style="22" customWidth="1"/>
    <col min="9229" max="9473" width="9.109375" style="22"/>
    <col min="9474" max="9474" width="9.5546875" style="22" customWidth="1"/>
    <col min="9475" max="9475" width="7.88671875" style="22" customWidth="1"/>
    <col min="9476" max="9476" width="21" style="22" customWidth="1"/>
    <col min="9477" max="9477" width="7.33203125" style="22" customWidth="1"/>
    <col min="9478" max="9483" width="11.44140625" style="22" customWidth="1"/>
    <col min="9484" max="9484" width="11" style="22" customWidth="1"/>
    <col min="9485" max="9729" width="9.109375" style="22"/>
    <col min="9730" max="9730" width="9.5546875" style="22" customWidth="1"/>
    <col min="9731" max="9731" width="7.88671875" style="22" customWidth="1"/>
    <col min="9732" max="9732" width="21" style="22" customWidth="1"/>
    <col min="9733" max="9733" width="7.33203125" style="22" customWidth="1"/>
    <col min="9734" max="9739" width="11.44140625" style="22" customWidth="1"/>
    <col min="9740" max="9740" width="11" style="22" customWidth="1"/>
    <col min="9741" max="9985" width="9.109375" style="22"/>
    <col min="9986" max="9986" width="9.5546875" style="22" customWidth="1"/>
    <col min="9987" max="9987" width="7.88671875" style="22" customWidth="1"/>
    <col min="9988" max="9988" width="21" style="22" customWidth="1"/>
    <col min="9989" max="9989" width="7.33203125" style="22" customWidth="1"/>
    <col min="9990" max="9995" width="11.44140625" style="22" customWidth="1"/>
    <col min="9996" max="9996" width="11" style="22" customWidth="1"/>
    <col min="9997" max="10241" width="9.109375" style="22"/>
    <col min="10242" max="10242" width="9.5546875" style="22" customWidth="1"/>
    <col min="10243" max="10243" width="7.88671875" style="22" customWidth="1"/>
    <col min="10244" max="10244" width="21" style="22" customWidth="1"/>
    <col min="10245" max="10245" width="7.33203125" style="22" customWidth="1"/>
    <col min="10246" max="10251" width="11.44140625" style="22" customWidth="1"/>
    <col min="10252" max="10252" width="11" style="22" customWidth="1"/>
    <col min="10253" max="10497" width="9.109375" style="22"/>
    <col min="10498" max="10498" width="9.5546875" style="22" customWidth="1"/>
    <col min="10499" max="10499" width="7.88671875" style="22" customWidth="1"/>
    <col min="10500" max="10500" width="21" style="22" customWidth="1"/>
    <col min="10501" max="10501" width="7.33203125" style="22" customWidth="1"/>
    <col min="10502" max="10507" width="11.44140625" style="22" customWidth="1"/>
    <col min="10508" max="10508" width="11" style="22" customWidth="1"/>
    <col min="10509" max="10753" width="9.109375" style="22"/>
    <col min="10754" max="10754" width="9.5546875" style="22" customWidth="1"/>
    <col min="10755" max="10755" width="7.88671875" style="22" customWidth="1"/>
    <col min="10756" max="10756" width="21" style="22" customWidth="1"/>
    <col min="10757" max="10757" width="7.33203125" style="22" customWidth="1"/>
    <col min="10758" max="10763" width="11.44140625" style="22" customWidth="1"/>
    <col min="10764" max="10764" width="11" style="22" customWidth="1"/>
    <col min="10765" max="11009" width="9.109375" style="22"/>
    <col min="11010" max="11010" width="9.5546875" style="22" customWidth="1"/>
    <col min="11011" max="11011" width="7.88671875" style="22" customWidth="1"/>
    <col min="11012" max="11012" width="21" style="22" customWidth="1"/>
    <col min="11013" max="11013" width="7.33203125" style="22" customWidth="1"/>
    <col min="11014" max="11019" width="11.44140625" style="22" customWidth="1"/>
    <col min="11020" max="11020" width="11" style="22" customWidth="1"/>
    <col min="11021" max="11265" width="9.109375" style="22"/>
    <col min="11266" max="11266" width="9.5546875" style="22" customWidth="1"/>
    <col min="11267" max="11267" width="7.88671875" style="22" customWidth="1"/>
    <col min="11268" max="11268" width="21" style="22" customWidth="1"/>
    <col min="11269" max="11269" width="7.33203125" style="22" customWidth="1"/>
    <col min="11270" max="11275" width="11.44140625" style="22" customWidth="1"/>
    <col min="11276" max="11276" width="11" style="22" customWidth="1"/>
    <col min="11277" max="11521" width="9.109375" style="22"/>
    <col min="11522" max="11522" width="9.5546875" style="22" customWidth="1"/>
    <col min="11523" max="11523" width="7.88671875" style="22" customWidth="1"/>
    <col min="11524" max="11524" width="21" style="22" customWidth="1"/>
    <col min="11525" max="11525" width="7.33203125" style="22" customWidth="1"/>
    <col min="11526" max="11531" width="11.44140625" style="22" customWidth="1"/>
    <col min="11532" max="11532" width="11" style="22" customWidth="1"/>
    <col min="11533" max="11777" width="9.109375" style="22"/>
    <col min="11778" max="11778" width="9.5546875" style="22" customWidth="1"/>
    <col min="11779" max="11779" width="7.88671875" style="22" customWidth="1"/>
    <col min="11780" max="11780" width="21" style="22" customWidth="1"/>
    <col min="11781" max="11781" width="7.33203125" style="22" customWidth="1"/>
    <col min="11782" max="11787" width="11.44140625" style="22" customWidth="1"/>
    <col min="11788" max="11788" width="11" style="22" customWidth="1"/>
    <col min="11789" max="12033" width="9.109375" style="22"/>
    <col min="12034" max="12034" width="9.5546875" style="22" customWidth="1"/>
    <col min="12035" max="12035" width="7.88671875" style="22" customWidth="1"/>
    <col min="12036" max="12036" width="21" style="22" customWidth="1"/>
    <col min="12037" max="12037" width="7.33203125" style="22" customWidth="1"/>
    <col min="12038" max="12043" width="11.44140625" style="22" customWidth="1"/>
    <col min="12044" max="12044" width="11" style="22" customWidth="1"/>
    <col min="12045" max="12289" width="9.109375" style="22"/>
    <col min="12290" max="12290" width="9.5546875" style="22" customWidth="1"/>
    <col min="12291" max="12291" width="7.88671875" style="22" customWidth="1"/>
    <col min="12292" max="12292" width="21" style="22" customWidth="1"/>
    <col min="12293" max="12293" width="7.33203125" style="22" customWidth="1"/>
    <col min="12294" max="12299" width="11.44140625" style="22" customWidth="1"/>
    <col min="12300" max="12300" width="11" style="22" customWidth="1"/>
    <col min="12301" max="12545" width="9.109375" style="22"/>
    <col min="12546" max="12546" width="9.5546875" style="22" customWidth="1"/>
    <col min="12547" max="12547" width="7.88671875" style="22" customWidth="1"/>
    <col min="12548" max="12548" width="21" style="22" customWidth="1"/>
    <col min="12549" max="12549" width="7.33203125" style="22" customWidth="1"/>
    <col min="12550" max="12555" width="11.44140625" style="22" customWidth="1"/>
    <col min="12556" max="12556" width="11" style="22" customWidth="1"/>
    <col min="12557" max="12801" width="9.109375" style="22"/>
    <col min="12802" max="12802" width="9.5546875" style="22" customWidth="1"/>
    <col min="12803" max="12803" width="7.88671875" style="22" customWidth="1"/>
    <col min="12804" max="12804" width="21" style="22" customWidth="1"/>
    <col min="12805" max="12805" width="7.33203125" style="22" customWidth="1"/>
    <col min="12806" max="12811" width="11.44140625" style="22" customWidth="1"/>
    <col min="12812" max="12812" width="11" style="22" customWidth="1"/>
    <col min="12813" max="13057" width="9.109375" style="22"/>
    <col min="13058" max="13058" width="9.5546875" style="22" customWidth="1"/>
    <col min="13059" max="13059" width="7.88671875" style="22" customWidth="1"/>
    <col min="13060" max="13060" width="21" style="22" customWidth="1"/>
    <col min="13061" max="13061" width="7.33203125" style="22" customWidth="1"/>
    <col min="13062" max="13067" width="11.44140625" style="22" customWidth="1"/>
    <col min="13068" max="13068" width="11" style="22" customWidth="1"/>
    <col min="13069" max="13313" width="9.109375" style="22"/>
    <col min="13314" max="13314" width="9.5546875" style="22" customWidth="1"/>
    <col min="13315" max="13315" width="7.88671875" style="22" customWidth="1"/>
    <col min="13316" max="13316" width="21" style="22" customWidth="1"/>
    <col min="13317" max="13317" width="7.33203125" style="22" customWidth="1"/>
    <col min="13318" max="13323" width="11.44140625" style="22" customWidth="1"/>
    <col min="13324" max="13324" width="11" style="22" customWidth="1"/>
    <col min="13325" max="13569" width="9.109375" style="22"/>
    <col min="13570" max="13570" width="9.5546875" style="22" customWidth="1"/>
    <col min="13571" max="13571" width="7.88671875" style="22" customWidth="1"/>
    <col min="13572" max="13572" width="21" style="22" customWidth="1"/>
    <col min="13573" max="13573" width="7.33203125" style="22" customWidth="1"/>
    <col min="13574" max="13579" width="11.44140625" style="22" customWidth="1"/>
    <col min="13580" max="13580" width="11" style="22" customWidth="1"/>
    <col min="13581" max="13825" width="9.109375" style="22"/>
    <col min="13826" max="13826" width="9.5546875" style="22" customWidth="1"/>
    <col min="13827" max="13827" width="7.88671875" style="22" customWidth="1"/>
    <col min="13828" max="13828" width="21" style="22" customWidth="1"/>
    <col min="13829" max="13829" width="7.33203125" style="22" customWidth="1"/>
    <col min="13830" max="13835" width="11.44140625" style="22" customWidth="1"/>
    <col min="13836" max="13836" width="11" style="22" customWidth="1"/>
    <col min="13837" max="14081" width="9.109375" style="22"/>
    <col min="14082" max="14082" width="9.5546875" style="22" customWidth="1"/>
    <col min="14083" max="14083" width="7.88671875" style="22" customWidth="1"/>
    <col min="14084" max="14084" width="21" style="22" customWidth="1"/>
    <col min="14085" max="14085" width="7.33203125" style="22" customWidth="1"/>
    <col min="14086" max="14091" width="11.44140625" style="22" customWidth="1"/>
    <col min="14092" max="14092" width="11" style="22" customWidth="1"/>
    <col min="14093" max="14337" width="9.109375" style="22"/>
    <col min="14338" max="14338" width="9.5546875" style="22" customWidth="1"/>
    <col min="14339" max="14339" width="7.88671875" style="22" customWidth="1"/>
    <col min="14340" max="14340" width="21" style="22" customWidth="1"/>
    <col min="14341" max="14341" width="7.33203125" style="22" customWidth="1"/>
    <col min="14342" max="14347" width="11.44140625" style="22" customWidth="1"/>
    <col min="14348" max="14348" width="11" style="22" customWidth="1"/>
    <col min="14349" max="14593" width="9.109375" style="22"/>
    <col min="14594" max="14594" width="9.5546875" style="22" customWidth="1"/>
    <col min="14595" max="14595" width="7.88671875" style="22" customWidth="1"/>
    <col min="14596" max="14596" width="21" style="22" customWidth="1"/>
    <col min="14597" max="14597" width="7.33203125" style="22" customWidth="1"/>
    <col min="14598" max="14603" width="11.44140625" style="22" customWidth="1"/>
    <col min="14604" max="14604" width="11" style="22" customWidth="1"/>
    <col min="14605" max="14849" width="9.109375" style="22"/>
    <col min="14850" max="14850" width="9.5546875" style="22" customWidth="1"/>
    <col min="14851" max="14851" width="7.88671875" style="22" customWidth="1"/>
    <col min="14852" max="14852" width="21" style="22" customWidth="1"/>
    <col min="14853" max="14853" width="7.33203125" style="22" customWidth="1"/>
    <col min="14854" max="14859" width="11.44140625" style="22" customWidth="1"/>
    <col min="14860" max="14860" width="11" style="22" customWidth="1"/>
    <col min="14861" max="15105" width="9.109375" style="22"/>
    <col min="15106" max="15106" width="9.5546875" style="22" customWidth="1"/>
    <col min="15107" max="15107" width="7.88671875" style="22" customWidth="1"/>
    <col min="15108" max="15108" width="21" style="22" customWidth="1"/>
    <col min="15109" max="15109" width="7.33203125" style="22" customWidth="1"/>
    <col min="15110" max="15115" width="11.44140625" style="22" customWidth="1"/>
    <col min="15116" max="15116" width="11" style="22" customWidth="1"/>
    <col min="15117" max="15361" width="9.109375" style="22"/>
    <col min="15362" max="15362" width="9.5546875" style="22" customWidth="1"/>
    <col min="15363" max="15363" width="7.88671875" style="22" customWidth="1"/>
    <col min="15364" max="15364" width="21" style="22" customWidth="1"/>
    <col min="15365" max="15365" width="7.33203125" style="22" customWidth="1"/>
    <col min="15366" max="15371" width="11.44140625" style="22" customWidth="1"/>
    <col min="15372" max="15372" width="11" style="22" customWidth="1"/>
    <col min="15373" max="15617" width="9.109375" style="22"/>
    <col min="15618" max="15618" width="9.5546875" style="22" customWidth="1"/>
    <col min="15619" max="15619" width="7.88671875" style="22" customWidth="1"/>
    <col min="15620" max="15620" width="21" style="22" customWidth="1"/>
    <col min="15621" max="15621" width="7.33203125" style="22" customWidth="1"/>
    <col min="15622" max="15627" width="11.44140625" style="22" customWidth="1"/>
    <col min="15628" max="15628" width="11" style="22" customWidth="1"/>
    <col min="15629" max="15873" width="9.109375" style="22"/>
    <col min="15874" max="15874" width="9.5546875" style="22" customWidth="1"/>
    <col min="15875" max="15875" width="7.88671875" style="22" customWidth="1"/>
    <col min="15876" max="15876" width="21" style="22" customWidth="1"/>
    <col min="15877" max="15877" width="7.33203125" style="22" customWidth="1"/>
    <col min="15878" max="15883" width="11.44140625" style="22" customWidth="1"/>
    <col min="15884" max="15884" width="11" style="22" customWidth="1"/>
    <col min="15885" max="16129" width="9.109375" style="22"/>
    <col min="16130" max="16130" width="9.5546875" style="22" customWidth="1"/>
    <col min="16131" max="16131" width="7.88671875" style="22" customWidth="1"/>
    <col min="16132" max="16132" width="21" style="22" customWidth="1"/>
    <col min="16133" max="16133" width="7.33203125" style="22" customWidth="1"/>
    <col min="16134" max="16139" width="11.44140625" style="22" customWidth="1"/>
    <col min="16140" max="16140" width="11" style="22" customWidth="1"/>
    <col min="16141" max="16384" width="9.109375" style="22"/>
  </cols>
  <sheetData>
    <row r="1" spans="1:13" ht="18" thickTop="1">
      <c r="B1" s="23" t="s">
        <v>3204</v>
      </c>
      <c r="C1" s="24" t="s">
        <v>3205</v>
      </c>
      <c r="D1" s="25"/>
      <c r="E1" s="25"/>
      <c r="F1" s="25"/>
      <c r="G1" s="26" t="s">
        <v>3206</v>
      </c>
      <c r="H1" s="27"/>
      <c r="I1" s="27"/>
      <c r="J1" s="27"/>
      <c r="K1" s="28" t="s">
        <v>3207</v>
      </c>
      <c r="L1" s="29"/>
      <c r="M1" s="22" t="str">
        <f>G1</f>
        <v>Manager:</v>
      </c>
    </row>
    <row r="2" spans="1:13" ht="18" thickBot="1">
      <c r="B2" s="30">
        <v>1</v>
      </c>
      <c r="C2" s="31"/>
      <c r="D2" s="31"/>
      <c r="E2" s="31"/>
      <c r="F2" s="31"/>
      <c r="G2" s="32"/>
      <c r="H2" s="33"/>
      <c r="I2" s="33"/>
      <c r="J2" s="33"/>
      <c r="K2" s="34" t="e">
        <f>SUM(F15:L15)</f>
        <v>#REF!</v>
      </c>
      <c r="L2" s="35"/>
      <c r="M2" s="22">
        <f>G2</f>
        <v>0</v>
      </c>
    </row>
    <row r="3" spans="1:13" ht="18.600000000000001" thickTop="1">
      <c r="A3" s="22" t="s">
        <v>3208</v>
      </c>
      <c r="B3" s="36" t="s">
        <v>913</v>
      </c>
      <c r="C3" s="37" t="s">
        <v>912</v>
      </c>
      <c r="D3" s="38" t="s">
        <v>911</v>
      </c>
      <c r="E3" s="39" t="s">
        <v>3209</v>
      </c>
      <c r="F3" s="40" t="s">
        <v>3162</v>
      </c>
      <c r="G3" s="40" t="s">
        <v>3163</v>
      </c>
      <c r="H3" s="40" t="s">
        <v>3164</v>
      </c>
      <c r="I3" s="40" t="s">
        <v>3165</v>
      </c>
      <c r="J3" s="40" t="s">
        <v>3166</v>
      </c>
      <c r="K3" s="40" t="s">
        <v>3167</v>
      </c>
      <c r="L3" s="41" t="s">
        <v>3168</v>
      </c>
    </row>
    <row r="4" spans="1:13">
      <c r="A4" s="22">
        <v>2</v>
      </c>
      <c r="B4" s="64" t="str">
        <f>VLOOKUP($A4,'Player points'!$A$2:$M$832,6,FALSE)</f>
        <v>ARG</v>
      </c>
      <c r="C4" s="43" t="str">
        <f>VLOOKUP($A4,'Player points'!$A$2:$M$832,8,FALSE)</f>
        <v>G</v>
      </c>
      <c r="D4" s="43" t="str">
        <f>VLOOKUP($A4,'Player points'!$A$2:$M$832,7,FALSE)</f>
        <v>G Rulli</v>
      </c>
      <c r="E4" s="43"/>
      <c r="F4" s="43" t="str">
        <f>VLOOKUP($A4,'Player points'!$A$2:$M$832,9,FALSE)</f>
        <v/>
      </c>
      <c r="G4" s="43" t="str">
        <f>VLOOKUP($A4,'Player points'!$A$2:$M$832,10,FALSE)</f>
        <v/>
      </c>
      <c r="H4" s="43" t="str">
        <f>VLOOKUP($A4,'Player points'!$A$2:$M$832,11,FALSE)</f>
        <v/>
      </c>
      <c r="I4" s="43" t="str">
        <f>VLOOKUP($A4,'Player points'!$A$2:$M$832,12,FALSE)</f>
        <v/>
      </c>
      <c r="J4" s="43" t="str">
        <f>VLOOKUP($A4,'Player points'!$A$2:$M$832,13,FALSE)</f>
        <v/>
      </c>
      <c r="K4" s="43" t="e">
        <f>VLOOKUP($A4,'Player points'!$A$2:$M$832,14,FALSE)</f>
        <v>#REF!</v>
      </c>
      <c r="L4" s="44" t="e">
        <f>VLOOKUP($A4,'Player points'!$A$2:$M$832,15,FALSE)</f>
        <v>#REF!</v>
      </c>
    </row>
    <row r="5" spans="1:13">
      <c r="A5" s="22">
        <v>4</v>
      </c>
      <c r="B5" s="64" t="str">
        <f>VLOOKUP($A5,'Player points'!$A$2:$M$832,6,FALSE)</f>
        <v>ARG</v>
      </c>
      <c r="C5" s="43" t="str">
        <f>VLOOKUP($A5,'Player points'!$A$2:$M$832,8,FALSE)</f>
        <v>D</v>
      </c>
      <c r="D5" s="43" t="str">
        <f>VLOOKUP($A5,'Player points'!$A$2:$M$832,7,FALSE)</f>
        <v>J Foyth</v>
      </c>
      <c r="E5" s="43"/>
      <c r="F5" s="43" t="str">
        <f>VLOOKUP($A5,'Player points'!$A$2:$M$832,9,FALSE)</f>
        <v/>
      </c>
      <c r="G5" s="43" t="str">
        <f>VLOOKUP($A5,'Player points'!$A$2:$M$832,10,FALSE)</f>
        <v/>
      </c>
      <c r="H5" s="43" t="str">
        <f>VLOOKUP($A5,'Player points'!$A$2:$M$832,11,FALSE)</f>
        <v/>
      </c>
      <c r="I5" s="43" t="str">
        <f>VLOOKUP($A5,'Player points'!$A$2:$M$832,12,FALSE)</f>
        <v/>
      </c>
      <c r="J5" s="43" t="str">
        <f>VLOOKUP($A5,'Player points'!$A$2:$M$832,13,FALSE)</f>
        <v/>
      </c>
      <c r="K5" s="43" t="e">
        <f>VLOOKUP($A5,'Player points'!$A$2:$M$832,14,FALSE)</f>
        <v>#REF!</v>
      </c>
      <c r="L5" s="44" t="e">
        <f>VLOOKUP($A5,'Player points'!$A$2:$M$832,15,FALSE)</f>
        <v>#REF!</v>
      </c>
    </row>
    <row r="6" spans="1:13">
      <c r="A6" s="22">
        <v>5</v>
      </c>
      <c r="B6" s="64" t="str">
        <f>VLOOKUP($A6,'Player points'!$A$2:$M$832,6,FALSE)</f>
        <v>ARG</v>
      </c>
      <c r="C6" s="43" t="str">
        <f>VLOOKUP($A6,'Player points'!$A$2:$M$832,8,FALSE)</f>
        <v>D</v>
      </c>
      <c r="D6" s="43" t="str">
        <f>VLOOKUP($A6,'Player points'!$A$2:$M$832,7,FALSE)</f>
        <v>N Tagliafico</v>
      </c>
      <c r="E6" s="43"/>
      <c r="F6" s="43" t="str">
        <f>VLOOKUP($A6,'Player points'!$A$2:$M$832,9,FALSE)</f>
        <v/>
      </c>
      <c r="G6" s="43" t="str">
        <f>VLOOKUP($A6,'Player points'!$A$2:$M$832,10,FALSE)</f>
        <v/>
      </c>
      <c r="H6" s="43" t="str">
        <f>VLOOKUP($A6,'Player points'!$A$2:$M$832,11,FALSE)</f>
        <v/>
      </c>
      <c r="I6" s="43" t="str">
        <f>VLOOKUP($A6,'Player points'!$A$2:$M$832,12,FALSE)</f>
        <v/>
      </c>
      <c r="J6" s="43" t="str">
        <f>VLOOKUP($A6,'Player points'!$A$2:$M$832,13,FALSE)</f>
        <v/>
      </c>
      <c r="K6" s="43" t="e">
        <f>VLOOKUP($A6,'Player points'!$A$2:$M$832,14,FALSE)</f>
        <v>#REF!</v>
      </c>
      <c r="L6" s="44" t="e">
        <f>VLOOKUP($A6,'Player points'!$A$2:$M$832,15,FALSE)</f>
        <v>#REF!</v>
      </c>
    </row>
    <row r="7" spans="1:13">
      <c r="A7" s="22">
        <v>3</v>
      </c>
      <c r="B7" s="64" t="str">
        <f>VLOOKUP($A7,'Player points'!$A$2:$M$832,6,FALSE)</f>
        <v>ARG</v>
      </c>
      <c r="C7" s="43" t="str">
        <f>VLOOKUP($A7,'Player points'!$A$2:$M$832,8,FALSE)</f>
        <v>G</v>
      </c>
      <c r="D7" s="43" t="str">
        <f>VLOOKUP($A7,'Player points'!$A$2:$M$832,7,FALSE)</f>
        <v>E Martínez</v>
      </c>
      <c r="E7" s="43"/>
      <c r="F7" s="43" t="str">
        <f>VLOOKUP($A7,'Player points'!$A$2:$M$832,9,FALSE)</f>
        <v/>
      </c>
      <c r="G7" s="43" t="str">
        <f>VLOOKUP($A7,'Player points'!$A$2:$M$832,10,FALSE)</f>
        <v/>
      </c>
      <c r="H7" s="43" t="str">
        <f>VLOOKUP($A7,'Player points'!$A$2:$M$832,11,FALSE)</f>
        <v/>
      </c>
      <c r="I7" s="43" t="str">
        <f>VLOOKUP($A7,'Player points'!$A$2:$M$832,12,FALSE)</f>
        <v/>
      </c>
      <c r="J7" s="43" t="str">
        <f>VLOOKUP($A7,'Player points'!$A$2:$M$832,13,FALSE)</f>
        <v/>
      </c>
      <c r="K7" s="43" t="e">
        <f>VLOOKUP($A7,'Player points'!$A$2:$M$832,14,FALSE)</f>
        <v>#REF!</v>
      </c>
      <c r="L7" s="44" t="e">
        <f>VLOOKUP($A7,'Player points'!$A$2:$M$832,15,FALSE)</f>
        <v>#REF!</v>
      </c>
    </row>
    <row r="8" spans="1:13">
      <c r="A8" s="22">
        <v>6</v>
      </c>
      <c r="B8" s="64" t="str">
        <f>VLOOKUP($A8,'Player points'!$A$2:$M$832,6,FALSE)</f>
        <v>ARG</v>
      </c>
      <c r="C8" s="43" t="str">
        <f>VLOOKUP($A8,'Player points'!$A$2:$M$832,8,FALSE)</f>
        <v>D</v>
      </c>
      <c r="D8" s="43" t="str">
        <f>VLOOKUP($A8,'Player points'!$A$2:$M$832,7,FALSE)</f>
        <v>G Montiel</v>
      </c>
      <c r="E8" s="43"/>
      <c r="F8" s="43" t="str">
        <f>VLOOKUP($A8,'Player points'!$A$2:$M$832,9,FALSE)</f>
        <v/>
      </c>
      <c r="G8" s="43" t="str">
        <f>VLOOKUP($A8,'Player points'!$A$2:$M$832,10,FALSE)</f>
        <v/>
      </c>
      <c r="H8" s="43" t="str">
        <f>VLOOKUP($A8,'Player points'!$A$2:$M$832,11,FALSE)</f>
        <v/>
      </c>
      <c r="I8" s="43" t="str">
        <f>VLOOKUP($A8,'Player points'!$A$2:$M$832,12,FALSE)</f>
        <v/>
      </c>
      <c r="J8" s="43" t="str">
        <f>VLOOKUP($A8,'Player points'!$A$2:$M$832,13,FALSE)</f>
        <v/>
      </c>
      <c r="K8" s="43" t="e">
        <f>VLOOKUP($A8,'Player points'!$A$2:$M$832,14,FALSE)</f>
        <v>#REF!</v>
      </c>
      <c r="L8" s="44" t="e">
        <f>VLOOKUP($A8,'Player points'!$A$2:$M$832,15,FALSE)</f>
        <v>#REF!</v>
      </c>
    </row>
    <row r="9" spans="1:13">
      <c r="A9" s="22">
        <v>7</v>
      </c>
      <c r="B9" s="64" t="str">
        <f>VLOOKUP($A9,'Player points'!$A$2:$M$832,6,FALSE)</f>
        <v>ARG</v>
      </c>
      <c r="C9" s="43" t="str">
        <f>VLOOKUP($A9,'Player points'!$A$2:$M$832,8,FALSE)</f>
        <v>D</v>
      </c>
      <c r="D9" s="43" t="str">
        <f>VLOOKUP($A9,'Player points'!$A$2:$M$832,7,FALSE)</f>
        <v>G Pezzella</v>
      </c>
      <c r="E9" s="43"/>
      <c r="F9" s="43" t="str">
        <f>VLOOKUP($A9,'Player points'!$A$2:$M$832,9,FALSE)</f>
        <v/>
      </c>
      <c r="G9" s="43" t="str">
        <f>VLOOKUP($A9,'Player points'!$A$2:$M$832,10,FALSE)</f>
        <v/>
      </c>
      <c r="H9" s="43" t="str">
        <f>VLOOKUP($A9,'Player points'!$A$2:$M$832,11,FALSE)</f>
        <v/>
      </c>
      <c r="I9" s="43" t="str">
        <f>VLOOKUP($A9,'Player points'!$A$2:$M$832,12,FALSE)</f>
        <v/>
      </c>
      <c r="J9" s="43" t="str">
        <f>VLOOKUP($A9,'Player points'!$A$2:$M$832,13,FALSE)</f>
        <v/>
      </c>
      <c r="K9" s="43" t="e">
        <f>VLOOKUP($A9,'Player points'!$A$2:$M$832,14,FALSE)</f>
        <v>#REF!</v>
      </c>
      <c r="L9" s="44" t="e">
        <f>VLOOKUP($A9,'Player points'!$A$2:$M$832,15,FALSE)</f>
        <v>#REF!</v>
      </c>
    </row>
    <row r="10" spans="1:13">
      <c r="A10" s="22">
        <v>8</v>
      </c>
      <c r="B10" s="64" t="str">
        <f>VLOOKUP($A10,'Player points'!$A$2:$M$832,6,FALSE)</f>
        <v>ARG</v>
      </c>
      <c r="C10" s="43" t="str">
        <f>VLOOKUP($A10,'Player points'!$A$2:$M$832,8,FALSE)</f>
        <v>D</v>
      </c>
      <c r="D10" s="43" t="str">
        <f>VLOOKUP($A10,'Player points'!$A$2:$M$832,7,FALSE)</f>
        <v>M Acuña</v>
      </c>
      <c r="E10" s="43"/>
      <c r="F10" s="43" t="str">
        <f>VLOOKUP($A10,'Player points'!$A$2:$M$832,9,FALSE)</f>
        <v/>
      </c>
      <c r="G10" s="43" t="str">
        <f>VLOOKUP($A10,'Player points'!$A$2:$M$832,10,FALSE)</f>
        <v/>
      </c>
      <c r="H10" s="43" t="str">
        <f>VLOOKUP($A10,'Player points'!$A$2:$M$832,11,FALSE)</f>
        <v/>
      </c>
      <c r="I10" s="43" t="str">
        <f>VLOOKUP($A10,'Player points'!$A$2:$M$832,12,FALSE)</f>
        <v/>
      </c>
      <c r="J10" s="43" t="str">
        <f>VLOOKUP($A10,'Player points'!$A$2:$M$832,13,FALSE)</f>
        <v/>
      </c>
      <c r="K10" s="43" t="e">
        <f>VLOOKUP($A10,'Player points'!$A$2:$M$832,14,FALSE)</f>
        <v>#REF!</v>
      </c>
      <c r="L10" s="44" t="e">
        <f>VLOOKUP($A10,'Player points'!$A$2:$M$832,15,FALSE)</f>
        <v>#REF!</v>
      </c>
    </row>
    <row r="11" spans="1:13">
      <c r="A11" s="22">
        <v>9</v>
      </c>
      <c r="B11" s="64" t="str">
        <f>VLOOKUP($A11,'Player points'!$A$2:$M$832,6,FALSE)</f>
        <v>ARG</v>
      </c>
      <c r="C11" s="43" t="str">
        <f>VLOOKUP($A11,'Player points'!$A$2:$M$832,8,FALSE)</f>
        <v>D</v>
      </c>
      <c r="D11" s="43" t="str">
        <f>VLOOKUP($A11,'Player points'!$A$2:$M$832,7,FALSE)</f>
        <v>C Romero</v>
      </c>
      <c r="E11" s="43"/>
      <c r="F11" s="43" t="str">
        <f>VLOOKUP($A11,'Player points'!$A$2:$M$832,9,FALSE)</f>
        <v/>
      </c>
      <c r="G11" s="43" t="str">
        <f>VLOOKUP($A11,'Player points'!$A$2:$M$832,10,FALSE)</f>
        <v/>
      </c>
      <c r="H11" s="43" t="str">
        <f>VLOOKUP($A11,'Player points'!$A$2:$M$832,11,FALSE)</f>
        <v/>
      </c>
      <c r="I11" s="43" t="str">
        <f>VLOOKUP($A11,'Player points'!$A$2:$M$832,12,FALSE)</f>
        <v/>
      </c>
      <c r="J11" s="43" t="str">
        <f>VLOOKUP($A11,'Player points'!$A$2:$M$832,13,FALSE)</f>
        <v/>
      </c>
      <c r="K11" s="43" t="e">
        <f>VLOOKUP($A11,'Player points'!$A$2:$M$832,14,FALSE)</f>
        <v>#REF!</v>
      </c>
      <c r="L11" s="44" t="e">
        <f>VLOOKUP($A11,'Player points'!$A$2:$M$832,15,FALSE)</f>
        <v>#REF!</v>
      </c>
    </row>
    <row r="12" spans="1:13">
      <c r="A12" s="22">
        <v>10</v>
      </c>
      <c r="B12" s="64" t="str">
        <f>VLOOKUP($A12,'Player points'!$A$2:$M$832,6,FALSE)</f>
        <v>ARG</v>
      </c>
      <c r="C12" s="43" t="str">
        <f>VLOOKUP($A12,'Player points'!$A$2:$M$832,8,FALSE)</f>
        <v>D</v>
      </c>
      <c r="D12" s="43" t="str">
        <f>VLOOKUP($A12,'Player points'!$A$2:$M$832,7,FALSE)</f>
        <v>N Otamendi</v>
      </c>
      <c r="E12" s="43"/>
      <c r="F12" s="43" t="str">
        <f>VLOOKUP($A12,'Player points'!$A$2:$M$832,9,FALSE)</f>
        <v/>
      </c>
      <c r="G12" s="43" t="str">
        <f>VLOOKUP($A12,'Player points'!$A$2:$M$832,10,FALSE)</f>
        <v/>
      </c>
      <c r="H12" s="43" t="str">
        <f>VLOOKUP($A12,'Player points'!$A$2:$M$832,11,FALSE)</f>
        <v/>
      </c>
      <c r="I12" s="43" t="str">
        <f>VLOOKUP($A12,'Player points'!$A$2:$M$832,12,FALSE)</f>
        <v/>
      </c>
      <c r="J12" s="43" t="str">
        <f>VLOOKUP($A12,'Player points'!$A$2:$M$832,13,FALSE)</f>
        <v/>
      </c>
      <c r="K12" s="43" t="e">
        <f>VLOOKUP($A12,'Player points'!$A$2:$M$832,14,FALSE)</f>
        <v>#REF!</v>
      </c>
      <c r="L12" s="44" t="e">
        <f>VLOOKUP($A12,'Player points'!$A$2:$M$832,15,FALSE)</f>
        <v>#REF!</v>
      </c>
    </row>
    <row r="13" spans="1:13">
      <c r="A13" s="22">
        <v>11</v>
      </c>
      <c r="B13" s="64" t="str">
        <f>VLOOKUP($A13,'Player points'!$A$2:$M$832,6,FALSE)</f>
        <v>ARG</v>
      </c>
      <c r="C13" s="43" t="str">
        <f>VLOOKUP($A13,'Player points'!$A$2:$M$832,8,FALSE)</f>
        <v>D</v>
      </c>
      <c r="D13" s="43" t="str">
        <f>VLOOKUP($A13,'Player points'!$A$2:$M$832,7,FALSE)</f>
        <v>L Martínez</v>
      </c>
      <c r="E13" s="43"/>
      <c r="F13" s="43" t="str">
        <f>VLOOKUP($A13,'Player points'!$A$2:$M$832,9,FALSE)</f>
        <v/>
      </c>
      <c r="G13" s="43" t="str">
        <f>VLOOKUP($A13,'Player points'!$A$2:$M$832,10,FALSE)</f>
        <v/>
      </c>
      <c r="H13" s="43" t="str">
        <f>VLOOKUP($A13,'Player points'!$A$2:$M$832,11,FALSE)</f>
        <v/>
      </c>
      <c r="I13" s="43" t="str">
        <f>VLOOKUP($A13,'Player points'!$A$2:$M$832,12,FALSE)</f>
        <v/>
      </c>
      <c r="J13" s="43" t="str">
        <f>VLOOKUP($A13,'Player points'!$A$2:$M$832,13,FALSE)</f>
        <v/>
      </c>
      <c r="K13" s="43" t="e">
        <f>VLOOKUP($A13,'Player points'!$A$2:$M$832,14,FALSE)</f>
        <v>#REF!</v>
      </c>
      <c r="L13" s="44" t="e">
        <f>VLOOKUP($A13,'Player points'!$A$2:$M$832,15,FALSE)</f>
        <v>#REF!</v>
      </c>
    </row>
    <row r="14" spans="1:13">
      <c r="A14" s="22">
        <v>12</v>
      </c>
      <c r="B14" s="64" t="str">
        <f>VLOOKUP($A14,'Player points'!$A$2:$M$832,6,FALSE)</f>
        <v>ARG</v>
      </c>
      <c r="C14" s="43" t="str">
        <f>VLOOKUP($A14,'Player points'!$A$2:$M$832,8,FALSE)</f>
        <v>D</v>
      </c>
      <c r="D14" s="43" t="str">
        <f>VLOOKUP($A14,'Player points'!$A$2:$M$832,7,FALSE)</f>
        <v>N Molina</v>
      </c>
      <c r="E14" s="43"/>
      <c r="F14" s="43" t="str">
        <f>VLOOKUP($A14,'Player points'!$A$2:$M$832,9,FALSE)</f>
        <v/>
      </c>
      <c r="G14" s="43" t="str">
        <f>VLOOKUP($A14,'Player points'!$A$2:$M$832,10,FALSE)</f>
        <v/>
      </c>
      <c r="H14" s="43" t="str">
        <f>VLOOKUP($A14,'Player points'!$A$2:$M$832,11,FALSE)</f>
        <v/>
      </c>
      <c r="I14" s="43" t="str">
        <f>VLOOKUP($A14,'Player points'!$A$2:$M$832,12,FALSE)</f>
        <v/>
      </c>
      <c r="J14" s="43" t="str">
        <f>VLOOKUP($A14,'Player points'!$A$2:$M$832,13,FALSE)</f>
        <v/>
      </c>
      <c r="K14" s="43" t="e">
        <f>VLOOKUP($A14,'Player points'!$A$2:$M$832,14,FALSE)</f>
        <v>#REF!</v>
      </c>
      <c r="L14" s="44" t="e">
        <f>VLOOKUP($A14,'Player points'!$A$2:$M$832,15,FALSE)</f>
        <v>#REF!</v>
      </c>
    </row>
    <row r="15" spans="1:13" ht="18" thickBot="1">
      <c r="B15" s="45" t="s">
        <v>3210</v>
      </c>
      <c r="C15" s="46"/>
      <c r="D15" s="47"/>
      <c r="E15" s="48">
        <f t="shared" ref="E15:L15" si="0">SUM(E4:E14)</f>
        <v>0</v>
      </c>
      <c r="F15" s="49">
        <f t="shared" si="0"/>
        <v>0</v>
      </c>
      <c r="G15" s="49">
        <f t="shared" si="0"/>
        <v>0</v>
      </c>
      <c r="H15" s="49">
        <f>SUM(H4:H14)</f>
        <v>0</v>
      </c>
      <c r="I15" s="49">
        <f>SUM(I4:I14)</f>
        <v>0</v>
      </c>
      <c r="J15" s="49">
        <f>SUM(J4:J14)</f>
        <v>0</v>
      </c>
      <c r="K15" s="49" t="e">
        <f>SUM(K4:K14)</f>
        <v>#REF!</v>
      </c>
      <c r="L15" s="50" t="e">
        <f t="shared" si="0"/>
        <v>#REF!</v>
      </c>
    </row>
    <row r="16" spans="1:13" ht="18.600000000000001" thickTop="1" thickBot="1">
      <c r="C16" s="51"/>
      <c r="E16" s="52"/>
    </row>
    <row r="17" spans="2:13" ht="18" thickTop="1">
      <c r="B17" s="23" t="s">
        <v>3204</v>
      </c>
      <c r="C17" s="24" t="s">
        <v>3205</v>
      </c>
      <c r="D17" s="25"/>
      <c r="E17" s="25"/>
      <c r="F17" s="53"/>
      <c r="G17" s="28" t="s">
        <v>3206</v>
      </c>
      <c r="H17" s="54"/>
      <c r="I17" s="54"/>
      <c r="J17" s="54"/>
      <c r="K17" s="28" t="s">
        <v>3207</v>
      </c>
      <c r="L17" s="29"/>
      <c r="M17" s="22" t="str">
        <f>G17</f>
        <v>Manager:</v>
      </c>
    </row>
    <row r="18" spans="2:13" ht="18" thickBot="1">
      <c r="B18" s="30">
        <v>2</v>
      </c>
      <c r="C18" s="31"/>
      <c r="D18" s="31"/>
      <c r="E18" s="31"/>
      <c r="F18" s="33"/>
      <c r="G18" s="55"/>
      <c r="H18" s="55"/>
      <c r="I18" s="55"/>
      <c r="J18" s="55"/>
      <c r="K18" s="34" t="e">
        <f>SUM(F31:L31)</f>
        <v>#N/A</v>
      </c>
      <c r="L18" s="35"/>
      <c r="M18" s="22">
        <f>G18</f>
        <v>0</v>
      </c>
    </row>
    <row r="19" spans="2:13" ht="18.600000000000001" thickTop="1">
      <c r="B19" s="36" t="s">
        <v>913</v>
      </c>
      <c r="C19" s="37" t="s">
        <v>912</v>
      </c>
      <c r="D19" s="38" t="s">
        <v>911</v>
      </c>
      <c r="E19" s="39" t="s">
        <v>3209</v>
      </c>
      <c r="F19" s="40" t="s">
        <v>3162</v>
      </c>
      <c r="G19" s="40" t="s">
        <v>3163</v>
      </c>
      <c r="H19" s="40" t="s">
        <v>3164</v>
      </c>
      <c r="I19" s="40" t="s">
        <v>3165</v>
      </c>
      <c r="J19" s="40" t="s">
        <v>3166</v>
      </c>
      <c r="K19" s="40" t="s">
        <v>3167</v>
      </c>
      <c r="L19" s="41" t="s">
        <v>3168</v>
      </c>
    </row>
    <row r="20" spans="2:13">
      <c r="B20" s="42" t="e">
        <f>VLOOKUP($A20,'[2]Team lists'!$A$2:$L$800,2,FALSE)</f>
        <v>#N/A</v>
      </c>
      <c r="C20" s="43" t="e">
        <f>VLOOKUP($A20,'[2]Team lists'!$A$2:$L$800,3,FALSE)</f>
        <v>#N/A</v>
      </c>
      <c r="D20" s="43" t="e">
        <f>VLOOKUP($A20,'[2]Team lists'!$A$2:$L$800,4,FALSE)</f>
        <v>#N/A</v>
      </c>
      <c r="E20" s="43" t="e">
        <f>VLOOKUP($A20,'[2]Team lists'!$A$2:$L$800,5,FALSE)</f>
        <v>#N/A</v>
      </c>
      <c r="F20" s="43" t="e">
        <f>VLOOKUP($A20,'[2]Team lists'!$A$2:$L$800,6,FALSE)</f>
        <v>#N/A</v>
      </c>
      <c r="G20" s="43" t="e">
        <f>VLOOKUP($A20,'[2]Team lists'!$A$2:$L$800,7,FALSE)</f>
        <v>#N/A</v>
      </c>
      <c r="H20" s="43" t="e">
        <f>VLOOKUP($A20,'[2]Team lists'!$A$2:$L$800,8,FALSE)</f>
        <v>#N/A</v>
      </c>
      <c r="I20" s="43" t="e">
        <f>VLOOKUP($A20,'[2]Team lists'!$A$2:$L$800,9,FALSE)</f>
        <v>#N/A</v>
      </c>
      <c r="J20" s="43" t="e">
        <f>VLOOKUP($A20,'[2]Team lists'!$A$2:$L$800,10,FALSE)</f>
        <v>#N/A</v>
      </c>
      <c r="K20" s="43" t="e">
        <f>VLOOKUP($A20,'[2]Team lists'!$A$2:$L$800,11,FALSE)</f>
        <v>#N/A</v>
      </c>
      <c r="L20" s="44" t="e">
        <f>VLOOKUP($A20,'[2]Team lists'!$A$2:$L$800,12,FALSE)</f>
        <v>#N/A</v>
      </c>
    </row>
    <row r="21" spans="2:13">
      <c r="B21" s="42" t="e">
        <f>VLOOKUP($A21,'[2]Team lists'!$A$2:$L$800,2,FALSE)</f>
        <v>#N/A</v>
      </c>
      <c r="C21" s="43" t="e">
        <f>VLOOKUP($A21,'[2]Team lists'!$A$2:$L$800,3,FALSE)</f>
        <v>#N/A</v>
      </c>
      <c r="D21" s="43" t="e">
        <f>VLOOKUP($A21,'[2]Team lists'!$A$2:$L$800,4,FALSE)</f>
        <v>#N/A</v>
      </c>
      <c r="E21" s="43" t="e">
        <f>VLOOKUP($A21,'[2]Team lists'!$A$2:$L$800,5,FALSE)</f>
        <v>#N/A</v>
      </c>
      <c r="F21" s="43" t="e">
        <f>VLOOKUP($A21,'[2]Team lists'!$A$2:$L$800,6,FALSE)</f>
        <v>#N/A</v>
      </c>
      <c r="G21" s="43" t="e">
        <f>VLOOKUP($A21,'[2]Team lists'!$A$2:$L$800,7,FALSE)</f>
        <v>#N/A</v>
      </c>
      <c r="H21" s="43" t="e">
        <f>VLOOKUP($A21,'[2]Team lists'!$A$2:$L$800,8,FALSE)</f>
        <v>#N/A</v>
      </c>
      <c r="I21" s="43" t="e">
        <f>VLOOKUP($A21,'[2]Team lists'!$A$2:$L$800,9,FALSE)</f>
        <v>#N/A</v>
      </c>
      <c r="J21" s="43" t="e">
        <f>VLOOKUP($A21,'[2]Team lists'!$A$2:$L$800,10,FALSE)</f>
        <v>#N/A</v>
      </c>
      <c r="K21" s="43" t="e">
        <f>VLOOKUP($A21,'[2]Team lists'!$A$2:$L$800,11,FALSE)</f>
        <v>#N/A</v>
      </c>
      <c r="L21" s="44" t="e">
        <f>VLOOKUP($A21,'[2]Team lists'!$A$2:$L$800,12,FALSE)</f>
        <v>#N/A</v>
      </c>
    </row>
    <row r="22" spans="2:13">
      <c r="B22" s="42" t="e">
        <f>VLOOKUP($A22,'[2]Team lists'!$A$2:$L$800,2,FALSE)</f>
        <v>#N/A</v>
      </c>
      <c r="C22" s="43" t="e">
        <f>VLOOKUP($A22,'[2]Team lists'!$A$2:$L$800,3,FALSE)</f>
        <v>#N/A</v>
      </c>
      <c r="D22" s="43" t="e">
        <f>VLOOKUP($A22,'[2]Team lists'!$A$2:$L$800,4,FALSE)</f>
        <v>#N/A</v>
      </c>
      <c r="E22" s="43" t="e">
        <f>VLOOKUP($A22,'[2]Team lists'!$A$2:$L$800,5,FALSE)</f>
        <v>#N/A</v>
      </c>
      <c r="F22" s="43" t="e">
        <f>VLOOKUP($A22,'[2]Team lists'!$A$2:$L$800,6,FALSE)</f>
        <v>#N/A</v>
      </c>
      <c r="G22" s="43" t="e">
        <f>VLOOKUP($A22,'[2]Team lists'!$A$2:$L$800,7,FALSE)</f>
        <v>#N/A</v>
      </c>
      <c r="H22" s="43" t="e">
        <f>VLOOKUP($A22,'[2]Team lists'!$A$2:$L$800,8,FALSE)</f>
        <v>#N/A</v>
      </c>
      <c r="I22" s="43" t="e">
        <f>VLOOKUP($A22,'[2]Team lists'!$A$2:$L$800,9,FALSE)</f>
        <v>#N/A</v>
      </c>
      <c r="J22" s="43" t="e">
        <f>VLOOKUP($A22,'[2]Team lists'!$A$2:$L$800,10,FALSE)</f>
        <v>#N/A</v>
      </c>
      <c r="K22" s="43" t="e">
        <f>VLOOKUP($A22,'[2]Team lists'!$A$2:$L$800,11,FALSE)</f>
        <v>#N/A</v>
      </c>
      <c r="L22" s="44" t="e">
        <f>VLOOKUP($A22,'[2]Team lists'!$A$2:$L$800,12,FALSE)</f>
        <v>#N/A</v>
      </c>
    </row>
    <row r="23" spans="2:13">
      <c r="B23" s="42" t="e">
        <f>VLOOKUP($A23,'[2]Team lists'!$A$2:$L$800,2,FALSE)</f>
        <v>#N/A</v>
      </c>
      <c r="C23" s="43" t="e">
        <f>VLOOKUP($A23,'[2]Team lists'!$A$2:$L$800,3,FALSE)</f>
        <v>#N/A</v>
      </c>
      <c r="D23" s="43" t="e">
        <f>VLOOKUP($A23,'[2]Team lists'!$A$2:$L$800,4,FALSE)</f>
        <v>#N/A</v>
      </c>
      <c r="E23" s="43" t="e">
        <f>VLOOKUP($A23,'[2]Team lists'!$A$2:$L$800,5,FALSE)</f>
        <v>#N/A</v>
      </c>
      <c r="F23" s="43" t="e">
        <f>VLOOKUP($A23,'[2]Team lists'!$A$2:$L$800,6,FALSE)</f>
        <v>#N/A</v>
      </c>
      <c r="G23" s="43" t="e">
        <f>VLOOKUP($A23,'[2]Team lists'!$A$2:$L$800,7,FALSE)</f>
        <v>#N/A</v>
      </c>
      <c r="H23" s="43" t="e">
        <f>VLOOKUP($A23,'[2]Team lists'!$A$2:$L$800,8,FALSE)</f>
        <v>#N/A</v>
      </c>
      <c r="I23" s="43" t="e">
        <f>VLOOKUP($A23,'[2]Team lists'!$A$2:$L$800,9,FALSE)</f>
        <v>#N/A</v>
      </c>
      <c r="J23" s="43" t="e">
        <f>VLOOKUP($A23,'[2]Team lists'!$A$2:$L$800,10,FALSE)</f>
        <v>#N/A</v>
      </c>
      <c r="K23" s="43" t="e">
        <f>VLOOKUP($A23,'[2]Team lists'!$A$2:$L$800,11,FALSE)</f>
        <v>#N/A</v>
      </c>
      <c r="L23" s="44" t="e">
        <f>VLOOKUP($A23,'[2]Team lists'!$A$2:$L$800,12,FALSE)</f>
        <v>#N/A</v>
      </c>
    </row>
    <row r="24" spans="2:13">
      <c r="B24" s="42" t="e">
        <f>VLOOKUP($A24,'[2]Team lists'!$A$2:$L$800,2,FALSE)</f>
        <v>#N/A</v>
      </c>
      <c r="C24" s="43" t="e">
        <f>VLOOKUP($A24,'[2]Team lists'!$A$2:$L$800,3,FALSE)</f>
        <v>#N/A</v>
      </c>
      <c r="D24" s="43" t="e">
        <f>VLOOKUP($A24,'[2]Team lists'!$A$2:$L$800,4,FALSE)</f>
        <v>#N/A</v>
      </c>
      <c r="E24" s="43" t="e">
        <f>VLOOKUP($A24,'[2]Team lists'!$A$2:$L$800,5,FALSE)</f>
        <v>#N/A</v>
      </c>
      <c r="F24" s="43" t="e">
        <f>VLOOKUP($A24,'[2]Team lists'!$A$2:$L$800,6,FALSE)</f>
        <v>#N/A</v>
      </c>
      <c r="G24" s="43" t="e">
        <f>VLOOKUP($A24,'[2]Team lists'!$A$2:$L$800,7,FALSE)</f>
        <v>#N/A</v>
      </c>
      <c r="H24" s="43" t="e">
        <f>VLOOKUP($A24,'[2]Team lists'!$A$2:$L$800,8,FALSE)</f>
        <v>#N/A</v>
      </c>
      <c r="I24" s="43" t="e">
        <f>VLOOKUP($A24,'[2]Team lists'!$A$2:$L$800,9,FALSE)</f>
        <v>#N/A</v>
      </c>
      <c r="J24" s="43" t="e">
        <f>VLOOKUP($A24,'[2]Team lists'!$A$2:$L$800,10,FALSE)</f>
        <v>#N/A</v>
      </c>
      <c r="K24" s="43" t="e">
        <f>VLOOKUP($A24,'[2]Team lists'!$A$2:$L$800,11,FALSE)</f>
        <v>#N/A</v>
      </c>
      <c r="L24" s="44" t="e">
        <f>VLOOKUP($A24,'[2]Team lists'!$A$2:$L$800,12,FALSE)</f>
        <v>#N/A</v>
      </c>
    </row>
    <row r="25" spans="2:13">
      <c r="B25" s="42" t="e">
        <f>VLOOKUP($A25,'[2]Team lists'!$A$2:$L$800,2,FALSE)</f>
        <v>#N/A</v>
      </c>
      <c r="C25" s="43" t="e">
        <f>VLOOKUP($A25,'[2]Team lists'!$A$2:$L$800,3,FALSE)</f>
        <v>#N/A</v>
      </c>
      <c r="D25" s="43" t="e">
        <f>VLOOKUP($A25,'[2]Team lists'!$A$2:$L$800,4,FALSE)</f>
        <v>#N/A</v>
      </c>
      <c r="E25" s="43" t="e">
        <f>VLOOKUP($A25,'[2]Team lists'!$A$2:$L$800,5,FALSE)</f>
        <v>#N/A</v>
      </c>
      <c r="F25" s="43" t="e">
        <f>VLOOKUP($A25,'[2]Team lists'!$A$2:$L$800,6,FALSE)</f>
        <v>#N/A</v>
      </c>
      <c r="G25" s="43" t="e">
        <f>VLOOKUP($A25,'[2]Team lists'!$A$2:$L$800,7,FALSE)</f>
        <v>#N/A</v>
      </c>
      <c r="H25" s="43" t="e">
        <f>VLOOKUP($A25,'[2]Team lists'!$A$2:$L$800,8,FALSE)</f>
        <v>#N/A</v>
      </c>
      <c r="I25" s="43" t="e">
        <f>VLOOKUP($A25,'[2]Team lists'!$A$2:$L$800,9,FALSE)</f>
        <v>#N/A</v>
      </c>
      <c r="J25" s="43" t="e">
        <f>VLOOKUP($A25,'[2]Team lists'!$A$2:$L$800,10,FALSE)</f>
        <v>#N/A</v>
      </c>
      <c r="K25" s="43" t="e">
        <f>VLOOKUP($A25,'[2]Team lists'!$A$2:$L$800,11,FALSE)</f>
        <v>#N/A</v>
      </c>
      <c r="L25" s="44" t="e">
        <f>VLOOKUP($A25,'[2]Team lists'!$A$2:$L$800,12,FALSE)</f>
        <v>#N/A</v>
      </c>
    </row>
    <row r="26" spans="2:13">
      <c r="B26" s="42" t="e">
        <f>VLOOKUP($A26,'[2]Team lists'!$A$2:$L$800,2,FALSE)</f>
        <v>#N/A</v>
      </c>
      <c r="C26" s="43" t="e">
        <f>VLOOKUP($A26,'[2]Team lists'!$A$2:$L$800,3,FALSE)</f>
        <v>#N/A</v>
      </c>
      <c r="D26" s="43" t="e">
        <f>VLOOKUP($A26,'[2]Team lists'!$A$2:$L$800,4,FALSE)</f>
        <v>#N/A</v>
      </c>
      <c r="E26" s="43" t="e">
        <f>VLOOKUP($A26,'[2]Team lists'!$A$2:$L$800,5,FALSE)</f>
        <v>#N/A</v>
      </c>
      <c r="F26" s="43" t="e">
        <f>VLOOKUP($A26,'[2]Team lists'!$A$2:$L$800,6,FALSE)</f>
        <v>#N/A</v>
      </c>
      <c r="G26" s="43" t="e">
        <f>VLOOKUP($A26,'[2]Team lists'!$A$2:$L$800,7,FALSE)</f>
        <v>#N/A</v>
      </c>
      <c r="H26" s="43" t="e">
        <f>VLOOKUP($A26,'[2]Team lists'!$A$2:$L$800,8,FALSE)</f>
        <v>#N/A</v>
      </c>
      <c r="I26" s="43" t="e">
        <f>VLOOKUP($A26,'[2]Team lists'!$A$2:$L$800,9,FALSE)</f>
        <v>#N/A</v>
      </c>
      <c r="J26" s="43" t="e">
        <f>VLOOKUP($A26,'[2]Team lists'!$A$2:$L$800,10,FALSE)</f>
        <v>#N/A</v>
      </c>
      <c r="K26" s="43" t="e">
        <f>VLOOKUP($A26,'[2]Team lists'!$A$2:$L$800,11,FALSE)</f>
        <v>#N/A</v>
      </c>
      <c r="L26" s="44" t="e">
        <f>VLOOKUP($A26,'[2]Team lists'!$A$2:$L$800,12,FALSE)</f>
        <v>#N/A</v>
      </c>
    </row>
    <row r="27" spans="2:13">
      <c r="B27" s="42" t="e">
        <f>VLOOKUP($A27,'[2]Team lists'!$A$2:$L$800,2,FALSE)</f>
        <v>#N/A</v>
      </c>
      <c r="C27" s="43" t="e">
        <f>VLOOKUP($A27,'[2]Team lists'!$A$2:$L$800,3,FALSE)</f>
        <v>#N/A</v>
      </c>
      <c r="D27" s="43" t="e">
        <f>VLOOKUP($A27,'[2]Team lists'!$A$2:$L$800,4,FALSE)</f>
        <v>#N/A</v>
      </c>
      <c r="E27" s="43" t="e">
        <f>VLOOKUP($A27,'[2]Team lists'!$A$2:$L$800,5,FALSE)</f>
        <v>#N/A</v>
      </c>
      <c r="F27" s="43" t="e">
        <f>VLOOKUP($A27,'[2]Team lists'!$A$2:$L$800,6,FALSE)</f>
        <v>#N/A</v>
      </c>
      <c r="G27" s="43" t="e">
        <f>VLOOKUP($A27,'[2]Team lists'!$A$2:$L$800,7,FALSE)</f>
        <v>#N/A</v>
      </c>
      <c r="H27" s="43" t="e">
        <f>VLOOKUP($A27,'[2]Team lists'!$A$2:$L$800,8,FALSE)</f>
        <v>#N/A</v>
      </c>
      <c r="I27" s="43" t="e">
        <f>VLOOKUP($A27,'[2]Team lists'!$A$2:$L$800,9,FALSE)</f>
        <v>#N/A</v>
      </c>
      <c r="J27" s="43" t="e">
        <f>VLOOKUP($A27,'[2]Team lists'!$A$2:$L$800,10,FALSE)</f>
        <v>#N/A</v>
      </c>
      <c r="K27" s="43" t="e">
        <f>VLOOKUP($A27,'[2]Team lists'!$A$2:$L$800,11,FALSE)</f>
        <v>#N/A</v>
      </c>
      <c r="L27" s="44" t="e">
        <f>VLOOKUP($A27,'[2]Team lists'!$A$2:$L$800,12,FALSE)</f>
        <v>#N/A</v>
      </c>
    </row>
    <row r="28" spans="2:13">
      <c r="B28" s="42" t="e">
        <f>VLOOKUP($A28,'[2]Team lists'!$A$2:$L$800,2,FALSE)</f>
        <v>#N/A</v>
      </c>
      <c r="C28" s="43" t="e">
        <f>VLOOKUP($A28,'[2]Team lists'!$A$2:$L$800,3,FALSE)</f>
        <v>#N/A</v>
      </c>
      <c r="D28" s="43" t="e">
        <f>VLOOKUP($A28,'[2]Team lists'!$A$2:$L$800,4,FALSE)</f>
        <v>#N/A</v>
      </c>
      <c r="E28" s="43" t="e">
        <f>VLOOKUP($A28,'[2]Team lists'!$A$2:$L$800,5,FALSE)</f>
        <v>#N/A</v>
      </c>
      <c r="F28" s="43" t="e">
        <f>VLOOKUP($A28,'[2]Team lists'!$A$2:$L$800,6,FALSE)</f>
        <v>#N/A</v>
      </c>
      <c r="G28" s="43" t="e">
        <f>VLOOKUP($A28,'[2]Team lists'!$A$2:$L$800,7,FALSE)</f>
        <v>#N/A</v>
      </c>
      <c r="H28" s="43" t="e">
        <f>VLOOKUP($A28,'[2]Team lists'!$A$2:$L$800,8,FALSE)</f>
        <v>#N/A</v>
      </c>
      <c r="I28" s="43" t="e">
        <f>VLOOKUP($A28,'[2]Team lists'!$A$2:$L$800,9,FALSE)</f>
        <v>#N/A</v>
      </c>
      <c r="J28" s="43" t="e">
        <f>VLOOKUP($A28,'[2]Team lists'!$A$2:$L$800,10,FALSE)</f>
        <v>#N/A</v>
      </c>
      <c r="K28" s="43" t="e">
        <f>VLOOKUP($A28,'[2]Team lists'!$A$2:$L$800,11,FALSE)</f>
        <v>#N/A</v>
      </c>
      <c r="L28" s="44" t="e">
        <f>VLOOKUP($A28,'[2]Team lists'!$A$2:$L$800,12,FALSE)</f>
        <v>#N/A</v>
      </c>
    </row>
    <row r="29" spans="2:13">
      <c r="B29" s="42" t="e">
        <f>VLOOKUP($A29,'[2]Team lists'!$A$2:$L$800,2,FALSE)</f>
        <v>#N/A</v>
      </c>
      <c r="C29" s="43" t="e">
        <f>VLOOKUP($A29,'[2]Team lists'!$A$2:$L$800,3,FALSE)</f>
        <v>#N/A</v>
      </c>
      <c r="D29" s="43" t="e">
        <f>VLOOKUP($A29,'[2]Team lists'!$A$2:$L$800,4,FALSE)</f>
        <v>#N/A</v>
      </c>
      <c r="E29" s="43" t="e">
        <f>VLOOKUP($A29,'[2]Team lists'!$A$2:$L$800,5,FALSE)</f>
        <v>#N/A</v>
      </c>
      <c r="F29" s="43" t="e">
        <f>VLOOKUP($A29,'[2]Team lists'!$A$2:$L$800,6,FALSE)</f>
        <v>#N/A</v>
      </c>
      <c r="G29" s="43" t="e">
        <f>VLOOKUP($A29,'[2]Team lists'!$A$2:$L$800,7,FALSE)</f>
        <v>#N/A</v>
      </c>
      <c r="H29" s="43" t="e">
        <f>VLOOKUP($A29,'[2]Team lists'!$A$2:$L$800,8,FALSE)</f>
        <v>#N/A</v>
      </c>
      <c r="I29" s="43" t="e">
        <f>VLOOKUP($A29,'[2]Team lists'!$A$2:$L$800,9,FALSE)</f>
        <v>#N/A</v>
      </c>
      <c r="J29" s="43" t="e">
        <f>VLOOKUP($A29,'[2]Team lists'!$A$2:$L$800,10,FALSE)</f>
        <v>#N/A</v>
      </c>
      <c r="K29" s="43" t="e">
        <f>VLOOKUP($A29,'[2]Team lists'!$A$2:$L$800,11,FALSE)</f>
        <v>#N/A</v>
      </c>
      <c r="L29" s="44" t="e">
        <f>VLOOKUP($A29,'[2]Team lists'!$A$2:$L$800,12,FALSE)</f>
        <v>#N/A</v>
      </c>
    </row>
    <row r="30" spans="2:13">
      <c r="B30" s="42" t="e">
        <f>VLOOKUP($A30,'[2]Team lists'!$A$2:$L$800,2,FALSE)</f>
        <v>#N/A</v>
      </c>
      <c r="C30" s="43" t="e">
        <f>VLOOKUP($A30,'[2]Team lists'!$A$2:$L$800,3,FALSE)</f>
        <v>#N/A</v>
      </c>
      <c r="D30" s="43" t="e">
        <f>VLOOKUP($A30,'[2]Team lists'!$A$2:$L$800,4,FALSE)</f>
        <v>#N/A</v>
      </c>
      <c r="E30" s="43" t="e">
        <f>VLOOKUP($A30,'[2]Team lists'!$A$2:$L$800,5,FALSE)</f>
        <v>#N/A</v>
      </c>
      <c r="F30" s="43" t="e">
        <f>VLOOKUP($A30,'[2]Team lists'!$A$2:$L$800,6,FALSE)</f>
        <v>#N/A</v>
      </c>
      <c r="G30" s="43" t="e">
        <f>VLOOKUP($A30,'[2]Team lists'!$A$2:$L$800,7,FALSE)</f>
        <v>#N/A</v>
      </c>
      <c r="H30" s="43" t="e">
        <f>VLOOKUP($A30,'[2]Team lists'!$A$2:$L$800,8,FALSE)</f>
        <v>#N/A</v>
      </c>
      <c r="I30" s="43" t="e">
        <f>VLOOKUP($A30,'[2]Team lists'!$A$2:$L$800,9,FALSE)</f>
        <v>#N/A</v>
      </c>
      <c r="J30" s="43" t="e">
        <f>VLOOKUP($A30,'[2]Team lists'!$A$2:$L$800,10,FALSE)</f>
        <v>#N/A</v>
      </c>
      <c r="K30" s="43" t="e">
        <f>VLOOKUP($A30,'[2]Team lists'!$A$2:$L$800,11,FALSE)</f>
        <v>#N/A</v>
      </c>
      <c r="L30" s="44" t="e">
        <f>VLOOKUP($A30,'[2]Team lists'!$A$2:$L$800,12,FALSE)</f>
        <v>#N/A</v>
      </c>
    </row>
    <row r="31" spans="2:13" ht="18" thickBot="1">
      <c r="B31" s="45" t="s">
        <v>3210</v>
      </c>
      <c r="C31" s="46"/>
      <c r="D31" s="47"/>
      <c r="E31" s="48" t="e">
        <f t="shared" ref="E31:L31" si="1">SUM(E20:E30)</f>
        <v>#N/A</v>
      </c>
      <c r="F31" s="49" t="e">
        <f t="shared" si="1"/>
        <v>#N/A</v>
      </c>
      <c r="G31" s="49" t="e">
        <f t="shared" si="1"/>
        <v>#N/A</v>
      </c>
      <c r="H31" s="49" t="e">
        <f t="shared" si="1"/>
        <v>#N/A</v>
      </c>
      <c r="I31" s="49" t="e">
        <f t="shared" si="1"/>
        <v>#N/A</v>
      </c>
      <c r="J31" s="49" t="e">
        <f t="shared" si="1"/>
        <v>#N/A</v>
      </c>
      <c r="K31" s="49" t="e">
        <f t="shared" si="1"/>
        <v>#N/A</v>
      </c>
      <c r="L31" s="50" t="e">
        <f t="shared" si="1"/>
        <v>#N/A</v>
      </c>
    </row>
    <row r="32" spans="2:13" ht="18.600000000000001" thickTop="1" thickBot="1"/>
    <row r="33" spans="2:13" ht="18" thickTop="1">
      <c r="B33" s="23" t="s">
        <v>3204</v>
      </c>
      <c r="C33" s="24" t="s">
        <v>3205</v>
      </c>
      <c r="D33" s="25"/>
      <c r="E33" s="25"/>
      <c r="F33" s="53"/>
      <c r="G33" s="28" t="s">
        <v>3206</v>
      </c>
      <c r="H33" s="54"/>
      <c r="I33" s="54"/>
      <c r="J33" s="54"/>
      <c r="K33" s="28" t="s">
        <v>3207</v>
      </c>
      <c r="L33" s="29"/>
      <c r="M33" s="22" t="str">
        <f>G33</f>
        <v>Manager:</v>
      </c>
    </row>
    <row r="34" spans="2:13" ht="18" thickBot="1">
      <c r="B34" s="30">
        <v>3</v>
      </c>
      <c r="C34" s="31"/>
      <c r="D34" s="31"/>
      <c r="E34" s="31"/>
      <c r="F34" s="33"/>
      <c r="G34" s="55"/>
      <c r="H34" s="55"/>
      <c r="I34" s="55"/>
      <c r="J34" s="55"/>
      <c r="K34" s="34" t="e">
        <f>SUM(F47:L47)</f>
        <v>#N/A</v>
      </c>
      <c r="L34" s="35"/>
      <c r="M34" s="22">
        <f>G34</f>
        <v>0</v>
      </c>
    </row>
    <row r="35" spans="2:13" ht="18.600000000000001" thickTop="1">
      <c r="B35" s="36" t="s">
        <v>913</v>
      </c>
      <c r="C35" s="37" t="s">
        <v>912</v>
      </c>
      <c r="D35" s="38" t="s">
        <v>911</v>
      </c>
      <c r="E35" s="39" t="s">
        <v>3209</v>
      </c>
      <c r="F35" s="40" t="s">
        <v>3162</v>
      </c>
      <c r="G35" s="40" t="s">
        <v>3163</v>
      </c>
      <c r="H35" s="40" t="s">
        <v>3164</v>
      </c>
      <c r="I35" s="40" t="s">
        <v>3165</v>
      </c>
      <c r="J35" s="40" t="s">
        <v>3166</v>
      </c>
      <c r="K35" s="40" t="s">
        <v>3167</v>
      </c>
      <c r="L35" s="41" t="s">
        <v>3168</v>
      </c>
    </row>
    <row r="36" spans="2:13">
      <c r="B36" s="56" t="e">
        <f>VLOOKUP($A36,'[2]Team lists'!$A$2:$L$800,2,FALSE)</f>
        <v>#N/A</v>
      </c>
      <c r="C36" s="43" t="e">
        <f>VLOOKUP($A36,'[2]Team lists'!$A$2:$L$800,3,FALSE)</f>
        <v>#N/A</v>
      </c>
      <c r="D36" s="43" t="e">
        <f>VLOOKUP($A36,'[2]Team lists'!$A$2:$L$800,4,FALSE)</f>
        <v>#N/A</v>
      </c>
      <c r="E36" s="43" t="e">
        <f>VLOOKUP($A36,'[2]Team lists'!$A$2:$L$800,5,FALSE)</f>
        <v>#N/A</v>
      </c>
      <c r="F36" s="43" t="e">
        <f>VLOOKUP($A36,'[2]Team lists'!$A$2:$L$800,6,FALSE)</f>
        <v>#N/A</v>
      </c>
      <c r="G36" s="43" t="e">
        <f>VLOOKUP($A36,'[2]Team lists'!$A$2:$L$800,7,FALSE)</f>
        <v>#N/A</v>
      </c>
      <c r="H36" s="43" t="e">
        <f>VLOOKUP($A36,'[2]Team lists'!$A$2:$L$800,8,FALSE)</f>
        <v>#N/A</v>
      </c>
      <c r="I36" s="43" t="e">
        <f>VLOOKUP($A36,'[2]Team lists'!$A$2:$L$800,9,FALSE)</f>
        <v>#N/A</v>
      </c>
      <c r="J36" s="43" t="e">
        <f>VLOOKUP($A36,'[2]Team lists'!$A$2:$L$800,10,FALSE)</f>
        <v>#N/A</v>
      </c>
      <c r="K36" s="43" t="e">
        <f>VLOOKUP($A36,'[2]Team lists'!$A$2:$L$800,11,FALSE)</f>
        <v>#N/A</v>
      </c>
      <c r="L36" s="44" t="e">
        <f>VLOOKUP($A36,'[2]Team lists'!$A$2:$L$800,12,FALSE)</f>
        <v>#N/A</v>
      </c>
    </row>
    <row r="37" spans="2:13">
      <c r="B37" s="56" t="e">
        <f>VLOOKUP($A37,'[2]Team lists'!$A$2:$L$800,2,FALSE)</f>
        <v>#N/A</v>
      </c>
      <c r="C37" s="43" t="e">
        <f>VLOOKUP($A37,'[2]Team lists'!$A$2:$L$800,3,FALSE)</f>
        <v>#N/A</v>
      </c>
      <c r="D37" s="43" t="e">
        <f>VLOOKUP($A37,'[2]Team lists'!$A$2:$L$800,4,FALSE)</f>
        <v>#N/A</v>
      </c>
      <c r="E37" s="43" t="e">
        <f>VLOOKUP($A37,'[2]Team lists'!$A$2:$L$800,5,FALSE)</f>
        <v>#N/A</v>
      </c>
      <c r="F37" s="43" t="e">
        <f>VLOOKUP($A37,'[2]Team lists'!$A$2:$L$800,6,FALSE)</f>
        <v>#N/A</v>
      </c>
      <c r="G37" s="43" t="e">
        <f>VLOOKUP($A37,'[2]Team lists'!$A$2:$L$800,7,FALSE)</f>
        <v>#N/A</v>
      </c>
      <c r="H37" s="43" t="e">
        <f>VLOOKUP($A37,'[2]Team lists'!$A$2:$L$800,8,FALSE)</f>
        <v>#N/A</v>
      </c>
      <c r="I37" s="43" t="e">
        <f>VLOOKUP($A37,'[2]Team lists'!$A$2:$L$800,9,FALSE)</f>
        <v>#N/A</v>
      </c>
      <c r="J37" s="43" t="e">
        <f>VLOOKUP($A37,'[2]Team lists'!$A$2:$L$800,10,FALSE)</f>
        <v>#N/A</v>
      </c>
      <c r="K37" s="43" t="e">
        <f>VLOOKUP($A37,'[2]Team lists'!$A$2:$L$800,11,FALSE)</f>
        <v>#N/A</v>
      </c>
      <c r="L37" s="44" t="e">
        <f>VLOOKUP($A37,'[2]Team lists'!$A$2:$L$800,12,FALSE)</f>
        <v>#N/A</v>
      </c>
    </row>
    <row r="38" spans="2:13">
      <c r="B38" s="56" t="e">
        <f>VLOOKUP($A38,'[2]Team lists'!$A$2:$L$800,2,FALSE)</f>
        <v>#N/A</v>
      </c>
      <c r="C38" s="43" t="e">
        <f>VLOOKUP($A38,'[2]Team lists'!$A$2:$L$800,3,FALSE)</f>
        <v>#N/A</v>
      </c>
      <c r="D38" s="43" t="e">
        <f>VLOOKUP($A38,'[2]Team lists'!$A$2:$L$800,4,FALSE)</f>
        <v>#N/A</v>
      </c>
      <c r="E38" s="43" t="e">
        <f>VLOOKUP($A38,'[2]Team lists'!$A$2:$L$800,5,FALSE)</f>
        <v>#N/A</v>
      </c>
      <c r="F38" s="43" t="e">
        <f>VLOOKUP($A38,'[2]Team lists'!$A$2:$L$800,6,FALSE)</f>
        <v>#N/A</v>
      </c>
      <c r="G38" s="43" t="e">
        <f>VLOOKUP($A38,'[2]Team lists'!$A$2:$L$800,7,FALSE)</f>
        <v>#N/A</v>
      </c>
      <c r="H38" s="43" t="e">
        <f>VLOOKUP($A38,'[2]Team lists'!$A$2:$L$800,8,FALSE)</f>
        <v>#N/A</v>
      </c>
      <c r="I38" s="43" t="e">
        <f>VLOOKUP($A38,'[2]Team lists'!$A$2:$L$800,9,FALSE)</f>
        <v>#N/A</v>
      </c>
      <c r="J38" s="43" t="e">
        <f>VLOOKUP($A38,'[2]Team lists'!$A$2:$L$800,10,FALSE)</f>
        <v>#N/A</v>
      </c>
      <c r="K38" s="43" t="e">
        <f>VLOOKUP($A38,'[2]Team lists'!$A$2:$L$800,11,FALSE)</f>
        <v>#N/A</v>
      </c>
      <c r="L38" s="44" t="e">
        <f>VLOOKUP($A38,'[2]Team lists'!$A$2:$L$800,12,FALSE)</f>
        <v>#N/A</v>
      </c>
    </row>
    <row r="39" spans="2:13">
      <c r="B39" s="56" t="e">
        <f>VLOOKUP($A39,'[2]Team lists'!$A$2:$L$800,2,FALSE)</f>
        <v>#N/A</v>
      </c>
      <c r="C39" s="43" t="e">
        <f>VLOOKUP($A39,'[2]Team lists'!$A$2:$L$800,3,FALSE)</f>
        <v>#N/A</v>
      </c>
      <c r="D39" s="43" t="e">
        <f>VLOOKUP($A39,'[2]Team lists'!$A$2:$L$800,4,FALSE)</f>
        <v>#N/A</v>
      </c>
      <c r="E39" s="43" t="e">
        <f>VLOOKUP($A39,'[2]Team lists'!$A$2:$L$800,5,FALSE)</f>
        <v>#N/A</v>
      </c>
      <c r="F39" s="43" t="e">
        <f>VLOOKUP($A39,'[2]Team lists'!$A$2:$L$800,6,FALSE)</f>
        <v>#N/A</v>
      </c>
      <c r="G39" s="43" t="e">
        <f>VLOOKUP($A39,'[2]Team lists'!$A$2:$L$800,7,FALSE)</f>
        <v>#N/A</v>
      </c>
      <c r="H39" s="43" t="e">
        <f>VLOOKUP($A39,'[2]Team lists'!$A$2:$L$800,8,FALSE)</f>
        <v>#N/A</v>
      </c>
      <c r="I39" s="43" t="e">
        <f>VLOOKUP($A39,'[2]Team lists'!$A$2:$L$800,9,FALSE)</f>
        <v>#N/A</v>
      </c>
      <c r="J39" s="43" t="e">
        <f>VLOOKUP($A39,'[2]Team lists'!$A$2:$L$800,10,FALSE)</f>
        <v>#N/A</v>
      </c>
      <c r="K39" s="43" t="e">
        <f>VLOOKUP($A39,'[2]Team lists'!$A$2:$L$800,11,FALSE)</f>
        <v>#N/A</v>
      </c>
      <c r="L39" s="44" t="e">
        <f>VLOOKUP($A39,'[2]Team lists'!$A$2:$L$800,12,FALSE)</f>
        <v>#N/A</v>
      </c>
    </row>
    <row r="40" spans="2:13">
      <c r="B40" s="56" t="e">
        <f>VLOOKUP($A40,'[2]Team lists'!$A$2:$L$800,2,FALSE)</f>
        <v>#N/A</v>
      </c>
      <c r="C40" s="43" t="e">
        <f>VLOOKUP($A40,'[2]Team lists'!$A$2:$L$800,3,FALSE)</f>
        <v>#N/A</v>
      </c>
      <c r="D40" s="43" t="e">
        <f>VLOOKUP($A40,'[2]Team lists'!$A$2:$L$800,4,FALSE)</f>
        <v>#N/A</v>
      </c>
      <c r="E40" s="43" t="e">
        <f>VLOOKUP($A40,'[2]Team lists'!$A$2:$L$800,5,FALSE)</f>
        <v>#N/A</v>
      </c>
      <c r="F40" s="43" t="e">
        <f>VLOOKUP($A40,'[2]Team lists'!$A$2:$L$800,6,FALSE)</f>
        <v>#N/A</v>
      </c>
      <c r="G40" s="43" t="e">
        <f>VLOOKUP($A40,'[2]Team lists'!$A$2:$L$800,7,FALSE)</f>
        <v>#N/A</v>
      </c>
      <c r="H40" s="43" t="e">
        <f>VLOOKUP($A40,'[2]Team lists'!$A$2:$L$800,8,FALSE)</f>
        <v>#N/A</v>
      </c>
      <c r="I40" s="43" t="e">
        <f>VLOOKUP($A40,'[2]Team lists'!$A$2:$L$800,9,FALSE)</f>
        <v>#N/A</v>
      </c>
      <c r="J40" s="43" t="e">
        <f>VLOOKUP($A40,'[2]Team lists'!$A$2:$L$800,10,FALSE)</f>
        <v>#N/A</v>
      </c>
      <c r="K40" s="43" t="e">
        <f>VLOOKUP($A40,'[2]Team lists'!$A$2:$L$800,11,FALSE)</f>
        <v>#N/A</v>
      </c>
      <c r="L40" s="44" t="e">
        <f>VLOOKUP($A40,'[2]Team lists'!$A$2:$L$800,12,FALSE)</f>
        <v>#N/A</v>
      </c>
    </row>
    <row r="41" spans="2:13">
      <c r="B41" s="56" t="e">
        <f>VLOOKUP($A41,'[2]Team lists'!$A$2:$L$800,2,FALSE)</f>
        <v>#N/A</v>
      </c>
      <c r="C41" s="43" t="e">
        <f>VLOOKUP($A41,'[2]Team lists'!$A$2:$L$800,3,FALSE)</f>
        <v>#N/A</v>
      </c>
      <c r="D41" s="43" t="e">
        <f>VLOOKUP($A41,'[2]Team lists'!$A$2:$L$800,4,FALSE)</f>
        <v>#N/A</v>
      </c>
      <c r="E41" s="43" t="e">
        <f>VLOOKUP($A41,'[2]Team lists'!$A$2:$L$800,5,FALSE)</f>
        <v>#N/A</v>
      </c>
      <c r="F41" s="43" t="e">
        <f>VLOOKUP($A41,'[2]Team lists'!$A$2:$L$800,6,FALSE)</f>
        <v>#N/A</v>
      </c>
      <c r="G41" s="43" t="e">
        <f>VLOOKUP($A41,'[2]Team lists'!$A$2:$L$800,7,FALSE)</f>
        <v>#N/A</v>
      </c>
      <c r="H41" s="43" t="e">
        <f>VLOOKUP($A41,'[2]Team lists'!$A$2:$L$800,8,FALSE)</f>
        <v>#N/A</v>
      </c>
      <c r="I41" s="43" t="e">
        <f>VLOOKUP($A41,'[2]Team lists'!$A$2:$L$800,9,FALSE)</f>
        <v>#N/A</v>
      </c>
      <c r="J41" s="43" t="e">
        <f>VLOOKUP($A41,'[2]Team lists'!$A$2:$L$800,10,FALSE)</f>
        <v>#N/A</v>
      </c>
      <c r="K41" s="43" t="e">
        <f>VLOOKUP($A41,'[2]Team lists'!$A$2:$L$800,11,FALSE)</f>
        <v>#N/A</v>
      </c>
      <c r="L41" s="44" t="e">
        <f>VLOOKUP($A41,'[2]Team lists'!$A$2:$L$800,12,FALSE)</f>
        <v>#N/A</v>
      </c>
    </row>
    <row r="42" spans="2:13">
      <c r="B42" s="56" t="e">
        <f>VLOOKUP($A42,'[2]Team lists'!$A$2:$L$800,2,FALSE)</f>
        <v>#N/A</v>
      </c>
      <c r="C42" s="43" t="e">
        <f>VLOOKUP($A42,'[2]Team lists'!$A$2:$L$800,3,FALSE)</f>
        <v>#N/A</v>
      </c>
      <c r="D42" s="43" t="e">
        <f>VLOOKUP($A42,'[2]Team lists'!$A$2:$L$800,4,FALSE)</f>
        <v>#N/A</v>
      </c>
      <c r="E42" s="43" t="e">
        <f>VLOOKUP($A42,'[2]Team lists'!$A$2:$L$800,5,FALSE)</f>
        <v>#N/A</v>
      </c>
      <c r="F42" s="43" t="e">
        <f>VLOOKUP($A42,'[2]Team lists'!$A$2:$L$800,6,FALSE)</f>
        <v>#N/A</v>
      </c>
      <c r="G42" s="43" t="e">
        <f>VLOOKUP($A42,'[2]Team lists'!$A$2:$L$800,7,FALSE)</f>
        <v>#N/A</v>
      </c>
      <c r="H42" s="43" t="e">
        <f>VLOOKUP($A42,'[2]Team lists'!$A$2:$L$800,8,FALSE)</f>
        <v>#N/A</v>
      </c>
      <c r="I42" s="43" t="e">
        <f>VLOOKUP($A42,'[2]Team lists'!$A$2:$L$800,9,FALSE)</f>
        <v>#N/A</v>
      </c>
      <c r="J42" s="43" t="e">
        <f>VLOOKUP($A42,'[2]Team lists'!$A$2:$L$800,10,FALSE)</f>
        <v>#N/A</v>
      </c>
      <c r="K42" s="43" t="e">
        <f>VLOOKUP($A42,'[2]Team lists'!$A$2:$L$800,11,FALSE)</f>
        <v>#N/A</v>
      </c>
      <c r="L42" s="44" t="e">
        <f>VLOOKUP($A42,'[2]Team lists'!$A$2:$L$800,12,FALSE)</f>
        <v>#N/A</v>
      </c>
    </row>
    <row r="43" spans="2:13">
      <c r="B43" s="56" t="e">
        <f>VLOOKUP($A43,'[2]Team lists'!$A$2:$L$800,2,FALSE)</f>
        <v>#N/A</v>
      </c>
      <c r="C43" s="43" t="e">
        <f>VLOOKUP($A43,'[2]Team lists'!$A$2:$L$800,3,FALSE)</f>
        <v>#N/A</v>
      </c>
      <c r="D43" s="43" t="e">
        <f>VLOOKUP($A43,'[2]Team lists'!$A$2:$L$800,4,FALSE)</f>
        <v>#N/A</v>
      </c>
      <c r="E43" s="43" t="e">
        <f>VLOOKUP($A43,'[2]Team lists'!$A$2:$L$800,5,FALSE)</f>
        <v>#N/A</v>
      </c>
      <c r="F43" s="43" t="e">
        <f>VLOOKUP($A43,'[2]Team lists'!$A$2:$L$800,6,FALSE)</f>
        <v>#N/A</v>
      </c>
      <c r="G43" s="43" t="e">
        <f>VLOOKUP($A43,'[2]Team lists'!$A$2:$L$800,7,FALSE)</f>
        <v>#N/A</v>
      </c>
      <c r="H43" s="43" t="e">
        <f>VLOOKUP($A43,'[2]Team lists'!$A$2:$L$800,8,FALSE)</f>
        <v>#N/A</v>
      </c>
      <c r="I43" s="43" t="e">
        <f>VLOOKUP($A43,'[2]Team lists'!$A$2:$L$800,9,FALSE)</f>
        <v>#N/A</v>
      </c>
      <c r="J43" s="43" t="e">
        <f>VLOOKUP($A43,'[2]Team lists'!$A$2:$L$800,10,FALSE)</f>
        <v>#N/A</v>
      </c>
      <c r="K43" s="43" t="e">
        <f>VLOOKUP($A43,'[2]Team lists'!$A$2:$L$800,11,FALSE)</f>
        <v>#N/A</v>
      </c>
      <c r="L43" s="44" t="e">
        <f>VLOOKUP($A43,'[2]Team lists'!$A$2:$L$800,12,FALSE)</f>
        <v>#N/A</v>
      </c>
    </row>
    <row r="44" spans="2:13">
      <c r="B44" s="56" t="e">
        <f>VLOOKUP($A44,'[2]Team lists'!$A$2:$L$800,2,FALSE)</f>
        <v>#N/A</v>
      </c>
      <c r="C44" s="43" t="e">
        <f>VLOOKUP($A44,'[2]Team lists'!$A$2:$L$800,3,FALSE)</f>
        <v>#N/A</v>
      </c>
      <c r="D44" s="43" t="e">
        <f>VLOOKUP($A44,'[2]Team lists'!$A$2:$L$800,4,FALSE)</f>
        <v>#N/A</v>
      </c>
      <c r="E44" s="43" t="e">
        <f>VLOOKUP($A44,'[2]Team lists'!$A$2:$L$800,5,FALSE)</f>
        <v>#N/A</v>
      </c>
      <c r="F44" s="43" t="e">
        <f>VLOOKUP($A44,'[2]Team lists'!$A$2:$L$800,6,FALSE)</f>
        <v>#N/A</v>
      </c>
      <c r="G44" s="43" t="e">
        <f>VLOOKUP($A44,'[2]Team lists'!$A$2:$L$800,7,FALSE)</f>
        <v>#N/A</v>
      </c>
      <c r="H44" s="43" t="e">
        <f>VLOOKUP($A44,'[2]Team lists'!$A$2:$L$800,8,FALSE)</f>
        <v>#N/A</v>
      </c>
      <c r="I44" s="43" t="e">
        <f>VLOOKUP($A44,'[2]Team lists'!$A$2:$L$800,9,FALSE)</f>
        <v>#N/A</v>
      </c>
      <c r="J44" s="43" t="e">
        <f>VLOOKUP($A44,'[2]Team lists'!$A$2:$L$800,10,FALSE)</f>
        <v>#N/A</v>
      </c>
      <c r="K44" s="43" t="e">
        <f>VLOOKUP($A44,'[2]Team lists'!$A$2:$L$800,11,FALSE)</f>
        <v>#N/A</v>
      </c>
      <c r="L44" s="44" t="e">
        <f>VLOOKUP($A44,'[2]Team lists'!$A$2:$L$800,12,FALSE)</f>
        <v>#N/A</v>
      </c>
    </row>
    <row r="45" spans="2:13">
      <c r="B45" s="56" t="e">
        <f>VLOOKUP($A45,'[2]Team lists'!$A$2:$L$800,2,FALSE)</f>
        <v>#N/A</v>
      </c>
      <c r="C45" s="43" t="e">
        <f>VLOOKUP($A45,'[2]Team lists'!$A$2:$L$800,3,FALSE)</f>
        <v>#N/A</v>
      </c>
      <c r="D45" s="43" t="e">
        <f>VLOOKUP($A45,'[2]Team lists'!$A$2:$L$800,4,FALSE)</f>
        <v>#N/A</v>
      </c>
      <c r="E45" s="43" t="e">
        <f>VLOOKUP($A45,'[2]Team lists'!$A$2:$L$800,5,FALSE)</f>
        <v>#N/A</v>
      </c>
      <c r="F45" s="43" t="e">
        <f>VLOOKUP($A45,'[2]Team lists'!$A$2:$L$800,6,FALSE)</f>
        <v>#N/A</v>
      </c>
      <c r="G45" s="43" t="e">
        <f>VLOOKUP($A45,'[2]Team lists'!$A$2:$L$800,7,FALSE)</f>
        <v>#N/A</v>
      </c>
      <c r="H45" s="43" t="e">
        <f>VLOOKUP($A45,'[2]Team lists'!$A$2:$L$800,8,FALSE)</f>
        <v>#N/A</v>
      </c>
      <c r="I45" s="43" t="e">
        <f>VLOOKUP($A45,'[2]Team lists'!$A$2:$L$800,9,FALSE)</f>
        <v>#N/A</v>
      </c>
      <c r="J45" s="43" t="e">
        <f>VLOOKUP($A45,'[2]Team lists'!$A$2:$L$800,10,FALSE)</f>
        <v>#N/A</v>
      </c>
      <c r="K45" s="43" t="e">
        <f>VLOOKUP($A45,'[2]Team lists'!$A$2:$L$800,11,FALSE)</f>
        <v>#N/A</v>
      </c>
      <c r="L45" s="44" t="e">
        <f>VLOOKUP($A45,'[2]Team lists'!$A$2:$L$800,12,FALSE)</f>
        <v>#N/A</v>
      </c>
    </row>
    <row r="46" spans="2:13">
      <c r="B46" s="56" t="e">
        <f>VLOOKUP($A46,'[2]Team lists'!$A$2:$L$800,2,FALSE)</f>
        <v>#N/A</v>
      </c>
      <c r="C46" s="43" t="e">
        <f>VLOOKUP($A46,'[2]Team lists'!$A$2:$L$800,3,FALSE)</f>
        <v>#N/A</v>
      </c>
      <c r="D46" s="43" t="e">
        <f>VLOOKUP($A46,'[2]Team lists'!$A$2:$L$800,4,FALSE)</f>
        <v>#N/A</v>
      </c>
      <c r="E46" s="43" t="e">
        <f>VLOOKUP($A46,'[2]Team lists'!$A$2:$L$800,5,FALSE)</f>
        <v>#N/A</v>
      </c>
      <c r="F46" s="43" t="e">
        <f>VLOOKUP($A46,'[2]Team lists'!$A$2:$L$800,6,FALSE)</f>
        <v>#N/A</v>
      </c>
      <c r="G46" s="43" t="e">
        <f>VLOOKUP($A46,'[2]Team lists'!$A$2:$L$800,7,FALSE)</f>
        <v>#N/A</v>
      </c>
      <c r="H46" s="43" t="e">
        <f>VLOOKUP($A46,'[2]Team lists'!$A$2:$L$800,8,FALSE)</f>
        <v>#N/A</v>
      </c>
      <c r="I46" s="43" t="e">
        <f>VLOOKUP($A46,'[2]Team lists'!$A$2:$L$800,9,FALSE)</f>
        <v>#N/A</v>
      </c>
      <c r="J46" s="43" t="e">
        <f>VLOOKUP($A46,'[2]Team lists'!$A$2:$L$800,10,FALSE)</f>
        <v>#N/A</v>
      </c>
      <c r="K46" s="43" t="e">
        <f>VLOOKUP($A46,'[2]Team lists'!$A$2:$L$800,11,FALSE)</f>
        <v>#N/A</v>
      </c>
      <c r="L46" s="44" t="e">
        <f>VLOOKUP($A46,'[2]Team lists'!$A$2:$L$800,12,FALSE)</f>
        <v>#N/A</v>
      </c>
    </row>
    <row r="47" spans="2:13" ht="18" thickBot="1">
      <c r="B47" s="45" t="s">
        <v>3210</v>
      </c>
      <c r="C47" s="46"/>
      <c r="D47" s="47"/>
      <c r="E47" s="48" t="e">
        <f t="shared" ref="E47:L47" si="2">SUM(E36:E46)</f>
        <v>#N/A</v>
      </c>
      <c r="F47" s="49" t="e">
        <f t="shared" si="2"/>
        <v>#N/A</v>
      </c>
      <c r="G47" s="49" t="e">
        <f t="shared" si="2"/>
        <v>#N/A</v>
      </c>
      <c r="H47" s="49" t="e">
        <f t="shared" si="2"/>
        <v>#N/A</v>
      </c>
      <c r="I47" s="49" t="e">
        <f t="shared" si="2"/>
        <v>#N/A</v>
      </c>
      <c r="J47" s="49" t="e">
        <f t="shared" si="2"/>
        <v>#N/A</v>
      </c>
      <c r="K47" s="49" t="e">
        <f t="shared" si="2"/>
        <v>#N/A</v>
      </c>
      <c r="L47" s="50" t="e">
        <f t="shared" si="2"/>
        <v>#N/A</v>
      </c>
    </row>
    <row r="48" spans="2:13" ht="18.600000000000001" thickTop="1" thickBot="1"/>
    <row r="49" spans="2:13" ht="18" thickTop="1">
      <c r="B49" s="23" t="s">
        <v>3204</v>
      </c>
      <c r="C49" s="24" t="s">
        <v>3205</v>
      </c>
      <c r="D49" s="25"/>
      <c r="E49" s="25"/>
      <c r="F49" s="53"/>
      <c r="G49" s="28" t="s">
        <v>3206</v>
      </c>
      <c r="H49" s="54"/>
      <c r="I49" s="54"/>
      <c r="J49" s="54"/>
      <c r="K49" s="28" t="s">
        <v>3207</v>
      </c>
      <c r="L49" s="29"/>
      <c r="M49" s="22" t="str">
        <f>G49</f>
        <v>Manager:</v>
      </c>
    </row>
    <row r="50" spans="2:13" ht="18" thickBot="1">
      <c r="B50" s="30">
        <v>4</v>
      </c>
      <c r="C50" s="57"/>
      <c r="D50" s="31"/>
      <c r="E50" s="31"/>
      <c r="F50" s="33"/>
      <c r="G50" s="55"/>
      <c r="H50" s="55"/>
      <c r="I50" s="55"/>
      <c r="J50" s="55"/>
      <c r="K50" s="34" t="e">
        <f>SUM(F63:L63)</f>
        <v>#N/A</v>
      </c>
      <c r="L50" s="35"/>
      <c r="M50" s="22">
        <f>G50</f>
        <v>0</v>
      </c>
    </row>
    <row r="51" spans="2:13" ht="18.600000000000001" thickTop="1">
      <c r="B51" s="36" t="s">
        <v>913</v>
      </c>
      <c r="C51" s="37" t="s">
        <v>912</v>
      </c>
      <c r="D51" s="38" t="s">
        <v>911</v>
      </c>
      <c r="E51" s="39" t="s">
        <v>3209</v>
      </c>
      <c r="F51" s="40" t="s">
        <v>3162</v>
      </c>
      <c r="G51" s="40" t="s">
        <v>3163</v>
      </c>
      <c r="H51" s="40" t="s">
        <v>3164</v>
      </c>
      <c r="I51" s="40" t="s">
        <v>3165</v>
      </c>
      <c r="J51" s="40" t="s">
        <v>3166</v>
      </c>
      <c r="K51" s="40" t="s">
        <v>3167</v>
      </c>
      <c r="L51" s="41" t="s">
        <v>3168</v>
      </c>
    </row>
    <row r="52" spans="2:13">
      <c r="B52" s="56" t="e">
        <f>VLOOKUP($A52,'[2]Team lists'!$A$2:$L$800,2,FALSE)</f>
        <v>#N/A</v>
      </c>
      <c r="C52" s="43" t="e">
        <f>VLOOKUP($A52,'[2]Team lists'!$A$2:$L$800,3,FALSE)</f>
        <v>#N/A</v>
      </c>
      <c r="D52" s="43" t="e">
        <f>VLOOKUP($A52,'[2]Team lists'!$A$2:$L$800,4,FALSE)</f>
        <v>#N/A</v>
      </c>
      <c r="E52" s="43" t="e">
        <f>VLOOKUP($A52,'[2]Team lists'!$A$2:$L$800,5,FALSE)</f>
        <v>#N/A</v>
      </c>
      <c r="F52" s="43" t="e">
        <f>VLOOKUP($A52,'[2]Team lists'!$A$2:$L$800,6,FALSE)</f>
        <v>#N/A</v>
      </c>
      <c r="G52" s="43" t="e">
        <f>VLOOKUP($A52,'[2]Team lists'!$A$2:$L$800,7,FALSE)</f>
        <v>#N/A</v>
      </c>
      <c r="H52" s="43" t="e">
        <f>VLOOKUP($A52,'[2]Team lists'!$A$2:$L$800,8,FALSE)</f>
        <v>#N/A</v>
      </c>
      <c r="I52" s="43" t="e">
        <f>VLOOKUP($A52,'[2]Team lists'!$A$2:$L$800,9,FALSE)</f>
        <v>#N/A</v>
      </c>
      <c r="J52" s="43" t="e">
        <f>VLOOKUP($A52,'[2]Team lists'!$A$2:$L$800,10,FALSE)</f>
        <v>#N/A</v>
      </c>
      <c r="K52" s="43" t="e">
        <f>VLOOKUP($A52,'[2]Team lists'!$A$2:$L$800,11,FALSE)</f>
        <v>#N/A</v>
      </c>
      <c r="L52" s="44" t="e">
        <f>VLOOKUP($A52,'[2]Team lists'!$A$2:$L$800,12,FALSE)</f>
        <v>#N/A</v>
      </c>
    </row>
    <row r="53" spans="2:13">
      <c r="B53" s="56" t="e">
        <f>VLOOKUP($A53,'[2]Team lists'!$A$2:$L$800,2,FALSE)</f>
        <v>#N/A</v>
      </c>
      <c r="C53" s="43" t="e">
        <f>VLOOKUP($A53,'[2]Team lists'!$A$2:$L$800,3,FALSE)</f>
        <v>#N/A</v>
      </c>
      <c r="D53" s="43" t="e">
        <f>VLOOKUP($A53,'[2]Team lists'!$A$2:$L$800,4,FALSE)</f>
        <v>#N/A</v>
      </c>
      <c r="E53" s="43" t="e">
        <f>VLOOKUP($A53,'[2]Team lists'!$A$2:$L$800,5,FALSE)</f>
        <v>#N/A</v>
      </c>
      <c r="F53" s="43" t="e">
        <f>VLOOKUP($A53,'[2]Team lists'!$A$2:$L$800,6,FALSE)</f>
        <v>#N/A</v>
      </c>
      <c r="G53" s="43" t="e">
        <f>VLOOKUP($A53,'[2]Team lists'!$A$2:$L$800,7,FALSE)</f>
        <v>#N/A</v>
      </c>
      <c r="H53" s="43" t="e">
        <f>VLOOKUP($A53,'[2]Team lists'!$A$2:$L$800,8,FALSE)</f>
        <v>#N/A</v>
      </c>
      <c r="I53" s="43" t="e">
        <f>VLOOKUP($A53,'[2]Team lists'!$A$2:$L$800,9,FALSE)</f>
        <v>#N/A</v>
      </c>
      <c r="J53" s="43" t="e">
        <f>VLOOKUP($A53,'[2]Team lists'!$A$2:$L$800,10,FALSE)</f>
        <v>#N/A</v>
      </c>
      <c r="K53" s="43" t="e">
        <f>VLOOKUP($A53,'[2]Team lists'!$A$2:$L$800,11,FALSE)</f>
        <v>#N/A</v>
      </c>
      <c r="L53" s="44" t="e">
        <f>VLOOKUP($A53,'[2]Team lists'!$A$2:$L$800,12,FALSE)</f>
        <v>#N/A</v>
      </c>
    </row>
    <row r="54" spans="2:13">
      <c r="B54" s="56" t="e">
        <f>VLOOKUP($A54,'[2]Team lists'!$A$2:$L$800,2,FALSE)</f>
        <v>#N/A</v>
      </c>
      <c r="C54" s="43" t="e">
        <f>VLOOKUP($A54,'[2]Team lists'!$A$2:$L$800,3,FALSE)</f>
        <v>#N/A</v>
      </c>
      <c r="D54" s="43" t="e">
        <f>VLOOKUP($A54,'[2]Team lists'!$A$2:$L$800,4,FALSE)</f>
        <v>#N/A</v>
      </c>
      <c r="E54" s="43" t="e">
        <f>VLOOKUP($A54,'[2]Team lists'!$A$2:$L$800,5,FALSE)</f>
        <v>#N/A</v>
      </c>
      <c r="F54" s="43" t="e">
        <f>VLOOKUP($A54,'[2]Team lists'!$A$2:$L$800,6,FALSE)</f>
        <v>#N/A</v>
      </c>
      <c r="G54" s="43" t="e">
        <f>VLOOKUP($A54,'[2]Team lists'!$A$2:$L$800,7,FALSE)</f>
        <v>#N/A</v>
      </c>
      <c r="H54" s="43" t="e">
        <f>VLOOKUP($A54,'[2]Team lists'!$A$2:$L$800,8,FALSE)</f>
        <v>#N/A</v>
      </c>
      <c r="I54" s="43" t="e">
        <f>VLOOKUP($A54,'[2]Team lists'!$A$2:$L$800,9,FALSE)</f>
        <v>#N/A</v>
      </c>
      <c r="J54" s="43" t="e">
        <f>VLOOKUP($A54,'[2]Team lists'!$A$2:$L$800,10,FALSE)</f>
        <v>#N/A</v>
      </c>
      <c r="K54" s="43" t="e">
        <f>VLOOKUP($A54,'[2]Team lists'!$A$2:$L$800,11,FALSE)</f>
        <v>#N/A</v>
      </c>
      <c r="L54" s="44" t="e">
        <f>VLOOKUP($A54,'[2]Team lists'!$A$2:$L$800,12,FALSE)</f>
        <v>#N/A</v>
      </c>
    </row>
    <row r="55" spans="2:13">
      <c r="B55" s="56" t="e">
        <f>VLOOKUP($A55,'[2]Team lists'!$A$2:$L$800,2,FALSE)</f>
        <v>#N/A</v>
      </c>
      <c r="C55" s="43" t="e">
        <f>VLOOKUP($A55,'[2]Team lists'!$A$2:$L$800,3,FALSE)</f>
        <v>#N/A</v>
      </c>
      <c r="D55" s="43" t="e">
        <f>VLOOKUP($A55,'[2]Team lists'!$A$2:$L$800,4,FALSE)</f>
        <v>#N/A</v>
      </c>
      <c r="E55" s="43" t="e">
        <f>VLOOKUP($A55,'[2]Team lists'!$A$2:$L$800,5,FALSE)</f>
        <v>#N/A</v>
      </c>
      <c r="F55" s="43" t="e">
        <f>VLOOKUP($A55,'[2]Team lists'!$A$2:$L$800,6,FALSE)</f>
        <v>#N/A</v>
      </c>
      <c r="G55" s="43" t="e">
        <f>VLOOKUP($A55,'[2]Team lists'!$A$2:$L$800,7,FALSE)</f>
        <v>#N/A</v>
      </c>
      <c r="H55" s="43" t="e">
        <f>VLOOKUP($A55,'[2]Team lists'!$A$2:$L$800,8,FALSE)</f>
        <v>#N/A</v>
      </c>
      <c r="I55" s="43" t="e">
        <f>VLOOKUP($A55,'[2]Team lists'!$A$2:$L$800,9,FALSE)</f>
        <v>#N/A</v>
      </c>
      <c r="J55" s="43" t="e">
        <f>VLOOKUP($A55,'[2]Team lists'!$A$2:$L$800,10,FALSE)</f>
        <v>#N/A</v>
      </c>
      <c r="K55" s="43" t="e">
        <f>VLOOKUP($A55,'[2]Team lists'!$A$2:$L$800,11,FALSE)</f>
        <v>#N/A</v>
      </c>
      <c r="L55" s="44" t="e">
        <f>VLOOKUP($A55,'[2]Team lists'!$A$2:$L$800,12,FALSE)</f>
        <v>#N/A</v>
      </c>
    </row>
    <row r="56" spans="2:13">
      <c r="B56" s="56" t="e">
        <f>VLOOKUP($A56,'[2]Team lists'!$A$2:$L$800,2,FALSE)</f>
        <v>#N/A</v>
      </c>
      <c r="C56" s="43" t="e">
        <f>VLOOKUP($A56,'[2]Team lists'!$A$2:$L$800,3,FALSE)</f>
        <v>#N/A</v>
      </c>
      <c r="D56" s="43" t="e">
        <f>VLOOKUP($A56,'[2]Team lists'!$A$2:$L$800,4,FALSE)</f>
        <v>#N/A</v>
      </c>
      <c r="E56" s="43" t="e">
        <f>VLOOKUP($A56,'[2]Team lists'!$A$2:$L$800,5,FALSE)</f>
        <v>#N/A</v>
      </c>
      <c r="F56" s="43" t="e">
        <f>VLOOKUP($A56,'[2]Team lists'!$A$2:$L$800,6,FALSE)</f>
        <v>#N/A</v>
      </c>
      <c r="G56" s="43" t="e">
        <f>VLOOKUP($A56,'[2]Team lists'!$A$2:$L$800,7,FALSE)</f>
        <v>#N/A</v>
      </c>
      <c r="H56" s="43" t="e">
        <f>VLOOKUP($A56,'[2]Team lists'!$A$2:$L$800,8,FALSE)</f>
        <v>#N/A</v>
      </c>
      <c r="I56" s="43" t="e">
        <f>VLOOKUP($A56,'[2]Team lists'!$A$2:$L$800,9,FALSE)</f>
        <v>#N/A</v>
      </c>
      <c r="J56" s="43" t="e">
        <f>VLOOKUP($A56,'[2]Team lists'!$A$2:$L$800,10,FALSE)</f>
        <v>#N/A</v>
      </c>
      <c r="K56" s="43" t="e">
        <f>VLOOKUP($A56,'[2]Team lists'!$A$2:$L$800,11,FALSE)</f>
        <v>#N/A</v>
      </c>
      <c r="L56" s="44" t="e">
        <f>VLOOKUP($A56,'[2]Team lists'!$A$2:$L$800,12,FALSE)</f>
        <v>#N/A</v>
      </c>
    </row>
    <row r="57" spans="2:13">
      <c r="B57" s="56" t="e">
        <f>VLOOKUP($A57,'[2]Team lists'!$A$2:$L$800,2,FALSE)</f>
        <v>#N/A</v>
      </c>
      <c r="C57" s="43" t="e">
        <f>VLOOKUP($A57,'[2]Team lists'!$A$2:$L$800,3,FALSE)</f>
        <v>#N/A</v>
      </c>
      <c r="D57" s="43" t="e">
        <f>VLOOKUP($A57,'[2]Team lists'!$A$2:$L$800,4,FALSE)</f>
        <v>#N/A</v>
      </c>
      <c r="E57" s="43" t="e">
        <f>VLOOKUP($A57,'[2]Team lists'!$A$2:$L$800,5,FALSE)</f>
        <v>#N/A</v>
      </c>
      <c r="F57" s="43" t="e">
        <f>VLOOKUP($A57,'[2]Team lists'!$A$2:$L$800,6,FALSE)</f>
        <v>#N/A</v>
      </c>
      <c r="G57" s="43" t="e">
        <f>VLOOKUP($A57,'[2]Team lists'!$A$2:$L$800,7,FALSE)</f>
        <v>#N/A</v>
      </c>
      <c r="H57" s="43" t="e">
        <f>VLOOKUP($A57,'[2]Team lists'!$A$2:$L$800,8,FALSE)</f>
        <v>#N/A</v>
      </c>
      <c r="I57" s="43" t="e">
        <f>VLOOKUP($A57,'[2]Team lists'!$A$2:$L$800,9,FALSE)</f>
        <v>#N/A</v>
      </c>
      <c r="J57" s="43" t="e">
        <f>VLOOKUP($A57,'[2]Team lists'!$A$2:$L$800,10,FALSE)</f>
        <v>#N/A</v>
      </c>
      <c r="K57" s="43" t="e">
        <f>VLOOKUP($A57,'[2]Team lists'!$A$2:$L$800,11,FALSE)</f>
        <v>#N/A</v>
      </c>
      <c r="L57" s="44" t="e">
        <f>VLOOKUP($A57,'[2]Team lists'!$A$2:$L$800,12,FALSE)</f>
        <v>#N/A</v>
      </c>
    </row>
    <row r="58" spans="2:13">
      <c r="B58" s="56" t="e">
        <f>VLOOKUP($A58,'[2]Team lists'!$A$2:$L$800,2,FALSE)</f>
        <v>#N/A</v>
      </c>
      <c r="C58" s="43" t="e">
        <f>VLOOKUP($A58,'[2]Team lists'!$A$2:$L$800,3,FALSE)</f>
        <v>#N/A</v>
      </c>
      <c r="D58" s="43" t="e">
        <f>VLOOKUP($A58,'[2]Team lists'!$A$2:$L$800,4,FALSE)</f>
        <v>#N/A</v>
      </c>
      <c r="E58" s="43" t="e">
        <f>VLOOKUP($A58,'[2]Team lists'!$A$2:$L$800,5,FALSE)</f>
        <v>#N/A</v>
      </c>
      <c r="F58" s="43" t="e">
        <f>VLOOKUP($A58,'[2]Team lists'!$A$2:$L$800,6,FALSE)</f>
        <v>#N/A</v>
      </c>
      <c r="G58" s="43" t="e">
        <f>VLOOKUP($A58,'[2]Team lists'!$A$2:$L$800,7,FALSE)</f>
        <v>#N/A</v>
      </c>
      <c r="H58" s="43" t="e">
        <f>VLOOKUP($A58,'[2]Team lists'!$A$2:$L$800,8,FALSE)</f>
        <v>#N/A</v>
      </c>
      <c r="I58" s="43" t="e">
        <f>VLOOKUP($A58,'[2]Team lists'!$A$2:$L$800,9,FALSE)</f>
        <v>#N/A</v>
      </c>
      <c r="J58" s="43" t="e">
        <f>VLOOKUP($A58,'[2]Team lists'!$A$2:$L$800,10,FALSE)</f>
        <v>#N/A</v>
      </c>
      <c r="K58" s="43" t="e">
        <f>VLOOKUP($A58,'[2]Team lists'!$A$2:$L$800,11,FALSE)</f>
        <v>#N/A</v>
      </c>
      <c r="L58" s="44" t="e">
        <f>VLOOKUP($A58,'[2]Team lists'!$A$2:$L$800,12,FALSE)</f>
        <v>#N/A</v>
      </c>
    </row>
    <row r="59" spans="2:13">
      <c r="B59" s="56" t="e">
        <f>VLOOKUP($A59,'[2]Team lists'!$A$2:$L$800,2,FALSE)</f>
        <v>#N/A</v>
      </c>
      <c r="C59" s="43" t="e">
        <f>VLOOKUP($A59,'[2]Team lists'!$A$2:$L$800,3,FALSE)</f>
        <v>#N/A</v>
      </c>
      <c r="D59" s="43" t="e">
        <f>VLOOKUP($A59,'[2]Team lists'!$A$2:$L$800,4,FALSE)</f>
        <v>#N/A</v>
      </c>
      <c r="E59" s="43" t="e">
        <f>VLOOKUP($A59,'[2]Team lists'!$A$2:$L$800,5,FALSE)</f>
        <v>#N/A</v>
      </c>
      <c r="F59" s="43" t="e">
        <f>VLOOKUP($A59,'[2]Team lists'!$A$2:$L$800,6,FALSE)</f>
        <v>#N/A</v>
      </c>
      <c r="G59" s="43" t="e">
        <f>VLOOKUP($A59,'[2]Team lists'!$A$2:$L$800,7,FALSE)</f>
        <v>#N/A</v>
      </c>
      <c r="H59" s="43" t="e">
        <f>VLOOKUP($A59,'[2]Team lists'!$A$2:$L$800,8,FALSE)</f>
        <v>#N/A</v>
      </c>
      <c r="I59" s="43" t="e">
        <f>VLOOKUP($A59,'[2]Team lists'!$A$2:$L$800,9,FALSE)</f>
        <v>#N/A</v>
      </c>
      <c r="J59" s="43" t="e">
        <f>VLOOKUP($A59,'[2]Team lists'!$A$2:$L$800,10,FALSE)</f>
        <v>#N/A</v>
      </c>
      <c r="K59" s="43" t="e">
        <f>VLOOKUP($A59,'[2]Team lists'!$A$2:$L$800,11,FALSE)</f>
        <v>#N/A</v>
      </c>
      <c r="L59" s="44" t="e">
        <f>VLOOKUP($A59,'[2]Team lists'!$A$2:$L$800,12,FALSE)</f>
        <v>#N/A</v>
      </c>
    </row>
    <row r="60" spans="2:13">
      <c r="B60" s="56" t="e">
        <f>VLOOKUP($A60,'[2]Team lists'!$A$2:$L$800,2,FALSE)</f>
        <v>#N/A</v>
      </c>
      <c r="C60" s="43" t="e">
        <f>VLOOKUP($A60,'[2]Team lists'!$A$2:$L$800,3,FALSE)</f>
        <v>#N/A</v>
      </c>
      <c r="D60" s="43" t="e">
        <f>VLOOKUP($A60,'[2]Team lists'!$A$2:$L$800,4,FALSE)</f>
        <v>#N/A</v>
      </c>
      <c r="E60" s="43" t="e">
        <f>VLOOKUP($A60,'[2]Team lists'!$A$2:$L$800,5,FALSE)</f>
        <v>#N/A</v>
      </c>
      <c r="F60" s="43" t="e">
        <f>VLOOKUP($A60,'[2]Team lists'!$A$2:$L$800,6,FALSE)</f>
        <v>#N/A</v>
      </c>
      <c r="G60" s="43" t="e">
        <f>VLOOKUP($A60,'[2]Team lists'!$A$2:$L$800,7,FALSE)</f>
        <v>#N/A</v>
      </c>
      <c r="H60" s="43" t="e">
        <f>VLOOKUP($A60,'[2]Team lists'!$A$2:$L$800,8,FALSE)</f>
        <v>#N/A</v>
      </c>
      <c r="I60" s="43" t="e">
        <f>VLOOKUP($A60,'[2]Team lists'!$A$2:$L$800,9,FALSE)</f>
        <v>#N/A</v>
      </c>
      <c r="J60" s="43" t="e">
        <f>VLOOKUP($A60,'[2]Team lists'!$A$2:$L$800,10,FALSE)</f>
        <v>#N/A</v>
      </c>
      <c r="K60" s="43" t="e">
        <f>VLOOKUP($A60,'[2]Team lists'!$A$2:$L$800,11,FALSE)</f>
        <v>#N/A</v>
      </c>
      <c r="L60" s="44" t="e">
        <f>VLOOKUP($A60,'[2]Team lists'!$A$2:$L$800,12,FALSE)</f>
        <v>#N/A</v>
      </c>
    </row>
    <row r="61" spans="2:13">
      <c r="B61" s="56" t="e">
        <f>VLOOKUP($A61,'[2]Team lists'!$A$2:$L$800,2,FALSE)</f>
        <v>#N/A</v>
      </c>
      <c r="C61" s="43" t="e">
        <f>VLOOKUP($A61,'[2]Team lists'!$A$2:$L$800,3,FALSE)</f>
        <v>#N/A</v>
      </c>
      <c r="D61" s="43" t="e">
        <f>VLOOKUP($A61,'[2]Team lists'!$A$2:$L$800,4,FALSE)</f>
        <v>#N/A</v>
      </c>
      <c r="E61" s="43" t="e">
        <f>VLOOKUP($A61,'[2]Team lists'!$A$2:$L$800,5,FALSE)</f>
        <v>#N/A</v>
      </c>
      <c r="F61" s="43" t="e">
        <f>VLOOKUP($A61,'[2]Team lists'!$A$2:$L$800,6,FALSE)</f>
        <v>#N/A</v>
      </c>
      <c r="G61" s="43" t="e">
        <f>VLOOKUP($A61,'[2]Team lists'!$A$2:$L$800,7,FALSE)</f>
        <v>#N/A</v>
      </c>
      <c r="H61" s="43" t="e">
        <f>VLOOKUP($A61,'[2]Team lists'!$A$2:$L$800,8,FALSE)</f>
        <v>#N/A</v>
      </c>
      <c r="I61" s="43" t="e">
        <f>VLOOKUP($A61,'[2]Team lists'!$A$2:$L$800,9,FALSE)</f>
        <v>#N/A</v>
      </c>
      <c r="J61" s="43" t="e">
        <f>VLOOKUP($A61,'[2]Team lists'!$A$2:$L$800,10,FALSE)</f>
        <v>#N/A</v>
      </c>
      <c r="K61" s="43" t="e">
        <f>VLOOKUP($A61,'[2]Team lists'!$A$2:$L$800,11,FALSE)</f>
        <v>#N/A</v>
      </c>
      <c r="L61" s="44" t="e">
        <f>VLOOKUP($A61,'[2]Team lists'!$A$2:$L$800,12,FALSE)</f>
        <v>#N/A</v>
      </c>
    </row>
    <row r="62" spans="2:13">
      <c r="B62" s="56" t="e">
        <f>VLOOKUP($A62,'[2]Team lists'!$A$2:$L$800,2,FALSE)</f>
        <v>#N/A</v>
      </c>
      <c r="C62" s="43" t="e">
        <f>VLOOKUP($A62,'[2]Team lists'!$A$2:$L$800,3,FALSE)</f>
        <v>#N/A</v>
      </c>
      <c r="D62" s="43" t="e">
        <f>VLOOKUP($A62,'[2]Team lists'!$A$2:$L$800,4,FALSE)</f>
        <v>#N/A</v>
      </c>
      <c r="E62" s="43" t="e">
        <f>VLOOKUP($A62,'[2]Team lists'!$A$2:$L$800,5,FALSE)</f>
        <v>#N/A</v>
      </c>
      <c r="F62" s="43" t="e">
        <f>VLOOKUP($A62,'[2]Team lists'!$A$2:$L$800,6,FALSE)</f>
        <v>#N/A</v>
      </c>
      <c r="G62" s="43" t="e">
        <f>VLOOKUP($A62,'[2]Team lists'!$A$2:$L$800,7,FALSE)</f>
        <v>#N/A</v>
      </c>
      <c r="H62" s="43" t="e">
        <f>VLOOKUP($A62,'[2]Team lists'!$A$2:$L$800,8,FALSE)</f>
        <v>#N/A</v>
      </c>
      <c r="I62" s="43" t="e">
        <f>VLOOKUP($A62,'[2]Team lists'!$A$2:$L$800,9,FALSE)</f>
        <v>#N/A</v>
      </c>
      <c r="J62" s="43" t="e">
        <f>VLOOKUP($A62,'[2]Team lists'!$A$2:$L$800,10,FALSE)</f>
        <v>#N/A</v>
      </c>
      <c r="K62" s="43" t="e">
        <f>VLOOKUP($A62,'[2]Team lists'!$A$2:$L$800,11,FALSE)</f>
        <v>#N/A</v>
      </c>
      <c r="L62" s="44" t="e">
        <f>VLOOKUP($A62,'[2]Team lists'!$A$2:$L$800,12,FALSE)</f>
        <v>#N/A</v>
      </c>
    </row>
    <row r="63" spans="2:13" ht="18" thickBot="1">
      <c r="B63" s="45" t="s">
        <v>3210</v>
      </c>
      <c r="C63" s="46"/>
      <c r="D63" s="47"/>
      <c r="E63" s="48" t="e">
        <f t="shared" ref="E63:L63" si="3">SUM(E52:E62)</f>
        <v>#N/A</v>
      </c>
      <c r="F63" s="49" t="e">
        <f t="shared" si="3"/>
        <v>#N/A</v>
      </c>
      <c r="G63" s="49" t="e">
        <f t="shared" si="3"/>
        <v>#N/A</v>
      </c>
      <c r="H63" s="49" t="e">
        <f t="shared" si="3"/>
        <v>#N/A</v>
      </c>
      <c r="I63" s="49" t="e">
        <f t="shared" si="3"/>
        <v>#N/A</v>
      </c>
      <c r="J63" s="49" t="e">
        <f t="shared" si="3"/>
        <v>#N/A</v>
      </c>
      <c r="K63" s="49" t="e">
        <f t="shared" si="3"/>
        <v>#N/A</v>
      </c>
      <c r="L63" s="50" t="e">
        <f t="shared" si="3"/>
        <v>#N/A</v>
      </c>
    </row>
    <row r="64" spans="2:13" ht="18.600000000000001" thickTop="1" thickBot="1"/>
    <row r="65" spans="2:13" ht="18" thickTop="1">
      <c r="B65" s="23" t="s">
        <v>3204</v>
      </c>
      <c r="C65" s="24" t="s">
        <v>3205</v>
      </c>
      <c r="D65" s="25"/>
      <c r="E65" s="25"/>
      <c r="F65" s="53"/>
      <c r="G65" s="28" t="s">
        <v>3206</v>
      </c>
      <c r="H65" s="54"/>
      <c r="I65" s="54"/>
      <c r="J65" s="54"/>
      <c r="K65" s="28" t="s">
        <v>3207</v>
      </c>
      <c r="L65" s="29"/>
      <c r="M65" s="22" t="str">
        <f>G65</f>
        <v>Manager:</v>
      </c>
    </row>
    <row r="66" spans="2:13" ht="18" thickBot="1">
      <c r="B66" s="30">
        <v>5</v>
      </c>
      <c r="C66" s="57"/>
      <c r="D66" s="31"/>
      <c r="E66" s="31"/>
      <c r="F66" s="33"/>
      <c r="G66" s="55"/>
      <c r="H66" s="55"/>
      <c r="I66" s="55"/>
      <c r="J66" s="55"/>
      <c r="K66" s="34" t="e">
        <f>SUM(F79:L79)</f>
        <v>#N/A</v>
      </c>
      <c r="L66" s="35"/>
      <c r="M66" s="22">
        <f>G66</f>
        <v>0</v>
      </c>
    </row>
    <row r="67" spans="2:13" ht="18.600000000000001" thickTop="1">
      <c r="B67" s="36" t="s">
        <v>913</v>
      </c>
      <c r="C67" s="37" t="s">
        <v>912</v>
      </c>
      <c r="D67" s="38" t="s">
        <v>911</v>
      </c>
      <c r="E67" s="39" t="s">
        <v>3209</v>
      </c>
      <c r="F67" s="40" t="s">
        <v>3162</v>
      </c>
      <c r="G67" s="40" t="s">
        <v>3163</v>
      </c>
      <c r="H67" s="40" t="s">
        <v>3164</v>
      </c>
      <c r="I67" s="40" t="s">
        <v>3165</v>
      </c>
      <c r="J67" s="40" t="s">
        <v>3166</v>
      </c>
      <c r="K67" s="40" t="s">
        <v>3167</v>
      </c>
      <c r="L67" s="41" t="s">
        <v>3168</v>
      </c>
    </row>
    <row r="68" spans="2:13">
      <c r="B68" s="56" t="e">
        <f>VLOOKUP($A68,'[2]Team lists'!$A$2:$L$800,2,FALSE)</f>
        <v>#N/A</v>
      </c>
      <c r="C68" s="43" t="e">
        <f>VLOOKUP($A68,'[2]Team lists'!$A$2:$L$800,3,FALSE)</f>
        <v>#N/A</v>
      </c>
      <c r="D68" s="43" t="e">
        <f>VLOOKUP($A68,'[2]Team lists'!$A$2:$L$800,4,FALSE)</f>
        <v>#N/A</v>
      </c>
      <c r="E68" s="43" t="e">
        <f>VLOOKUP($A68,'[2]Team lists'!$A$2:$L$800,5,FALSE)</f>
        <v>#N/A</v>
      </c>
      <c r="F68" s="43" t="e">
        <f>VLOOKUP($A68,'[2]Team lists'!$A$2:$L$800,6,FALSE)</f>
        <v>#N/A</v>
      </c>
      <c r="G68" s="43" t="e">
        <f>VLOOKUP($A68,'[2]Team lists'!$A$2:$L$800,7,FALSE)</f>
        <v>#N/A</v>
      </c>
      <c r="H68" s="43" t="e">
        <f>VLOOKUP($A68,'[2]Team lists'!$A$2:$L$800,8,FALSE)</f>
        <v>#N/A</v>
      </c>
      <c r="I68" s="43" t="e">
        <f>VLOOKUP($A68,'[2]Team lists'!$A$2:$L$800,9,FALSE)</f>
        <v>#N/A</v>
      </c>
      <c r="J68" s="43" t="e">
        <f>VLOOKUP($A68,'[2]Team lists'!$A$2:$L$800,10,FALSE)</f>
        <v>#N/A</v>
      </c>
      <c r="K68" s="43" t="e">
        <f>VLOOKUP($A68,'[2]Team lists'!$A$2:$L$800,11,FALSE)</f>
        <v>#N/A</v>
      </c>
      <c r="L68" s="44" t="e">
        <f>VLOOKUP($A68,'[2]Team lists'!$A$2:$L$800,12,FALSE)</f>
        <v>#N/A</v>
      </c>
    </row>
    <row r="69" spans="2:13">
      <c r="B69" s="56" t="e">
        <f>VLOOKUP($A69,'[2]Team lists'!$A$2:$L$800,2,FALSE)</f>
        <v>#N/A</v>
      </c>
      <c r="C69" s="43" t="e">
        <f>VLOOKUP($A69,'[2]Team lists'!$A$2:$L$800,3,FALSE)</f>
        <v>#N/A</v>
      </c>
      <c r="D69" s="43" t="e">
        <f>VLOOKUP($A69,'[2]Team lists'!$A$2:$L$800,4,FALSE)</f>
        <v>#N/A</v>
      </c>
      <c r="E69" s="43" t="e">
        <f>VLOOKUP($A69,'[2]Team lists'!$A$2:$L$800,5,FALSE)</f>
        <v>#N/A</v>
      </c>
      <c r="F69" s="43" t="e">
        <f>VLOOKUP($A69,'[2]Team lists'!$A$2:$L$800,6,FALSE)</f>
        <v>#N/A</v>
      </c>
      <c r="G69" s="43" t="e">
        <f>VLOOKUP($A69,'[2]Team lists'!$A$2:$L$800,7,FALSE)</f>
        <v>#N/A</v>
      </c>
      <c r="H69" s="43" t="e">
        <f>VLOOKUP($A69,'[2]Team lists'!$A$2:$L$800,8,FALSE)</f>
        <v>#N/A</v>
      </c>
      <c r="I69" s="43" t="e">
        <f>VLOOKUP($A69,'[2]Team lists'!$A$2:$L$800,9,FALSE)</f>
        <v>#N/A</v>
      </c>
      <c r="J69" s="43" t="e">
        <f>VLOOKUP($A69,'[2]Team lists'!$A$2:$L$800,10,FALSE)</f>
        <v>#N/A</v>
      </c>
      <c r="K69" s="43" t="e">
        <f>VLOOKUP($A69,'[2]Team lists'!$A$2:$L$800,11,FALSE)</f>
        <v>#N/A</v>
      </c>
      <c r="L69" s="44" t="e">
        <f>VLOOKUP($A69,'[2]Team lists'!$A$2:$L$800,12,FALSE)</f>
        <v>#N/A</v>
      </c>
    </row>
    <row r="70" spans="2:13">
      <c r="B70" s="56" t="e">
        <f>VLOOKUP($A70,'[2]Team lists'!$A$2:$L$800,2,FALSE)</f>
        <v>#N/A</v>
      </c>
      <c r="C70" s="43" t="e">
        <f>VLOOKUP($A70,'[2]Team lists'!$A$2:$L$800,3,FALSE)</f>
        <v>#N/A</v>
      </c>
      <c r="D70" s="43" t="e">
        <f>VLOOKUP($A70,'[2]Team lists'!$A$2:$L$800,4,FALSE)</f>
        <v>#N/A</v>
      </c>
      <c r="E70" s="43" t="e">
        <f>VLOOKUP($A70,'[2]Team lists'!$A$2:$L$800,5,FALSE)</f>
        <v>#N/A</v>
      </c>
      <c r="F70" s="43" t="e">
        <f>VLOOKUP($A70,'[2]Team lists'!$A$2:$L$800,6,FALSE)</f>
        <v>#N/A</v>
      </c>
      <c r="G70" s="43" t="e">
        <f>VLOOKUP($A70,'[2]Team lists'!$A$2:$L$800,7,FALSE)</f>
        <v>#N/A</v>
      </c>
      <c r="H70" s="43" t="e">
        <f>VLOOKUP($A70,'[2]Team lists'!$A$2:$L$800,8,FALSE)</f>
        <v>#N/A</v>
      </c>
      <c r="I70" s="43" t="e">
        <f>VLOOKUP($A70,'[2]Team lists'!$A$2:$L$800,9,FALSE)</f>
        <v>#N/A</v>
      </c>
      <c r="J70" s="43" t="e">
        <f>VLOOKUP($A70,'[2]Team lists'!$A$2:$L$800,10,FALSE)</f>
        <v>#N/A</v>
      </c>
      <c r="K70" s="43" t="e">
        <f>VLOOKUP($A70,'[2]Team lists'!$A$2:$L$800,11,FALSE)</f>
        <v>#N/A</v>
      </c>
      <c r="L70" s="44" t="e">
        <f>VLOOKUP($A70,'[2]Team lists'!$A$2:$L$800,12,FALSE)</f>
        <v>#N/A</v>
      </c>
    </row>
    <row r="71" spans="2:13">
      <c r="B71" s="56" t="e">
        <f>VLOOKUP($A71,'[2]Team lists'!$A$2:$L$800,2,FALSE)</f>
        <v>#N/A</v>
      </c>
      <c r="C71" s="43" t="e">
        <f>VLOOKUP($A71,'[2]Team lists'!$A$2:$L$800,3,FALSE)</f>
        <v>#N/A</v>
      </c>
      <c r="D71" s="43" t="e">
        <f>VLOOKUP($A71,'[2]Team lists'!$A$2:$L$800,4,FALSE)</f>
        <v>#N/A</v>
      </c>
      <c r="E71" s="43" t="e">
        <f>VLOOKUP($A71,'[2]Team lists'!$A$2:$L$800,5,FALSE)</f>
        <v>#N/A</v>
      </c>
      <c r="F71" s="43" t="e">
        <f>VLOOKUP($A71,'[2]Team lists'!$A$2:$L$800,6,FALSE)</f>
        <v>#N/A</v>
      </c>
      <c r="G71" s="43" t="e">
        <f>VLOOKUP($A71,'[2]Team lists'!$A$2:$L$800,7,FALSE)</f>
        <v>#N/A</v>
      </c>
      <c r="H71" s="43" t="e">
        <f>VLOOKUP($A71,'[2]Team lists'!$A$2:$L$800,8,FALSE)</f>
        <v>#N/A</v>
      </c>
      <c r="I71" s="43" t="e">
        <f>VLOOKUP($A71,'[2]Team lists'!$A$2:$L$800,9,FALSE)</f>
        <v>#N/A</v>
      </c>
      <c r="J71" s="43" t="e">
        <f>VLOOKUP($A71,'[2]Team lists'!$A$2:$L$800,10,FALSE)</f>
        <v>#N/A</v>
      </c>
      <c r="K71" s="43" t="e">
        <f>VLOOKUP($A71,'[2]Team lists'!$A$2:$L$800,11,FALSE)</f>
        <v>#N/A</v>
      </c>
      <c r="L71" s="44" t="e">
        <f>VLOOKUP($A71,'[2]Team lists'!$A$2:$L$800,12,FALSE)</f>
        <v>#N/A</v>
      </c>
    </row>
    <row r="72" spans="2:13">
      <c r="B72" s="56" t="e">
        <f>VLOOKUP($A72,'[2]Team lists'!$A$2:$L$800,2,FALSE)</f>
        <v>#N/A</v>
      </c>
      <c r="C72" s="43" t="e">
        <f>VLOOKUP($A72,'[2]Team lists'!$A$2:$L$800,3,FALSE)</f>
        <v>#N/A</v>
      </c>
      <c r="D72" s="43" t="e">
        <f>VLOOKUP($A72,'[2]Team lists'!$A$2:$L$800,4,FALSE)</f>
        <v>#N/A</v>
      </c>
      <c r="E72" s="43" t="e">
        <f>VLOOKUP($A72,'[2]Team lists'!$A$2:$L$800,5,FALSE)</f>
        <v>#N/A</v>
      </c>
      <c r="F72" s="43" t="e">
        <f>VLOOKUP($A72,'[2]Team lists'!$A$2:$L$800,6,FALSE)</f>
        <v>#N/A</v>
      </c>
      <c r="G72" s="43" t="e">
        <f>VLOOKUP($A72,'[2]Team lists'!$A$2:$L$800,7,FALSE)</f>
        <v>#N/A</v>
      </c>
      <c r="H72" s="43" t="e">
        <f>VLOOKUP($A72,'[2]Team lists'!$A$2:$L$800,8,FALSE)</f>
        <v>#N/A</v>
      </c>
      <c r="I72" s="43" t="e">
        <f>VLOOKUP($A72,'[2]Team lists'!$A$2:$L$800,9,FALSE)</f>
        <v>#N/A</v>
      </c>
      <c r="J72" s="43" t="e">
        <f>VLOOKUP($A72,'[2]Team lists'!$A$2:$L$800,10,FALSE)</f>
        <v>#N/A</v>
      </c>
      <c r="K72" s="43" t="e">
        <f>VLOOKUP($A72,'[2]Team lists'!$A$2:$L$800,11,FALSE)</f>
        <v>#N/A</v>
      </c>
      <c r="L72" s="44" t="e">
        <f>VLOOKUP($A72,'[2]Team lists'!$A$2:$L$800,12,FALSE)</f>
        <v>#N/A</v>
      </c>
    </row>
    <row r="73" spans="2:13">
      <c r="B73" s="56" t="e">
        <f>VLOOKUP($A73,'[2]Team lists'!$A$2:$L$800,2,FALSE)</f>
        <v>#N/A</v>
      </c>
      <c r="C73" s="43" t="e">
        <f>VLOOKUP($A73,'[2]Team lists'!$A$2:$L$800,3,FALSE)</f>
        <v>#N/A</v>
      </c>
      <c r="D73" s="43" t="e">
        <f>VLOOKUP($A73,'[2]Team lists'!$A$2:$L$800,4,FALSE)</f>
        <v>#N/A</v>
      </c>
      <c r="E73" s="43" t="e">
        <f>VLOOKUP($A73,'[2]Team lists'!$A$2:$L$800,5,FALSE)</f>
        <v>#N/A</v>
      </c>
      <c r="F73" s="43" t="e">
        <f>VLOOKUP($A73,'[2]Team lists'!$A$2:$L$800,6,FALSE)</f>
        <v>#N/A</v>
      </c>
      <c r="G73" s="43" t="e">
        <f>VLOOKUP($A73,'[2]Team lists'!$A$2:$L$800,7,FALSE)</f>
        <v>#N/A</v>
      </c>
      <c r="H73" s="43" t="e">
        <f>VLOOKUP($A73,'[2]Team lists'!$A$2:$L$800,8,FALSE)</f>
        <v>#N/A</v>
      </c>
      <c r="I73" s="43" t="e">
        <f>VLOOKUP($A73,'[2]Team lists'!$A$2:$L$800,9,FALSE)</f>
        <v>#N/A</v>
      </c>
      <c r="J73" s="43" t="e">
        <f>VLOOKUP($A73,'[2]Team lists'!$A$2:$L$800,10,FALSE)</f>
        <v>#N/A</v>
      </c>
      <c r="K73" s="43" t="e">
        <f>VLOOKUP($A73,'[2]Team lists'!$A$2:$L$800,11,FALSE)</f>
        <v>#N/A</v>
      </c>
      <c r="L73" s="44" t="e">
        <f>VLOOKUP($A73,'[2]Team lists'!$A$2:$L$800,12,FALSE)</f>
        <v>#N/A</v>
      </c>
    </row>
    <row r="74" spans="2:13">
      <c r="B74" s="56" t="e">
        <f>VLOOKUP($A74,'[2]Team lists'!$A$2:$L$800,2,FALSE)</f>
        <v>#N/A</v>
      </c>
      <c r="C74" s="43" t="e">
        <f>VLOOKUP($A74,'[2]Team lists'!$A$2:$L$800,3,FALSE)</f>
        <v>#N/A</v>
      </c>
      <c r="D74" s="43" t="e">
        <f>VLOOKUP($A74,'[2]Team lists'!$A$2:$L$800,4,FALSE)</f>
        <v>#N/A</v>
      </c>
      <c r="E74" s="43" t="e">
        <f>VLOOKUP($A74,'[2]Team lists'!$A$2:$L$800,5,FALSE)</f>
        <v>#N/A</v>
      </c>
      <c r="F74" s="43" t="e">
        <f>VLOOKUP($A74,'[2]Team lists'!$A$2:$L$800,6,FALSE)</f>
        <v>#N/A</v>
      </c>
      <c r="G74" s="43" t="e">
        <f>VLOOKUP($A74,'[2]Team lists'!$A$2:$L$800,7,FALSE)</f>
        <v>#N/A</v>
      </c>
      <c r="H74" s="43" t="e">
        <f>VLOOKUP($A74,'[2]Team lists'!$A$2:$L$800,8,FALSE)</f>
        <v>#N/A</v>
      </c>
      <c r="I74" s="43" t="e">
        <f>VLOOKUP($A74,'[2]Team lists'!$A$2:$L$800,9,FALSE)</f>
        <v>#N/A</v>
      </c>
      <c r="J74" s="43" t="e">
        <f>VLOOKUP($A74,'[2]Team lists'!$A$2:$L$800,10,FALSE)</f>
        <v>#N/A</v>
      </c>
      <c r="K74" s="43" t="e">
        <f>VLOOKUP($A74,'[2]Team lists'!$A$2:$L$800,11,FALSE)</f>
        <v>#N/A</v>
      </c>
      <c r="L74" s="44" t="e">
        <f>VLOOKUP($A74,'[2]Team lists'!$A$2:$L$800,12,FALSE)</f>
        <v>#N/A</v>
      </c>
    </row>
    <row r="75" spans="2:13">
      <c r="B75" s="56" t="e">
        <f>VLOOKUP($A75,'[2]Team lists'!$A$2:$L$800,2,FALSE)</f>
        <v>#N/A</v>
      </c>
      <c r="C75" s="43" t="e">
        <f>VLOOKUP($A75,'[2]Team lists'!$A$2:$L$800,3,FALSE)</f>
        <v>#N/A</v>
      </c>
      <c r="D75" s="43" t="e">
        <f>VLOOKUP($A75,'[2]Team lists'!$A$2:$L$800,4,FALSE)</f>
        <v>#N/A</v>
      </c>
      <c r="E75" s="43" t="e">
        <f>VLOOKUP($A75,'[2]Team lists'!$A$2:$L$800,5,FALSE)</f>
        <v>#N/A</v>
      </c>
      <c r="F75" s="43" t="e">
        <f>VLOOKUP($A75,'[2]Team lists'!$A$2:$L$800,6,FALSE)</f>
        <v>#N/A</v>
      </c>
      <c r="G75" s="43" t="e">
        <f>VLOOKUP($A75,'[2]Team lists'!$A$2:$L$800,7,FALSE)</f>
        <v>#N/A</v>
      </c>
      <c r="H75" s="43" t="e">
        <f>VLOOKUP($A75,'[2]Team lists'!$A$2:$L$800,8,FALSE)</f>
        <v>#N/A</v>
      </c>
      <c r="I75" s="43" t="e">
        <f>VLOOKUP($A75,'[2]Team lists'!$A$2:$L$800,9,FALSE)</f>
        <v>#N/A</v>
      </c>
      <c r="J75" s="43" t="e">
        <f>VLOOKUP($A75,'[2]Team lists'!$A$2:$L$800,10,FALSE)</f>
        <v>#N/A</v>
      </c>
      <c r="K75" s="43" t="e">
        <f>VLOOKUP($A75,'[2]Team lists'!$A$2:$L$800,11,FALSE)</f>
        <v>#N/A</v>
      </c>
      <c r="L75" s="44" t="e">
        <f>VLOOKUP($A75,'[2]Team lists'!$A$2:$L$800,12,FALSE)</f>
        <v>#N/A</v>
      </c>
    </row>
    <row r="76" spans="2:13">
      <c r="B76" s="56" t="e">
        <f>VLOOKUP($A76,'[2]Team lists'!$A$2:$L$800,2,FALSE)</f>
        <v>#N/A</v>
      </c>
      <c r="C76" s="43" t="e">
        <f>VLOOKUP($A76,'[2]Team lists'!$A$2:$L$800,3,FALSE)</f>
        <v>#N/A</v>
      </c>
      <c r="D76" s="43" t="e">
        <f>VLOOKUP($A76,'[2]Team lists'!$A$2:$L$800,4,FALSE)</f>
        <v>#N/A</v>
      </c>
      <c r="E76" s="43" t="e">
        <f>VLOOKUP($A76,'[2]Team lists'!$A$2:$L$800,5,FALSE)</f>
        <v>#N/A</v>
      </c>
      <c r="F76" s="43" t="e">
        <f>VLOOKUP($A76,'[2]Team lists'!$A$2:$L$800,6,FALSE)</f>
        <v>#N/A</v>
      </c>
      <c r="G76" s="43" t="e">
        <f>VLOOKUP($A76,'[2]Team lists'!$A$2:$L$800,7,FALSE)</f>
        <v>#N/A</v>
      </c>
      <c r="H76" s="43" t="e">
        <f>VLOOKUP($A76,'[2]Team lists'!$A$2:$L$800,8,FALSE)</f>
        <v>#N/A</v>
      </c>
      <c r="I76" s="43" t="e">
        <f>VLOOKUP($A76,'[2]Team lists'!$A$2:$L$800,9,FALSE)</f>
        <v>#N/A</v>
      </c>
      <c r="J76" s="43" t="e">
        <f>VLOOKUP($A76,'[2]Team lists'!$A$2:$L$800,10,FALSE)</f>
        <v>#N/A</v>
      </c>
      <c r="K76" s="43" t="e">
        <f>VLOOKUP($A76,'[2]Team lists'!$A$2:$L$800,11,FALSE)</f>
        <v>#N/A</v>
      </c>
      <c r="L76" s="44" t="e">
        <f>VLOOKUP($A76,'[2]Team lists'!$A$2:$L$800,12,FALSE)</f>
        <v>#N/A</v>
      </c>
    </row>
    <row r="77" spans="2:13">
      <c r="B77" s="56" t="e">
        <f>VLOOKUP($A77,'[2]Team lists'!$A$2:$L$800,2,FALSE)</f>
        <v>#N/A</v>
      </c>
      <c r="C77" s="43" t="e">
        <f>VLOOKUP($A77,'[2]Team lists'!$A$2:$L$800,3,FALSE)</f>
        <v>#N/A</v>
      </c>
      <c r="D77" s="43" t="e">
        <f>VLOOKUP($A77,'[2]Team lists'!$A$2:$L$800,4,FALSE)</f>
        <v>#N/A</v>
      </c>
      <c r="E77" s="43" t="e">
        <f>VLOOKUP($A77,'[2]Team lists'!$A$2:$L$800,5,FALSE)</f>
        <v>#N/A</v>
      </c>
      <c r="F77" s="43" t="e">
        <f>VLOOKUP($A77,'[2]Team lists'!$A$2:$L$800,6,FALSE)</f>
        <v>#N/A</v>
      </c>
      <c r="G77" s="43" t="e">
        <f>VLOOKUP($A77,'[2]Team lists'!$A$2:$L$800,7,FALSE)</f>
        <v>#N/A</v>
      </c>
      <c r="H77" s="43" t="e">
        <f>VLOOKUP($A77,'[2]Team lists'!$A$2:$L$800,8,FALSE)</f>
        <v>#N/A</v>
      </c>
      <c r="I77" s="43" t="e">
        <f>VLOOKUP($A77,'[2]Team lists'!$A$2:$L$800,9,FALSE)</f>
        <v>#N/A</v>
      </c>
      <c r="J77" s="43" t="e">
        <f>VLOOKUP($A77,'[2]Team lists'!$A$2:$L$800,10,FALSE)</f>
        <v>#N/A</v>
      </c>
      <c r="K77" s="43" t="e">
        <f>VLOOKUP($A77,'[2]Team lists'!$A$2:$L$800,11,FALSE)</f>
        <v>#N/A</v>
      </c>
      <c r="L77" s="44" t="e">
        <f>VLOOKUP($A77,'[2]Team lists'!$A$2:$L$800,12,FALSE)</f>
        <v>#N/A</v>
      </c>
    </row>
    <row r="78" spans="2:13">
      <c r="B78" s="56" t="e">
        <f>VLOOKUP($A78,'[2]Team lists'!$A$2:$L$800,2,FALSE)</f>
        <v>#N/A</v>
      </c>
      <c r="C78" s="43" t="e">
        <f>VLOOKUP($A78,'[2]Team lists'!$A$2:$L$800,3,FALSE)</f>
        <v>#N/A</v>
      </c>
      <c r="D78" s="43" t="e">
        <f>VLOOKUP($A78,'[2]Team lists'!$A$2:$L$800,4,FALSE)</f>
        <v>#N/A</v>
      </c>
      <c r="E78" s="43" t="e">
        <f>VLOOKUP($A78,'[2]Team lists'!$A$2:$L$800,5,FALSE)</f>
        <v>#N/A</v>
      </c>
      <c r="F78" s="43" t="e">
        <f>VLOOKUP($A78,'[2]Team lists'!$A$2:$L$800,6,FALSE)</f>
        <v>#N/A</v>
      </c>
      <c r="G78" s="43" t="e">
        <f>VLOOKUP($A78,'[2]Team lists'!$A$2:$L$800,7,FALSE)</f>
        <v>#N/A</v>
      </c>
      <c r="H78" s="43" t="e">
        <f>VLOOKUP($A78,'[2]Team lists'!$A$2:$L$800,8,FALSE)</f>
        <v>#N/A</v>
      </c>
      <c r="I78" s="43" t="e">
        <f>VLOOKUP($A78,'[2]Team lists'!$A$2:$L$800,9,FALSE)</f>
        <v>#N/A</v>
      </c>
      <c r="J78" s="43" t="e">
        <f>VLOOKUP($A78,'[2]Team lists'!$A$2:$L$800,10,FALSE)</f>
        <v>#N/A</v>
      </c>
      <c r="K78" s="43" t="e">
        <f>VLOOKUP($A78,'[2]Team lists'!$A$2:$L$800,11,FALSE)</f>
        <v>#N/A</v>
      </c>
      <c r="L78" s="44" t="e">
        <f>VLOOKUP($A78,'[2]Team lists'!$A$2:$L$800,12,FALSE)</f>
        <v>#N/A</v>
      </c>
    </row>
    <row r="79" spans="2:13" ht="18" thickBot="1">
      <c r="B79" s="45" t="s">
        <v>3210</v>
      </c>
      <c r="C79" s="46"/>
      <c r="D79" s="47"/>
      <c r="E79" s="48" t="e">
        <f t="shared" ref="E79:L79" si="4">SUM(E68:E78)</f>
        <v>#N/A</v>
      </c>
      <c r="F79" s="49" t="e">
        <f t="shared" si="4"/>
        <v>#N/A</v>
      </c>
      <c r="G79" s="49" t="e">
        <f t="shared" si="4"/>
        <v>#N/A</v>
      </c>
      <c r="H79" s="49" t="e">
        <f t="shared" si="4"/>
        <v>#N/A</v>
      </c>
      <c r="I79" s="49" t="e">
        <f t="shared" si="4"/>
        <v>#N/A</v>
      </c>
      <c r="J79" s="49" t="e">
        <f t="shared" si="4"/>
        <v>#N/A</v>
      </c>
      <c r="K79" s="49" t="e">
        <f t="shared" si="4"/>
        <v>#N/A</v>
      </c>
      <c r="L79" s="50" t="e">
        <f t="shared" si="4"/>
        <v>#N/A</v>
      </c>
    </row>
    <row r="80" spans="2:13" ht="18.600000000000001" thickTop="1" thickBot="1"/>
    <row r="81" spans="2:13" ht="18" thickTop="1">
      <c r="B81" s="23" t="s">
        <v>3204</v>
      </c>
      <c r="C81" s="24" t="s">
        <v>3205</v>
      </c>
      <c r="D81" s="25"/>
      <c r="E81" s="25"/>
      <c r="F81" s="53"/>
      <c r="G81" s="28" t="s">
        <v>3206</v>
      </c>
      <c r="H81" s="54"/>
      <c r="I81" s="54"/>
      <c r="J81" s="54"/>
      <c r="K81" s="28" t="s">
        <v>3207</v>
      </c>
      <c r="L81" s="29"/>
      <c r="M81" s="22" t="str">
        <f>G81</f>
        <v>Manager:</v>
      </c>
    </row>
    <row r="82" spans="2:13" ht="18" thickBot="1">
      <c r="B82" s="30">
        <v>6</v>
      </c>
      <c r="C82" s="57"/>
      <c r="D82" s="31"/>
      <c r="E82" s="31"/>
      <c r="F82" s="33"/>
      <c r="G82" s="55"/>
      <c r="H82" s="55"/>
      <c r="I82" s="55"/>
      <c r="J82" s="55"/>
      <c r="K82" s="34" t="e">
        <f>SUM(F95:L95)</f>
        <v>#N/A</v>
      </c>
      <c r="L82" s="35"/>
      <c r="M82" s="22">
        <f>G82</f>
        <v>0</v>
      </c>
    </row>
    <row r="83" spans="2:13" ht="18.600000000000001" thickTop="1">
      <c r="B83" s="36" t="s">
        <v>913</v>
      </c>
      <c r="C83" s="37" t="s">
        <v>912</v>
      </c>
      <c r="D83" s="38" t="s">
        <v>911</v>
      </c>
      <c r="E83" s="39" t="s">
        <v>3209</v>
      </c>
      <c r="F83" s="40" t="s">
        <v>3162</v>
      </c>
      <c r="G83" s="40" t="s">
        <v>3163</v>
      </c>
      <c r="H83" s="40" t="s">
        <v>3164</v>
      </c>
      <c r="I83" s="40" t="s">
        <v>3165</v>
      </c>
      <c r="J83" s="40" t="s">
        <v>3166</v>
      </c>
      <c r="K83" s="40" t="s">
        <v>3167</v>
      </c>
      <c r="L83" s="41" t="s">
        <v>3168</v>
      </c>
    </row>
    <row r="84" spans="2:13">
      <c r="B84" s="56" t="e">
        <f>VLOOKUP($A84,'[2]Team lists'!$A$2:$L$800,2,FALSE)</f>
        <v>#N/A</v>
      </c>
      <c r="C84" s="43" t="e">
        <f>VLOOKUP($A84,'[2]Team lists'!$A$2:$L$800,3,FALSE)</f>
        <v>#N/A</v>
      </c>
      <c r="D84" s="43" t="e">
        <f>VLOOKUP($A84,'[2]Team lists'!$A$2:$L$800,4,FALSE)</f>
        <v>#N/A</v>
      </c>
      <c r="E84" s="43" t="e">
        <f>VLOOKUP($A84,'[2]Team lists'!$A$2:$L$800,5,FALSE)</f>
        <v>#N/A</v>
      </c>
      <c r="F84" s="43" t="e">
        <f>VLOOKUP($A84,'[2]Team lists'!$A$2:$L$800,6,FALSE)</f>
        <v>#N/A</v>
      </c>
      <c r="G84" s="43" t="e">
        <f>VLOOKUP($A84,'[2]Team lists'!$A$2:$L$800,7,FALSE)</f>
        <v>#N/A</v>
      </c>
      <c r="H84" s="43" t="e">
        <f>VLOOKUP($A84,'[2]Team lists'!$A$2:$L$800,8,FALSE)</f>
        <v>#N/A</v>
      </c>
      <c r="I84" s="43" t="e">
        <f>VLOOKUP($A84,'[2]Team lists'!$A$2:$L$800,9,FALSE)</f>
        <v>#N/A</v>
      </c>
      <c r="J84" s="43" t="e">
        <f>VLOOKUP($A84,'[2]Team lists'!$A$2:$L$800,10,FALSE)</f>
        <v>#N/A</v>
      </c>
      <c r="K84" s="43" t="e">
        <f>VLOOKUP($A84,'[2]Team lists'!$A$2:$L$800,11,FALSE)</f>
        <v>#N/A</v>
      </c>
      <c r="L84" s="44" t="e">
        <f>VLOOKUP($A84,'[2]Team lists'!$A$2:$L$800,12,FALSE)</f>
        <v>#N/A</v>
      </c>
    </row>
    <row r="85" spans="2:13">
      <c r="B85" s="56" t="e">
        <f>VLOOKUP($A85,'[2]Team lists'!$A$2:$L$800,2,FALSE)</f>
        <v>#N/A</v>
      </c>
      <c r="C85" s="43" t="e">
        <f>VLOOKUP($A85,'[2]Team lists'!$A$2:$L$800,3,FALSE)</f>
        <v>#N/A</v>
      </c>
      <c r="D85" s="43" t="e">
        <f>VLOOKUP($A85,'[2]Team lists'!$A$2:$L$800,4,FALSE)</f>
        <v>#N/A</v>
      </c>
      <c r="E85" s="43" t="e">
        <f>VLOOKUP($A85,'[2]Team lists'!$A$2:$L$800,5,FALSE)</f>
        <v>#N/A</v>
      </c>
      <c r="F85" s="43" t="e">
        <f>VLOOKUP($A85,'[2]Team lists'!$A$2:$L$800,6,FALSE)</f>
        <v>#N/A</v>
      </c>
      <c r="G85" s="43" t="e">
        <f>VLOOKUP($A85,'[2]Team lists'!$A$2:$L$800,7,FALSE)</f>
        <v>#N/A</v>
      </c>
      <c r="H85" s="43" t="e">
        <f>VLOOKUP($A85,'[2]Team lists'!$A$2:$L$800,8,FALSE)</f>
        <v>#N/A</v>
      </c>
      <c r="I85" s="43" t="e">
        <f>VLOOKUP($A85,'[2]Team lists'!$A$2:$L$800,9,FALSE)</f>
        <v>#N/A</v>
      </c>
      <c r="J85" s="43" t="e">
        <f>VLOOKUP($A85,'[2]Team lists'!$A$2:$L$800,10,FALSE)</f>
        <v>#N/A</v>
      </c>
      <c r="K85" s="43" t="e">
        <f>VLOOKUP($A85,'[2]Team lists'!$A$2:$L$800,11,FALSE)</f>
        <v>#N/A</v>
      </c>
      <c r="L85" s="44" t="e">
        <f>VLOOKUP($A85,'[2]Team lists'!$A$2:$L$800,12,FALSE)</f>
        <v>#N/A</v>
      </c>
    </row>
    <row r="86" spans="2:13">
      <c r="B86" s="56" t="e">
        <f>VLOOKUP($A86,'[2]Team lists'!$A$2:$L$800,2,FALSE)</f>
        <v>#N/A</v>
      </c>
      <c r="C86" s="43" t="e">
        <f>VLOOKUP($A86,'[2]Team lists'!$A$2:$L$800,3,FALSE)</f>
        <v>#N/A</v>
      </c>
      <c r="D86" s="43" t="e">
        <f>VLOOKUP($A86,'[2]Team lists'!$A$2:$L$800,4,FALSE)</f>
        <v>#N/A</v>
      </c>
      <c r="E86" s="43" t="e">
        <f>VLOOKUP($A86,'[2]Team lists'!$A$2:$L$800,5,FALSE)</f>
        <v>#N/A</v>
      </c>
      <c r="F86" s="43" t="e">
        <f>VLOOKUP($A86,'[2]Team lists'!$A$2:$L$800,6,FALSE)</f>
        <v>#N/A</v>
      </c>
      <c r="G86" s="43" t="e">
        <f>VLOOKUP($A86,'[2]Team lists'!$A$2:$L$800,7,FALSE)</f>
        <v>#N/A</v>
      </c>
      <c r="H86" s="43" t="e">
        <f>VLOOKUP($A86,'[2]Team lists'!$A$2:$L$800,8,FALSE)</f>
        <v>#N/A</v>
      </c>
      <c r="I86" s="43" t="e">
        <f>VLOOKUP($A86,'[2]Team lists'!$A$2:$L$800,9,FALSE)</f>
        <v>#N/A</v>
      </c>
      <c r="J86" s="43" t="e">
        <f>VLOOKUP($A86,'[2]Team lists'!$A$2:$L$800,10,FALSE)</f>
        <v>#N/A</v>
      </c>
      <c r="K86" s="43" t="e">
        <f>VLOOKUP($A86,'[2]Team lists'!$A$2:$L$800,11,FALSE)</f>
        <v>#N/A</v>
      </c>
      <c r="L86" s="44" t="e">
        <f>VLOOKUP($A86,'[2]Team lists'!$A$2:$L$800,12,FALSE)</f>
        <v>#N/A</v>
      </c>
    </row>
    <row r="87" spans="2:13">
      <c r="B87" s="56" t="e">
        <f>VLOOKUP($A87,'[2]Team lists'!$A$2:$L$800,2,FALSE)</f>
        <v>#N/A</v>
      </c>
      <c r="C87" s="43" t="e">
        <f>VLOOKUP($A87,'[2]Team lists'!$A$2:$L$800,3,FALSE)</f>
        <v>#N/A</v>
      </c>
      <c r="D87" s="43" t="e">
        <f>VLOOKUP($A87,'[2]Team lists'!$A$2:$L$800,4,FALSE)</f>
        <v>#N/A</v>
      </c>
      <c r="E87" s="43" t="e">
        <f>VLOOKUP($A87,'[2]Team lists'!$A$2:$L$800,5,FALSE)</f>
        <v>#N/A</v>
      </c>
      <c r="F87" s="43" t="e">
        <f>VLOOKUP($A87,'[2]Team lists'!$A$2:$L$800,6,FALSE)</f>
        <v>#N/A</v>
      </c>
      <c r="G87" s="43" t="e">
        <f>VLOOKUP($A87,'[2]Team lists'!$A$2:$L$800,7,FALSE)</f>
        <v>#N/A</v>
      </c>
      <c r="H87" s="43" t="e">
        <f>VLOOKUP($A87,'[2]Team lists'!$A$2:$L$800,8,FALSE)</f>
        <v>#N/A</v>
      </c>
      <c r="I87" s="43" t="e">
        <f>VLOOKUP($A87,'[2]Team lists'!$A$2:$L$800,9,FALSE)</f>
        <v>#N/A</v>
      </c>
      <c r="J87" s="43" t="e">
        <f>VLOOKUP($A87,'[2]Team lists'!$A$2:$L$800,10,FALSE)</f>
        <v>#N/A</v>
      </c>
      <c r="K87" s="43" t="e">
        <f>VLOOKUP($A87,'[2]Team lists'!$A$2:$L$800,11,FALSE)</f>
        <v>#N/A</v>
      </c>
      <c r="L87" s="44" t="e">
        <f>VLOOKUP($A87,'[2]Team lists'!$A$2:$L$800,12,FALSE)</f>
        <v>#N/A</v>
      </c>
    </row>
    <row r="88" spans="2:13">
      <c r="B88" s="56" t="e">
        <f>VLOOKUP($A88,'[2]Team lists'!$A$2:$L$800,2,FALSE)</f>
        <v>#N/A</v>
      </c>
      <c r="C88" s="43" t="e">
        <f>VLOOKUP($A88,'[2]Team lists'!$A$2:$L$800,3,FALSE)</f>
        <v>#N/A</v>
      </c>
      <c r="D88" s="43" t="e">
        <f>VLOOKUP($A88,'[2]Team lists'!$A$2:$L$800,4,FALSE)</f>
        <v>#N/A</v>
      </c>
      <c r="E88" s="43" t="e">
        <f>VLOOKUP($A88,'[2]Team lists'!$A$2:$L$800,5,FALSE)</f>
        <v>#N/A</v>
      </c>
      <c r="F88" s="43" t="e">
        <f>VLOOKUP($A88,'[2]Team lists'!$A$2:$L$800,6,FALSE)</f>
        <v>#N/A</v>
      </c>
      <c r="G88" s="43" t="e">
        <f>VLOOKUP($A88,'[2]Team lists'!$A$2:$L$800,7,FALSE)</f>
        <v>#N/A</v>
      </c>
      <c r="H88" s="43" t="e">
        <f>VLOOKUP($A88,'[2]Team lists'!$A$2:$L$800,8,FALSE)</f>
        <v>#N/A</v>
      </c>
      <c r="I88" s="43" t="e">
        <f>VLOOKUP($A88,'[2]Team lists'!$A$2:$L$800,9,FALSE)</f>
        <v>#N/A</v>
      </c>
      <c r="J88" s="43" t="e">
        <f>VLOOKUP($A88,'[2]Team lists'!$A$2:$L$800,10,FALSE)</f>
        <v>#N/A</v>
      </c>
      <c r="K88" s="43" t="e">
        <f>VLOOKUP($A88,'[2]Team lists'!$A$2:$L$800,11,FALSE)</f>
        <v>#N/A</v>
      </c>
      <c r="L88" s="44" t="e">
        <f>VLOOKUP($A88,'[2]Team lists'!$A$2:$L$800,12,FALSE)</f>
        <v>#N/A</v>
      </c>
    </row>
    <row r="89" spans="2:13">
      <c r="B89" s="56" t="e">
        <f>VLOOKUP($A89,'[2]Team lists'!$A$2:$L$800,2,FALSE)</f>
        <v>#N/A</v>
      </c>
      <c r="C89" s="43" t="e">
        <f>VLOOKUP($A89,'[2]Team lists'!$A$2:$L$800,3,FALSE)</f>
        <v>#N/A</v>
      </c>
      <c r="D89" s="43" t="e">
        <f>VLOOKUP($A89,'[2]Team lists'!$A$2:$L$800,4,FALSE)</f>
        <v>#N/A</v>
      </c>
      <c r="E89" s="43" t="e">
        <f>VLOOKUP($A89,'[2]Team lists'!$A$2:$L$800,5,FALSE)</f>
        <v>#N/A</v>
      </c>
      <c r="F89" s="43" t="e">
        <f>VLOOKUP($A89,'[2]Team lists'!$A$2:$L$800,6,FALSE)</f>
        <v>#N/A</v>
      </c>
      <c r="G89" s="43" t="e">
        <f>VLOOKUP($A89,'[2]Team lists'!$A$2:$L$800,7,FALSE)</f>
        <v>#N/A</v>
      </c>
      <c r="H89" s="43" t="e">
        <f>VLOOKUP($A89,'[2]Team lists'!$A$2:$L$800,8,FALSE)</f>
        <v>#N/A</v>
      </c>
      <c r="I89" s="43" t="e">
        <f>VLOOKUP($A89,'[2]Team lists'!$A$2:$L$800,9,FALSE)</f>
        <v>#N/A</v>
      </c>
      <c r="J89" s="43" t="e">
        <f>VLOOKUP($A89,'[2]Team lists'!$A$2:$L$800,10,FALSE)</f>
        <v>#N/A</v>
      </c>
      <c r="K89" s="43" t="e">
        <f>VLOOKUP($A89,'[2]Team lists'!$A$2:$L$800,11,FALSE)</f>
        <v>#N/A</v>
      </c>
      <c r="L89" s="44" t="e">
        <f>VLOOKUP($A89,'[2]Team lists'!$A$2:$L$800,12,FALSE)</f>
        <v>#N/A</v>
      </c>
    </row>
    <row r="90" spans="2:13">
      <c r="B90" s="56" t="e">
        <f>VLOOKUP($A90,'[2]Team lists'!$A$2:$L$800,2,FALSE)</f>
        <v>#N/A</v>
      </c>
      <c r="C90" s="43" t="e">
        <f>VLOOKUP($A90,'[2]Team lists'!$A$2:$L$800,3,FALSE)</f>
        <v>#N/A</v>
      </c>
      <c r="D90" s="43" t="e">
        <f>VLOOKUP($A90,'[2]Team lists'!$A$2:$L$800,4,FALSE)</f>
        <v>#N/A</v>
      </c>
      <c r="E90" s="43" t="e">
        <f>VLOOKUP($A90,'[2]Team lists'!$A$2:$L$800,5,FALSE)</f>
        <v>#N/A</v>
      </c>
      <c r="F90" s="43" t="e">
        <f>VLOOKUP($A90,'[2]Team lists'!$A$2:$L$800,6,FALSE)</f>
        <v>#N/A</v>
      </c>
      <c r="G90" s="43" t="e">
        <f>VLOOKUP($A90,'[2]Team lists'!$A$2:$L$800,7,FALSE)</f>
        <v>#N/A</v>
      </c>
      <c r="H90" s="43" t="e">
        <f>VLOOKUP($A90,'[2]Team lists'!$A$2:$L$800,8,FALSE)</f>
        <v>#N/A</v>
      </c>
      <c r="I90" s="43" t="e">
        <f>VLOOKUP($A90,'[2]Team lists'!$A$2:$L$800,9,FALSE)</f>
        <v>#N/A</v>
      </c>
      <c r="J90" s="43" t="e">
        <f>VLOOKUP($A90,'[2]Team lists'!$A$2:$L$800,10,FALSE)</f>
        <v>#N/A</v>
      </c>
      <c r="K90" s="43" t="e">
        <f>VLOOKUP($A90,'[2]Team lists'!$A$2:$L$800,11,FALSE)</f>
        <v>#N/A</v>
      </c>
      <c r="L90" s="44" t="e">
        <f>VLOOKUP($A90,'[2]Team lists'!$A$2:$L$800,12,FALSE)</f>
        <v>#N/A</v>
      </c>
    </row>
    <row r="91" spans="2:13">
      <c r="B91" s="56" t="e">
        <f>VLOOKUP($A91,'[2]Team lists'!$A$2:$L$800,2,FALSE)</f>
        <v>#N/A</v>
      </c>
      <c r="C91" s="43" t="e">
        <f>VLOOKUP($A91,'[2]Team lists'!$A$2:$L$800,3,FALSE)</f>
        <v>#N/A</v>
      </c>
      <c r="D91" s="43" t="e">
        <f>VLOOKUP($A91,'[2]Team lists'!$A$2:$L$800,4,FALSE)</f>
        <v>#N/A</v>
      </c>
      <c r="E91" s="43" t="e">
        <f>VLOOKUP($A91,'[2]Team lists'!$A$2:$L$800,5,FALSE)</f>
        <v>#N/A</v>
      </c>
      <c r="F91" s="43" t="e">
        <f>VLOOKUP($A91,'[2]Team lists'!$A$2:$L$800,6,FALSE)</f>
        <v>#N/A</v>
      </c>
      <c r="G91" s="43" t="e">
        <f>VLOOKUP($A91,'[2]Team lists'!$A$2:$L$800,7,FALSE)</f>
        <v>#N/A</v>
      </c>
      <c r="H91" s="43" t="e">
        <f>VLOOKUP($A91,'[2]Team lists'!$A$2:$L$800,8,FALSE)</f>
        <v>#N/A</v>
      </c>
      <c r="I91" s="43" t="e">
        <f>VLOOKUP($A91,'[2]Team lists'!$A$2:$L$800,9,FALSE)</f>
        <v>#N/A</v>
      </c>
      <c r="J91" s="43" t="e">
        <f>VLOOKUP($A91,'[2]Team lists'!$A$2:$L$800,10,FALSE)</f>
        <v>#N/A</v>
      </c>
      <c r="K91" s="43" t="e">
        <f>VLOOKUP($A91,'[2]Team lists'!$A$2:$L$800,11,FALSE)</f>
        <v>#N/A</v>
      </c>
      <c r="L91" s="44" t="e">
        <f>VLOOKUP($A91,'[2]Team lists'!$A$2:$L$800,12,FALSE)</f>
        <v>#N/A</v>
      </c>
    </row>
    <row r="92" spans="2:13">
      <c r="B92" s="56" t="e">
        <f>VLOOKUP($A92,'[2]Team lists'!$A$2:$L$800,2,FALSE)</f>
        <v>#N/A</v>
      </c>
      <c r="C92" s="43" t="e">
        <f>VLOOKUP($A92,'[2]Team lists'!$A$2:$L$800,3,FALSE)</f>
        <v>#N/A</v>
      </c>
      <c r="D92" s="43" t="e">
        <f>VLOOKUP($A92,'[2]Team lists'!$A$2:$L$800,4,FALSE)</f>
        <v>#N/A</v>
      </c>
      <c r="E92" s="43" t="e">
        <f>VLOOKUP($A92,'[2]Team lists'!$A$2:$L$800,5,FALSE)</f>
        <v>#N/A</v>
      </c>
      <c r="F92" s="43" t="e">
        <f>VLOOKUP($A92,'[2]Team lists'!$A$2:$L$800,6,FALSE)</f>
        <v>#N/A</v>
      </c>
      <c r="G92" s="43" t="e">
        <f>VLOOKUP($A92,'[2]Team lists'!$A$2:$L$800,7,FALSE)</f>
        <v>#N/A</v>
      </c>
      <c r="H92" s="43" t="e">
        <f>VLOOKUP($A92,'[2]Team lists'!$A$2:$L$800,8,FALSE)</f>
        <v>#N/A</v>
      </c>
      <c r="I92" s="43" t="e">
        <f>VLOOKUP($A92,'[2]Team lists'!$A$2:$L$800,9,FALSE)</f>
        <v>#N/A</v>
      </c>
      <c r="J92" s="43" t="e">
        <f>VLOOKUP($A92,'[2]Team lists'!$A$2:$L$800,10,FALSE)</f>
        <v>#N/A</v>
      </c>
      <c r="K92" s="43" t="e">
        <f>VLOOKUP($A92,'[2]Team lists'!$A$2:$L$800,11,FALSE)</f>
        <v>#N/A</v>
      </c>
      <c r="L92" s="44" t="e">
        <f>VLOOKUP($A92,'[2]Team lists'!$A$2:$L$800,12,FALSE)</f>
        <v>#N/A</v>
      </c>
    </row>
    <row r="93" spans="2:13">
      <c r="B93" s="56" t="e">
        <f>VLOOKUP($A93,'[2]Team lists'!$A$2:$L$800,2,FALSE)</f>
        <v>#N/A</v>
      </c>
      <c r="C93" s="43" t="e">
        <f>VLOOKUP($A93,'[2]Team lists'!$A$2:$L$800,3,FALSE)</f>
        <v>#N/A</v>
      </c>
      <c r="D93" s="43" t="e">
        <f>VLOOKUP($A93,'[2]Team lists'!$A$2:$L$800,4,FALSE)</f>
        <v>#N/A</v>
      </c>
      <c r="E93" s="43" t="e">
        <f>VLOOKUP($A93,'[2]Team lists'!$A$2:$L$800,5,FALSE)</f>
        <v>#N/A</v>
      </c>
      <c r="F93" s="43" t="e">
        <f>VLOOKUP($A93,'[2]Team lists'!$A$2:$L$800,6,FALSE)</f>
        <v>#N/A</v>
      </c>
      <c r="G93" s="43" t="e">
        <f>VLOOKUP($A93,'[2]Team lists'!$A$2:$L$800,7,FALSE)</f>
        <v>#N/A</v>
      </c>
      <c r="H93" s="43" t="e">
        <f>VLOOKUP($A93,'[2]Team lists'!$A$2:$L$800,8,FALSE)</f>
        <v>#N/A</v>
      </c>
      <c r="I93" s="43" t="e">
        <f>VLOOKUP($A93,'[2]Team lists'!$A$2:$L$800,9,FALSE)</f>
        <v>#N/A</v>
      </c>
      <c r="J93" s="43" t="e">
        <f>VLOOKUP($A93,'[2]Team lists'!$A$2:$L$800,10,FALSE)</f>
        <v>#N/A</v>
      </c>
      <c r="K93" s="43" t="e">
        <f>VLOOKUP($A93,'[2]Team lists'!$A$2:$L$800,11,FALSE)</f>
        <v>#N/A</v>
      </c>
      <c r="L93" s="44" t="e">
        <f>VLOOKUP($A93,'[2]Team lists'!$A$2:$L$800,12,FALSE)</f>
        <v>#N/A</v>
      </c>
    </row>
    <row r="94" spans="2:13">
      <c r="B94" s="56" t="e">
        <f>VLOOKUP($A94,'[2]Team lists'!$A$2:$L$800,2,FALSE)</f>
        <v>#N/A</v>
      </c>
      <c r="C94" s="43" t="e">
        <f>VLOOKUP($A94,'[2]Team lists'!$A$2:$L$800,3,FALSE)</f>
        <v>#N/A</v>
      </c>
      <c r="D94" s="43" t="e">
        <f>VLOOKUP($A94,'[2]Team lists'!$A$2:$L$800,4,FALSE)</f>
        <v>#N/A</v>
      </c>
      <c r="E94" s="43" t="e">
        <f>VLOOKUP($A94,'[2]Team lists'!$A$2:$L$800,5,FALSE)</f>
        <v>#N/A</v>
      </c>
      <c r="F94" s="43" t="e">
        <f>VLOOKUP($A94,'[2]Team lists'!$A$2:$L$800,6,FALSE)</f>
        <v>#N/A</v>
      </c>
      <c r="G94" s="43" t="e">
        <f>VLOOKUP($A94,'[2]Team lists'!$A$2:$L$800,7,FALSE)</f>
        <v>#N/A</v>
      </c>
      <c r="H94" s="43" t="e">
        <f>VLOOKUP($A94,'[2]Team lists'!$A$2:$L$800,8,FALSE)</f>
        <v>#N/A</v>
      </c>
      <c r="I94" s="43" t="e">
        <f>VLOOKUP($A94,'[2]Team lists'!$A$2:$L$800,9,FALSE)</f>
        <v>#N/A</v>
      </c>
      <c r="J94" s="43" t="e">
        <f>VLOOKUP($A94,'[2]Team lists'!$A$2:$L$800,10,FALSE)</f>
        <v>#N/A</v>
      </c>
      <c r="K94" s="43" t="e">
        <f>VLOOKUP($A94,'[2]Team lists'!$A$2:$L$800,11,FALSE)</f>
        <v>#N/A</v>
      </c>
      <c r="L94" s="44" t="e">
        <f>VLOOKUP($A94,'[2]Team lists'!$A$2:$L$800,12,FALSE)</f>
        <v>#N/A</v>
      </c>
    </row>
    <row r="95" spans="2:13" ht="18" thickBot="1">
      <c r="B95" s="45" t="s">
        <v>3210</v>
      </c>
      <c r="C95" s="46"/>
      <c r="D95" s="47"/>
      <c r="E95" s="48" t="e">
        <f t="shared" ref="E95:L95" si="5">SUM(E84:E94)</f>
        <v>#N/A</v>
      </c>
      <c r="F95" s="49" t="e">
        <f t="shared" si="5"/>
        <v>#N/A</v>
      </c>
      <c r="G95" s="49" t="e">
        <f t="shared" si="5"/>
        <v>#N/A</v>
      </c>
      <c r="H95" s="49" t="e">
        <f t="shared" si="5"/>
        <v>#N/A</v>
      </c>
      <c r="I95" s="49" t="e">
        <f t="shared" si="5"/>
        <v>#N/A</v>
      </c>
      <c r="J95" s="49" t="e">
        <f t="shared" si="5"/>
        <v>#N/A</v>
      </c>
      <c r="K95" s="49" t="e">
        <f t="shared" si="5"/>
        <v>#N/A</v>
      </c>
      <c r="L95" s="50" t="e">
        <f t="shared" si="5"/>
        <v>#N/A</v>
      </c>
    </row>
    <row r="96" spans="2:13" ht="18.600000000000001" thickTop="1" thickBot="1"/>
    <row r="97" spans="2:13" ht="18" thickTop="1">
      <c r="B97" s="23" t="s">
        <v>3204</v>
      </c>
      <c r="C97" s="24" t="s">
        <v>3205</v>
      </c>
      <c r="D97" s="25"/>
      <c r="E97" s="25"/>
      <c r="F97" s="53"/>
      <c r="G97" s="28" t="s">
        <v>3206</v>
      </c>
      <c r="H97" s="54"/>
      <c r="I97" s="54"/>
      <c r="J97" s="54"/>
      <c r="K97" s="28" t="s">
        <v>3207</v>
      </c>
      <c r="L97" s="29"/>
      <c r="M97" s="22" t="str">
        <f>G97</f>
        <v>Manager:</v>
      </c>
    </row>
    <row r="98" spans="2:13" ht="18" thickBot="1">
      <c r="B98" s="30">
        <v>7</v>
      </c>
      <c r="C98" s="57"/>
      <c r="D98" s="31"/>
      <c r="E98" s="31"/>
      <c r="F98" s="33"/>
      <c r="G98" s="55"/>
      <c r="H98" s="55"/>
      <c r="I98" s="55"/>
      <c r="J98" s="55"/>
      <c r="K98" s="34" t="e">
        <f>SUM(F111:L111)</f>
        <v>#N/A</v>
      </c>
      <c r="L98" s="35"/>
      <c r="M98" s="22">
        <f>G98</f>
        <v>0</v>
      </c>
    </row>
    <row r="99" spans="2:13" ht="18.600000000000001" thickTop="1">
      <c r="B99" s="36" t="s">
        <v>913</v>
      </c>
      <c r="C99" s="37" t="s">
        <v>912</v>
      </c>
      <c r="D99" s="38" t="s">
        <v>911</v>
      </c>
      <c r="E99" s="39" t="s">
        <v>3209</v>
      </c>
      <c r="F99" s="40" t="s">
        <v>3162</v>
      </c>
      <c r="G99" s="40" t="s">
        <v>3163</v>
      </c>
      <c r="H99" s="40" t="s">
        <v>3164</v>
      </c>
      <c r="I99" s="40" t="s">
        <v>3165</v>
      </c>
      <c r="J99" s="40" t="s">
        <v>3166</v>
      </c>
      <c r="K99" s="40" t="s">
        <v>3167</v>
      </c>
      <c r="L99" s="41" t="s">
        <v>3168</v>
      </c>
    </row>
    <row r="100" spans="2:13">
      <c r="B100" s="56" t="e">
        <f>VLOOKUP($A100,'[2]Team lists'!$A$2:$L$800,2,FALSE)</f>
        <v>#N/A</v>
      </c>
      <c r="C100" s="43" t="e">
        <f>VLOOKUP($A100,'[2]Team lists'!$A$2:$L$800,3,FALSE)</f>
        <v>#N/A</v>
      </c>
      <c r="D100" s="43" t="e">
        <f>VLOOKUP($A100,'[2]Team lists'!$A$2:$L$800,4,FALSE)</f>
        <v>#N/A</v>
      </c>
      <c r="E100" s="43" t="e">
        <f>VLOOKUP($A100,'[2]Team lists'!$A$2:$L$800,5,FALSE)</f>
        <v>#N/A</v>
      </c>
      <c r="F100" s="43" t="e">
        <f>VLOOKUP($A100,'[2]Team lists'!$A$2:$L$800,6,FALSE)</f>
        <v>#N/A</v>
      </c>
      <c r="G100" s="43" t="e">
        <f>VLOOKUP($A100,'[2]Team lists'!$A$2:$L$800,7,FALSE)</f>
        <v>#N/A</v>
      </c>
      <c r="H100" s="43" t="e">
        <f>VLOOKUP($A100,'[2]Team lists'!$A$2:$L$800,8,FALSE)</f>
        <v>#N/A</v>
      </c>
      <c r="I100" s="43" t="e">
        <f>VLOOKUP($A100,'[2]Team lists'!$A$2:$L$800,9,FALSE)</f>
        <v>#N/A</v>
      </c>
      <c r="J100" s="43" t="e">
        <f>VLOOKUP($A100,'[2]Team lists'!$A$2:$L$800,10,FALSE)</f>
        <v>#N/A</v>
      </c>
      <c r="K100" s="43" t="e">
        <f>VLOOKUP($A100,'[2]Team lists'!$A$2:$L$800,11,FALSE)</f>
        <v>#N/A</v>
      </c>
      <c r="L100" s="44" t="e">
        <f>VLOOKUP($A100,'[2]Team lists'!$A$2:$L$800,12,FALSE)</f>
        <v>#N/A</v>
      </c>
    </row>
    <row r="101" spans="2:13">
      <c r="B101" s="56" t="e">
        <f>VLOOKUP($A101,'[2]Team lists'!$A$2:$L$800,2,FALSE)</f>
        <v>#N/A</v>
      </c>
      <c r="C101" s="43" t="e">
        <f>VLOOKUP($A101,'[2]Team lists'!$A$2:$L$800,3,FALSE)</f>
        <v>#N/A</v>
      </c>
      <c r="D101" s="43" t="e">
        <f>VLOOKUP($A101,'[2]Team lists'!$A$2:$L$800,4,FALSE)</f>
        <v>#N/A</v>
      </c>
      <c r="E101" s="43" t="e">
        <f>VLOOKUP($A101,'[2]Team lists'!$A$2:$L$800,5,FALSE)</f>
        <v>#N/A</v>
      </c>
      <c r="F101" s="43" t="e">
        <f>VLOOKUP($A101,'[2]Team lists'!$A$2:$L$800,6,FALSE)</f>
        <v>#N/A</v>
      </c>
      <c r="G101" s="43" t="e">
        <f>VLOOKUP($A101,'[2]Team lists'!$A$2:$L$800,7,FALSE)</f>
        <v>#N/A</v>
      </c>
      <c r="H101" s="43" t="e">
        <f>VLOOKUP($A101,'[2]Team lists'!$A$2:$L$800,8,FALSE)</f>
        <v>#N/A</v>
      </c>
      <c r="I101" s="43" t="e">
        <f>VLOOKUP($A101,'[2]Team lists'!$A$2:$L$800,9,FALSE)</f>
        <v>#N/A</v>
      </c>
      <c r="J101" s="43" t="e">
        <f>VLOOKUP($A101,'[2]Team lists'!$A$2:$L$800,10,FALSE)</f>
        <v>#N/A</v>
      </c>
      <c r="K101" s="43" t="e">
        <f>VLOOKUP($A101,'[2]Team lists'!$A$2:$L$800,11,FALSE)</f>
        <v>#N/A</v>
      </c>
      <c r="L101" s="44" t="e">
        <f>VLOOKUP($A101,'[2]Team lists'!$A$2:$L$800,12,FALSE)</f>
        <v>#N/A</v>
      </c>
    </row>
    <row r="102" spans="2:13">
      <c r="B102" s="56" t="e">
        <f>VLOOKUP($A102,'[2]Team lists'!$A$2:$L$800,2,FALSE)</f>
        <v>#N/A</v>
      </c>
      <c r="C102" s="43" t="e">
        <f>VLOOKUP($A102,'[2]Team lists'!$A$2:$L$800,3,FALSE)</f>
        <v>#N/A</v>
      </c>
      <c r="D102" s="43" t="e">
        <f>VLOOKUP($A102,'[2]Team lists'!$A$2:$L$800,4,FALSE)</f>
        <v>#N/A</v>
      </c>
      <c r="E102" s="43" t="e">
        <f>VLOOKUP($A102,'[2]Team lists'!$A$2:$L$800,5,FALSE)</f>
        <v>#N/A</v>
      </c>
      <c r="F102" s="43" t="e">
        <f>VLOOKUP($A102,'[2]Team lists'!$A$2:$L$800,6,FALSE)</f>
        <v>#N/A</v>
      </c>
      <c r="G102" s="43" t="e">
        <f>VLOOKUP($A102,'[2]Team lists'!$A$2:$L$800,7,FALSE)</f>
        <v>#N/A</v>
      </c>
      <c r="H102" s="43" t="e">
        <f>VLOOKUP($A102,'[2]Team lists'!$A$2:$L$800,8,FALSE)</f>
        <v>#N/A</v>
      </c>
      <c r="I102" s="43" t="e">
        <f>VLOOKUP($A102,'[2]Team lists'!$A$2:$L$800,9,FALSE)</f>
        <v>#N/A</v>
      </c>
      <c r="J102" s="43" t="e">
        <f>VLOOKUP($A102,'[2]Team lists'!$A$2:$L$800,10,FALSE)</f>
        <v>#N/A</v>
      </c>
      <c r="K102" s="43" t="e">
        <f>VLOOKUP($A102,'[2]Team lists'!$A$2:$L$800,11,FALSE)</f>
        <v>#N/A</v>
      </c>
      <c r="L102" s="44" t="e">
        <f>VLOOKUP($A102,'[2]Team lists'!$A$2:$L$800,12,FALSE)</f>
        <v>#N/A</v>
      </c>
    </row>
    <row r="103" spans="2:13">
      <c r="B103" s="56" t="e">
        <f>VLOOKUP($A103,'[2]Team lists'!$A$2:$L$800,2,FALSE)</f>
        <v>#N/A</v>
      </c>
      <c r="C103" s="43" t="e">
        <f>VLOOKUP($A103,'[2]Team lists'!$A$2:$L$800,3,FALSE)</f>
        <v>#N/A</v>
      </c>
      <c r="D103" s="43" t="e">
        <f>VLOOKUP($A103,'[2]Team lists'!$A$2:$L$800,4,FALSE)</f>
        <v>#N/A</v>
      </c>
      <c r="E103" s="43" t="e">
        <f>VLOOKUP($A103,'[2]Team lists'!$A$2:$L$800,5,FALSE)</f>
        <v>#N/A</v>
      </c>
      <c r="F103" s="43" t="e">
        <f>VLOOKUP($A103,'[2]Team lists'!$A$2:$L$800,6,FALSE)</f>
        <v>#N/A</v>
      </c>
      <c r="G103" s="43" t="e">
        <f>VLOOKUP($A103,'[2]Team lists'!$A$2:$L$800,7,FALSE)</f>
        <v>#N/A</v>
      </c>
      <c r="H103" s="43" t="e">
        <f>VLOOKUP($A103,'[2]Team lists'!$A$2:$L$800,8,FALSE)</f>
        <v>#N/A</v>
      </c>
      <c r="I103" s="43" t="e">
        <f>VLOOKUP($A103,'[2]Team lists'!$A$2:$L$800,9,FALSE)</f>
        <v>#N/A</v>
      </c>
      <c r="J103" s="43" t="e">
        <f>VLOOKUP($A103,'[2]Team lists'!$A$2:$L$800,10,FALSE)</f>
        <v>#N/A</v>
      </c>
      <c r="K103" s="43" t="e">
        <f>VLOOKUP($A103,'[2]Team lists'!$A$2:$L$800,11,FALSE)</f>
        <v>#N/A</v>
      </c>
      <c r="L103" s="44" t="e">
        <f>VLOOKUP($A103,'[2]Team lists'!$A$2:$L$800,12,FALSE)</f>
        <v>#N/A</v>
      </c>
    </row>
    <row r="104" spans="2:13">
      <c r="B104" s="56" t="e">
        <f>VLOOKUP($A104,'[2]Team lists'!$A$2:$L$800,2,FALSE)</f>
        <v>#N/A</v>
      </c>
      <c r="C104" s="43" t="e">
        <f>VLOOKUP($A104,'[2]Team lists'!$A$2:$L$800,3,FALSE)</f>
        <v>#N/A</v>
      </c>
      <c r="D104" s="43" t="e">
        <f>VLOOKUP($A104,'[2]Team lists'!$A$2:$L$800,4,FALSE)</f>
        <v>#N/A</v>
      </c>
      <c r="E104" s="43" t="e">
        <f>VLOOKUP($A104,'[2]Team lists'!$A$2:$L$800,5,FALSE)</f>
        <v>#N/A</v>
      </c>
      <c r="F104" s="43" t="e">
        <f>VLOOKUP($A104,'[2]Team lists'!$A$2:$L$800,6,FALSE)</f>
        <v>#N/A</v>
      </c>
      <c r="G104" s="43" t="e">
        <f>VLOOKUP($A104,'[2]Team lists'!$A$2:$L$800,7,FALSE)</f>
        <v>#N/A</v>
      </c>
      <c r="H104" s="43" t="e">
        <f>VLOOKUP($A104,'[2]Team lists'!$A$2:$L$800,8,FALSE)</f>
        <v>#N/A</v>
      </c>
      <c r="I104" s="43" t="e">
        <f>VLOOKUP($A104,'[2]Team lists'!$A$2:$L$800,9,FALSE)</f>
        <v>#N/A</v>
      </c>
      <c r="J104" s="43" t="e">
        <f>VLOOKUP($A104,'[2]Team lists'!$A$2:$L$800,10,FALSE)</f>
        <v>#N/A</v>
      </c>
      <c r="K104" s="43" t="e">
        <f>VLOOKUP($A104,'[2]Team lists'!$A$2:$L$800,11,FALSE)</f>
        <v>#N/A</v>
      </c>
      <c r="L104" s="44" t="e">
        <f>VLOOKUP($A104,'[2]Team lists'!$A$2:$L$800,12,FALSE)</f>
        <v>#N/A</v>
      </c>
    </row>
    <row r="105" spans="2:13">
      <c r="B105" s="56" t="e">
        <f>VLOOKUP($A105,'[2]Team lists'!$A$2:$L$800,2,FALSE)</f>
        <v>#N/A</v>
      </c>
      <c r="C105" s="43" t="e">
        <f>VLOOKUP($A105,'[2]Team lists'!$A$2:$L$800,3,FALSE)</f>
        <v>#N/A</v>
      </c>
      <c r="D105" s="43" t="e">
        <f>VLOOKUP($A105,'[2]Team lists'!$A$2:$L$800,4,FALSE)</f>
        <v>#N/A</v>
      </c>
      <c r="E105" s="43" t="e">
        <f>VLOOKUP($A105,'[2]Team lists'!$A$2:$L$800,5,FALSE)</f>
        <v>#N/A</v>
      </c>
      <c r="F105" s="43" t="e">
        <f>VLOOKUP($A105,'[2]Team lists'!$A$2:$L$800,6,FALSE)</f>
        <v>#N/A</v>
      </c>
      <c r="G105" s="43" t="e">
        <f>VLOOKUP($A105,'[2]Team lists'!$A$2:$L$800,7,FALSE)</f>
        <v>#N/A</v>
      </c>
      <c r="H105" s="43" t="e">
        <f>VLOOKUP($A105,'[2]Team lists'!$A$2:$L$800,8,FALSE)</f>
        <v>#N/A</v>
      </c>
      <c r="I105" s="43" t="e">
        <f>VLOOKUP($A105,'[2]Team lists'!$A$2:$L$800,9,FALSE)</f>
        <v>#N/A</v>
      </c>
      <c r="J105" s="43" t="e">
        <f>VLOOKUP($A105,'[2]Team lists'!$A$2:$L$800,10,FALSE)</f>
        <v>#N/A</v>
      </c>
      <c r="K105" s="43" t="e">
        <f>VLOOKUP($A105,'[2]Team lists'!$A$2:$L$800,11,FALSE)</f>
        <v>#N/A</v>
      </c>
      <c r="L105" s="44" t="e">
        <f>VLOOKUP($A105,'[2]Team lists'!$A$2:$L$800,12,FALSE)</f>
        <v>#N/A</v>
      </c>
    </row>
    <row r="106" spans="2:13">
      <c r="B106" s="56" t="e">
        <f>VLOOKUP($A106,'[2]Team lists'!$A$2:$L$800,2,FALSE)</f>
        <v>#N/A</v>
      </c>
      <c r="C106" s="43" t="e">
        <f>VLOOKUP($A106,'[2]Team lists'!$A$2:$L$800,3,FALSE)</f>
        <v>#N/A</v>
      </c>
      <c r="D106" s="43" t="e">
        <f>VLOOKUP($A106,'[2]Team lists'!$A$2:$L$800,4,FALSE)</f>
        <v>#N/A</v>
      </c>
      <c r="E106" s="43" t="e">
        <f>VLOOKUP($A106,'[2]Team lists'!$A$2:$L$800,5,FALSE)</f>
        <v>#N/A</v>
      </c>
      <c r="F106" s="43" t="e">
        <f>VLOOKUP($A106,'[2]Team lists'!$A$2:$L$800,6,FALSE)</f>
        <v>#N/A</v>
      </c>
      <c r="G106" s="43" t="e">
        <f>VLOOKUP($A106,'[2]Team lists'!$A$2:$L$800,7,FALSE)</f>
        <v>#N/A</v>
      </c>
      <c r="H106" s="43" t="e">
        <f>VLOOKUP($A106,'[2]Team lists'!$A$2:$L$800,8,FALSE)</f>
        <v>#N/A</v>
      </c>
      <c r="I106" s="43" t="e">
        <f>VLOOKUP($A106,'[2]Team lists'!$A$2:$L$800,9,FALSE)</f>
        <v>#N/A</v>
      </c>
      <c r="J106" s="43" t="e">
        <f>VLOOKUP($A106,'[2]Team lists'!$A$2:$L$800,10,FALSE)</f>
        <v>#N/A</v>
      </c>
      <c r="K106" s="43" t="e">
        <f>VLOOKUP($A106,'[2]Team lists'!$A$2:$L$800,11,FALSE)</f>
        <v>#N/A</v>
      </c>
      <c r="L106" s="44" t="e">
        <f>VLOOKUP($A106,'[2]Team lists'!$A$2:$L$800,12,FALSE)</f>
        <v>#N/A</v>
      </c>
    </row>
    <row r="107" spans="2:13">
      <c r="B107" s="56" t="e">
        <f>VLOOKUP($A107,'[2]Team lists'!$A$2:$L$800,2,FALSE)</f>
        <v>#N/A</v>
      </c>
      <c r="C107" s="43" t="e">
        <f>VLOOKUP($A107,'[2]Team lists'!$A$2:$L$800,3,FALSE)</f>
        <v>#N/A</v>
      </c>
      <c r="D107" s="43" t="e">
        <f>VLOOKUP($A107,'[2]Team lists'!$A$2:$L$800,4,FALSE)</f>
        <v>#N/A</v>
      </c>
      <c r="E107" s="43" t="e">
        <f>VLOOKUP($A107,'[2]Team lists'!$A$2:$L$800,5,FALSE)</f>
        <v>#N/A</v>
      </c>
      <c r="F107" s="43" t="e">
        <f>VLOOKUP($A107,'[2]Team lists'!$A$2:$L$800,6,FALSE)</f>
        <v>#N/A</v>
      </c>
      <c r="G107" s="43" t="e">
        <f>VLOOKUP($A107,'[2]Team lists'!$A$2:$L$800,7,FALSE)</f>
        <v>#N/A</v>
      </c>
      <c r="H107" s="43" t="e">
        <f>VLOOKUP($A107,'[2]Team lists'!$A$2:$L$800,8,FALSE)</f>
        <v>#N/A</v>
      </c>
      <c r="I107" s="43" t="e">
        <f>VLOOKUP($A107,'[2]Team lists'!$A$2:$L$800,9,FALSE)</f>
        <v>#N/A</v>
      </c>
      <c r="J107" s="43" t="e">
        <f>VLOOKUP($A107,'[2]Team lists'!$A$2:$L$800,10,FALSE)</f>
        <v>#N/A</v>
      </c>
      <c r="K107" s="43" t="e">
        <f>VLOOKUP($A107,'[2]Team lists'!$A$2:$L$800,11,FALSE)</f>
        <v>#N/A</v>
      </c>
      <c r="L107" s="44" t="e">
        <f>VLOOKUP($A107,'[2]Team lists'!$A$2:$L$800,12,FALSE)</f>
        <v>#N/A</v>
      </c>
    </row>
    <row r="108" spans="2:13">
      <c r="B108" s="56" t="e">
        <f>VLOOKUP($A108,'[2]Team lists'!$A$2:$L$800,2,FALSE)</f>
        <v>#N/A</v>
      </c>
      <c r="C108" s="43" t="e">
        <f>VLOOKUP($A108,'[2]Team lists'!$A$2:$L$800,3,FALSE)</f>
        <v>#N/A</v>
      </c>
      <c r="D108" s="43" t="e">
        <f>VLOOKUP($A108,'[2]Team lists'!$A$2:$L$800,4,FALSE)</f>
        <v>#N/A</v>
      </c>
      <c r="E108" s="43" t="e">
        <f>VLOOKUP($A108,'[2]Team lists'!$A$2:$L$800,5,FALSE)</f>
        <v>#N/A</v>
      </c>
      <c r="F108" s="43" t="e">
        <f>VLOOKUP($A108,'[2]Team lists'!$A$2:$L$800,6,FALSE)</f>
        <v>#N/A</v>
      </c>
      <c r="G108" s="43" t="e">
        <f>VLOOKUP($A108,'[2]Team lists'!$A$2:$L$800,7,FALSE)</f>
        <v>#N/A</v>
      </c>
      <c r="H108" s="43" t="e">
        <f>VLOOKUP($A108,'[2]Team lists'!$A$2:$L$800,8,FALSE)</f>
        <v>#N/A</v>
      </c>
      <c r="I108" s="43" t="e">
        <f>VLOOKUP($A108,'[2]Team lists'!$A$2:$L$800,9,FALSE)</f>
        <v>#N/A</v>
      </c>
      <c r="J108" s="43" t="e">
        <f>VLOOKUP($A108,'[2]Team lists'!$A$2:$L$800,10,FALSE)</f>
        <v>#N/A</v>
      </c>
      <c r="K108" s="43" t="e">
        <f>VLOOKUP($A108,'[2]Team lists'!$A$2:$L$800,11,FALSE)</f>
        <v>#N/A</v>
      </c>
      <c r="L108" s="44" t="e">
        <f>VLOOKUP($A108,'[2]Team lists'!$A$2:$L$800,12,FALSE)</f>
        <v>#N/A</v>
      </c>
    </row>
    <row r="109" spans="2:13">
      <c r="B109" s="56" t="e">
        <f>VLOOKUP($A109,'[2]Team lists'!$A$2:$L$800,2,FALSE)</f>
        <v>#N/A</v>
      </c>
      <c r="C109" s="43" t="e">
        <f>VLOOKUP($A109,'[2]Team lists'!$A$2:$L$800,3,FALSE)</f>
        <v>#N/A</v>
      </c>
      <c r="D109" s="43" t="e">
        <f>VLOOKUP($A109,'[2]Team lists'!$A$2:$L$800,4,FALSE)</f>
        <v>#N/A</v>
      </c>
      <c r="E109" s="43" t="e">
        <f>VLOOKUP($A109,'[2]Team lists'!$A$2:$L$800,5,FALSE)</f>
        <v>#N/A</v>
      </c>
      <c r="F109" s="43" t="e">
        <f>VLOOKUP($A109,'[2]Team lists'!$A$2:$L$800,6,FALSE)</f>
        <v>#N/A</v>
      </c>
      <c r="G109" s="43" t="e">
        <f>VLOOKUP($A109,'[2]Team lists'!$A$2:$L$800,7,FALSE)</f>
        <v>#N/A</v>
      </c>
      <c r="H109" s="43" t="e">
        <f>VLOOKUP($A109,'[2]Team lists'!$A$2:$L$800,8,FALSE)</f>
        <v>#N/A</v>
      </c>
      <c r="I109" s="43" t="e">
        <f>VLOOKUP($A109,'[2]Team lists'!$A$2:$L$800,9,FALSE)</f>
        <v>#N/A</v>
      </c>
      <c r="J109" s="43" t="e">
        <f>VLOOKUP($A109,'[2]Team lists'!$A$2:$L$800,10,FALSE)</f>
        <v>#N/A</v>
      </c>
      <c r="K109" s="43" t="e">
        <f>VLOOKUP($A109,'[2]Team lists'!$A$2:$L$800,11,FALSE)</f>
        <v>#N/A</v>
      </c>
      <c r="L109" s="44" t="e">
        <f>VLOOKUP($A109,'[2]Team lists'!$A$2:$L$800,12,FALSE)</f>
        <v>#N/A</v>
      </c>
    </row>
    <row r="110" spans="2:13">
      <c r="B110" s="56" t="e">
        <f>VLOOKUP($A110,'[2]Team lists'!$A$2:$L$800,2,FALSE)</f>
        <v>#N/A</v>
      </c>
      <c r="C110" s="43" t="e">
        <f>VLOOKUP($A110,'[2]Team lists'!$A$2:$L$800,3,FALSE)</f>
        <v>#N/A</v>
      </c>
      <c r="D110" s="43" t="e">
        <f>VLOOKUP($A110,'[2]Team lists'!$A$2:$L$800,4,FALSE)</f>
        <v>#N/A</v>
      </c>
      <c r="E110" s="43" t="e">
        <f>VLOOKUP($A110,'[2]Team lists'!$A$2:$L$800,5,FALSE)</f>
        <v>#N/A</v>
      </c>
      <c r="F110" s="43" t="e">
        <f>VLOOKUP($A110,'[2]Team lists'!$A$2:$L$800,6,FALSE)</f>
        <v>#N/A</v>
      </c>
      <c r="G110" s="43" t="e">
        <f>VLOOKUP($A110,'[2]Team lists'!$A$2:$L$800,7,FALSE)</f>
        <v>#N/A</v>
      </c>
      <c r="H110" s="43" t="e">
        <f>VLOOKUP($A110,'[2]Team lists'!$A$2:$L$800,8,FALSE)</f>
        <v>#N/A</v>
      </c>
      <c r="I110" s="43" t="e">
        <f>VLOOKUP($A110,'[2]Team lists'!$A$2:$L$800,9,FALSE)</f>
        <v>#N/A</v>
      </c>
      <c r="J110" s="43" t="e">
        <f>VLOOKUP($A110,'[2]Team lists'!$A$2:$L$800,10,FALSE)</f>
        <v>#N/A</v>
      </c>
      <c r="K110" s="43" t="e">
        <f>VLOOKUP($A110,'[2]Team lists'!$A$2:$L$800,11,FALSE)</f>
        <v>#N/A</v>
      </c>
      <c r="L110" s="44" t="e">
        <f>VLOOKUP($A110,'[2]Team lists'!$A$2:$L$800,12,FALSE)</f>
        <v>#N/A</v>
      </c>
    </row>
    <row r="111" spans="2:13" ht="18" thickBot="1">
      <c r="B111" s="45" t="s">
        <v>3210</v>
      </c>
      <c r="C111" s="46"/>
      <c r="D111" s="47"/>
      <c r="E111" s="48" t="e">
        <f t="shared" ref="E111:L111" si="6">SUM(E100:E110)</f>
        <v>#N/A</v>
      </c>
      <c r="F111" s="49" t="e">
        <f t="shared" si="6"/>
        <v>#N/A</v>
      </c>
      <c r="G111" s="49" t="e">
        <f t="shared" si="6"/>
        <v>#N/A</v>
      </c>
      <c r="H111" s="49" t="e">
        <f t="shared" si="6"/>
        <v>#N/A</v>
      </c>
      <c r="I111" s="49" t="e">
        <f t="shared" si="6"/>
        <v>#N/A</v>
      </c>
      <c r="J111" s="49" t="e">
        <f t="shared" si="6"/>
        <v>#N/A</v>
      </c>
      <c r="K111" s="49" t="e">
        <f t="shared" si="6"/>
        <v>#N/A</v>
      </c>
      <c r="L111" s="50" t="e">
        <f t="shared" si="6"/>
        <v>#N/A</v>
      </c>
    </row>
    <row r="112" spans="2:13" ht="18.600000000000001" thickTop="1" thickBot="1"/>
    <row r="113" spans="2:13" ht="18" thickTop="1">
      <c r="B113" s="23" t="s">
        <v>3204</v>
      </c>
      <c r="C113" s="24" t="s">
        <v>3205</v>
      </c>
      <c r="D113" s="25"/>
      <c r="E113" s="25"/>
      <c r="F113" s="53"/>
      <c r="G113" s="28" t="s">
        <v>3206</v>
      </c>
      <c r="H113" s="54"/>
      <c r="I113" s="54"/>
      <c r="J113" s="54"/>
      <c r="K113" s="28" t="s">
        <v>3207</v>
      </c>
      <c r="L113" s="29"/>
      <c r="M113" s="22" t="str">
        <f>G113</f>
        <v>Manager:</v>
      </c>
    </row>
    <row r="114" spans="2:13" ht="18" thickBot="1">
      <c r="B114" s="30">
        <v>8</v>
      </c>
      <c r="C114" s="57"/>
      <c r="D114" s="31"/>
      <c r="E114" s="31"/>
      <c r="F114" s="33"/>
      <c r="G114" s="55"/>
      <c r="H114" s="55"/>
      <c r="I114" s="55"/>
      <c r="J114" s="55"/>
      <c r="K114" s="34" t="e">
        <f>SUM(F127:L127)</f>
        <v>#N/A</v>
      </c>
      <c r="L114" s="35"/>
      <c r="M114" s="22">
        <f>G114</f>
        <v>0</v>
      </c>
    </row>
    <row r="115" spans="2:13" ht="18.600000000000001" thickTop="1">
      <c r="B115" s="36" t="s">
        <v>913</v>
      </c>
      <c r="C115" s="37" t="s">
        <v>912</v>
      </c>
      <c r="D115" s="38" t="s">
        <v>911</v>
      </c>
      <c r="E115" s="39" t="s">
        <v>3209</v>
      </c>
      <c r="F115" s="40" t="s">
        <v>3162</v>
      </c>
      <c r="G115" s="40" t="s">
        <v>3163</v>
      </c>
      <c r="H115" s="40" t="s">
        <v>3164</v>
      </c>
      <c r="I115" s="40" t="s">
        <v>3165</v>
      </c>
      <c r="J115" s="40" t="s">
        <v>3166</v>
      </c>
      <c r="K115" s="40" t="s">
        <v>3167</v>
      </c>
      <c r="L115" s="41" t="s">
        <v>3168</v>
      </c>
    </row>
    <row r="116" spans="2:13">
      <c r="B116" s="56" t="e">
        <f>VLOOKUP($A116,'[2]Team lists'!$A$2:$L$800,2,FALSE)</f>
        <v>#N/A</v>
      </c>
      <c r="C116" s="43" t="e">
        <f>VLOOKUP($A116,'[2]Team lists'!$A$2:$L$800,3,FALSE)</f>
        <v>#N/A</v>
      </c>
      <c r="D116" s="43" t="e">
        <f>VLOOKUP($A116,'[2]Team lists'!$A$2:$L$800,4,FALSE)</f>
        <v>#N/A</v>
      </c>
      <c r="E116" s="43" t="e">
        <f>VLOOKUP($A116,'[2]Team lists'!$A$2:$L$800,5,FALSE)</f>
        <v>#N/A</v>
      </c>
      <c r="F116" s="43" t="e">
        <f>VLOOKUP($A116,'[2]Team lists'!$A$2:$L$800,6,FALSE)</f>
        <v>#N/A</v>
      </c>
      <c r="G116" s="43" t="e">
        <f>VLOOKUP($A116,'[2]Team lists'!$A$2:$L$800,7,FALSE)</f>
        <v>#N/A</v>
      </c>
      <c r="H116" s="43" t="e">
        <f>VLOOKUP($A116,'[2]Team lists'!$A$2:$L$800,8,FALSE)</f>
        <v>#N/A</v>
      </c>
      <c r="I116" s="43" t="e">
        <f>VLOOKUP($A116,'[2]Team lists'!$A$2:$L$800,9,FALSE)</f>
        <v>#N/A</v>
      </c>
      <c r="J116" s="43" t="e">
        <f>VLOOKUP($A116,'[2]Team lists'!$A$2:$L$800,10,FALSE)</f>
        <v>#N/A</v>
      </c>
      <c r="K116" s="43" t="e">
        <f>VLOOKUP($A116,'[2]Team lists'!$A$2:$L$800,11,FALSE)</f>
        <v>#N/A</v>
      </c>
      <c r="L116" s="44" t="e">
        <f>VLOOKUP($A116,'[2]Team lists'!$A$2:$L$800,12,FALSE)</f>
        <v>#N/A</v>
      </c>
    </row>
    <row r="117" spans="2:13">
      <c r="B117" s="56" t="e">
        <f>VLOOKUP($A117,'[2]Team lists'!$A$2:$L$800,2,FALSE)</f>
        <v>#N/A</v>
      </c>
      <c r="C117" s="43" t="e">
        <f>VLOOKUP($A117,'[2]Team lists'!$A$2:$L$800,3,FALSE)</f>
        <v>#N/A</v>
      </c>
      <c r="D117" s="43" t="e">
        <f>VLOOKUP($A117,'[2]Team lists'!$A$2:$L$800,4,FALSE)</f>
        <v>#N/A</v>
      </c>
      <c r="E117" s="43" t="e">
        <f>VLOOKUP($A117,'[2]Team lists'!$A$2:$L$800,5,FALSE)</f>
        <v>#N/A</v>
      </c>
      <c r="F117" s="43" t="e">
        <f>VLOOKUP($A117,'[2]Team lists'!$A$2:$L$800,6,FALSE)</f>
        <v>#N/A</v>
      </c>
      <c r="G117" s="43" t="e">
        <f>VLOOKUP($A117,'[2]Team lists'!$A$2:$L$800,7,FALSE)</f>
        <v>#N/A</v>
      </c>
      <c r="H117" s="43" t="e">
        <f>VLOOKUP($A117,'[2]Team lists'!$A$2:$L$800,8,FALSE)</f>
        <v>#N/A</v>
      </c>
      <c r="I117" s="43" t="e">
        <f>VLOOKUP($A117,'[2]Team lists'!$A$2:$L$800,9,FALSE)</f>
        <v>#N/A</v>
      </c>
      <c r="J117" s="43" t="e">
        <f>VLOOKUP($A117,'[2]Team lists'!$A$2:$L$800,10,FALSE)</f>
        <v>#N/A</v>
      </c>
      <c r="K117" s="43" t="e">
        <f>VLOOKUP($A117,'[2]Team lists'!$A$2:$L$800,11,FALSE)</f>
        <v>#N/A</v>
      </c>
      <c r="L117" s="44" t="e">
        <f>VLOOKUP($A117,'[2]Team lists'!$A$2:$L$800,12,FALSE)</f>
        <v>#N/A</v>
      </c>
    </row>
    <row r="118" spans="2:13">
      <c r="B118" s="56" t="e">
        <f>VLOOKUP($A118,'[2]Team lists'!$A$2:$L$800,2,FALSE)</f>
        <v>#N/A</v>
      </c>
      <c r="C118" s="43" t="e">
        <f>VLOOKUP($A118,'[2]Team lists'!$A$2:$L$800,3,FALSE)</f>
        <v>#N/A</v>
      </c>
      <c r="D118" s="43" t="e">
        <f>VLOOKUP($A118,'[2]Team lists'!$A$2:$L$800,4,FALSE)</f>
        <v>#N/A</v>
      </c>
      <c r="E118" s="43" t="e">
        <f>VLOOKUP($A118,'[2]Team lists'!$A$2:$L$800,5,FALSE)</f>
        <v>#N/A</v>
      </c>
      <c r="F118" s="43" t="e">
        <f>VLOOKUP($A118,'[2]Team lists'!$A$2:$L$800,6,FALSE)</f>
        <v>#N/A</v>
      </c>
      <c r="G118" s="43" t="e">
        <f>VLOOKUP($A118,'[2]Team lists'!$A$2:$L$800,7,FALSE)</f>
        <v>#N/A</v>
      </c>
      <c r="H118" s="43" t="e">
        <f>VLOOKUP($A118,'[2]Team lists'!$A$2:$L$800,8,FALSE)</f>
        <v>#N/A</v>
      </c>
      <c r="I118" s="43" t="e">
        <f>VLOOKUP($A118,'[2]Team lists'!$A$2:$L$800,9,FALSE)</f>
        <v>#N/A</v>
      </c>
      <c r="J118" s="43" t="e">
        <f>VLOOKUP($A118,'[2]Team lists'!$A$2:$L$800,10,FALSE)</f>
        <v>#N/A</v>
      </c>
      <c r="K118" s="43" t="e">
        <f>VLOOKUP($A118,'[2]Team lists'!$A$2:$L$800,11,FALSE)</f>
        <v>#N/A</v>
      </c>
      <c r="L118" s="44" t="e">
        <f>VLOOKUP($A118,'[2]Team lists'!$A$2:$L$800,12,FALSE)</f>
        <v>#N/A</v>
      </c>
    </row>
    <row r="119" spans="2:13">
      <c r="B119" s="56" t="e">
        <f>VLOOKUP($A119,'[2]Team lists'!$A$2:$L$800,2,FALSE)</f>
        <v>#N/A</v>
      </c>
      <c r="C119" s="43" t="e">
        <f>VLOOKUP($A119,'[2]Team lists'!$A$2:$L$800,3,FALSE)</f>
        <v>#N/A</v>
      </c>
      <c r="D119" s="43" t="e">
        <f>VLOOKUP($A119,'[2]Team lists'!$A$2:$L$800,4,FALSE)</f>
        <v>#N/A</v>
      </c>
      <c r="E119" s="43" t="e">
        <f>VLOOKUP($A119,'[2]Team lists'!$A$2:$L$800,5,FALSE)</f>
        <v>#N/A</v>
      </c>
      <c r="F119" s="43" t="e">
        <f>VLOOKUP($A119,'[2]Team lists'!$A$2:$L$800,6,FALSE)</f>
        <v>#N/A</v>
      </c>
      <c r="G119" s="43" t="e">
        <f>VLOOKUP($A119,'[2]Team lists'!$A$2:$L$800,7,FALSE)</f>
        <v>#N/A</v>
      </c>
      <c r="H119" s="43" t="e">
        <f>VLOOKUP($A119,'[2]Team lists'!$A$2:$L$800,8,FALSE)</f>
        <v>#N/A</v>
      </c>
      <c r="I119" s="43" t="e">
        <f>VLOOKUP($A119,'[2]Team lists'!$A$2:$L$800,9,FALSE)</f>
        <v>#N/A</v>
      </c>
      <c r="J119" s="43" t="e">
        <f>VLOOKUP($A119,'[2]Team lists'!$A$2:$L$800,10,FALSE)</f>
        <v>#N/A</v>
      </c>
      <c r="K119" s="43" t="e">
        <f>VLOOKUP($A119,'[2]Team lists'!$A$2:$L$800,11,FALSE)</f>
        <v>#N/A</v>
      </c>
      <c r="L119" s="44" t="e">
        <f>VLOOKUP($A119,'[2]Team lists'!$A$2:$L$800,12,FALSE)</f>
        <v>#N/A</v>
      </c>
    </row>
    <row r="120" spans="2:13">
      <c r="B120" s="56" t="e">
        <f>VLOOKUP($A120,'[2]Team lists'!$A$2:$L$800,2,FALSE)</f>
        <v>#N/A</v>
      </c>
      <c r="C120" s="43" t="e">
        <f>VLOOKUP($A120,'[2]Team lists'!$A$2:$L$800,3,FALSE)</f>
        <v>#N/A</v>
      </c>
      <c r="D120" s="43" t="e">
        <f>VLOOKUP($A120,'[2]Team lists'!$A$2:$L$800,4,FALSE)</f>
        <v>#N/A</v>
      </c>
      <c r="E120" s="43" t="e">
        <f>VLOOKUP($A120,'[2]Team lists'!$A$2:$L$800,5,FALSE)</f>
        <v>#N/A</v>
      </c>
      <c r="F120" s="43" t="e">
        <f>VLOOKUP($A120,'[2]Team lists'!$A$2:$L$800,6,FALSE)</f>
        <v>#N/A</v>
      </c>
      <c r="G120" s="43" t="e">
        <f>VLOOKUP($A120,'[2]Team lists'!$A$2:$L$800,7,FALSE)</f>
        <v>#N/A</v>
      </c>
      <c r="H120" s="43" t="e">
        <f>VLOOKUP($A120,'[2]Team lists'!$A$2:$L$800,8,FALSE)</f>
        <v>#N/A</v>
      </c>
      <c r="I120" s="43" t="e">
        <f>VLOOKUP($A120,'[2]Team lists'!$A$2:$L$800,9,FALSE)</f>
        <v>#N/A</v>
      </c>
      <c r="J120" s="43" t="e">
        <f>VLOOKUP($A120,'[2]Team lists'!$A$2:$L$800,10,FALSE)</f>
        <v>#N/A</v>
      </c>
      <c r="K120" s="43" t="e">
        <f>VLOOKUP($A120,'[2]Team lists'!$A$2:$L$800,11,FALSE)</f>
        <v>#N/A</v>
      </c>
      <c r="L120" s="44" t="e">
        <f>VLOOKUP($A120,'[2]Team lists'!$A$2:$L$800,12,FALSE)</f>
        <v>#N/A</v>
      </c>
    </row>
    <row r="121" spans="2:13">
      <c r="B121" s="56" t="e">
        <f>VLOOKUP($A121,'[2]Team lists'!$A$2:$L$800,2,FALSE)</f>
        <v>#N/A</v>
      </c>
      <c r="C121" s="43" t="e">
        <f>VLOOKUP($A121,'[2]Team lists'!$A$2:$L$800,3,FALSE)</f>
        <v>#N/A</v>
      </c>
      <c r="D121" s="43" t="e">
        <f>VLOOKUP($A121,'[2]Team lists'!$A$2:$L$800,4,FALSE)</f>
        <v>#N/A</v>
      </c>
      <c r="E121" s="43" t="e">
        <f>VLOOKUP($A121,'[2]Team lists'!$A$2:$L$800,5,FALSE)</f>
        <v>#N/A</v>
      </c>
      <c r="F121" s="43" t="e">
        <f>VLOOKUP($A121,'[2]Team lists'!$A$2:$L$800,6,FALSE)</f>
        <v>#N/A</v>
      </c>
      <c r="G121" s="43" t="e">
        <f>VLOOKUP($A121,'[2]Team lists'!$A$2:$L$800,7,FALSE)</f>
        <v>#N/A</v>
      </c>
      <c r="H121" s="43" t="e">
        <f>VLOOKUP($A121,'[2]Team lists'!$A$2:$L$800,8,FALSE)</f>
        <v>#N/A</v>
      </c>
      <c r="I121" s="43" t="e">
        <f>VLOOKUP($A121,'[2]Team lists'!$A$2:$L$800,9,FALSE)</f>
        <v>#N/A</v>
      </c>
      <c r="J121" s="43" t="e">
        <f>VLOOKUP($A121,'[2]Team lists'!$A$2:$L$800,10,FALSE)</f>
        <v>#N/A</v>
      </c>
      <c r="K121" s="43" t="e">
        <f>VLOOKUP($A121,'[2]Team lists'!$A$2:$L$800,11,FALSE)</f>
        <v>#N/A</v>
      </c>
      <c r="L121" s="44" t="e">
        <f>VLOOKUP($A121,'[2]Team lists'!$A$2:$L$800,12,FALSE)</f>
        <v>#N/A</v>
      </c>
    </row>
    <row r="122" spans="2:13">
      <c r="B122" s="56" t="e">
        <f>VLOOKUP($A122,'[2]Team lists'!$A$2:$L$800,2,FALSE)</f>
        <v>#N/A</v>
      </c>
      <c r="C122" s="43" t="e">
        <f>VLOOKUP($A122,'[2]Team lists'!$A$2:$L$800,3,FALSE)</f>
        <v>#N/A</v>
      </c>
      <c r="D122" s="43" t="e">
        <f>VLOOKUP($A122,'[2]Team lists'!$A$2:$L$800,4,FALSE)</f>
        <v>#N/A</v>
      </c>
      <c r="E122" s="43" t="e">
        <f>VLOOKUP($A122,'[2]Team lists'!$A$2:$L$800,5,FALSE)</f>
        <v>#N/A</v>
      </c>
      <c r="F122" s="43" t="e">
        <f>VLOOKUP($A122,'[2]Team lists'!$A$2:$L$800,6,FALSE)</f>
        <v>#N/A</v>
      </c>
      <c r="G122" s="43" t="e">
        <f>VLOOKUP($A122,'[2]Team lists'!$A$2:$L$800,7,FALSE)</f>
        <v>#N/A</v>
      </c>
      <c r="H122" s="43" t="e">
        <f>VLOOKUP($A122,'[2]Team lists'!$A$2:$L$800,8,FALSE)</f>
        <v>#N/A</v>
      </c>
      <c r="I122" s="43" t="e">
        <f>VLOOKUP($A122,'[2]Team lists'!$A$2:$L$800,9,FALSE)</f>
        <v>#N/A</v>
      </c>
      <c r="J122" s="43" t="e">
        <f>VLOOKUP($A122,'[2]Team lists'!$A$2:$L$800,10,FALSE)</f>
        <v>#N/A</v>
      </c>
      <c r="K122" s="43" t="e">
        <f>VLOOKUP($A122,'[2]Team lists'!$A$2:$L$800,11,FALSE)</f>
        <v>#N/A</v>
      </c>
      <c r="L122" s="44" t="e">
        <f>VLOOKUP($A122,'[2]Team lists'!$A$2:$L$800,12,FALSE)</f>
        <v>#N/A</v>
      </c>
    </row>
    <row r="123" spans="2:13">
      <c r="B123" s="56" t="e">
        <f>VLOOKUP($A123,'[2]Team lists'!$A$2:$L$800,2,FALSE)</f>
        <v>#N/A</v>
      </c>
      <c r="C123" s="43" t="e">
        <f>VLOOKUP($A123,'[2]Team lists'!$A$2:$L$800,3,FALSE)</f>
        <v>#N/A</v>
      </c>
      <c r="D123" s="43" t="e">
        <f>VLOOKUP($A123,'[2]Team lists'!$A$2:$L$800,4,FALSE)</f>
        <v>#N/A</v>
      </c>
      <c r="E123" s="43" t="e">
        <f>VLOOKUP($A123,'[2]Team lists'!$A$2:$L$800,5,FALSE)</f>
        <v>#N/A</v>
      </c>
      <c r="F123" s="43" t="e">
        <f>VLOOKUP($A123,'[2]Team lists'!$A$2:$L$800,6,FALSE)</f>
        <v>#N/A</v>
      </c>
      <c r="G123" s="43" t="e">
        <f>VLOOKUP($A123,'[2]Team lists'!$A$2:$L$800,7,FALSE)</f>
        <v>#N/A</v>
      </c>
      <c r="H123" s="43" t="e">
        <f>VLOOKUP($A123,'[2]Team lists'!$A$2:$L$800,8,FALSE)</f>
        <v>#N/A</v>
      </c>
      <c r="I123" s="43" t="e">
        <f>VLOOKUP($A123,'[2]Team lists'!$A$2:$L$800,9,FALSE)</f>
        <v>#N/A</v>
      </c>
      <c r="J123" s="43" t="e">
        <f>VLOOKUP($A123,'[2]Team lists'!$A$2:$L$800,10,FALSE)</f>
        <v>#N/A</v>
      </c>
      <c r="K123" s="43" t="e">
        <f>VLOOKUP($A123,'[2]Team lists'!$A$2:$L$800,11,FALSE)</f>
        <v>#N/A</v>
      </c>
      <c r="L123" s="44" t="e">
        <f>VLOOKUP($A123,'[2]Team lists'!$A$2:$L$800,12,FALSE)</f>
        <v>#N/A</v>
      </c>
    </row>
    <row r="124" spans="2:13">
      <c r="B124" s="56" t="e">
        <f>VLOOKUP($A124,'[2]Team lists'!$A$2:$L$800,2,FALSE)</f>
        <v>#N/A</v>
      </c>
      <c r="C124" s="43" t="e">
        <f>VLOOKUP($A124,'[2]Team lists'!$A$2:$L$800,3,FALSE)</f>
        <v>#N/A</v>
      </c>
      <c r="D124" s="43" t="e">
        <f>VLOOKUP($A124,'[2]Team lists'!$A$2:$L$800,4,FALSE)</f>
        <v>#N/A</v>
      </c>
      <c r="E124" s="43" t="e">
        <f>VLOOKUP($A124,'[2]Team lists'!$A$2:$L$800,5,FALSE)</f>
        <v>#N/A</v>
      </c>
      <c r="F124" s="43" t="e">
        <f>VLOOKUP($A124,'[2]Team lists'!$A$2:$L$800,6,FALSE)</f>
        <v>#N/A</v>
      </c>
      <c r="G124" s="43" t="e">
        <f>VLOOKUP($A124,'[2]Team lists'!$A$2:$L$800,7,FALSE)</f>
        <v>#N/A</v>
      </c>
      <c r="H124" s="43" t="e">
        <f>VLOOKUP($A124,'[2]Team lists'!$A$2:$L$800,8,FALSE)</f>
        <v>#N/A</v>
      </c>
      <c r="I124" s="43" t="e">
        <f>VLOOKUP($A124,'[2]Team lists'!$A$2:$L$800,9,FALSE)</f>
        <v>#N/A</v>
      </c>
      <c r="J124" s="43" t="e">
        <f>VLOOKUP($A124,'[2]Team lists'!$A$2:$L$800,10,FALSE)</f>
        <v>#N/A</v>
      </c>
      <c r="K124" s="43" t="e">
        <f>VLOOKUP($A124,'[2]Team lists'!$A$2:$L$800,11,FALSE)</f>
        <v>#N/A</v>
      </c>
      <c r="L124" s="44" t="e">
        <f>VLOOKUP($A124,'[2]Team lists'!$A$2:$L$800,12,FALSE)</f>
        <v>#N/A</v>
      </c>
    </row>
    <row r="125" spans="2:13">
      <c r="B125" s="56" t="e">
        <f>VLOOKUP($A125,'[2]Team lists'!$A$2:$L$800,2,FALSE)</f>
        <v>#N/A</v>
      </c>
      <c r="C125" s="43" t="e">
        <f>VLOOKUP($A125,'[2]Team lists'!$A$2:$L$800,3,FALSE)</f>
        <v>#N/A</v>
      </c>
      <c r="D125" s="43" t="e">
        <f>VLOOKUP($A125,'[2]Team lists'!$A$2:$L$800,4,FALSE)</f>
        <v>#N/A</v>
      </c>
      <c r="E125" s="43" t="e">
        <f>VLOOKUP($A125,'[2]Team lists'!$A$2:$L$800,5,FALSE)</f>
        <v>#N/A</v>
      </c>
      <c r="F125" s="43" t="e">
        <f>VLOOKUP($A125,'[2]Team lists'!$A$2:$L$800,6,FALSE)</f>
        <v>#N/A</v>
      </c>
      <c r="G125" s="43" t="e">
        <f>VLOOKUP($A125,'[2]Team lists'!$A$2:$L$800,7,FALSE)</f>
        <v>#N/A</v>
      </c>
      <c r="H125" s="43" t="e">
        <f>VLOOKUP($A125,'[2]Team lists'!$A$2:$L$800,8,FALSE)</f>
        <v>#N/A</v>
      </c>
      <c r="I125" s="43" t="e">
        <f>VLOOKUP($A125,'[2]Team lists'!$A$2:$L$800,9,FALSE)</f>
        <v>#N/A</v>
      </c>
      <c r="J125" s="43" t="e">
        <f>VLOOKUP($A125,'[2]Team lists'!$A$2:$L$800,10,FALSE)</f>
        <v>#N/A</v>
      </c>
      <c r="K125" s="43" t="e">
        <f>VLOOKUP($A125,'[2]Team lists'!$A$2:$L$800,11,FALSE)</f>
        <v>#N/A</v>
      </c>
      <c r="L125" s="44" t="e">
        <f>VLOOKUP($A125,'[2]Team lists'!$A$2:$L$800,12,FALSE)</f>
        <v>#N/A</v>
      </c>
    </row>
    <row r="126" spans="2:13">
      <c r="B126" s="56" t="e">
        <f>VLOOKUP($A126,'[2]Team lists'!$A$2:$L$800,2,FALSE)</f>
        <v>#N/A</v>
      </c>
      <c r="C126" s="43" t="e">
        <f>VLOOKUP($A126,'[2]Team lists'!$A$2:$L$800,3,FALSE)</f>
        <v>#N/A</v>
      </c>
      <c r="D126" s="43" t="e">
        <f>VLOOKUP($A126,'[2]Team lists'!$A$2:$L$800,4,FALSE)</f>
        <v>#N/A</v>
      </c>
      <c r="E126" s="43" t="e">
        <f>VLOOKUP($A126,'[2]Team lists'!$A$2:$L$800,5,FALSE)</f>
        <v>#N/A</v>
      </c>
      <c r="F126" s="43" t="e">
        <f>VLOOKUP($A126,'[2]Team lists'!$A$2:$L$800,6,FALSE)</f>
        <v>#N/A</v>
      </c>
      <c r="G126" s="43" t="e">
        <f>VLOOKUP($A126,'[2]Team lists'!$A$2:$L$800,7,FALSE)</f>
        <v>#N/A</v>
      </c>
      <c r="H126" s="43" t="e">
        <f>VLOOKUP($A126,'[2]Team lists'!$A$2:$L$800,8,FALSE)</f>
        <v>#N/A</v>
      </c>
      <c r="I126" s="43" t="e">
        <f>VLOOKUP($A126,'[2]Team lists'!$A$2:$L$800,9,FALSE)</f>
        <v>#N/A</v>
      </c>
      <c r="J126" s="43" t="e">
        <f>VLOOKUP($A126,'[2]Team lists'!$A$2:$L$800,10,FALSE)</f>
        <v>#N/A</v>
      </c>
      <c r="K126" s="43" t="e">
        <f>VLOOKUP($A126,'[2]Team lists'!$A$2:$L$800,11,FALSE)</f>
        <v>#N/A</v>
      </c>
      <c r="L126" s="44" t="e">
        <f>VLOOKUP($A126,'[2]Team lists'!$A$2:$L$800,12,FALSE)</f>
        <v>#N/A</v>
      </c>
    </row>
    <row r="127" spans="2:13" ht="18" thickBot="1">
      <c r="B127" s="45" t="s">
        <v>3210</v>
      </c>
      <c r="C127" s="46"/>
      <c r="D127" s="47"/>
      <c r="E127" s="48" t="e">
        <f t="shared" ref="E127:L127" si="7">SUM(E116:E126)</f>
        <v>#N/A</v>
      </c>
      <c r="F127" s="49" t="e">
        <f t="shared" si="7"/>
        <v>#N/A</v>
      </c>
      <c r="G127" s="49" t="e">
        <f t="shared" si="7"/>
        <v>#N/A</v>
      </c>
      <c r="H127" s="49" t="e">
        <f t="shared" si="7"/>
        <v>#N/A</v>
      </c>
      <c r="I127" s="49" t="e">
        <f t="shared" si="7"/>
        <v>#N/A</v>
      </c>
      <c r="J127" s="49" t="e">
        <f t="shared" si="7"/>
        <v>#N/A</v>
      </c>
      <c r="K127" s="49" t="e">
        <f t="shared" si="7"/>
        <v>#N/A</v>
      </c>
      <c r="L127" s="50" t="e">
        <f t="shared" si="7"/>
        <v>#N/A</v>
      </c>
    </row>
    <row r="128" spans="2:13" ht="18.600000000000001" thickTop="1" thickBot="1"/>
    <row r="129" spans="2:13" ht="18" thickTop="1">
      <c r="B129" s="23" t="s">
        <v>3204</v>
      </c>
      <c r="C129" s="24" t="s">
        <v>3205</v>
      </c>
      <c r="D129" s="25"/>
      <c r="E129" s="25"/>
      <c r="F129" s="53"/>
      <c r="G129" s="28" t="s">
        <v>3206</v>
      </c>
      <c r="H129" s="54"/>
      <c r="I129" s="54"/>
      <c r="J129" s="54"/>
      <c r="K129" s="28" t="s">
        <v>3207</v>
      </c>
      <c r="L129" s="29"/>
      <c r="M129" s="22" t="str">
        <f>G129</f>
        <v>Manager:</v>
      </c>
    </row>
    <row r="130" spans="2:13" ht="18" thickBot="1">
      <c r="B130" s="30">
        <v>9</v>
      </c>
      <c r="C130" s="57"/>
      <c r="D130" s="31"/>
      <c r="E130" s="31"/>
      <c r="F130" s="33"/>
      <c r="G130" s="55"/>
      <c r="H130" s="55"/>
      <c r="I130" s="55"/>
      <c r="J130" s="55"/>
      <c r="K130" s="34" t="e">
        <f>SUM(F143:L143)</f>
        <v>#N/A</v>
      </c>
      <c r="L130" s="35"/>
      <c r="M130" s="22">
        <f>G130</f>
        <v>0</v>
      </c>
    </row>
    <row r="131" spans="2:13" ht="18.600000000000001" thickTop="1">
      <c r="B131" s="36" t="s">
        <v>913</v>
      </c>
      <c r="C131" s="37" t="s">
        <v>912</v>
      </c>
      <c r="D131" s="38" t="s">
        <v>911</v>
      </c>
      <c r="E131" s="39" t="s">
        <v>3209</v>
      </c>
      <c r="F131" s="40" t="s">
        <v>3162</v>
      </c>
      <c r="G131" s="40" t="s">
        <v>3163</v>
      </c>
      <c r="H131" s="40" t="s">
        <v>3164</v>
      </c>
      <c r="I131" s="40" t="s">
        <v>3165</v>
      </c>
      <c r="J131" s="40" t="s">
        <v>3166</v>
      </c>
      <c r="K131" s="40" t="s">
        <v>3167</v>
      </c>
      <c r="L131" s="41" t="s">
        <v>3168</v>
      </c>
    </row>
    <row r="132" spans="2:13">
      <c r="B132" s="56" t="e">
        <f>VLOOKUP($A132,'[2]Team lists'!$A$2:$L$800,2,FALSE)</f>
        <v>#N/A</v>
      </c>
      <c r="C132" s="43" t="e">
        <f>VLOOKUP($A132,'[2]Team lists'!$A$2:$L$800,3,FALSE)</f>
        <v>#N/A</v>
      </c>
      <c r="D132" s="43" t="e">
        <f>VLOOKUP($A132,'[2]Team lists'!$A$2:$L$800,4,FALSE)</f>
        <v>#N/A</v>
      </c>
      <c r="E132" s="43" t="e">
        <f>VLOOKUP($A132,'[2]Team lists'!$A$2:$L$800,5,FALSE)</f>
        <v>#N/A</v>
      </c>
      <c r="F132" s="43" t="e">
        <f>VLOOKUP($A132,'[2]Team lists'!$A$2:$L$800,6,FALSE)</f>
        <v>#N/A</v>
      </c>
      <c r="G132" s="43" t="e">
        <f>VLOOKUP($A132,'[2]Team lists'!$A$2:$L$800,7,FALSE)</f>
        <v>#N/A</v>
      </c>
      <c r="H132" s="43" t="e">
        <f>VLOOKUP($A132,'[2]Team lists'!$A$2:$L$800,8,FALSE)</f>
        <v>#N/A</v>
      </c>
      <c r="I132" s="43" t="e">
        <f>VLOOKUP($A132,'[2]Team lists'!$A$2:$L$800,9,FALSE)</f>
        <v>#N/A</v>
      </c>
      <c r="J132" s="43" t="e">
        <f>VLOOKUP($A132,'[2]Team lists'!$A$2:$L$800,10,FALSE)</f>
        <v>#N/A</v>
      </c>
      <c r="K132" s="43" t="e">
        <f>VLOOKUP($A132,'[2]Team lists'!$A$2:$L$800,11,FALSE)</f>
        <v>#N/A</v>
      </c>
      <c r="L132" s="44" t="e">
        <f>VLOOKUP($A132,'[2]Team lists'!$A$2:$L$800,12,FALSE)</f>
        <v>#N/A</v>
      </c>
    </row>
    <row r="133" spans="2:13">
      <c r="B133" s="56" t="e">
        <f>VLOOKUP($A133,'[2]Team lists'!$A$2:$L$800,2,FALSE)</f>
        <v>#N/A</v>
      </c>
      <c r="C133" s="43" t="e">
        <f>VLOOKUP($A133,'[2]Team lists'!$A$2:$L$800,3,FALSE)</f>
        <v>#N/A</v>
      </c>
      <c r="D133" s="43" t="e">
        <f>VLOOKUP($A133,'[2]Team lists'!$A$2:$L$800,4,FALSE)</f>
        <v>#N/A</v>
      </c>
      <c r="E133" s="43" t="e">
        <f>VLOOKUP($A133,'[2]Team lists'!$A$2:$L$800,5,FALSE)</f>
        <v>#N/A</v>
      </c>
      <c r="F133" s="43" t="e">
        <f>VLOOKUP($A133,'[2]Team lists'!$A$2:$L$800,6,FALSE)</f>
        <v>#N/A</v>
      </c>
      <c r="G133" s="43" t="e">
        <f>VLOOKUP($A133,'[2]Team lists'!$A$2:$L$800,7,FALSE)</f>
        <v>#N/A</v>
      </c>
      <c r="H133" s="43" t="e">
        <f>VLOOKUP($A133,'[2]Team lists'!$A$2:$L$800,8,FALSE)</f>
        <v>#N/A</v>
      </c>
      <c r="I133" s="43" t="e">
        <f>VLOOKUP($A133,'[2]Team lists'!$A$2:$L$800,9,FALSE)</f>
        <v>#N/A</v>
      </c>
      <c r="J133" s="43" t="e">
        <f>VLOOKUP($A133,'[2]Team lists'!$A$2:$L$800,10,FALSE)</f>
        <v>#N/A</v>
      </c>
      <c r="K133" s="43" t="e">
        <f>VLOOKUP($A133,'[2]Team lists'!$A$2:$L$800,11,FALSE)</f>
        <v>#N/A</v>
      </c>
      <c r="L133" s="44" t="e">
        <f>VLOOKUP($A133,'[2]Team lists'!$A$2:$L$800,12,FALSE)</f>
        <v>#N/A</v>
      </c>
    </row>
    <row r="134" spans="2:13">
      <c r="B134" s="56" t="e">
        <f>VLOOKUP($A134,'[2]Team lists'!$A$2:$L$800,2,FALSE)</f>
        <v>#N/A</v>
      </c>
      <c r="C134" s="43" t="e">
        <f>VLOOKUP($A134,'[2]Team lists'!$A$2:$L$800,3,FALSE)</f>
        <v>#N/A</v>
      </c>
      <c r="D134" s="43" t="e">
        <f>VLOOKUP($A134,'[2]Team lists'!$A$2:$L$800,4,FALSE)</f>
        <v>#N/A</v>
      </c>
      <c r="E134" s="43" t="e">
        <f>VLOOKUP($A134,'[2]Team lists'!$A$2:$L$800,5,FALSE)</f>
        <v>#N/A</v>
      </c>
      <c r="F134" s="43" t="e">
        <f>VLOOKUP($A134,'[2]Team lists'!$A$2:$L$800,6,FALSE)</f>
        <v>#N/A</v>
      </c>
      <c r="G134" s="43" t="e">
        <f>VLOOKUP($A134,'[2]Team lists'!$A$2:$L$800,7,FALSE)</f>
        <v>#N/A</v>
      </c>
      <c r="H134" s="43" t="e">
        <f>VLOOKUP($A134,'[2]Team lists'!$A$2:$L$800,8,FALSE)</f>
        <v>#N/A</v>
      </c>
      <c r="I134" s="43" t="e">
        <f>VLOOKUP($A134,'[2]Team lists'!$A$2:$L$800,9,FALSE)</f>
        <v>#N/A</v>
      </c>
      <c r="J134" s="43" t="e">
        <f>VLOOKUP($A134,'[2]Team lists'!$A$2:$L$800,10,FALSE)</f>
        <v>#N/A</v>
      </c>
      <c r="K134" s="43" t="e">
        <f>VLOOKUP($A134,'[2]Team lists'!$A$2:$L$800,11,FALSE)</f>
        <v>#N/A</v>
      </c>
      <c r="L134" s="44" t="e">
        <f>VLOOKUP($A134,'[2]Team lists'!$A$2:$L$800,12,FALSE)</f>
        <v>#N/A</v>
      </c>
    </row>
    <row r="135" spans="2:13">
      <c r="B135" s="56" t="e">
        <f>VLOOKUP($A135,'[2]Team lists'!$A$2:$L$800,2,FALSE)</f>
        <v>#N/A</v>
      </c>
      <c r="C135" s="43" t="e">
        <f>VLOOKUP($A135,'[2]Team lists'!$A$2:$L$800,3,FALSE)</f>
        <v>#N/A</v>
      </c>
      <c r="D135" s="43" t="e">
        <f>VLOOKUP($A135,'[2]Team lists'!$A$2:$L$800,4,FALSE)</f>
        <v>#N/A</v>
      </c>
      <c r="E135" s="43" t="e">
        <f>VLOOKUP($A135,'[2]Team lists'!$A$2:$L$800,5,FALSE)</f>
        <v>#N/A</v>
      </c>
      <c r="F135" s="43" t="e">
        <f>VLOOKUP($A135,'[2]Team lists'!$A$2:$L$800,6,FALSE)</f>
        <v>#N/A</v>
      </c>
      <c r="G135" s="43" t="e">
        <f>VLOOKUP($A135,'[2]Team lists'!$A$2:$L$800,7,FALSE)</f>
        <v>#N/A</v>
      </c>
      <c r="H135" s="43" t="e">
        <f>VLOOKUP($A135,'[2]Team lists'!$A$2:$L$800,8,FALSE)</f>
        <v>#N/A</v>
      </c>
      <c r="I135" s="43" t="e">
        <f>VLOOKUP($A135,'[2]Team lists'!$A$2:$L$800,9,FALSE)</f>
        <v>#N/A</v>
      </c>
      <c r="J135" s="43" t="e">
        <f>VLOOKUP($A135,'[2]Team lists'!$A$2:$L$800,10,FALSE)</f>
        <v>#N/A</v>
      </c>
      <c r="K135" s="43" t="e">
        <f>VLOOKUP($A135,'[2]Team lists'!$A$2:$L$800,11,FALSE)</f>
        <v>#N/A</v>
      </c>
      <c r="L135" s="44" t="e">
        <f>VLOOKUP($A135,'[2]Team lists'!$A$2:$L$800,12,FALSE)</f>
        <v>#N/A</v>
      </c>
    </row>
    <row r="136" spans="2:13">
      <c r="B136" s="56" t="e">
        <f>VLOOKUP($A136,'[2]Team lists'!$A$2:$L$800,2,FALSE)</f>
        <v>#N/A</v>
      </c>
      <c r="C136" s="43" t="e">
        <f>VLOOKUP($A136,'[2]Team lists'!$A$2:$L$800,3,FALSE)</f>
        <v>#N/A</v>
      </c>
      <c r="D136" s="43" t="e">
        <f>VLOOKUP($A136,'[2]Team lists'!$A$2:$L$800,4,FALSE)</f>
        <v>#N/A</v>
      </c>
      <c r="E136" s="43" t="e">
        <f>VLOOKUP($A136,'[2]Team lists'!$A$2:$L$800,5,FALSE)</f>
        <v>#N/A</v>
      </c>
      <c r="F136" s="43" t="e">
        <f>VLOOKUP($A136,'[2]Team lists'!$A$2:$L$800,6,FALSE)</f>
        <v>#N/A</v>
      </c>
      <c r="G136" s="43" t="e">
        <f>VLOOKUP($A136,'[2]Team lists'!$A$2:$L$800,7,FALSE)</f>
        <v>#N/A</v>
      </c>
      <c r="H136" s="43" t="e">
        <f>VLOOKUP($A136,'[2]Team lists'!$A$2:$L$800,8,FALSE)</f>
        <v>#N/A</v>
      </c>
      <c r="I136" s="43" t="e">
        <f>VLOOKUP($A136,'[2]Team lists'!$A$2:$L$800,9,FALSE)</f>
        <v>#N/A</v>
      </c>
      <c r="J136" s="43" t="e">
        <f>VLOOKUP($A136,'[2]Team lists'!$A$2:$L$800,10,FALSE)</f>
        <v>#N/A</v>
      </c>
      <c r="K136" s="43" t="e">
        <f>VLOOKUP($A136,'[2]Team lists'!$A$2:$L$800,11,FALSE)</f>
        <v>#N/A</v>
      </c>
      <c r="L136" s="44" t="e">
        <f>VLOOKUP($A136,'[2]Team lists'!$A$2:$L$800,12,FALSE)</f>
        <v>#N/A</v>
      </c>
    </row>
    <row r="137" spans="2:13">
      <c r="B137" s="56" t="e">
        <f>VLOOKUP($A137,'[2]Team lists'!$A$2:$L$800,2,FALSE)</f>
        <v>#N/A</v>
      </c>
      <c r="C137" s="43" t="e">
        <f>VLOOKUP($A137,'[2]Team lists'!$A$2:$L$800,3,FALSE)</f>
        <v>#N/A</v>
      </c>
      <c r="D137" s="43" t="e">
        <f>VLOOKUP($A137,'[2]Team lists'!$A$2:$L$800,4,FALSE)</f>
        <v>#N/A</v>
      </c>
      <c r="E137" s="43" t="e">
        <f>VLOOKUP($A137,'[2]Team lists'!$A$2:$L$800,5,FALSE)</f>
        <v>#N/A</v>
      </c>
      <c r="F137" s="43" t="e">
        <f>VLOOKUP($A137,'[2]Team lists'!$A$2:$L$800,6,FALSE)</f>
        <v>#N/A</v>
      </c>
      <c r="G137" s="43" t="e">
        <f>VLOOKUP($A137,'[2]Team lists'!$A$2:$L$800,7,FALSE)</f>
        <v>#N/A</v>
      </c>
      <c r="H137" s="43" t="e">
        <f>VLOOKUP($A137,'[2]Team lists'!$A$2:$L$800,8,FALSE)</f>
        <v>#N/A</v>
      </c>
      <c r="I137" s="43" t="e">
        <f>VLOOKUP($A137,'[2]Team lists'!$A$2:$L$800,9,FALSE)</f>
        <v>#N/A</v>
      </c>
      <c r="J137" s="43" t="e">
        <f>VLOOKUP($A137,'[2]Team lists'!$A$2:$L$800,10,FALSE)</f>
        <v>#N/A</v>
      </c>
      <c r="K137" s="43" t="e">
        <f>VLOOKUP($A137,'[2]Team lists'!$A$2:$L$800,11,FALSE)</f>
        <v>#N/A</v>
      </c>
      <c r="L137" s="44" t="e">
        <f>VLOOKUP($A137,'[2]Team lists'!$A$2:$L$800,12,FALSE)</f>
        <v>#N/A</v>
      </c>
    </row>
    <row r="138" spans="2:13">
      <c r="B138" s="56" t="e">
        <f>VLOOKUP($A138,'[2]Team lists'!$A$2:$L$800,2,FALSE)</f>
        <v>#N/A</v>
      </c>
      <c r="C138" s="43" t="e">
        <f>VLOOKUP($A138,'[2]Team lists'!$A$2:$L$800,3,FALSE)</f>
        <v>#N/A</v>
      </c>
      <c r="D138" s="43" t="e">
        <f>VLOOKUP($A138,'[2]Team lists'!$A$2:$L$800,4,FALSE)</f>
        <v>#N/A</v>
      </c>
      <c r="E138" s="43" t="e">
        <f>VLOOKUP($A138,'[2]Team lists'!$A$2:$L$800,5,FALSE)</f>
        <v>#N/A</v>
      </c>
      <c r="F138" s="43" t="e">
        <f>VLOOKUP($A138,'[2]Team lists'!$A$2:$L$800,6,FALSE)</f>
        <v>#N/A</v>
      </c>
      <c r="G138" s="43" t="e">
        <f>VLOOKUP($A138,'[2]Team lists'!$A$2:$L$800,7,FALSE)</f>
        <v>#N/A</v>
      </c>
      <c r="H138" s="43" t="e">
        <f>VLOOKUP($A138,'[2]Team lists'!$A$2:$L$800,8,FALSE)</f>
        <v>#N/A</v>
      </c>
      <c r="I138" s="43" t="e">
        <f>VLOOKUP($A138,'[2]Team lists'!$A$2:$L$800,9,FALSE)</f>
        <v>#N/A</v>
      </c>
      <c r="J138" s="43" t="e">
        <f>VLOOKUP($A138,'[2]Team lists'!$A$2:$L$800,10,FALSE)</f>
        <v>#N/A</v>
      </c>
      <c r="K138" s="43" t="e">
        <f>VLOOKUP($A138,'[2]Team lists'!$A$2:$L$800,11,FALSE)</f>
        <v>#N/A</v>
      </c>
      <c r="L138" s="44" t="e">
        <f>VLOOKUP($A138,'[2]Team lists'!$A$2:$L$800,12,FALSE)</f>
        <v>#N/A</v>
      </c>
    </row>
    <row r="139" spans="2:13">
      <c r="B139" s="56" t="e">
        <f>VLOOKUP($A139,'[2]Team lists'!$A$2:$L$800,2,FALSE)</f>
        <v>#N/A</v>
      </c>
      <c r="C139" s="43" t="e">
        <f>VLOOKUP($A139,'[2]Team lists'!$A$2:$L$800,3,FALSE)</f>
        <v>#N/A</v>
      </c>
      <c r="D139" s="43" t="e">
        <f>VLOOKUP($A139,'[2]Team lists'!$A$2:$L$800,4,FALSE)</f>
        <v>#N/A</v>
      </c>
      <c r="E139" s="43" t="e">
        <f>VLOOKUP($A139,'[2]Team lists'!$A$2:$L$800,5,FALSE)</f>
        <v>#N/A</v>
      </c>
      <c r="F139" s="43" t="e">
        <f>VLOOKUP($A139,'[2]Team lists'!$A$2:$L$800,6,FALSE)</f>
        <v>#N/A</v>
      </c>
      <c r="G139" s="43" t="e">
        <f>VLOOKUP($A139,'[2]Team lists'!$A$2:$L$800,7,FALSE)</f>
        <v>#N/A</v>
      </c>
      <c r="H139" s="43" t="e">
        <f>VLOOKUP($A139,'[2]Team lists'!$A$2:$L$800,8,FALSE)</f>
        <v>#N/A</v>
      </c>
      <c r="I139" s="43" t="e">
        <f>VLOOKUP($A139,'[2]Team lists'!$A$2:$L$800,9,FALSE)</f>
        <v>#N/A</v>
      </c>
      <c r="J139" s="43" t="e">
        <f>VLOOKUP($A139,'[2]Team lists'!$A$2:$L$800,10,FALSE)</f>
        <v>#N/A</v>
      </c>
      <c r="K139" s="43" t="e">
        <f>VLOOKUP($A139,'[2]Team lists'!$A$2:$L$800,11,FALSE)</f>
        <v>#N/A</v>
      </c>
      <c r="L139" s="44" t="e">
        <f>VLOOKUP($A139,'[2]Team lists'!$A$2:$L$800,12,FALSE)</f>
        <v>#N/A</v>
      </c>
    </row>
    <row r="140" spans="2:13">
      <c r="B140" s="56" t="e">
        <f>VLOOKUP($A140,'[2]Team lists'!$A$2:$L$800,2,FALSE)</f>
        <v>#N/A</v>
      </c>
      <c r="C140" s="43" t="e">
        <f>VLOOKUP($A140,'[2]Team lists'!$A$2:$L$800,3,FALSE)</f>
        <v>#N/A</v>
      </c>
      <c r="D140" s="43" t="e">
        <f>VLOOKUP($A140,'[2]Team lists'!$A$2:$L$800,4,FALSE)</f>
        <v>#N/A</v>
      </c>
      <c r="E140" s="43" t="e">
        <f>VLOOKUP($A140,'[2]Team lists'!$A$2:$L$800,5,FALSE)</f>
        <v>#N/A</v>
      </c>
      <c r="F140" s="43" t="e">
        <f>VLOOKUP($A140,'[2]Team lists'!$A$2:$L$800,6,FALSE)</f>
        <v>#N/A</v>
      </c>
      <c r="G140" s="43" t="e">
        <f>VLOOKUP($A140,'[2]Team lists'!$A$2:$L$800,7,FALSE)</f>
        <v>#N/A</v>
      </c>
      <c r="H140" s="43" t="e">
        <f>VLOOKUP($A140,'[2]Team lists'!$A$2:$L$800,8,FALSE)</f>
        <v>#N/A</v>
      </c>
      <c r="I140" s="43" t="e">
        <f>VLOOKUP($A140,'[2]Team lists'!$A$2:$L$800,9,FALSE)</f>
        <v>#N/A</v>
      </c>
      <c r="J140" s="43" t="e">
        <f>VLOOKUP($A140,'[2]Team lists'!$A$2:$L$800,10,FALSE)</f>
        <v>#N/A</v>
      </c>
      <c r="K140" s="43" t="e">
        <f>VLOOKUP($A140,'[2]Team lists'!$A$2:$L$800,11,FALSE)</f>
        <v>#N/A</v>
      </c>
      <c r="L140" s="44" t="e">
        <f>VLOOKUP($A140,'[2]Team lists'!$A$2:$L$800,12,FALSE)</f>
        <v>#N/A</v>
      </c>
    </row>
    <row r="141" spans="2:13">
      <c r="B141" s="56" t="e">
        <f>VLOOKUP($A141,'[2]Team lists'!$A$2:$L$800,2,FALSE)</f>
        <v>#N/A</v>
      </c>
      <c r="C141" s="43" t="e">
        <f>VLOOKUP($A141,'[2]Team lists'!$A$2:$L$800,3,FALSE)</f>
        <v>#N/A</v>
      </c>
      <c r="D141" s="43" t="e">
        <f>VLOOKUP($A141,'[2]Team lists'!$A$2:$L$800,4,FALSE)</f>
        <v>#N/A</v>
      </c>
      <c r="E141" s="43" t="e">
        <f>VLOOKUP($A141,'[2]Team lists'!$A$2:$L$800,5,FALSE)</f>
        <v>#N/A</v>
      </c>
      <c r="F141" s="43" t="e">
        <f>VLOOKUP($A141,'[2]Team lists'!$A$2:$L$800,6,FALSE)</f>
        <v>#N/A</v>
      </c>
      <c r="G141" s="43" t="e">
        <f>VLOOKUP($A141,'[2]Team lists'!$A$2:$L$800,7,FALSE)</f>
        <v>#N/A</v>
      </c>
      <c r="H141" s="43" t="e">
        <f>VLOOKUP($A141,'[2]Team lists'!$A$2:$L$800,8,FALSE)</f>
        <v>#N/A</v>
      </c>
      <c r="I141" s="43" t="e">
        <f>VLOOKUP($A141,'[2]Team lists'!$A$2:$L$800,9,FALSE)</f>
        <v>#N/A</v>
      </c>
      <c r="J141" s="43" t="e">
        <f>VLOOKUP($A141,'[2]Team lists'!$A$2:$L$800,10,FALSE)</f>
        <v>#N/A</v>
      </c>
      <c r="K141" s="43" t="e">
        <f>VLOOKUP($A141,'[2]Team lists'!$A$2:$L$800,11,FALSE)</f>
        <v>#N/A</v>
      </c>
      <c r="L141" s="44" t="e">
        <f>VLOOKUP($A141,'[2]Team lists'!$A$2:$L$800,12,FALSE)</f>
        <v>#N/A</v>
      </c>
    </row>
    <row r="142" spans="2:13">
      <c r="B142" s="56" t="e">
        <f>VLOOKUP($A142,'[2]Team lists'!$A$2:$L$800,2,FALSE)</f>
        <v>#N/A</v>
      </c>
      <c r="C142" s="43" t="e">
        <f>VLOOKUP($A142,'[2]Team lists'!$A$2:$L$800,3,FALSE)</f>
        <v>#N/A</v>
      </c>
      <c r="D142" s="43" t="e">
        <f>VLOOKUP($A142,'[2]Team lists'!$A$2:$L$800,4,FALSE)</f>
        <v>#N/A</v>
      </c>
      <c r="E142" s="43" t="e">
        <f>VLOOKUP($A142,'[2]Team lists'!$A$2:$L$800,5,FALSE)</f>
        <v>#N/A</v>
      </c>
      <c r="F142" s="43" t="e">
        <f>VLOOKUP($A142,'[2]Team lists'!$A$2:$L$800,6,FALSE)</f>
        <v>#N/A</v>
      </c>
      <c r="G142" s="43" t="e">
        <f>VLOOKUP($A142,'[2]Team lists'!$A$2:$L$800,7,FALSE)</f>
        <v>#N/A</v>
      </c>
      <c r="H142" s="43" t="e">
        <f>VLOOKUP($A142,'[2]Team lists'!$A$2:$L$800,8,FALSE)</f>
        <v>#N/A</v>
      </c>
      <c r="I142" s="43" t="e">
        <f>VLOOKUP($A142,'[2]Team lists'!$A$2:$L$800,9,FALSE)</f>
        <v>#N/A</v>
      </c>
      <c r="J142" s="43" t="e">
        <f>VLOOKUP($A142,'[2]Team lists'!$A$2:$L$800,10,FALSE)</f>
        <v>#N/A</v>
      </c>
      <c r="K142" s="43" t="e">
        <f>VLOOKUP($A142,'[2]Team lists'!$A$2:$L$800,11,FALSE)</f>
        <v>#N/A</v>
      </c>
      <c r="L142" s="44" t="e">
        <f>VLOOKUP($A142,'[2]Team lists'!$A$2:$L$800,12,FALSE)</f>
        <v>#N/A</v>
      </c>
    </row>
    <row r="143" spans="2:13" ht="18" thickBot="1">
      <c r="B143" s="45" t="s">
        <v>3210</v>
      </c>
      <c r="C143" s="46"/>
      <c r="D143" s="47"/>
      <c r="E143" s="48" t="e">
        <f t="shared" ref="E143:L143" si="8">SUM(E132:E142)</f>
        <v>#N/A</v>
      </c>
      <c r="F143" s="49" t="e">
        <f t="shared" si="8"/>
        <v>#N/A</v>
      </c>
      <c r="G143" s="49" t="e">
        <f t="shared" si="8"/>
        <v>#N/A</v>
      </c>
      <c r="H143" s="49" t="e">
        <f t="shared" si="8"/>
        <v>#N/A</v>
      </c>
      <c r="I143" s="49" t="e">
        <f t="shared" si="8"/>
        <v>#N/A</v>
      </c>
      <c r="J143" s="49" t="e">
        <f t="shared" si="8"/>
        <v>#N/A</v>
      </c>
      <c r="K143" s="49" t="e">
        <f t="shared" si="8"/>
        <v>#N/A</v>
      </c>
      <c r="L143" s="50" t="e">
        <f t="shared" si="8"/>
        <v>#N/A</v>
      </c>
    </row>
    <row r="144" spans="2:13" ht="18.600000000000001" thickTop="1" thickBot="1"/>
    <row r="145" spans="2:13" ht="18" thickTop="1">
      <c r="B145" s="23" t="s">
        <v>3204</v>
      </c>
      <c r="C145" s="24" t="s">
        <v>3205</v>
      </c>
      <c r="D145" s="25"/>
      <c r="E145" s="25"/>
      <c r="F145" s="53"/>
      <c r="G145" s="28" t="s">
        <v>3206</v>
      </c>
      <c r="H145" s="54"/>
      <c r="I145" s="54"/>
      <c r="J145" s="54"/>
      <c r="K145" s="28" t="s">
        <v>3207</v>
      </c>
      <c r="L145" s="29"/>
      <c r="M145" s="22" t="str">
        <f>G145</f>
        <v>Manager:</v>
      </c>
    </row>
    <row r="146" spans="2:13" ht="18" thickBot="1">
      <c r="B146" s="30">
        <v>10</v>
      </c>
      <c r="C146" s="57"/>
      <c r="D146" s="31"/>
      <c r="E146" s="31"/>
      <c r="F146" s="33"/>
      <c r="G146" s="55"/>
      <c r="H146" s="55"/>
      <c r="I146" s="55"/>
      <c r="J146" s="55"/>
      <c r="K146" s="34" t="e">
        <f>SUM(F159:L159)</f>
        <v>#N/A</v>
      </c>
      <c r="L146" s="35"/>
      <c r="M146" s="22">
        <f>G146</f>
        <v>0</v>
      </c>
    </row>
    <row r="147" spans="2:13" ht="18.600000000000001" thickTop="1">
      <c r="B147" s="36" t="s">
        <v>913</v>
      </c>
      <c r="C147" s="37" t="s">
        <v>912</v>
      </c>
      <c r="D147" s="38" t="s">
        <v>911</v>
      </c>
      <c r="E147" s="39" t="s">
        <v>3209</v>
      </c>
      <c r="F147" s="40" t="s">
        <v>3162</v>
      </c>
      <c r="G147" s="40" t="s">
        <v>3163</v>
      </c>
      <c r="H147" s="40" t="s">
        <v>3164</v>
      </c>
      <c r="I147" s="40" t="s">
        <v>3165</v>
      </c>
      <c r="J147" s="40" t="s">
        <v>3166</v>
      </c>
      <c r="K147" s="40" t="s">
        <v>3167</v>
      </c>
      <c r="L147" s="41" t="s">
        <v>3168</v>
      </c>
    </row>
    <row r="148" spans="2:13">
      <c r="B148" s="56" t="e">
        <f>VLOOKUP($A148,'[2]Team lists'!$A$2:$L$800,2,FALSE)</f>
        <v>#N/A</v>
      </c>
      <c r="C148" s="43" t="e">
        <f>VLOOKUP($A148,'[2]Team lists'!$A$2:$L$800,3,FALSE)</f>
        <v>#N/A</v>
      </c>
      <c r="D148" s="43" t="e">
        <f>VLOOKUP($A148,'[2]Team lists'!$A$2:$L$800,4,FALSE)</f>
        <v>#N/A</v>
      </c>
      <c r="E148" s="43" t="e">
        <f>VLOOKUP($A148,'[2]Team lists'!$A$2:$L$800,5,FALSE)</f>
        <v>#N/A</v>
      </c>
      <c r="F148" s="43" t="e">
        <f>VLOOKUP($A148,'[2]Team lists'!$A$2:$L$800,6,FALSE)</f>
        <v>#N/A</v>
      </c>
      <c r="G148" s="43" t="e">
        <f>VLOOKUP($A148,'[2]Team lists'!$A$2:$L$800,7,FALSE)</f>
        <v>#N/A</v>
      </c>
      <c r="H148" s="43" t="e">
        <f>VLOOKUP($A148,'[2]Team lists'!$A$2:$L$800,8,FALSE)</f>
        <v>#N/A</v>
      </c>
      <c r="I148" s="43" t="e">
        <f>VLOOKUP($A148,'[2]Team lists'!$A$2:$L$800,9,FALSE)</f>
        <v>#N/A</v>
      </c>
      <c r="J148" s="43" t="e">
        <f>VLOOKUP($A148,'[2]Team lists'!$A$2:$L$800,10,FALSE)</f>
        <v>#N/A</v>
      </c>
      <c r="K148" s="43" t="e">
        <f>VLOOKUP($A148,'[2]Team lists'!$A$2:$L$800,11,FALSE)</f>
        <v>#N/A</v>
      </c>
      <c r="L148" s="44" t="e">
        <f>VLOOKUP($A148,'[2]Team lists'!$A$2:$L$800,12,FALSE)</f>
        <v>#N/A</v>
      </c>
    </row>
    <row r="149" spans="2:13">
      <c r="B149" s="56" t="e">
        <f>VLOOKUP($A149,'[2]Team lists'!$A$2:$L$800,2,FALSE)</f>
        <v>#N/A</v>
      </c>
      <c r="C149" s="43" t="e">
        <f>VLOOKUP($A149,'[2]Team lists'!$A$2:$L$800,3,FALSE)</f>
        <v>#N/A</v>
      </c>
      <c r="D149" s="43" t="e">
        <f>VLOOKUP($A149,'[2]Team lists'!$A$2:$L$800,4,FALSE)</f>
        <v>#N/A</v>
      </c>
      <c r="E149" s="43" t="e">
        <f>VLOOKUP($A149,'[2]Team lists'!$A$2:$L$800,5,FALSE)</f>
        <v>#N/A</v>
      </c>
      <c r="F149" s="43" t="e">
        <f>VLOOKUP($A149,'[2]Team lists'!$A$2:$L$800,6,FALSE)</f>
        <v>#N/A</v>
      </c>
      <c r="G149" s="43" t="e">
        <f>VLOOKUP($A149,'[2]Team lists'!$A$2:$L$800,7,FALSE)</f>
        <v>#N/A</v>
      </c>
      <c r="H149" s="43" t="e">
        <f>VLOOKUP($A149,'[2]Team lists'!$A$2:$L$800,8,FALSE)</f>
        <v>#N/A</v>
      </c>
      <c r="I149" s="43" t="e">
        <f>VLOOKUP($A149,'[2]Team lists'!$A$2:$L$800,9,FALSE)</f>
        <v>#N/A</v>
      </c>
      <c r="J149" s="43" t="e">
        <f>VLOOKUP($A149,'[2]Team lists'!$A$2:$L$800,10,FALSE)</f>
        <v>#N/A</v>
      </c>
      <c r="K149" s="43" t="e">
        <f>VLOOKUP($A149,'[2]Team lists'!$A$2:$L$800,11,FALSE)</f>
        <v>#N/A</v>
      </c>
      <c r="L149" s="44" t="e">
        <f>VLOOKUP($A149,'[2]Team lists'!$A$2:$L$800,12,FALSE)</f>
        <v>#N/A</v>
      </c>
    </row>
    <row r="150" spans="2:13">
      <c r="B150" s="56" t="e">
        <f>VLOOKUP($A150,'[2]Team lists'!$A$2:$L$800,2,FALSE)</f>
        <v>#N/A</v>
      </c>
      <c r="C150" s="43" t="e">
        <f>VLOOKUP($A150,'[2]Team lists'!$A$2:$L$800,3,FALSE)</f>
        <v>#N/A</v>
      </c>
      <c r="D150" s="43" t="e">
        <f>VLOOKUP($A150,'[2]Team lists'!$A$2:$L$800,4,FALSE)</f>
        <v>#N/A</v>
      </c>
      <c r="E150" s="43" t="e">
        <f>VLOOKUP($A150,'[2]Team lists'!$A$2:$L$800,5,FALSE)</f>
        <v>#N/A</v>
      </c>
      <c r="F150" s="43" t="e">
        <f>VLOOKUP($A150,'[2]Team lists'!$A$2:$L$800,6,FALSE)</f>
        <v>#N/A</v>
      </c>
      <c r="G150" s="43" t="e">
        <f>VLOOKUP($A150,'[2]Team lists'!$A$2:$L$800,7,FALSE)</f>
        <v>#N/A</v>
      </c>
      <c r="H150" s="43" t="e">
        <f>VLOOKUP($A150,'[2]Team lists'!$A$2:$L$800,8,FALSE)</f>
        <v>#N/A</v>
      </c>
      <c r="I150" s="43" t="e">
        <f>VLOOKUP($A150,'[2]Team lists'!$A$2:$L$800,9,FALSE)</f>
        <v>#N/A</v>
      </c>
      <c r="J150" s="43" t="e">
        <f>VLOOKUP($A150,'[2]Team lists'!$A$2:$L$800,10,FALSE)</f>
        <v>#N/A</v>
      </c>
      <c r="K150" s="43" t="e">
        <f>VLOOKUP($A150,'[2]Team lists'!$A$2:$L$800,11,FALSE)</f>
        <v>#N/A</v>
      </c>
      <c r="L150" s="44" t="e">
        <f>VLOOKUP($A150,'[2]Team lists'!$A$2:$L$800,12,FALSE)</f>
        <v>#N/A</v>
      </c>
    </row>
    <row r="151" spans="2:13">
      <c r="B151" s="56" t="e">
        <f>VLOOKUP($A151,'[2]Team lists'!$A$2:$L$800,2,FALSE)</f>
        <v>#N/A</v>
      </c>
      <c r="C151" s="43" t="e">
        <f>VLOOKUP($A151,'[2]Team lists'!$A$2:$L$800,3,FALSE)</f>
        <v>#N/A</v>
      </c>
      <c r="D151" s="43" t="e">
        <f>VLOOKUP($A151,'[2]Team lists'!$A$2:$L$800,4,FALSE)</f>
        <v>#N/A</v>
      </c>
      <c r="E151" s="43" t="e">
        <f>VLOOKUP($A151,'[2]Team lists'!$A$2:$L$800,5,FALSE)</f>
        <v>#N/A</v>
      </c>
      <c r="F151" s="43" t="e">
        <f>VLOOKUP($A151,'[2]Team lists'!$A$2:$L$800,6,FALSE)</f>
        <v>#N/A</v>
      </c>
      <c r="G151" s="43" t="e">
        <f>VLOOKUP($A151,'[2]Team lists'!$A$2:$L$800,7,FALSE)</f>
        <v>#N/A</v>
      </c>
      <c r="H151" s="43" t="e">
        <f>VLOOKUP($A151,'[2]Team lists'!$A$2:$L$800,8,FALSE)</f>
        <v>#N/A</v>
      </c>
      <c r="I151" s="43" t="e">
        <f>VLOOKUP($A151,'[2]Team lists'!$A$2:$L$800,9,FALSE)</f>
        <v>#N/A</v>
      </c>
      <c r="J151" s="43" t="e">
        <f>VLOOKUP($A151,'[2]Team lists'!$A$2:$L$800,10,FALSE)</f>
        <v>#N/A</v>
      </c>
      <c r="K151" s="43" t="e">
        <f>VLOOKUP($A151,'[2]Team lists'!$A$2:$L$800,11,FALSE)</f>
        <v>#N/A</v>
      </c>
      <c r="L151" s="44" t="e">
        <f>VLOOKUP($A151,'[2]Team lists'!$A$2:$L$800,12,FALSE)</f>
        <v>#N/A</v>
      </c>
    </row>
    <row r="152" spans="2:13">
      <c r="B152" s="56" t="e">
        <f>VLOOKUP($A152,'[2]Team lists'!$A$2:$L$800,2,FALSE)</f>
        <v>#N/A</v>
      </c>
      <c r="C152" s="43" t="e">
        <f>VLOOKUP($A152,'[2]Team lists'!$A$2:$L$800,3,FALSE)</f>
        <v>#N/A</v>
      </c>
      <c r="D152" s="43" t="e">
        <f>VLOOKUP($A152,'[2]Team lists'!$A$2:$L$800,4,FALSE)</f>
        <v>#N/A</v>
      </c>
      <c r="E152" s="43" t="e">
        <f>VLOOKUP($A152,'[2]Team lists'!$A$2:$L$800,5,FALSE)</f>
        <v>#N/A</v>
      </c>
      <c r="F152" s="43" t="e">
        <f>VLOOKUP($A152,'[2]Team lists'!$A$2:$L$800,6,FALSE)</f>
        <v>#N/A</v>
      </c>
      <c r="G152" s="43" t="e">
        <f>VLOOKUP($A152,'[2]Team lists'!$A$2:$L$800,7,FALSE)</f>
        <v>#N/A</v>
      </c>
      <c r="H152" s="43" t="e">
        <f>VLOOKUP($A152,'[2]Team lists'!$A$2:$L$800,8,FALSE)</f>
        <v>#N/A</v>
      </c>
      <c r="I152" s="43" t="e">
        <f>VLOOKUP($A152,'[2]Team lists'!$A$2:$L$800,9,FALSE)</f>
        <v>#N/A</v>
      </c>
      <c r="J152" s="43" t="e">
        <f>VLOOKUP($A152,'[2]Team lists'!$A$2:$L$800,10,FALSE)</f>
        <v>#N/A</v>
      </c>
      <c r="K152" s="43" t="e">
        <f>VLOOKUP($A152,'[2]Team lists'!$A$2:$L$800,11,FALSE)</f>
        <v>#N/A</v>
      </c>
      <c r="L152" s="44" t="e">
        <f>VLOOKUP($A152,'[2]Team lists'!$A$2:$L$800,12,FALSE)</f>
        <v>#N/A</v>
      </c>
    </row>
    <row r="153" spans="2:13">
      <c r="B153" s="56" t="e">
        <f>VLOOKUP($A153,'[2]Team lists'!$A$2:$L$800,2,FALSE)</f>
        <v>#N/A</v>
      </c>
      <c r="C153" s="43" t="e">
        <f>VLOOKUP($A153,'[2]Team lists'!$A$2:$L$800,3,FALSE)</f>
        <v>#N/A</v>
      </c>
      <c r="D153" s="43" t="e">
        <f>VLOOKUP($A153,'[2]Team lists'!$A$2:$L$800,4,FALSE)</f>
        <v>#N/A</v>
      </c>
      <c r="E153" s="43" t="e">
        <f>VLOOKUP($A153,'[2]Team lists'!$A$2:$L$800,5,FALSE)</f>
        <v>#N/A</v>
      </c>
      <c r="F153" s="43" t="e">
        <f>VLOOKUP($A153,'[2]Team lists'!$A$2:$L$800,6,FALSE)</f>
        <v>#N/A</v>
      </c>
      <c r="G153" s="43" t="e">
        <f>VLOOKUP($A153,'[2]Team lists'!$A$2:$L$800,7,FALSE)</f>
        <v>#N/A</v>
      </c>
      <c r="H153" s="43" t="e">
        <f>VLOOKUP($A153,'[2]Team lists'!$A$2:$L$800,8,FALSE)</f>
        <v>#N/A</v>
      </c>
      <c r="I153" s="43" t="e">
        <f>VLOOKUP($A153,'[2]Team lists'!$A$2:$L$800,9,FALSE)</f>
        <v>#N/A</v>
      </c>
      <c r="J153" s="43" t="e">
        <f>VLOOKUP($A153,'[2]Team lists'!$A$2:$L$800,10,FALSE)</f>
        <v>#N/A</v>
      </c>
      <c r="K153" s="43" t="e">
        <f>VLOOKUP($A153,'[2]Team lists'!$A$2:$L$800,11,FALSE)</f>
        <v>#N/A</v>
      </c>
      <c r="L153" s="44" t="e">
        <f>VLOOKUP($A153,'[2]Team lists'!$A$2:$L$800,12,FALSE)</f>
        <v>#N/A</v>
      </c>
    </row>
    <row r="154" spans="2:13">
      <c r="B154" s="56" t="e">
        <f>VLOOKUP($A154,'[2]Team lists'!$A$2:$L$800,2,FALSE)</f>
        <v>#N/A</v>
      </c>
      <c r="C154" s="43" t="e">
        <f>VLOOKUP($A154,'[2]Team lists'!$A$2:$L$800,3,FALSE)</f>
        <v>#N/A</v>
      </c>
      <c r="D154" s="43" t="e">
        <f>VLOOKUP($A154,'[2]Team lists'!$A$2:$L$800,4,FALSE)</f>
        <v>#N/A</v>
      </c>
      <c r="E154" s="43" t="e">
        <f>VLOOKUP($A154,'[2]Team lists'!$A$2:$L$800,5,FALSE)</f>
        <v>#N/A</v>
      </c>
      <c r="F154" s="43" t="e">
        <f>VLOOKUP($A154,'[2]Team lists'!$A$2:$L$800,6,FALSE)</f>
        <v>#N/A</v>
      </c>
      <c r="G154" s="43" t="e">
        <f>VLOOKUP($A154,'[2]Team lists'!$A$2:$L$800,7,FALSE)</f>
        <v>#N/A</v>
      </c>
      <c r="H154" s="43" t="e">
        <f>VLOOKUP($A154,'[2]Team lists'!$A$2:$L$800,8,FALSE)</f>
        <v>#N/A</v>
      </c>
      <c r="I154" s="43" t="e">
        <f>VLOOKUP($A154,'[2]Team lists'!$A$2:$L$800,9,FALSE)</f>
        <v>#N/A</v>
      </c>
      <c r="J154" s="43" t="e">
        <f>VLOOKUP($A154,'[2]Team lists'!$A$2:$L$800,10,FALSE)</f>
        <v>#N/A</v>
      </c>
      <c r="K154" s="43" t="e">
        <f>VLOOKUP($A154,'[2]Team lists'!$A$2:$L$800,11,FALSE)</f>
        <v>#N/A</v>
      </c>
      <c r="L154" s="44" t="e">
        <f>VLOOKUP($A154,'[2]Team lists'!$A$2:$L$800,12,FALSE)</f>
        <v>#N/A</v>
      </c>
    </row>
    <row r="155" spans="2:13">
      <c r="B155" s="56" t="e">
        <f>VLOOKUP($A155,'[2]Team lists'!$A$2:$L$800,2,FALSE)</f>
        <v>#N/A</v>
      </c>
      <c r="C155" s="43" t="e">
        <f>VLOOKUP($A155,'[2]Team lists'!$A$2:$L$800,3,FALSE)</f>
        <v>#N/A</v>
      </c>
      <c r="D155" s="43" t="e">
        <f>VLOOKUP($A155,'[2]Team lists'!$A$2:$L$800,4,FALSE)</f>
        <v>#N/A</v>
      </c>
      <c r="E155" s="43" t="e">
        <f>VLOOKUP($A155,'[2]Team lists'!$A$2:$L$800,5,FALSE)</f>
        <v>#N/A</v>
      </c>
      <c r="F155" s="43" t="e">
        <f>VLOOKUP($A155,'[2]Team lists'!$A$2:$L$800,6,FALSE)</f>
        <v>#N/A</v>
      </c>
      <c r="G155" s="43" t="e">
        <f>VLOOKUP($A155,'[2]Team lists'!$A$2:$L$800,7,FALSE)</f>
        <v>#N/A</v>
      </c>
      <c r="H155" s="43" t="e">
        <f>VLOOKUP($A155,'[2]Team lists'!$A$2:$L$800,8,FALSE)</f>
        <v>#N/A</v>
      </c>
      <c r="I155" s="43" t="e">
        <f>VLOOKUP($A155,'[2]Team lists'!$A$2:$L$800,9,FALSE)</f>
        <v>#N/A</v>
      </c>
      <c r="J155" s="43" t="e">
        <f>VLOOKUP($A155,'[2]Team lists'!$A$2:$L$800,10,FALSE)</f>
        <v>#N/A</v>
      </c>
      <c r="K155" s="43" t="e">
        <f>VLOOKUP($A155,'[2]Team lists'!$A$2:$L$800,11,FALSE)</f>
        <v>#N/A</v>
      </c>
      <c r="L155" s="44" t="e">
        <f>VLOOKUP($A155,'[2]Team lists'!$A$2:$L$800,12,FALSE)</f>
        <v>#N/A</v>
      </c>
    </row>
    <row r="156" spans="2:13">
      <c r="B156" s="56" t="e">
        <f>VLOOKUP($A156,'[2]Team lists'!$A$2:$L$800,2,FALSE)</f>
        <v>#N/A</v>
      </c>
      <c r="C156" s="43" t="e">
        <f>VLOOKUP($A156,'[2]Team lists'!$A$2:$L$800,3,FALSE)</f>
        <v>#N/A</v>
      </c>
      <c r="D156" s="43" t="e">
        <f>VLOOKUP($A156,'[2]Team lists'!$A$2:$L$800,4,FALSE)</f>
        <v>#N/A</v>
      </c>
      <c r="E156" s="43" t="e">
        <f>VLOOKUP($A156,'[2]Team lists'!$A$2:$L$800,5,FALSE)</f>
        <v>#N/A</v>
      </c>
      <c r="F156" s="43" t="e">
        <f>VLOOKUP($A156,'[2]Team lists'!$A$2:$L$800,6,FALSE)</f>
        <v>#N/A</v>
      </c>
      <c r="G156" s="43" t="e">
        <f>VLOOKUP($A156,'[2]Team lists'!$A$2:$L$800,7,FALSE)</f>
        <v>#N/A</v>
      </c>
      <c r="H156" s="43" t="e">
        <f>VLOOKUP($A156,'[2]Team lists'!$A$2:$L$800,8,FALSE)</f>
        <v>#N/A</v>
      </c>
      <c r="I156" s="43" t="e">
        <f>VLOOKUP($A156,'[2]Team lists'!$A$2:$L$800,9,FALSE)</f>
        <v>#N/A</v>
      </c>
      <c r="J156" s="43" t="e">
        <f>VLOOKUP($A156,'[2]Team lists'!$A$2:$L$800,10,FALSE)</f>
        <v>#N/A</v>
      </c>
      <c r="K156" s="43" t="e">
        <f>VLOOKUP($A156,'[2]Team lists'!$A$2:$L$800,11,FALSE)</f>
        <v>#N/A</v>
      </c>
      <c r="L156" s="44" t="e">
        <f>VLOOKUP($A156,'[2]Team lists'!$A$2:$L$800,12,FALSE)</f>
        <v>#N/A</v>
      </c>
    </row>
    <row r="157" spans="2:13">
      <c r="B157" s="56" t="e">
        <f>VLOOKUP($A157,'[2]Team lists'!$A$2:$L$800,2,FALSE)</f>
        <v>#N/A</v>
      </c>
      <c r="C157" s="43" t="e">
        <f>VLOOKUP($A157,'[2]Team lists'!$A$2:$L$800,3,FALSE)</f>
        <v>#N/A</v>
      </c>
      <c r="D157" s="43" t="e">
        <f>VLOOKUP($A157,'[2]Team lists'!$A$2:$L$800,4,FALSE)</f>
        <v>#N/A</v>
      </c>
      <c r="E157" s="43" t="e">
        <f>VLOOKUP($A157,'[2]Team lists'!$A$2:$L$800,5,FALSE)</f>
        <v>#N/A</v>
      </c>
      <c r="F157" s="43" t="e">
        <f>VLOOKUP($A157,'[2]Team lists'!$A$2:$L$800,6,FALSE)</f>
        <v>#N/A</v>
      </c>
      <c r="G157" s="43" t="e">
        <f>VLOOKUP($A157,'[2]Team lists'!$A$2:$L$800,7,FALSE)</f>
        <v>#N/A</v>
      </c>
      <c r="H157" s="43" t="e">
        <f>VLOOKUP($A157,'[2]Team lists'!$A$2:$L$800,8,FALSE)</f>
        <v>#N/A</v>
      </c>
      <c r="I157" s="43" t="e">
        <f>VLOOKUP($A157,'[2]Team lists'!$A$2:$L$800,9,FALSE)</f>
        <v>#N/A</v>
      </c>
      <c r="J157" s="43" t="e">
        <f>VLOOKUP($A157,'[2]Team lists'!$A$2:$L$800,10,FALSE)</f>
        <v>#N/A</v>
      </c>
      <c r="K157" s="43" t="e">
        <f>VLOOKUP($A157,'[2]Team lists'!$A$2:$L$800,11,FALSE)</f>
        <v>#N/A</v>
      </c>
      <c r="L157" s="44" t="e">
        <f>VLOOKUP($A157,'[2]Team lists'!$A$2:$L$800,12,FALSE)</f>
        <v>#N/A</v>
      </c>
    </row>
    <row r="158" spans="2:13">
      <c r="B158" s="56" t="e">
        <f>VLOOKUP($A158,'[2]Team lists'!$A$2:$L$800,2,FALSE)</f>
        <v>#N/A</v>
      </c>
      <c r="C158" s="43" t="e">
        <f>VLOOKUP($A158,'[2]Team lists'!$A$2:$L$800,3,FALSE)</f>
        <v>#N/A</v>
      </c>
      <c r="D158" s="43" t="e">
        <f>VLOOKUP($A158,'[2]Team lists'!$A$2:$L$800,4,FALSE)</f>
        <v>#N/A</v>
      </c>
      <c r="E158" s="43" t="e">
        <f>VLOOKUP($A158,'[2]Team lists'!$A$2:$L$800,5,FALSE)</f>
        <v>#N/A</v>
      </c>
      <c r="F158" s="43" t="e">
        <f>VLOOKUP($A158,'[2]Team lists'!$A$2:$L$800,6,FALSE)</f>
        <v>#N/A</v>
      </c>
      <c r="G158" s="43" t="e">
        <f>VLOOKUP($A158,'[2]Team lists'!$A$2:$L$800,7,FALSE)</f>
        <v>#N/A</v>
      </c>
      <c r="H158" s="43" t="e">
        <f>VLOOKUP($A158,'[2]Team lists'!$A$2:$L$800,8,FALSE)</f>
        <v>#N/A</v>
      </c>
      <c r="I158" s="43" t="e">
        <f>VLOOKUP($A158,'[2]Team lists'!$A$2:$L$800,9,FALSE)</f>
        <v>#N/A</v>
      </c>
      <c r="J158" s="43" t="e">
        <f>VLOOKUP($A158,'[2]Team lists'!$A$2:$L$800,10,FALSE)</f>
        <v>#N/A</v>
      </c>
      <c r="K158" s="43" t="e">
        <f>VLOOKUP($A158,'[2]Team lists'!$A$2:$L$800,11,FALSE)</f>
        <v>#N/A</v>
      </c>
      <c r="L158" s="44" t="e">
        <f>VLOOKUP($A158,'[2]Team lists'!$A$2:$L$800,12,FALSE)</f>
        <v>#N/A</v>
      </c>
    </row>
    <row r="159" spans="2:13" ht="18" thickBot="1">
      <c r="B159" s="45" t="s">
        <v>3210</v>
      </c>
      <c r="C159" s="46"/>
      <c r="D159" s="47"/>
      <c r="E159" s="48" t="e">
        <f t="shared" ref="E159:L159" si="9">SUM(E148:E158)</f>
        <v>#N/A</v>
      </c>
      <c r="F159" s="49" t="e">
        <f t="shared" si="9"/>
        <v>#N/A</v>
      </c>
      <c r="G159" s="49" t="e">
        <f t="shared" si="9"/>
        <v>#N/A</v>
      </c>
      <c r="H159" s="49" t="e">
        <f t="shared" si="9"/>
        <v>#N/A</v>
      </c>
      <c r="I159" s="49" t="e">
        <f t="shared" si="9"/>
        <v>#N/A</v>
      </c>
      <c r="J159" s="49" t="e">
        <f t="shared" si="9"/>
        <v>#N/A</v>
      </c>
      <c r="K159" s="49" t="e">
        <f t="shared" si="9"/>
        <v>#N/A</v>
      </c>
      <c r="L159" s="50" t="e">
        <f t="shared" si="9"/>
        <v>#N/A</v>
      </c>
    </row>
    <row r="160" spans="2:13" ht="18.600000000000001" thickTop="1" thickBot="1"/>
    <row r="161" spans="2:13" ht="18" thickTop="1">
      <c r="B161" s="23" t="s">
        <v>3204</v>
      </c>
      <c r="C161" s="24" t="s">
        <v>3205</v>
      </c>
      <c r="D161" s="25"/>
      <c r="E161" s="25"/>
      <c r="F161" s="53"/>
      <c r="G161" s="28" t="s">
        <v>3206</v>
      </c>
      <c r="H161" s="54"/>
      <c r="I161" s="54"/>
      <c r="J161" s="54"/>
      <c r="K161" s="28" t="s">
        <v>3207</v>
      </c>
      <c r="L161" s="29"/>
      <c r="M161" s="22" t="str">
        <f>G161</f>
        <v>Manager:</v>
      </c>
    </row>
    <row r="162" spans="2:13" ht="18" thickBot="1">
      <c r="B162" s="30">
        <v>11</v>
      </c>
      <c r="C162" s="57"/>
      <c r="D162" s="31"/>
      <c r="E162" s="31"/>
      <c r="F162" s="33"/>
      <c r="G162" s="55"/>
      <c r="H162" s="55"/>
      <c r="I162" s="55"/>
      <c r="J162" s="55"/>
      <c r="K162" s="34" t="e">
        <f>SUM(F175:L175)</f>
        <v>#N/A</v>
      </c>
      <c r="L162" s="35"/>
      <c r="M162" s="22">
        <f>G162</f>
        <v>0</v>
      </c>
    </row>
    <row r="163" spans="2:13" ht="18.600000000000001" thickTop="1">
      <c r="B163" s="36" t="s">
        <v>913</v>
      </c>
      <c r="C163" s="37" t="s">
        <v>912</v>
      </c>
      <c r="D163" s="38" t="s">
        <v>911</v>
      </c>
      <c r="E163" s="39" t="s">
        <v>3209</v>
      </c>
      <c r="F163" s="40" t="s">
        <v>3162</v>
      </c>
      <c r="G163" s="40" t="s">
        <v>3163</v>
      </c>
      <c r="H163" s="40" t="s">
        <v>3164</v>
      </c>
      <c r="I163" s="40" t="s">
        <v>3165</v>
      </c>
      <c r="J163" s="40" t="s">
        <v>3166</v>
      </c>
      <c r="K163" s="40" t="s">
        <v>3167</v>
      </c>
      <c r="L163" s="41" t="s">
        <v>3168</v>
      </c>
    </row>
    <row r="164" spans="2:13">
      <c r="B164" s="56" t="e">
        <f>VLOOKUP($A164,'[2]Team lists'!$A$2:$L$800,2,FALSE)</f>
        <v>#N/A</v>
      </c>
      <c r="C164" s="43" t="e">
        <f>VLOOKUP($A164,'[2]Team lists'!$A$2:$L$800,3,FALSE)</f>
        <v>#N/A</v>
      </c>
      <c r="D164" s="43" t="e">
        <f>VLOOKUP($A164,'[2]Team lists'!$A$2:$L$800,4,FALSE)</f>
        <v>#N/A</v>
      </c>
      <c r="E164" s="43" t="e">
        <f>VLOOKUP($A164,'[2]Team lists'!$A$2:$L$800,5,FALSE)</f>
        <v>#N/A</v>
      </c>
      <c r="F164" s="43" t="e">
        <f>VLOOKUP($A164,'[2]Team lists'!$A$2:$L$800,6,FALSE)</f>
        <v>#N/A</v>
      </c>
      <c r="G164" s="43" t="e">
        <f>VLOOKUP($A164,'[2]Team lists'!$A$2:$L$800,7,FALSE)</f>
        <v>#N/A</v>
      </c>
      <c r="H164" s="43" t="e">
        <f>VLOOKUP($A164,'[2]Team lists'!$A$2:$L$800,8,FALSE)</f>
        <v>#N/A</v>
      </c>
      <c r="I164" s="43" t="e">
        <f>VLOOKUP($A164,'[2]Team lists'!$A$2:$L$800,9,FALSE)</f>
        <v>#N/A</v>
      </c>
      <c r="J164" s="43" t="e">
        <f>VLOOKUP($A164,'[2]Team lists'!$A$2:$L$800,10,FALSE)</f>
        <v>#N/A</v>
      </c>
      <c r="K164" s="43" t="e">
        <f>VLOOKUP($A164,'[2]Team lists'!$A$2:$L$800,11,FALSE)</f>
        <v>#N/A</v>
      </c>
      <c r="L164" s="44" t="e">
        <f>VLOOKUP($A164,'[2]Team lists'!$A$2:$L$800,12,FALSE)</f>
        <v>#N/A</v>
      </c>
    </row>
    <row r="165" spans="2:13">
      <c r="B165" s="56" t="e">
        <f>VLOOKUP($A165,'[2]Team lists'!$A$2:$L$800,2,FALSE)</f>
        <v>#N/A</v>
      </c>
      <c r="C165" s="43" t="e">
        <f>VLOOKUP($A165,'[2]Team lists'!$A$2:$L$800,3,FALSE)</f>
        <v>#N/A</v>
      </c>
      <c r="D165" s="43" t="e">
        <f>VLOOKUP($A165,'[2]Team lists'!$A$2:$L$800,4,FALSE)</f>
        <v>#N/A</v>
      </c>
      <c r="E165" s="43" t="e">
        <f>VLOOKUP($A165,'[2]Team lists'!$A$2:$L$800,5,FALSE)</f>
        <v>#N/A</v>
      </c>
      <c r="F165" s="43" t="e">
        <f>VLOOKUP($A165,'[2]Team lists'!$A$2:$L$800,6,FALSE)</f>
        <v>#N/A</v>
      </c>
      <c r="G165" s="43" t="e">
        <f>VLOOKUP($A165,'[2]Team lists'!$A$2:$L$800,7,FALSE)</f>
        <v>#N/A</v>
      </c>
      <c r="H165" s="43" t="e">
        <f>VLOOKUP($A165,'[2]Team lists'!$A$2:$L$800,8,FALSE)</f>
        <v>#N/A</v>
      </c>
      <c r="I165" s="43" t="e">
        <f>VLOOKUP($A165,'[2]Team lists'!$A$2:$L$800,9,FALSE)</f>
        <v>#N/A</v>
      </c>
      <c r="J165" s="43" t="e">
        <f>VLOOKUP($A165,'[2]Team lists'!$A$2:$L$800,10,FALSE)</f>
        <v>#N/A</v>
      </c>
      <c r="K165" s="43" t="e">
        <f>VLOOKUP($A165,'[2]Team lists'!$A$2:$L$800,11,FALSE)</f>
        <v>#N/A</v>
      </c>
      <c r="L165" s="44" t="e">
        <f>VLOOKUP($A165,'[2]Team lists'!$A$2:$L$800,12,FALSE)</f>
        <v>#N/A</v>
      </c>
    </row>
    <row r="166" spans="2:13">
      <c r="B166" s="56" t="e">
        <f>VLOOKUP($A166,'[2]Team lists'!$A$2:$L$800,2,FALSE)</f>
        <v>#N/A</v>
      </c>
      <c r="C166" s="43" t="e">
        <f>VLOOKUP($A166,'[2]Team lists'!$A$2:$L$800,3,FALSE)</f>
        <v>#N/A</v>
      </c>
      <c r="D166" s="43" t="e">
        <f>VLOOKUP($A166,'[2]Team lists'!$A$2:$L$800,4,FALSE)</f>
        <v>#N/A</v>
      </c>
      <c r="E166" s="43" t="e">
        <f>VLOOKUP($A166,'[2]Team lists'!$A$2:$L$800,5,FALSE)</f>
        <v>#N/A</v>
      </c>
      <c r="F166" s="43" t="e">
        <f>VLOOKUP($A166,'[2]Team lists'!$A$2:$L$800,6,FALSE)</f>
        <v>#N/A</v>
      </c>
      <c r="G166" s="43" t="e">
        <f>VLOOKUP($A166,'[2]Team lists'!$A$2:$L$800,7,FALSE)</f>
        <v>#N/A</v>
      </c>
      <c r="H166" s="43" t="e">
        <f>VLOOKUP($A166,'[2]Team lists'!$A$2:$L$800,8,FALSE)</f>
        <v>#N/A</v>
      </c>
      <c r="I166" s="43" t="e">
        <f>VLOOKUP($A166,'[2]Team lists'!$A$2:$L$800,9,FALSE)</f>
        <v>#N/A</v>
      </c>
      <c r="J166" s="43" t="e">
        <f>VLOOKUP($A166,'[2]Team lists'!$A$2:$L$800,10,FALSE)</f>
        <v>#N/A</v>
      </c>
      <c r="K166" s="43" t="e">
        <f>VLOOKUP($A166,'[2]Team lists'!$A$2:$L$800,11,FALSE)</f>
        <v>#N/A</v>
      </c>
      <c r="L166" s="44" t="e">
        <f>VLOOKUP($A166,'[2]Team lists'!$A$2:$L$800,12,FALSE)</f>
        <v>#N/A</v>
      </c>
    </row>
    <row r="167" spans="2:13">
      <c r="B167" s="56" t="e">
        <f>VLOOKUP($A167,'[2]Team lists'!$A$2:$L$800,2,FALSE)</f>
        <v>#N/A</v>
      </c>
      <c r="C167" s="43" t="e">
        <f>VLOOKUP($A167,'[2]Team lists'!$A$2:$L$800,3,FALSE)</f>
        <v>#N/A</v>
      </c>
      <c r="D167" s="43" t="e">
        <f>VLOOKUP($A167,'[2]Team lists'!$A$2:$L$800,4,FALSE)</f>
        <v>#N/A</v>
      </c>
      <c r="E167" s="43" t="e">
        <f>VLOOKUP($A167,'[2]Team lists'!$A$2:$L$800,5,FALSE)</f>
        <v>#N/A</v>
      </c>
      <c r="F167" s="43" t="e">
        <f>VLOOKUP($A167,'[2]Team lists'!$A$2:$L$800,6,FALSE)</f>
        <v>#N/A</v>
      </c>
      <c r="G167" s="43" t="e">
        <f>VLOOKUP($A167,'[2]Team lists'!$A$2:$L$800,7,FALSE)</f>
        <v>#N/A</v>
      </c>
      <c r="H167" s="43" t="e">
        <f>VLOOKUP($A167,'[2]Team lists'!$A$2:$L$800,8,FALSE)</f>
        <v>#N/A</v>
      </c>
      <c r="I167" s="43" t="e">
        <f>VLOOKUP($A167,'[2]Team lists'!$A$2:$L$800,9,FALSE)</f>
        <v>#N/A</v>
      </c>
      <c r="J167" s="43" t="e">
        <f>VLOOKUP($A167,'[2]Team lists'!$A$2:$L$800,10,FALSE)</f>
        <v>#N/A</v>
      </c>
      <c r="K167" s="43" t="e">
        <f>VLOOKUP($A167,'[2]Team lists'!$A$2:$L$800,11,FALSE)</f>
        <v>#N/A</v>
      </c>
      <c r="L167" s="44" t="e">
        <f>VLOOKUP($A167,'[2]Team lists'!$A$2:$L$800,12,FALSE)</f>
        <v>#N/A</v>
      </c>
    </row>
    <row r="168" spans="2:13">
      <c r="B168" s="56" t="e">
        <f>VLOOKUP($A168,'[2]Team lists'!$A$2:$L$800,2,FALSE)</f>
        <v>#N/A</v>
      </c>
      <c r="C168" s="43" t="e">
        <f>VLOOKUP($A168,'[2]Team lists'!$A$2:$L$800,3,FALSE)</f>
        <v>#N/A</v>
      </c>
      <c r="D168" s="43" t="e">
        <f>VLOOKUP($A168,'[2]Team lists'!$A$2:$L$800,4,FALSE)</f>
        <v>#N/A</v>
      </c>
      <c r="E168" s="43" t="e">
        <f>VLOOKUP($A168,'[2]Team lists'!$A$2:$L$800,5,FALSE)</f>
        <v>#N/A</v>
      </c>
      <c r="F168" s="43" t="e">
        <f>VLOOKUP($A168,'[2]Team lists'!$A$2:$L$800,6,FALSE)</f>
        <v>#N/A</v>
      </c>
      <c r="G168" s="43" t="e">
        <f>VLOOKUP($A168,'[2]Team lists'!$A$2:$L$800,7,FALSE)</f>
        <v>#N/A</v>
      </c>
      <c r="H168" s="43" t="e">
        <f>VLOOKUP($A168,'[2]Team lists'!$A$2:$L$800,8,FALSE)</f>
        <v>#N/A</v>
      </c>
      <c r="I168" s="43" t="e">
        <f>VLOOKUP($A168,'[2]Team lists'!$A$2:$L$800,9,FALSE)</f>
        <v>#N/A</v>
      </c>
      <c r="J168" s="43" t="e">
        <f>VLOOKUP($A168,'[2]Team lists'!$A$2:$L$800,10,FALSE)</f>
        <v>#N/A</v>
      </c>
      <c r="K168" s="43" t="e">
        <f>VLOOKUP($A168,'[2]Team lists'!$A$2:$L$800,11,FALSE)</f>
        <v>#N/A</v>
      </c>
      <c r="L168" s="44" t="e">
        <f>VLOOKUP($A168,'[2]Team lists'!$A$2:$L$800,12,FALSE)</f>
        <v>#N/A</v>
      </c>
    </row>
    <row r="169" spans="2:13">
      <c r="B169" s="56" t="e">
        <f>VLOOKUP($A169,'[2]Team lists'!$A$2:$L$800,2,FALSE)</f>
        <v>#N/A</v>
      </c>
      <c r="C169" s="43" t="e">
        <f>VLOOKUP($A169,'[2]Team lists'!$A$2:$L$800,3,FALSE)</f>
        <v>#N/A</v>
      </c>
      <c r="D169" s="43" t="e">
        <f>VLOOKUP($A169,'[2]Team lists'!$A$2:$L$800,4,FALSE)</f>
        <v>#N/A</v>
      </c>
      <c r="E169" s="43" t="e">
        <f>VLOOKUP($A169,'[2]Team lists'!$A$2:$L$800,5,FALSE)</f>
        <v>#N/A</v>
      </c>
      <c r="F169" s="43" t="e">
        <f>VLOOKUP($A169,'[2]Team lists'!$A$2:$L$800,6,FALSE)</f>
        <v>#N/A</v>
      </c>
      <c r="G169" s="43" t="e">
        <f>VLOOKUP($A169,'[2]Team lists'!$A$2:$L$800,7,FALSE)</f>
        <v>#N/A</v>
      </c>
      <c r="H169" s="43" t="e">
        <f>VLOOKUP($A169,'[2]Team lists'!$A$2:$L$800,8,FALSE)</f>
        <v>#N/A</v>
      </c>
      <c r="I169" s="43" t="e">
        <f>VLOOKUP($A169,'[2]Team lists'!$A$2:$L$800,9,FALSE)</f>
        <v>#N/A</v>
      </c>
      <c r="J169" s="43" t="e">
        <f>VLOOKUP($A169,'[2]Team lists'!$A$2:$L$800,10,FALSE)</f>
        <v>#N/A</v>
      </c>
      <c r="K169" s="43" t="e">
        <f>VLOOKUP($A169,'[2]Team lists'!$A$2:$L$800,11,FALSE)</f>
        <v>#N/A</v>
      </c>
      <c r="L169" s="44" t="e">
        <f>VLOOKUP($A169,'[2]Team lists'!$A$2:$L$800,12,FALSE)</f>
        <v>#N/A</v>
      </c>
    </row>
    <row r="170" spans="2:13">
      <c r="B170" s="56" t="e">
        <f>VLOOKUP($A170,'[2]Team lists'!$A$2:$L$800,2,FALSE)</f>
        <v>#N/A</v>
      </c>
      <c r="C170" s="43" t="e">
        <f>VLOOKUP($A170,'[2]Team lists'!$A$2:$L$800,3,FALSE)</f>
        <v>#N/A</v>
      </c>
      <c r="D170" s="43" t="e">
        <f>VLOOKUP($A170,'[2]Team lists'!$A$2:$L$800,4,FALSE)</f>
        <v>#N/A</v>
      </c>
      <c r="E170" s="43" t="e">
        <f>VLOOKUP($A170,'[2]Team lists'!$A$2:$L$800,5,FALSE)</f>
        <v>#N/A</v>
      </c>
      <c r="F170" s="43" t="e">
        <f>VLOOKUP($A170,'[2]Team lists'!$A$2:$L$800,6,FALSE)</f>
        <v>#N/A</v>
      </c>
      <c r="G170" s="43" t="e">
        <f>VLOOKUP($A170,'[2]Team lists'!$A$2:$L$800,7,FALSE)</f>
        <v>#N/A</v>
      </c>
      <c r="H170" s="43" t="e">
        <f>VLOOKUP($A170,'[2]Team lists'!$A$2:$L$800,8,FALSE)</f>
        <v>#N/A</v>
      </c>
      <c r="I170" s="43" t="e">
        <f>VLOOKUP($A170,'[2]Team lists'!$A$2:$L$800,9,FALSE)</f>
        <v>#N/A</v>
      </c>
      <c r="J170" s="43" t="e">
        <f>VLOOKUP($A170,'[2]Team lists'!$A$2:$L$800,10,FALSE)</f>
        <v>#N/A</v>
      </c>
      <c r="K170" s="43" t="e">
        <f>VLOOKUP($A170,'[2]Team lists'!$A$2:$L$800,11,FALSE)</f>
        <v>#N/A</v>
      </c>
      <c r="L170" s="44" t="e">
        <f>VLOOKUP($A170,'[2]Team lists'!$A$2:$L$800,12,FALSE)</f>
        <v>#N/A</v>
      </c>
    </row>
    <row r="171" spans="2:13">
      <c r="B171" s="56" t="e">
        <f>VLOOKUP($A171,'[2]Team lists'!$A$2:$L$800,2,FALSE)</f>
        <v>#N/A</v>
      </c>
      <c r="C171" s="43" t="e">
        <f>VLOOKUP($A171,'[2]Team lists'!$A$2:$L$800,3,FALSE)</f>
        <v>#N/A</v>
      </c>
      <c r="D171" s="43" t="e">
        <f>VLOOKUP($A171,'[2]Team lists'!$A$2:$L$800,4,FALSE)</f>
        <v>#N/A</v>
      </c>
      <c r="E171" s="43" t="e">
        <f>VLOOKUP($A171,'[2]Team lists'!$A$2:$L$800,5,FALSE)</f>
        <v>#N/A</v>
      </c>
      <c r="F171" s="43" t="e">
        <f>VLOOKUP($A171,'[2]Team lists'!$A$2:$L$800,6,FALSE)</f>
        <v>#N/A</v>
      </c>
      <c r="G171" s="43" t="e">
        <f>VLOOKUP($A171,'[2]Team lists'!$A$2:$L$800,7,FALSE)</f>
        <v>#N/A</v>
      </c>
      <c r="H171" s="43" t="e">
        <f>VLOOKUP($A171,'[2]Team lists'!$A$2:$L$800,8,FALSE)</f>
        <v>#N/A</v>
      </c>
      <c r="I171" s="43" t="e">
        <f>VLOOKUP($A171,'[2]Team lists'!$A$2:$L$800,9,FALSE)</f>
        <v>#N/A</v>
      </c>
      <c r="J171" s="43" t="e">
        <f>VLOOKUP($A171,'[2]Team lists'!$A$2:$L$800,10,FALSE)</f>
        <v>#N/A</v>
      </c>
      <c r="K171" s="43" t="e">
        <f>VLOOKUP($A171,'[2]Team lists'!$A$2:$L$800,11,FALSE)</f>
        <v>#N/A</v>
      </c>
      <c r="L171" s="44" t="e">
        <f>VLOOKUP($A171,'[2]Team lists'!$A$2:$L$800,12,FALSE)</f>
        <v>#N/A</v>
      </c>
    </row>
    <row r="172" spans="2:13">
      <c r="B172" s="56" t="e">
        <f>VLOOKUP($A172,'[2]Team lists'!$A$2:$L$800,2,FALSE)</f>
        <v>#N/A</v>
      </c>
      <c r="C172" s="43" t="e">
        <f>VLOOKUP($A172,'[2]Team lists'!$A$2:$L$800,3,FALSE)</f>
        <v>#N/A</v>
      </c>
      <c r="D172" s="43" t="e">
        <f>VLOOKUP($A172,'[2]Team lists'!$A$2:$L$800,4,FALSE)</f>
        <v>#N/A</v>
      </c>
      <c r="E172" s="43" t="e">
        <f>VLOOKUP($A172,'[2]Team lists'!$A$2:$L$800,5,FALSE)</f>
        <v>#N/A</v>
      </c>
      <c r="F172" s="43" t="e">
        <f>VLOOKUP($A172,'[2]Team lists'!$A$2:$L$800,6,FALSE)</f>
        <v>#N/A</v>
      </c>
      <c r="G172" s="43" t="e">
        <f>VLOOKUP($A172,'[2]Team lists'!$A$2:$L$800,7,FALSE)</f>
        <v>#N/A</v>
      </c>
      <c r="H172" s="43" t="e">
        <f>VLOOKUP($A172,'[2]Team lists'!$A$2:$L$800,8,FALSE)</f>
        <v>#N/A</v>
      </c>
      <c r="I172" s="43" t="e">
        <f>VLOOKUP($A172,'[2]Team lists'!$A$2:$L$800,9,FALSE)</f>
        <v>#N/A</v>
      </c>
      <c r="J172" s="43" t="e">
        <f>VLOOKUP($A172,'[2]Team lists'!$A$2:$L$800,10,FALSE)</f>
        <v>#N/A</v>
      </c>
      <c r="K172" s="43" t="e">
        <f>VLOOKUP($A172,'[2]Team lists'!$A$2:$L$800,11,FALSE)</f>
        <v>#N/A</v>
      </c>
      <c r="L172" s="44" t="e">
        <f>VLOOKUP($A172,'[2]Team lists'!$A$2:$L$800,12,FALSE)</f>
        <v>#N/A</v>
      </c>
    </row>
    <row r="173" spans="2:13">
      <c r="B173" s="56" t="e">
        <f>VLOOKUP($A173,'[2]Team lists'!$A$2:$L$800,2,FALSE)</f>
        <v>#N/A</v>
      </c>
      <c r="C173" s="43" t="e">
        <f>VLOOKUP($A173,'[2]Team lists'!$A$2:$L$800,3,FALSE)</f>
        <v>#N/A</v>
      </c>
      <c r="D173" s="43" t="e">
        <f>VLOOKUP($A173,'[2]Team lists'!$A$2:$L$800,4,FALSE)</f>
        <v>#N/A</v>
      </c>
      <c r="E173" s="43" t="e">
        <f>VLOOKUP($A173,'[2]Team lists'!$A$2:$L$800,5,FALSE)</f>
        <v>#N/A</v>
      </c>
      <c r="F173" s="43" t="e">
        <f>VLOOKUP($A173,'[2]Team lists'!$A$2:$L$800,6,FALSE)</f>
        <v>#N/A</v>
      </c>
      <c r="G173" s="43" t="e">
        <f>VLOOKUP($A173,'[2]Team lists'!$A$2:$L$800,7,FALSE)</f>
        <v>#N/A</v>
      </c>
      <c r="H173" s="43" t="e">
        <f>VLOOKUP($A173,'[2]Team lists'!$A$2:$L$800,8,FALSE)</f>
        <v>#N/A</v>
      </c>
      <c r="I173" s="43" t="e">
        <f>VLOOKUP($A173,'[2]Team lists'!$A$2:$L$800,9,FALSE)</f>
        <v>#N/A</v>
      </c>
      <c r="J173" s="43" t="e">
        <f>VLOOKUP($A173,'[2]Team lists'!$A$2:$L$800,10,FALSE)</f>
        <v>#N/A</v>
      </c>
      <c r="K173" s="43" t="e">
        <f>VLOOKUP($A173,'[2]Team lists'!$A$2:$L$800,11,FALSE)</f>
        <v>#N/A</v>
      </c>
      <c r="L173" s="44" t="e">
        <f>VLOOKUP($A173,'[2]Team lists'!$A$2:$L$800,12,FALSE)</f>
        <v>#N/A</v>
      </c>
    </row>
    <row r="174" spans="2:13">
      <c r="B174" s="56" t="e">
        <f>VLOOKUP($A174,'[2]Team lists'!$A$2:$L$800,2,FALSE)</f>
        <v>#N/A</v>
      </c>
      <c r="C174" s="43" t="e">
        <f>VLOOKUP($A174,'[2]Team lists'!$A$2:$L$800,3,FALSE)</f>
        <v>#N/A</v>
      </c>
      <c r="D174" s="43" t="e">
        <f>VLOOKUP($A174,'[2]Team lists'!$A$2:$L$800,4,FALSE)</f>
        <v>#N/A</v>
      </c>
      <c r="E174" s="43" t="e">
        <f>VLOOKUP($A174,'[2]Team lists'!$A$2:$L$800,5,FALSE)</f>
        <v>#N/A</v>
      </c>
      <c r="F174" s="43" t="e">
        <f>VLOOKUP($A174,'[2]Team lists'!$A$2:$L$800,6,FALSE)</f>
        <v>#N/A</v>
      </c>
      <c r="G174" s="43" t="e">
        <f>VLOOKUP($A174,'[2]Team lists'!$A$2:$L$800,7,FALSE)</f>
        <v>#N/A</v>
      </c>
      <c r="H174" s="43" t="e">
        <f>VLOOKUP($A174,'[2]Team lists'!$A$2:$L$800,8,FALSE)</f>
        <v>#N/A</v>
      </c>
      <c r="I174" s="43" t="e">
        <f>VLOOKUP($A174,'[2]Team lists'!$A$2:$L$800,9,FALSE)</f>
        <v>#N/A</v>
      </c>
      <c r="J174" s="43" t="e">
        <f>VLOOKUP($A174,'[2]Team lists'!$A$2:$L$800,10,FALSE)</f>
        <v>#N/A</v>
      </c>
      <c r="K174" s="43" t="e">
        <f>VLOOKUP($A174,'[2]Team lists'!$A$2:$L$800,11,FALSE)</f>
        <v>#N/A</v>
      </c>
      <c r="L174" s="44" t="e">
        <f>VLOOKUP($A174,'[2]Team lists'!$A$2:$L$800,12,FALSE)</f>
        <v>#N/A</v>
      </c>
    </row>
    <row r="175" spans="2:13" ht="18" thickBot="1">
      <c r="B175" s="45" t="s">
        <v>3210</v>
      </c>
      <c r="C175" s="46"/>
      <c r="D175" s="47"/>
      <c r="E175" s="48" t="e">
        <f t="shared" ref="E175:L175" si="10">SUM(E164:E174)</f>
        <v>#N/A</v>
      </c>
      <c r="F175" s="49" t="e">
        <f t="shared" si="10"/>
        <v>#N/A</v>
      </c>
      <c r="G175" s="49" t="e">
        <f t="shared" si="10"/>
        <v>#N/A</v>
      </c>
      <c r="H175" s="49" t="e">
        <f t="shared" si="10"/>
        <v>#N/A</v>
      </c>
      <c r="I175" s="49" t="e">
        <f t="shared" si="10"/>
        <v>#N/A</v>
      </c>
      <c r="J175" s="49" t="e">
        <f t="shared" si="10"/>
        <v>#N/A</v>
      </c>
      <c r="K175" s="49" t="e">
        <f t="shared" si="10"/>
        <v>#N/A</v>
      </c>
      <c r="L175" s="50" t="e">
        <f t="shared" si="10"/>
        <v>#N/A</v>
      </c>
    </row>
    <row r="176" spans="2:13" ht="18.600000000000001" thickTop="1" thickBot="1"/>
    <row r="177" spans="2:13" ht="18" thickTop="1">
      <c r="B177" s="23" t="s">
        <v>3204</v>
      </c>
      <c r="C177" s="24" t="s">
        <v>3205</v>
      </c>
      <c r="D177" s="25"/>
      <c r="E177" s="25"/>
      <c r="F177" s="53"/>
      <c r="G177" s="28" t="s">
        <v>3206</v>
      </c>
      <c r="H177" s="54"/>
      <c r="I177" s="54"/>
      <c r="J177" s="54"/>
      <c r="K177" s="28" t="s">
        <v>3207</v>
      </c>
      <c r="L177" s="29"/>
      <c r="M177" s="22" t="str">
        <f>G177</f>
        <v>Manager:</v>
      </c>
    </row>
    <row r="178" spans="2:13" ht="18" thickBot="1">
      <c r="B178" s="30">
        <v>12</v>
      </c>
      <c r="C178" s="57"/>
      <c r="D178" s="31"/>
      <c r="E178" s="31"/>
      <c r="F178" s="33"/>
      <c r="G178" s="55"/>
      <c r="H178" s="55"/>
      <c r="I178" s="55"/>
      <c r="J178" s="55"/>
      <c r="K178" s="34" t="e">
        <f>SUM(F191:L191)</f>
        <v>#N/A</v>
      </c>
      <c r="L178" s="35"/>
      <c r="M178" s="22">
        <f>G178</f>
        <v>0</v>
      </c>
    </row>
    <row r="179" spans="2:13" ht="18.600000000000001" thickTop="1">
      <c r="B179" s="36" t="s">
        <v>913</v>
      </c>
      <c r="C179" s="37" t="s">
        <v>912</v>
      </c>
      <c r="D179" s="38" t="s">
        <v>911</v>
      </c>
      <c r="E179" s="39" t="s">
        <v>3209</v>
      </c>
      <c r="F179" s="40" t="s">
        <v>3162</v>
      </c>
      <c r="G179" s="40" t="s">
        <v>3163</v>
      </c>
      <c r="H179" s="40" t="s">
        <v>3164</v>
      </c>
      <c r="I179" s="40" t="s">
        <v>3165</v>
      </c>
      <c r="J179" s="40" t="s">
        <v>3166</v>
      </c>
      <c r="K179" s="40" t="s">
        <v>3167</v>
      </c>
      <c r="L179" s="41" t="s">
        <v>3168</v>
      </c>
    </row>
    <row r="180" spans="2:13">
      <c r="B180" s="56" t="e">
        <f>VLOOKUP($A180,'[2]Team lists'!$A$2:$L$800,2,FALSE)</f>
        <v>#N/A</v>
      </c>
      <c r="C180" s="43" t="e">
        <f>VLOOKUP($A180,'[2]Team lists'!$A$2:$L$800,3,FALSE)</f>
        <v>#N/A</v>
      </c>
      <c r="D180" s="43" t="e">
        <f>VLOOKUP($A180,'[2]Team lists'!$A$2:$L$800,4,FALSE)</f>
        <v>#N/A</v>
      </c>
      <c r="E180" s="43" t="e">
        <f>VLOOKUP($A180,'[2]Team lists'!$A$2:$L$800,5,FALSE)</f>
        <v>#N/A</v>
      </c>
      <c r="F180" s="43" t="e">
        <f>VLOOKUP($A180,'[2]Team lists'!$A$2:$L$800,6,FALSE)</f>
        <v>#N/A</v>
      </c>
      <c r="G180" s="43" t="e">
        <f>VLOOKUP($A180,'[2]Team lists'!$A$2:$L$800,7,FALSE)</f>
        <v>#N/A</v>
      </c>
      <c r="H180" s="43" t="e">
        <f>VLOOKUP($A180,'[2]Team lists'!$A$2:$L$800,8,FALSE)</f>
        <v>#N/A</v>
      </c>
      <c r="I180" s="43" t="e">
        <f>VLOOKUP($A180,'[2]Team lists'!$A$2:$L$800,9,FALSE)</f>
        <v>#N/A</v>
      </c>
      <c r="J180" s="43" t="e">
        <f>VLOOKUP($A180,'[2]Team lists'!$A$2:$L$800,10,FALSE)</f>
        <v>#N/A</v>
      </c>
      <c r="K180" s="43" t="e">
        <f>VLOOKUP($A180,'[2]Team lists'!$A$2:$L$800,11,FALSE)</f>
        <v>#N/A</v>
      </c>
      <c r="L180" s="44" t="e">
        <f>VLOOKUP($A180,'[2]Team lists'!$A$2:$L$800,12,FALSE)</f>
        <v>#N/A</v>
      </c>
    </row>
    <row r="181" spans="2:13">
      <c r="B181" s="56" t="e">
        <f>VLOOKUP($A181,'[2]Team lists'!$A$2:$L$800,2,FALSE)</f>
        <v>#N/A</v>
      </c>
      <c r="C181" s="43" t="e">
        <f>VLOOKUP($A181,'[2]Team lists'!$A$2:$L$800,3,FALSE)</f>
        <v>#N/A</v>
      </c>
      <c r="D181" s="43" t="e">
        <f>VLOOKUP($A181,'[2]Team lists'!$A$2:$L$800,4,FALSE)</f>
        <v>#N/A</v>
      </c>
      <c r="E181" s="43" t="e">
        <f>VLOOKUP($A181,'[2]Team lists'!$A$2:$L$800,5,FALSE)</f>
        <v>#N/A</v>
      </c>
      <c r="F181" s="43" t="e">
        <f>VLOOKUP($A181,'[2]Team lists'!$A$2:$L$800,6,FALSE)</f>
        <v>#N/A</v>
      </c>
      <c r="G181" s="43" t="e">
        <f>VLOOKUP($A181,'[2]Team lists'!$A$2:$L$800,7,FALSE)</f>
        <v>#N/A</v>
      </c>
      <c r="H181" s="43" t="e">
        <f>VLOOKUP($A181,'[2]Team lists'!$A$2:$L$800,8,FALSE)</f>
        <v>#N/A</v>
      </c>
      <c r="I181" s="43" t="e">
        <f>VLOOKUP($A181,'[2]Team lists'!$A$2:$L$800,9,FALSE)</f>
        <v>#N/A</v>
      </c>
      <c r="J181" s="43" t="e">
        <f>VLOOKUP($A181,'[2]Team lists'!$A$2:$L$800,10,FALSE)</f>
        <v>#N/A</v>
      </c>
      <c r="K181" s="43" t="e">
        <f>VLOOKUP($A181,'[2]Team lists'!$A$2:$L$800,11,FALSE)</f>
        <v>#N/A</v>
      </c>
      <c r="L181" s="44" t="e">
        <f>VLOOKUP($A181,'[2]Team lists'!$A$2:$L$800,12,FALSE)</f>
        <v>#N/A</v>
      </c>
    </row>
    <row r="182" spans="2:13">
      <c r="B182" s="56" t="e">
        <f>VLOOKUP($A182,'[2]Team lists'!$A$2:$L$800,2,FALSE)</f>
        <v>#N/A</v>
      </c>
      <c r="C182" s="43" t="e">
        <f>VLOOKUP($A182,'[2]Team lists'!$A$2:$L$800,3,FALSE)</f>
        <v>#N/A</v>
      </c>
      <c r="D182" s="43" t="e">
        <f>VLOOKUP($A182,'[2]Team lists'!$A$2:$L$800,4,FALSE)</f>
        <v>#N/A</v>
      </c>
      <c r="E182" s="43" t="e">
        <f>VLOOKUP($A182,'[2]Team lists'!$A$2:$L$800,5,FALSE)</f>
        <v>#N/A</v>
      </c>
      <c r="F182" s="43" t="e">
        <f>VLOOKUP($A182,'[2]Team lists'!$A$2:$L$800,6,FALSE)</f>
        <v>#N/A</v>
      </c>
      <c r="G182" s="43" t="e">
        <f>VLOOKUP($A182,'[2]Team lists'!$A$2:$L$800,7,FALSE)</f>
        <v>#N/A</v>
      </c>
      <c r="H182" s="43" t="e">
        <f>VLOOKUP($A182,'[2]Team lists'!$A$2:$L$800,8,FALSE)</f>
        <v>#N/A</v>
      </c>
      <c r="I182" s="43" t="e">
        <f>VLOOKUP($A182,'[2]Team lists'!$A$2:$L$800,9,FALSE)</f>
        <v>#N/A</v>
      </c>
      <c r="J182" s="43" t="e">
        <f>VLOOKUP($A182,'[2]Team lists'!$A$2:$L$800,10,FALSE)</f>
        <v>#N/A</v>
      </c>
      <c r="K182" s="43" t="e">
        <f>VLOOKUP($A182,'[2]Team lists'!$A$2:$L$800,11,FALSE)</f>
        <v>#N/A</v>
      </c>
      <c r="L182" s="44" t="e">
        <f>VLOOKUP($A182,'[2]Team lists'!$A$2:$L$800,12,FALSE)</f>
        <v>#N/A</v>
      </c>
    </row>
    <row r="183" spans="2:13">
      <c r="B183" s="56" t="e">
        <f>VLOOKUP($A183,'[2]Team lists'!$A$2:$L$800,2,FALSE)</f>
        <v>#N/A</v>
      </c>
      <c r="C183" s="43" t="e">
        <f>VLOOKUP($A183,'[2]Team lists'!$A$2:$L$800,3,FALSE)</f>
        <v>#N/A</v>
      </c>
      <c r="D183" s="43" t="e">
        <f>VLOOKUP($A183,'[2]Team lists'!$A$2:$L$800,4,FALSE)</f>
        <v>#N/A</v>
      </c>
      <c r="E183" s="43" t="e">
        <f>VLOOKUP($A183,'[2]Team lists'!$A$2:$L$800,5,FALSE)</f>
        <v>#N/A</v>
      </c>
      <c r="F183" s="43" t="e">
        <f>VLOOKUP($A183,'[2]Team lists'!$A$2:$L$800,6,FALSE)</f>
        <v>#N/A</v>
      </c>
      <c r="G183" s="43" t="e">
        <f>VLOOKUP($A183,'[2]Team lists'!$A$2:$L$800,7,FALSE)</f>
        <v>#N/A</v>
      </c>
      <c r="H183" s="43" t="e">
        <f>VLOOKUP($A183,'[2]Team lists'!$A$2:$L$800,8,FALSE)</f>
        <v>#N/A</v>
      </c>
      <c r="I183" s="43" t="e">
        <f>VLOOKUP($A183,'[2]Team lists'!$A$2:$L$800,9,FALSE)</f>
        <v>#N/A</v>
      </c>
      <c r="J183" s="43" t="e">
        <f>VLOOKUP($A183,'[2]Team lists'!$A$2:$L$800,10,FALSE)</f>
        <v>#N/A</v>
      </c>
      <c r="K183" s="43" t="e">
        <f>VLOOKUP($A183,'[2]Team lists'!$A$2:$L$800,11,FALSE)</f>
        <v>#N/A</v>
      </c>
      <c r="L183" s="44" t="e">
        <f>VLOOKUP($A183,'[2]Team lists'!$A$2:$L$800,12,FALSE)</f>
        <v>#N/A</v>
      </c>
    </row>
    <row r="184" spans="2:13">
      <c r="B184" s="56" t="e">
        <f>VLOOKUP($A184,'[2]Team lists'!$A$2:$L$800,2,FALSE)</f>
        <v>#N/A</v>
      </c>
      <c r="C184" s="43" t="e">
        <f>VLOOKUP($A184,'[2]Team lists'!$A$2:$L$800,3,FALSE)</f>
        <v>#N/A</v>
      </c>
      <c r="D184" s="43" t="e">
        <f>VLOOKUP($A184,'[2]Team lists'!$A$2:$L$800,4,FALSE)</f>
        <v>#N/A</v>
      </c>
      <c r="E184" s="43" t="e">
        <f>VLOOKUP($A184,'[2]Team lists'!$A$2:$L$800,5,FALSE)</f>
        <v>#N/A</v>
      </c>
      <c r="F184" s="43" t="e">
        <f>VLOOKUP($A184,'[2]Team lists'!$A$2:$L$800,6,FALSE)</f>
        <v>#N/A</v>
      </c>
      <c r="G184" s="43" t="e">
        <f>VLOOKUP($A184,'[2]Team lists'!$A$2:$L$800,7,FALSE)</f>
        <v>#N/A</v>
      </c>
      <c r="H184" s="43" t="e">
        <f>VLOOKUP($A184,'[2]Team lists'!$A$2:$L$800,8,FALSE)</f>
        <v>#N/A</v>
      </c>
      <c r="I184" s="43" t="e">
        <f>VLOOKUP($A184,'[2]Team lists'!$A$2:$L$800,9,FALSE)</f>
        <v>#N/A</v>
      </c>
      <c r="J184" s="43" t="e">
        <f>VLOOKUP($A184,'[2]Team lists'!$A$2:$L$800,10,FALSE)</f>
        <v>#N/A</v>
      </c>
      <c r="K184" s="43" t="e">
        <f>VLOOKUP($A184,'[2]Team lists'!$A$2:$L$800,11,FALSE)</f>
        <v>#N/A</v>
      </c>
      <c r="L184" s="44" t="e">
        <f>VLOOKUP($A184,'[2]Team lists'!$A$2:$L$800,12,FALSE)</f>
        <v>#N/A</v>
      </c>
    </row>
    <row r="185" spans="2:13">
      <c r="B185" s="56" t="e">
        <f>VLOOKUP($A185,'[2]Team lists'!$A$2:$L$800,2,FALSE)</f>
        <v>#N/A</v>
      </c>
      <c r="C185" s="43" t="e">
        <f>VLOOKUP($A185,'[2]Team lists'!$A$2:$L$800,3,FALSE)</f>
        <v>#N/A</v>
      </c>
      <c r="D185" s="43" t="e">
        <f>VLOOKUP($A185,'[2]Team lists'!$A$2:$L$800,4,FALSE)</f>
        <v>#N/A</v>
      </c>
      <c r="E185" s="43" t="e">
        <f>VLOOKUP($A185,'[2]Team lists'!$A$2:$L$800,5,FALSE)</f>
        <v>#N/A</v>
      </c>
      <c r="F185" s="43" t="e">
        <f>VLOOKUP($A185,'[2]Team lists'!$A$2:$L$800,6,FALSE)</f>
        <v>#N/A</v>
      </c>
      <c r="G185" s="43" t="e">
        <f>VLOOKUP($A185,'[2]Team lists'!$A$2:$L$800,7,FALSE)</f>
        <v>#N/A</v>
      </c>
      <c r="H185" s="43" t="e">
        <f>VLOOKUP($A185,'[2]Team lists'!$A$2:$L$800,8,FALSE)</f>
        <v>#N/A</v>
      </c>
      <c r="I185" s="43" t="e">
        <f>VLOOKUP($A185,'[2]Team lists'!$A$2:$L$800,9,FALSE)</f>
        <v>#N/A</v>
      </c>
      <c r="J185" s="43" t="e">
        <f>VLOOKUP($A185,'[2]Team lists'!$A$2:$L$800,10,FALSE)</f>
        <v>#N/A</v>
      </c>
      <c r="K185" s="43" t="e">
        <f>VLOOKUP($A185,'[2]Team lists'!$A$2:$L$800,11,FALSE)</f>
        <v>#N/A</v>
      </c>
      <c r="L185" s="44" t="e">
        <f>VLOOKUP($A185,'[2]Team lists'!$A$2:$L$800,12,FALSE)</f>
        <v>#N/A</v>
      </c>
    </row>
    <row r="186" spans="2:13">
      <c r="B186" s="56" t="e">
        <f>VLOOKUP($A186,'[2]Team lists'!$A$2:$L$800,2,FALSE)</f>
        <v>#N/A</v>
      </c>
      <c r="C186" s="43" t="e">
        <f>VLOOKUP($A186,'[2]Team lists'!$A$2:$L$800,3,FALSE)</f>
        <v>#N/A</v>
      </c>
      <c r="D186" s="43" t="e">
        <f>VLOOKUP($A186,'[2]Team lists'!$A$2:$L$800,4,FALSE)</f>
        <v>#N/A</v>
      </c>
      <c r="E186" s="43" t="e">
        <f>VLOOKUP($A186,'[2]Team lists'!$A$2:$L$800,5,FALSE)</f>
        <v>#N/A</v>
      </c>
      <c r="F186" s="43" t="e">
        <f>VLOOKUP($A186,'[2]Team lists'!$A$2:$L$800,6,FALSE)</f>
        <v>#N/A</v>
      </c>
      <c r="G186" s="43" t="e">
        <f>VLOOKUP($A186,'[2]Team lists'!$A$2:$L$800,7,FALSE)</f>
        <v>#N/A</v>
      </c>
      <c r="H186" s="43" t="e">
        <f>VLOOKUP($A186,'[2]Team lists'!$A$2:$L$800,8,FALSE)</f>
        <v>#N/A</v>
      </c>
      <c r="I186" s="43" t="e">
        <f>VLOOKUP($A186,'[2]Team lists'!$A$2:$L$800,9,FALSE)</f>
        <v>#N/A</v>
      </c>
      <c r="J186" s="43" t="e">
        <f>VLOOKUP($A186,'[2]Team lists'!$A$2:$L$800,10,FALSE)</f>
        <v>#N/A</v>
      </c>
      <c r="K186" s="43" t="e">
        <f>VLOOKUP($A186,'[2]Team lists'!$A$2:$L$800,11,FALSE)</f>
        <v>#N/A</v>
      </c>
      <c r="L186" s="44" t="e">
        <f>VLOOKUP($A186,'[2]Team lists'!$A$2:$L$800,12,FALSE)</f>
        <v>#N/A</v>
      </c>
    </row>
    <row r="187" spans="2:13">
      <c r="B187" s="56" t="e">
        <f>VLOOKUP($A187,'[2]Team lists'!$A$2:$L$800,2,FALSE)</f>
        <v>#N/A</v>
      </c>
      <c r="C187" s="43" t="e">
        <f>VLOOKUP($A187,'[2]Team lists'!$A$2:$L$800,3,FALSE)</f>
        <v>#N/A</v>
      </c>
      <c r="D187" s="43" t="e">
        <f>VLOOKUP($A187,'[2]Team lists'!$A$2:$L$800,4,FALSE)</f>
        <v>#N/A</v>
      </c>
      <c r="E187" s="43" t="e">
        <f>VLOOKUP($A187,'[2]Team lists'!$A$2:$L$800,5,FALSE)</f>
        <v>#N/A</v>
      </c>
      <c r="F187" s="43" t="e">
        <f>VLOOKUP($A187,'[2]Team lists'!$A$2:$L$800,6,FALSE)</f>
        <v>#N/A</v>
      </c>
      <c r="G187" s="43" t="e">
        <f>VLOOKUP($A187,'[2]Team lists'!$A$2:$L$800,7,FALSE)</f>
        <v>#N/A</v>
      </c>
      <c r="H187" s="43" t="e">
        <f>VLOOKUP($A187,'[2]Team lists'!$A$2:$L$800,8,FALSE)</f>
        <v>#N/A</v>
      </c>
      <c r="I187" s="43" t="e">
        <f>VLOOKUP($A187,'[2]Team lists'!$A$2:$L$800,9,FALSE)</f>
        <v>#N/A</v>
      </c>
      <c r="J187" s="43" t="e">
        <f>VLOOKUP($A187,'[2]Team lists'!$A$2:$L$800,10,FALSE)</f>
        <v>#N/A</v>
      </c>
      <c r="K187" s="43" t="e">
        <f>VLOOKUP($A187,'[2]Team lists'!$A$2:$L$800,11,FALSE)</f>
        <v>#N/A</v>
      </c>
      <c r="L187" s="44" t="e">
        <f>VLOOKUP($A187,'[2]Team lists'!$A$2:$L$800,12,FALSE)</f>
        <v>#N/A</v>
      </c>
    </row>
    <row r="188" spans="2:13">
      <c r="B188" s="56" t="e">
        <f>VLOOKUP($A188,'[2]Team lists'!$A$2:$L$800,2,FALSE)</f>
        <v>#N/A</v>
      </c>
      <c r="C188" s="43" t="e">
        <f>VLOOKUP($A188,'[2]Team lists'!$A$2:$L$800,3,FALSE)</f>
        <v>#N/A</v>
      </c>
      <c r="D188" s="43" t="e">
        <f>VLOOKUP($A188,'[2]Team lists'!$A$2:$L$800,4,FALSE)</f>
        <v>#N/A</v>
      </c>
      <c r="E188" s="43" t="e">
        <f>VLOOKUP($A188,'[2]Team lists'!$A$2:$L$800,5,FALSE)</f>
        <v>#N/A</v>
      </c>
      <c r="F188" s="43" t="e">
        <f>VLOOKUP($A188,'[2]Team lists'!$A$2:$L$800,6,FALSE)</f>
        <v>#N/A</v>
      </c>
      <c r="G188" s="43" t="e">
        <f>VLOOKUP($A188,'[2]Team lists'!$A$2:$L$800,7,FALSE)</f>
        <v>#N/A</v>
      </c>
      <c r="H188" s="43" t="e">
        <f>VLOOKUP($A188,'[2]Team lists'!$A$2:$L$800,8,FALSE)</f>
        <v>#N/A</v>
      </c>
      <c r="I188" s="43" t="e">
        <f>VLOOKUP($A188,'[2]Team lists'!$A$2:$L$800,9,FALSE)</f>
        <v>#N/A</v>
      </c>
      <c r="J188" s="43" t="e">
        <f>VLOOKUP($A188,'[2]Team lists'!$A$2:$L$800,10,FALSE)</f>
        <v>#N/A</v>
      </c>
      <c r="K188" s="43" t="e">
        <f>VLOOKUP($A188,'[2]Team lists'!$A$2:$L$800,11,FALSE)</f>
        <v>#N/A</v>
      </c>
      <c r="L188" s="44" t="e">
        <f>VLOOKUP($A188,'[2]Team lists'!$A$2:$L$800,12,FALSE)</f>
        <v>#N/A</v>
      </c>
    </row>
    <row r="189" spans="2:13">
      <c r="B189" s="56" t="e">
        <f>VLOOKUP($A189,'[2]Team lists'!$A$2:$L$800,2,FALSE)</f>
        <v>#N/A</v>
      </c>
      <c r="C189" s="43" t="e">
        <f>VLOOKUP($A189,'[2]Team lists'!$A$2:$L$800,3,FALSE)</f>
        <v>#N/A</v>
      </c>
      <c r="D189" s="43" t="e">
        <f>VLOOKUP($A189,'[2]Team lists'!$A$2:$L$800,4,FALSE)</f>
        <v>#N/A</v>
      </c>
      <c r="E189" s="43" t="e">
        <f>VLOOKUP($A189,'[2]Team lists'!$A$2:$L$800,5,FALSE)</f>
        <v>#N/A</v>
      </c>
      <c r="F189" s="43" t="e">
        <f>VLOOKUP($A189,'[2]Team lists'!$A$2:$L$800,6,FALSE)</f>
        <v>#N/A</v>
      </c>
      <c r="G189" s="43" t="e">
        <f>VLOOKUP($A189,'[2]Team lists'!$A$2:$L$800,7,FALSE)</f>
        <v>#N/A</v>
      </c>
      <c r="H189" s="43" t="e">
        <f>VLOOKUP($A189,'[2]Team lists'!$A$2:$L$800,8,FALSE)</f>
        <v>#N/A</v>
      </c>
      <c r="I189" s="43" t="e">
        <f>VLOOKUP($A189,'[2]Team lists'!$A$2:$L$800,9,FALSE)</f>
        <v>#N/A</v>
      </c>
      <c r="J189" s="43" t="e">
        <f>VLOOKUP($A189,'[2]Team lists'!$A$2:$L$800,10,FALSE)</f>
        <v>#N/A</v>
      </c>
      <c r="K189" s="43" t="e">
        <f>VLOOKUP($A189,'[2]Team lists'!$A$2:$L$800,11,FALSE)</f>
        <v>#N/A</v>
      </c>
      <c r="L189" s="44" t="e">
        <f>VLOOKUP($A189,'[2]Team lists'!$A$2:$L$800,12,FALSE)</f>
        <v>#N/A</v>
      </c>
    </row>
    <row r="190" spans="2:13">
      <c r="B190" s="56" t="e">
        <f>VLOOKUP($A190,'[2]Team lists'!$A$2:$L$800,2,FALSE)</f>
        <v>#N/A</v>
      </c>
      <c r="C190" s="43" t="e">
        <f>VLOOKUP($A190,'[2]Team lists'!$A$2:$L$800,3,FALSE)</f>
        <v>#N/A</v>
      </c>
      <c r="D190" s="43" t="e">
        <f>VLOOKUP($A190,'[2]Team lists'!$A$2:$L$800,4,FALSE)</f>
        <v>#N/A</v>
      </c>
      <c r="E190" s="43" t="e">
        <f>VLOOKUP($A190,'[2]Team lists'!$A$2:$L$800,5,FALSE)</f>
        <v>#N/A</v>
      </c>
      <c r="F190" s="43" t="e">
        <f>VLOOKUP($A190,'[2]Team lists'!$A$2:$L$800,6,FALSE)</f>
        <v>#N/A</v>
      </c>
      <c r="G190" s="43" t="e">
        <f>VLOOKUP($A190,'[2]Team lists'!$A$2:$L$800,7,FALSE)</f>
        <v>#N/A</v>
      </c>
      <c r="H190" s="43" t="e">
        <f>VLOOKUP($A190,'[2]Team lists'!$A$2:$L$800,8,FALSE)</f>
        <v>#N/A</v>
      </c>
      <c r="I190" s="43" t="e">
        <f>VLOOKUP($A190,'[2]Team lists'!$A$2:$L$800,9,FALSE)</f>
        <v>#N/A</v>
      </c>
      <c r="J190" s="43" t="e">
        <f>VLOOKUP($A190,'[2]Team lists'!$A$2:$L$800,10,FALSE)</f>
        <v>#N/A</v>
      </c>
      <c r="K190" s="43" t="e">
        <f>VLOOKUP($A190,'[2]Team lists'!$A$2:$L$800,11,FALSE)</f>
        <v>#N/A</v>
      </c>
      <c r="L190" s="44" t="e">
        <f>VLOOKUP($A190,'[2]Team lists'!$A$2:$L$800,12,FALSE)</f>
        <v>#N/A</v>
      </c>
    </row>
    <row r="191" spans="2:13" ht="18" thickBot="1">
      <c r="B191" s="45" t="s">
        <v>3210</v>
      </c>
      <c r="C191" s="46"/>
      <c r="D191" s="47"/>
      <c r="E191" s="48" t="e">
        <f t="shared" ref="E191:L191" si="11">SUM(E180:E190)</f>
        <v>#N/A</v>
      </c>
      <c r="F191" s="49" t="e">
        <f t="shared" si="11"/>
        <v>#N/A</v>
      </c>
      <c r="G191" s="49" t="e">
        <f t="shared" si="11"/>
        <v>#N/A</v>
      </c>
      <c r="H191" s="49" t="e">
        <f t="shared" si="11"/>
        <v>#N/A</v>
      </c>
      <c r="I191" s="49" t="e">
        <f t="shared" si="11"/>
        <v>#N/A</v>
      </c>
      <c r="J191" s="49" t="e">
        <f t="shared" si="11"/>
        <v>#N/A</v>
      </c>
      <c r="K191" s="49" t="e">
        <f t="shared" si="11"/>
        <v>#N/A</v>
      </c>
      <c r="L191" s="50" t="e">
        <f t="shared" si="11"/>
        <v>#N/A</v>
      </c>
    </row>
    <row r="192" spans="2:13" ht="18.600000000000001" thickTop="1" thickBot="1"/>
    <row r="193" spans="2:13" ht="18" thickTop="1">
      <c r="B193" s="23" t="s">
        <v>3204</v>
      </c>
      <c r="C193" s="24" t="s">
        <v>3205</v>
      </c>
      <c r="D193" s="25"/>
      <c r="E193" s="25"/>
      <c r="F193" s="53"/>
      <c r="G193" s="28" t="s">
        <v>3206</v>
      </c>
      <c r="H193" s="54"/>
      <c r="I193" s="54"/>
      <c r="J193" s="54"/>
      <c r="K193" s="28" t="s">
        <v>3207</v>
      </c>
      <c r="L193" s="29"/>
      <c r="M193" s="22" t="str">
        <f>G193</f>
        <v>Manager:</v>
      </c>
    </row>
    <row r="194" spans="2:13" ht="18" thickBot="1">
      <c r="B194" s="30">
        <v>13</v>
      </c>
      <c r="C194" s="57"/>
      <c r="D194" s="31"/>
      <c r="E194" s="31"/>
      <c r="F194" s="33"/>
      <c r="G194" s="55"/>
      <c r="H194" s="55"/>
      <c r="I194" s="55"/>
      <c r="J194" s="55"/>
      <c r="K194" s="34" t="e">
        <f>SUM(F207:L207)</f>
        <v>#N/A</v>
      </c>
      <c r="L194" s="35"/>
      <c r="M194" s="22">
        <f>G194</f>
        <v>0</v>
      </c>
    </row>
    <row r="195" spans="2:13" ht="18.600000000000001" thickTop="1">
      <c r="B195" s="58" t="s">
        <v>913</v>
      </c>
      <c r="C195" s="59" t="s">
        <v>912</v>
      </c>
      <c r="D195" s="60" t="s">
        <v>911</v>
      </c>
      <c r="E195" s="61" t="s">
        <v>3209</v>
      </c>
      <c r="F195" s="62" t="s">
        <v>3162</v>
      </c>
      <c r="G195" s="62" t="s">
        <v>3163</v>
      </c>
      <c r="H195" s="62" t="s">
        <v>3164</v>
      </c>
      <c r="I195" s="62" t="s">
        <v>3165</v>
      </c>
      <c r="J195" s="62" t="s">
        <v>3166</v>
      </c>
      <c r="K195" s="62" t="s">
        <v>3167</v>
      </c>
      <c r="L195" s="63" t="s">
        <v>3168</v>
      </c>
    </row>
    <row r="196" spans="2:13">
      <c r="B196" s="43" t="e">
        <f>VLOOKUP($A196,'[2]Team lists'!$A$2:$L$800,2,FALSE)</f>
        <v>#N/A</v>
      </c>
      <c r="C196" s="43" t="e">
        <f>VLOOKUP($A196,'[2]Team lists'!$A$2:$L$800,3,FALSE)</f>
        <v>#N/A</v>
      </c>
      <c r="D196" s="43" t="e">
        <f>VLOOKUP($A196,'[2]Team lists'!$A$2:$L$800,4,FALSE)</f>
        <v>#N/A</v>
      </c>
      <c r="E196" s="43" t="e">
        <f>VLOOKUP($A196,'[2]Team lists'!$A$2:$L$800,5,FALSE)</f>
        <v>#N/A</v>
      </c>
      <c r="F196" s="43" t="e">
        <f>VLOOKUP($A196,'[2]Team lists'!$A$2:$L$800,6,FALSE)</f>
        <v>#N/A</v>
      </c>
      <c r="G196" s="43" t="e">
        <f>VLOOKUP($A196,'[2]Team lists'!$A$2:$L$800,7,FALSE)</f>
        <v>#N/A</v>
      </c>
      <c r="H196" s="43" t="e">
        <f>VLOOKUP($A196,'[2]Team lists'!$A$2:$L$800,8,FALSE)</f>
        <v>#N/A</v>
      </c>
      <c r="I196" s="43" t="e">
        <f>VLOOKUP($A196,'[2]Team lists'!$A$2:$L$800,9,FALSE)</f>
        <v>#N/A</v>
      </c>
      <c r="J196" s="43" t="e">
        <f>VLOOKUP($A196,'[2]Team lists'!$A$2:$L$800,9,FALSE)</f>
        <v>#N/A</v>
      </c>
      <c r="K196" s="43" t="e">
        <f>VLOOKUP($A196,'[2]Team lists'!$A$2:$L$800,10,FALSE)</f>
        <v>#N/A</v>
      </c>
      <c r="L196" s="43" t="e">
        <f>VLOOKUP($A196,'[2]Team lists'!$A$2:$L$800,11,FALSE)</f>
        <v>#N/A</v>
      </c>
    </row>
    <row r="197" spans="2:13">
      <c r="B197" s="43" t="e">
        <f>VLOOKUP($A197,'[2]Team lists'!$A$2:$L$800,2,FALSE)</f>
        <v>#N/A</v>
      </c>
      <c r="C197" s="43" t="e">
        <f>VLOOKUP($A197,'[2]Team lists'!$A$2:$L$800,3,FALSE)</f>
        <v>#N/A</v>
      </c>
      <c r="D197" s="43" t="e">
        <f>VLOOKUP($A197,'[2]Team lists'!$A$2:$L$800,4,FALSE)</f>
        <v>#N/A</v>
      </c>
      <c r="E197" s="43" t="e">
        <f>VLOOKUP($A197,'[2]Team lists'!$A$2:$L$800,5,FALSE)</f>
        <v>#N/A</v>
      </c>
      <c r="F197" s="43" t="e">
        <f>VLOOKUP($A197,'[2]Team lists'!$A$2:$L$800,6,FALSE)</f>
        <v>#N/A</v>
      </c>
      <c r="G197" s="43" t="e">
        <f>VLOOKUP($A197,'[2]Team lists'!$A$2:$L$800,7,FALSE)</f>
        <v>#N/A</v>
      </c>
      <c r="H197" s="43" t="e">
        <f>VLOOKUP($A197,'[2]Team lists'!$A$2:$L$800,8,FALSE)</f>
        <v>#N/A</v>
      </c>
      <c r="I197" s="43" t="e">
        <f>VLOOKUP($A197,'[2]Team lists'!$A$2:$L$800,9,FALSE)</f>
        <v>#N/A</v>
      </c>
      <c r="J197" s="43" t="e">
        <f>VLOOKUP($A197,'[2]Team lists'!$A$2:$L$800,9,FALSE)</f>
        <v>#N/A</v>
      </c>
      <c r="K197" s="43" t="e">
        <f>VLOOKUP($A197,'[2]Team lists'!$A$2:$L$800,10,FALSE)</f>
        <v>#N/A</v>
      </c>
      <c r="L197" s="43" t="e">
        <f>VLOOKUP($A197,'[2]Team lists'!$A$2:$L$800,11,FALSE)</f>
        <v>#N/A</v>
      </c>
    </row>
    <row r="198" spans="2:13">
      <c r="B198" s="43" t="e">
        <f>VLOOKUP($A198,'[2]Team lists'!$A$2:$L$800,2,FALSE)</f>
        <v>#N/A</v>
      </c>
      <c r="C198" s="43" t="e">
        <f>VLOOKUP($A198,'[2]Team lists'!$A$2:$L$800,3,FALSE)</f>
        <v>#N/A</v>
      </c>
      <c r="D198" s="43" t="e">
        <f>VLOOKUP($A198,'[2]Team lists'!$A$2:$L$800,4,FALSE)</f>
        <v>#N/A</v>
      </c>
      <c r="E198" s="43" t="e">
        <f>VLOOKUP($A198,'[2]Team lists'!$A$2:$L$800,5,FALSE)</f>
        <v>#N/A</v>
      </c>
      <c r="F198" s="43" t="e">
        <f>VLOOKUP($A198,'[2]Team lists'!$A$2:$L$800,6,FALSE)</f>
        <v>#N/A</v>
      </c>
      <c r="G198" s="43" t="e">
        <f>VLOOKUP($A198,'[2]Team lists'!$A$2:$L$800,7,FALSE)</f>
        <v>#N/A</v>
      </c>
      <c r="H198" s="43" t="e">
        <f>VLOOKUP($A198,'[2]Team lists'!$A$2:$L$800,8,FALSE)</f>
        <v>#N/A</v>
      </c>
      <c r="I198" s="43" t="e">
        <f>VLOOKUP($A198,'[2]Team lists'!$A$2:$L$800,9,FALSE)</f>
        <v>#N/A</v>
      </c>
      <c r="J198" s="43" t="e">
        <f>VLOOKUP($A198,'[2]Team lists'!$A$2:$L$800,9,FALSE)</f>
        <v>#N/A</v>
      </c>
      <c r="K198" s="43" t="e">
        <f>VLOOKUP($A198,'[2]Team lists'!$A$2:$L$800,10,FALSE)</f>
        <v>#N/A</v>
      </c>
      <c r="L198" s="43" t="e">
        <f>VLOOKUP($A198,'[2]Team lists'!$A$2:$L$800,11,FALSE)</f>
        <v>#N/A</v>
      </c>
    </row>
    <row r="199" spans="2:13">
      <c r="B199" s="43" t="e">
        <f>VLOOKUP($A199,'[2]Team lists'!$A$2:$L$800,2,FALSE)</f>
        <v>#N/A</v>
      </c>
      <c r="C199" s="43" t="e">
        <f>VLOOKUP($A199,'[2]Team lists'!$A$2:$L$800,3,FALSE)</f>
        <v>#N/A</v>
      </c>
      <c r="D199" s="43" t="e">
        <f>VLOOKUP($A199,'[2]Team lists'!$A$2:$L$800,4,FALSE)</f>
        <v>#N/A</v>
      </c>
      <c r="E199" s="43" t="e">
        <f>VLOOKUP($A199,'[2]Team lists'!$A$2:$L$800,5,FALSE)</f>
        <v>#N/A</v>
      </c>
      <c r="F199" s="43" t="e">
        <f>VLOOKUP($A199,'[2]Team lists'!$A$2:$L$800,6,FALSE)</f>
        <v>#N/A</v>
      </c>
      <c r="G199" s="43" t="e">
        <f>VLOOKUP($A199,'[2]Team lists'!$A$2:$L$800,7,FALSE)</f>
        <v>#N/A</v>
      </c>
      <c r="H199" s="43" t="e">
        <f>VLOOKUP($A199,'[2]Team lists'!$A$2:$L$800,8,FALSE)</f>
        <v>#N/A</v>
      </c>
      <c r="I199" s="43" t="e">
        <f>VLOOKUP($A199,'[2]Team lists'!$A$2:$L$800,9,FALSE)</f>
        <v>#N/A</v>
      </c>
      <c r="J199" s="43" t="e">
        <f>VLOOKUP($A199,'[2]Team lists'!$A$2:$L$800,9,FALSE)</f>
        <v>#N/A</v>
      </c>
      <c r="K199" s="43" t="e">
        <f>VLOOKUP($A199,'[2]Team lists'!$A$2:$L$800,10,FALSE)</f>
        <v>#N/A</v>
      </c>
      <c r="L199" s="43" t="e">
        <f>VLOOKUP($A199,'[2]Team lists'!$A$2:$L$800,11,FALSE)</f>
        <v>#N/A</v>
      </c>
    </row>
    <row r="200" spans="2:13">
      <c r="B200" s="43" t="e">
        <f>VLOOKUP($A200,'[2]Team lists'!$A$2:$L$800,2,FALSE)</f>
        <v>#N/A</v>
      </c>
      <c r="C200" s="43" t="e">
        <f>VLOOKUP($A200,'[2]Team lists'!$A$2:$L$800,3,FALSE)</f>
        <v>#N/A</v>
      </c>
      <c r="D200" s="43" t="e">
        <f>VLOOKUP($A200,'[2]Team lists'!$A$2:$L$800,4,FALSE)</f>
        <v>#N/A</v>
      </c>
      <c r="E200" s="43" t="e">
        <f>VLOOKUP($A200,'[2]Team lists'!$A$2:$L$800,5,FALSE)</f>
        <v>#N/A</v>
      </c>
      <c r="F200" s="43" t="e">
        <f>VLOOKUP($A200,'[2]Team lists'!$A$2:$L$800,6,FALSE)</f>
        <v>#N/A</v>
      </c>
      <c r="G200" s="43" t="e">
        <f>VLOOKUP($A200,'[2]Team lists'!$A$2:$L$800,7,FALSE)</f>
        <v>#N/A</v>
      </c>
      <c r="H200" s="43" t="e">
        <f>VLOOKUP($A200,'[2]Team lists'!$A$2:$L$800,8,FALSE)</f>
        <v>#N/A</v>
      </c>
      <c r="I200" s="43" t="e">
        <f>VLOOKUP($A200,'[2]Team lists'!$A$2:$L$800,9,FALSE)</f>
        <v>#N/A</v>
      </c>
      <c r="J200" s="43" t="e">
        <f>VLOOKUP($A200,'[2]Team lists'!$A$2:$L$800,9,FALSE)</f>
        <v>#N/A</v>
      </c>
      <c r="K200" s="43" t="e">
        <f>VLOOKUP($A200,'[2]Team lists'!$A$2:$L$800,10,FALSE)</f>
        <v>#N/A</v>
      </c>
      <c r="L200" s="43" t="e">
        <f>VLOOKUP($A200,'[2]Team lists'!$A$2:$L$800,11,FALSE)</f>
        <v>#N/A</v>
      </c>
    </row>
    <row r="201" spans="2:13">
      <c r="B201" s="43" t="e">
        <f>VLOOKUP($A201,'[2]Team lists'!$A$2:$L$800,2,FALSE)</f>
        <v>#N/A</v>
      </c>
      <c r="C201" s="43" t="e">
        <f>VLOOKUP($A201,'[2]Team lists'!$A$2:$L$800,3,FALSE)</f>
        <v>#N/A</v>
      </c>
      <c r="D201" s="43" t="e">
        <f>VLOOKUP($A201,'[2]Team lists'!$A$2:$L$800,4,FALSE)</f>
        <v>#N/A</v>
      </c>
      <c r="E201" s="43" t="e">
        <f>VLOOKUP($A201,'[2]Team lists'!$A$2:$L$800,5,FALSE)</f>
        <v>#N/A</v>
      </c>
      <c r="F201" s="43" t="e">
        <f>VLOOKUP($A201,'[2]Team lists'!$A$2:$L$800,6,FALSE)</f>
        <v>#N/A</v>
      </c>
      <c r="G201" s="43" t="e">
        <f>VLOOKUP($A201,'[2]Team lists'!$A$2:$L$800,7,FALSE)</f>
        <v>#N/A</v>
      </c>
      <c r="H201" s="43" t="e">
        <f>VLOOKUP($A201,'[2]Team lists'!$A$2:$L$800,8,FALSE)</f>
        <v>#N/A</v>
      </c>
      <c r="I201" s="43" t="e">
        <f>VLOOKUP($A201,'[2]Team lists'!$A$2:$L$800,9,FALSE)</f>
        <v>#N/A</v>
      </c>
      <c r="J201" s="43" t="e">
        <f>VLOOKUP($A201,'[2]Team lists'!$A$2:$L$800,9,FALSE)</f>
        <v>#N/A</v>
      </c>
      <c r="K201" s="43" t="e">
        <f>VLOOKUP($A201,'[2]Team lists'!$A$2:$L$800,10,FALSE)</f>
        <v>#N/A</v>
      </c>
      <c r="L201" s="43" t="e">
        <f>VLOOKUP($A201,'[2]Team lists'!$A$2:$L$800,11,FALSE)</f>
        <v>#N/A</v>
      </c>
    </row>
    <row r="202" spans="2:13">
      <c r="B202" s="43" t="e">
        <f>VLOOKUP($A202,'[2]Team lists'!$A$2:$L$800,2,FALSE)</f>
        <v>#N/A</v>
      </c>
      <c r="C202" s="43" t="e">
        <f>VLOOKUP($A202,'[2]Team lists'!$A$2:$L$800,3,FALSE)</f>
        <v>#N/A</v>
      </c>
      <c r="D202" s="43" t="e">
        <f>VLOOKUP($A202,'[2]Team lists'!$A$2:$L$800,4,FALSE)</f>
        <v>#N/A</v>
      </c>
      <c r="E202" s="43" t="e">
        <f>VLOOKUP($A202,'[2]Team lists'!$A$2:$L$800,5,FALSE)</f>
        <v>#N/A</v>
      </c>
      <c r="F202" s="43" t="e">
        <f>VLOOKUP($A202,'[2]Team lists'!$A$2:$L$800,6,FALSE)</f>
        <v>#N/A</v>
      </c>
      <c r="G202" s="43" t="e">
        <f>VLOOKUP($A202,'[2]Team lists'!$A$2:$L$800,7,FALSE)</f>
        <v>#N/A</v>
      </c>
      <c r="H202" s="43" t="e">
        <f>VLOOKUP($A202,'[2]Team lists'!$A$2:$L$800,8,FALSE)</f>
        <v>#N/A</v>
      </c>
      <c r="I202" s="43" t="e">
        <f>VLOOKUP($A202,'[2]Team lists'!$A$2:$L$800,9,FALSE)</f>
        <v>#N/A</v>
      </c>
      <c r="J202" s="43" t="e">
        <f>VLOOKUP($A202,'[2]Team lists'!$A$2:$L$800,9,FALSE)</f>
        <v>#N/A</v>
      </c>
      <c r="K202" s="43" t="e">
        <f>VLOOKUP($A202,'[2]Team lists'!$A$2:$L$800,10,FALSE)</f>
        <v>#N/A</v>
      </c>
      <c r="L202" s="43" t="e">
        <f>VLOOKUP($A202,'[2]Team lists'!$A$2:$L$800,11,FALSE)</f>
        <v>#N/A</v>
      </c>
    </row>
    <row r="203" spans="2:13">
      <c r="B203" s="43" t="e">
        <f>VLOOKUP($A203,'[2]Team lists'!$A$2:$L$800,2,FALSE)</f>
        <v>#N/A</v>
      </c>
      <c r="C203" s="43" t="e">
        <f>VLOOKUP($A203,'[2]Team lists'!$A$2:$L$800,3,FALSE)</f>
        <v>#N/A</v>
      </c>
      <c r="D203" s="43" t="e">
        <f>VLOOKUP($A203,'[2]Team lists'!$A$2:$L$800,4,FALSE)</f>
        <v>#N/A</v>
      </c>
      <c r="E203" s="43" t="e">
        <f>VLOOKUP($A203,'[2]Team lists'!$A$2:$L$800,5,FALSE)</f>
        <v>#N/A</v>
      </c>
      <c r="F203" s="43" t="e">
        <f>VLOOKUP($A203,'[2]Team lists'!$A$2:$L$800,6,FALSE)</f>
        <v>#N/A</v>
      </c>
      <c r="G203" s="43" t="e">
        <f>VLOOKUP($A203,'[2]Team lists'!$A$2:$L$800,7,FALSE)</f>
        <v>#N/A</v>
      </c>
      <c r="H203" s="43" t="e">
        <f>VLOOKUP($A203,'[2]Team lists'!$A$2:$L$800,8,FALSE)</f>
        <v>#N/A</v>
      </c>
      <c r="I203" s="43" t="e">
        <f>VLOOKUP($A203,'[2]Team lists'!$A$2:$L$800,9,FALSE)</f>
        <v>#N/A</v>
      </c>
      <c r="J203" s="43" t="e">
        <f>VLOOKUP($A203,'[2]Team lists'!$A$2:$L$800,9,FALSE)</f>
        <v>#N/A</v>
      </c>
      <c r="K203" s="43" t="e">
        <f>VLOOKUP($A203,'[2]Team lists'!$A$2:$L$800,10,FALSE)</f>
        <v>#N/A</v>
      </c>
      <c r="L203" s="43" t="e">
        <f>VLOOKUP($A203,'[2]Team lists'!$A$2:$L$800,11,FALSE)</f>
        <v>#N/A</v>
      </c>
    </row>
    <row r="204" spans="2:13">
      <c r="B204" s="43" t="e">
        <f>VLOOKUP($A204,'[2]Team lists'!$A$2:$L$800,2,FALSE)</f>
        <v>#N/A</v>
      </c>
      <c r="C204" s="43" t="e">
        <f>VLOOKUP($A204,'[2]Team lists'!$A$2:$L$800,3,FALSE)</f>
        <v>#N/A</v>
      </c>
      <c r="D204" s="43" t="e">
        <f>VLOOKUP($A204,'[2]Team lists'!$A$2:$L$800,4,FALSE)</f>
        <v>#N/A</v>
      </c>
      <c r="E204" s="43" t="e">
        <f>VLOOKUP($A204,'[2]Team lists'!$A$2:$L$800,5,FALSE)</f>
        <v>#N/A</v>
      </c>
      <c r="F204" s="43" t="e">
        <f>VLOOKUP($A204,'[2]Team lists'!$A$2:$L$800,6,FALSE)</f>
        <v>#N/A</v>
      </c>
      <c r="G204" s="43" t="e">
        <f>VLOOKUP($A204,'[2]Team lists'!$A$2:$L$800,7,FALSE)</f>
        <v>#N/A</v>
      </c>
      <c r="H204" s="43" t="e">
        <f>VLOOKUP($A204,'[2]Team lists'!$A$2:$L$800,8,FALSE)</f>
        <v>#N/A</v>
      </c>
      <c r="I204" s="43" t="e">
        <f>VLOOKUP($A204,'[2]Team lists'!$A$2:$L$800,9,FALSE)</f>
        <v>#N/A</v>
      </c>
      <c r="J204" s="43" t="e">
        <f>VLOOKUP($A204,'[2]Team lists'!$A$2:$L$800,9,FALSE)</f>
        <v>#N/A</v>
      </c>
      <c r="K204" s="43" t="e">
        <f>VLOOKUP($A204,'[2]Team lists'!$A$2:$L$800,10,FALSE)</f>
        <v>#N/A</v>
      </c>
      <c r="L204" s="43" t="e">
        <f>VLOOKUP($A204,'[2]Team lists'!$A$2:$L$800,11,FALSE)</f>
        <v>#N/A</v>
      </c>
    </row>
    <row r="205" spans="2:13">
      <c r="B205" s="43" t="e">
        <f>VLOOKUP($A205,'[2]Team lists'!$A$2:$L$800,2,FALSE)</f>
        <v>#N/A</v>
      </c>
      <c r="C205" s="43" t="e">
        <f>VLOOKUP($A205,'[2]Team lists'!$A$2:$L$800,3,FALSE)</f>
        <v>#N/A</v>
      </c>
      <c r="D205" s="43" t="e">
        <f>VLOOKUP($A205,'[2]Team lists'!$A$2:$L$800,4,FALSE)</f>
        <v>#N/A</v>
      </c>
      <c r="E205" s="43" t="e">
        <f>VLOOKUP($A205,'[2]Team lists'!$A$2:$L$800,5,FALSE)</f>
        <v>#N/A</v>
      </c>
      <c r="F205" s="43" t="e">
        <f>VLOOKUP($A205,'[2]Team lists'!$A$2:$L$800,6,FALSE)</f>
        <v>#N/A</v>
      </c>
      <c r="G205" s="43" t="e">
        <f>VLOOKUP($A205,'[2]Team lists'!$A$2:$L$800,7,FALSE)</f>
        <v>#N/A</v>
      </c>
      <c r="H205" s="43" t="e">
        <f>VLOOKUP($A205,'[2]Team lists'!$A$2:$L$800,8,FALSE)</f>
        <v>#N/A</v>
      </c>
      <c r="I205" s="43" t="e">
        <f>VLOOKUP($A205,'[2]Team lists'!$A$2:$L$800,9,FALSE)</f>
        <v>#N/A</v>
      </c>
      <c r="J205" s="43" t="e">
        <f>VLOOKUP($A205,'[2]Team lists'!$A$2:$L$800,9,FALSE)</f>
        <v>#N/A</v>
      </c>
      <c r="K205" s="43" t="e">
        <f>VLOOKUP($A205,'[2]Team lists'!$A$2:$L$800,10,FALSE)</f>
        <v>#N/A</v>
      </c>
      <c r="L205" s="43" t="e">
        <f>VLOOKUP($A205,'[2]Team lists'!$A$2:$L$800,11,FALSE)</f>
        <v>#N/A</v>
      </c>
    </row>
    <row r="206" spans="2:13">
      <c r="B206" s="43" t="e">
        <f>VLOOKUP($A206,'[2]Team lists'!$A$2:$L$800,2,FALSE)</f>
        <v>#N/A</v>
      </c>
      <c r="C206" s="43" t="e">
        <f>VLOOKUP($A206,'[2]Team lists'!$A$2:$L$800,3,FALSE)</f>
        <v>#N/A</v>
      </c>
      <c r="D206" s="43" t="e">
        <f>VLOOKUP($A206,'[2]Team lists'!$A$2:$L$800,4,FALSE)</f>
        <v>#N/A</v>
      </c>
      <c r="E206" s="43" t="e">
        <f>VLOOKUP($A206,'[2]Team lists'!$A$2:$L$800,5,FALSE)</f>
        <v>#N/A</v>
      </c>
      <c r="F206" s="43" t="e">
        <f>VLOOKUP($A206,'[2]Team lists'!$A$2:$L$800,6,FALSE)</f>
        <v>#N/A</v>
      </c>
      <c r="G206" s="43" t="e">
        <f>VLOOKUP($A206,'[2]Team lists'!$A$2:$L$800,7,FALSE)</f>
        <v>#N/A</v>
      </c>
      <c r="H206" s="43" t="e">
        <f>VLOOKUP($A206,'[2]Team lists'!$A$2:$L$800,8,FALSE)</f>
        <v>#N/A</v>
      </c>
      <c r="I206" s="43" t="e">
        <f>VLOOKUP($A206,'[2]Team lists'!$A$2:$L$800,9,FALSE)</f>
        <v>#N/A</v>
      </c>
      <c r="J206" s="43" t="e">
        <f>VLOOKUP($A206,'[2]Team lists'!$A$2:$L$800,9,FALSE)</f>
        <v>#N/A</v>
      </c>
      <c r="K206" s="43" t="e">
        <f>VLOOKUP($A206,'[2]Team lists'!$A$2:$L$800,10,FALSE)</f>
        <v>#N/A</v>
      </c>
      <c r="L206" s="43" t="e">
        <f>VLOOKUP($A206,'[2]Team lists'!$A$2:$L$800,11,FALSE)</f>
        <v>#N/A</v>
      </c>
    </row>
    <row r="207" spans="2:13" ht="18" thickBot="1">
      <c r="B207" s="45" t="s">
        <v>3210</v>
      </c>
      <c r="C207" s="46"/>
      <c r="D207" s="47"/>
      <c r="E207" s="48" t="e">
        <f t="shared" ref="E207:L207" si="12">SUM(E196:E206)</f>
        <v>#N/A</v>
      </c>
      <c r="F207" s="49" t="e">
        <f t="shared" si="12"/>
        <v>#N/A</v>
      </c>
      <c r="G207" s="49" t="e">
        <f t="shared" si="12"/>
        <v>#N/A</v>
      </c>
      <c r="H207" s="49" t="e">
        <f t="shared" si="12"/>
        <v>#N/A</v>
      </c>
      <c r="I207" s="49" t="e">
        <f t="shared" si="12"/>
        <v>#N/A</v>
      </c>
      <c r="J207" s="49" t="e">
        <f t="shared" si="12"/>
        <v>#N/A</v>
      </c>
      <c r="K207" s="49" t="e">
        <f t="shared" si="12"/>
        <v>#N/A</v>
      </c>
      <c r="L207" s="50" t="e">
        <f t="shared" si="12"/>
        <v>#N/A</v>
      </c>
    </row>
    <row r="208" spans="2:13" ht="18.600000000000001" thickTop="1" thickBot="1"/>
    <row r="209" spans="2:13" ht="18" thickTop="1">
      <c r="B209" s="23" t="s">
        <v>3204</v>
      </c>
      <c r="C209" s="24" t="s">
        <v>3205</v>
      </c>
      <c r="D209" s="25"/>
      <c r="E209" s="25"/>
      <c r="F209" s="53"/>
      <c r="G209" s="28" t="s">
        <v>3206</v>
      </c>
      <c r="H209" s="54"/>
      <c r="I209" s="54"/>
      <c r="J209" s="54"/>
      <c r="K209" s="28" t="s">
        <v>3207</v>
      </c>
      <c r="L209" s="29"/>
      <c r="M209" s="22" t="str">
        <f>G209</f>
        <v>Manager:</v>
      </c>
    </row>
    <row r="210" spans="2:13" ht="18" thickBot="1">
      <c r="B210" s="30">
        <v>14</v>
      </c>
      <c r="C210" s="57"/>
      <c r="D210" s="31"/>
      <c r="E210" s="31"/>
      <c r="F210" s="33"/>
      <c r="G210" s="55"/>
      <c r="H210" s="55"/>
      <c r="I210" s="55"/>
      <c r="J210" s="55"/>
      <c r="K210" s="34" t="e">
        <f>SUM(F223:L223)</f>
        <v>#N/A</v>
      </c>
      <c r="L210" s="35"/>
      <c r="M210" s="22">
        <f>G210</f>
        <v>0</v>
      </c>
    </row>
    <row r="211" spans="2:13" ht="18.600000000000001" thickTop="1">
      <c r="B211" s="58" t="s">
        <v>913</v>
      </c>
      <c r="C211" s="59" t="s">
        <v>912</v>
      </c>
      <c r="D211" s="60" t="s">
        <v>911</v>
      </c>
      <c r="E211" s="61" t="s">
        <v>3209</v>
      </c>
      <c r="F211" s="62" t="s">
        <v>3162</v>
      </c>
      <c r="G211" s="62" t="s">
        <v>3163</v>
      </c>
      <c r="H211" s="62" t="s">
        <v>3164</v>
      </c>
      <c r="I211" s="62" t="s">
        <v>3165</v>
      </c>
      <c r="J211" s="62" t="s">
        <v>3166</v>
      </c>
      <c r="K211" s="62" t="s">
        <v>3167</v>
      </c>
      <c r="L211" s="63" t="s">
        <v>3168</v>
      </c>
    </row>
    <row r="212" spans="2:13">
      <c r="B212" s="43" t="e">
        <f>VLOOKUP($A212,'[2]Team lists'!$A$2:$L$800,2,FALSE)</f>
        <v>#N/A</v>
      </c>
      <c r="C212" s="43" t="e">
        <f>VLOOKUP($A212,'[2]Team lists'!$A$2:$L$800,3,FALSE)</f>
        <v>#N/A</v>
      </c>
      <c r="D212" s="43" t="e">
        <f>VLOOKUP($A212,'[2]Team lists'!$A$2:$L$800,4,FALSE)</f>
        <v>#N/A</v>
      </c>
      <c r="E212" s="43" t="e">
        <f>VLOOKUP($A212,'[2]Team lists'!$A$2:$L$800,5,FALSE)</f>
        <v>#N/A</v>
      </c>
      <c r="F212" s="43" t="e">
        <f>VLOOKUP($A212,'[2]Team lists'!$A$2:$L$800,6,FALSE)</f>
        <v>#N/A</v>
      </c>
      <c r="G212" s="43" t="e">
        <f>VLOOKUP($A212,'[2]Team lists'!$A$2:$L$800,7,FALSE)</f>
        <v>#N/A</v>
      </c>
      <c r="H212" s="43" t="e">
        <f>VLOOKUP($A212,'[2]Team lists'!$A$2:$L$800,8,FALSE)</f>
        <v>#N/A</v>
      </c>
      <c r="I212" s="43" t="e">
        <f>VLOOKUP($A212,'[2]Team lists'!$A$2:$L$800,9,FALSE)</f>
        <v>#N/A</v>
      </c>
      <c r="J212" s="43" t="e">
        <f>VLOOKUP($A212,'[2]Team lists'!$A$2:$L$800,9,FALSE)</f>
        <v>#N/A</v>
      </c>
      <c r="K212" s="43" t="e">
        <f>VLOOKUP($A212,'[2]Team lists'!$A$2:$L$800,10,FALSE)</f>
        <v>#N/A</v>
      </c>
      <c r="L212" s="43" t="e">
        <f>VLOOKUP($A212,'[2]Team lists'!$A$2:$L$800,11,FALSE)</f>
        <v>#N/A</v>
      </c>
    </row>
    <row r="213" spans="2:13">
      <c r="B213" s="43" t="e">
        <f>VLOOKUP($A213,'[2]Team lists'!$A$2:$L$800,2,FALSE)</f>
        <v>#N/A</v>
      </c>
      <c r="C213" s="43" t="e">
        <f>VLOOKUP($A213,'[2]Team lists'!$A$2:$L$800,3,FALSE)</f>
        <v>#N/A</v>
      </c>
      <c r="D213" s="43" t="e">
        <f>VLOOKUP($A213,'[2]Team lists'!$A$2:$L$800,4,FALSE)</f>
        <v>#N/A</v>
      </c>
      <c r="E213" s="43" t="e">
        <f>VLOOKUP($A213,'[2]Team lists'!$A$2:$L$800,5,FALSE)</f>
        <v>#N/A</v>
      </c>
      <c r="F213" s="43" t="e">
        <f>VLOOKUP($A213,'[2]Team lists'!$A$2:$L$800,6,FALSE)</f>
        <v>#N/A</v>
      </c>
      <c r="G213" s="43" t="e">
        <f>VLOOKUP($A213,'[2]Team lists'!$A$2:$L$800,7,FALSE)</f>
        <v>#N/A</v>
      </c>
      <c r="H213" s="43" t="e">
        <f>VLOOKUP($A213,'[2]Team lists'!$A$2:$L$800,8,FALSE)</f>
        <v>#N/A</v>
      </c>
      <c r="I213" s="43" t="e">
        <f>VLOOKUP($A213,'[2]Team lists'!$A$2:$L$800,9,FALSE)</f>
        <v>#N/A</v>
      </c>
      <c r="J213" s="43" t="e">
        <f>VLOOKUP($A213,'[2]Team lists'!$A$2:$L$800,9,FALSE)</f>
        <v>#N/A</v>
      </c>
      <c r="K213" s="43" t="e">
        <f>VLOOKUP($A213,'[2]Team lists'!$A$2:$L$800,10,FALSE)</f>
        <v>#N/A</v>
      </c>
      <c r="L213" s="43" t="e">
        <f>VLOOKUP($A213,'[2]Team lists'!$A$2:$L$800,11,FALSE)</f>
        <v>#N/A</v>
      </c>
    </row>
    <row r="214" spans="2:13">
      <c r="B214" s="43" t="e">
        <f>VLOOKUP($A214,'[2]Team lists'!$A$2:$L$800,2,FALSE)</f>
        <v>#N/A</v>
      </c>
      <c r="C214" s="43" t="e">
        <f>VLOOKUP($A214,'[2]Team lists'!$A$2:$L$800,3,FALSE)</f>
        <v>#N/A</v>
      </c>
      <c r="D214" s="43" t="e">
        <f>VLOOKUP($A214,'[2]Team lists'!$A$2:$L$800,4,FALSE)</f>
        <v>#N/A</v>
      </c>
      <c r="E214" s="43" t="e">
        <f>VLOOKUP($A214,'[2]Team lists'!$A$2:$L$800,5,FALSE)</f>
        <v>#N/A</v>
      </c>
      <c r="F214" s="43" t="e">
        <f>VLOOKUP($A214,'[2]Team lists'!$A$2:$L$800,6,FALSE)</f>
        <v>#N/A</v>
      </c>
      <c r="G214" s="43" t="e">
        <f>VLOOKUP($A214,'[2]Team lists'!$A$2:$L$800,7,FALSE)</f>
        <v>#N/A</v>
      </c>
      <c r="H214" s="43" t="e">
        <f>VLOOKUP($A214,'[2]Team lists'!$A$2:$L$800,8,FALSE)</f>
        <v>#N/A</v>
      </c>
      <c r="I214" s="43" t="e">
        <f>VLOOKUP($A214,'[2]Team lists'!$A$2:$L$800,9,FALSE)</f>
        <v>#N/A</v>
      </c>
      <c r="J214" s="43" t="e">
        <f>VLOOKUP($A214,'[2]Team lists'!$A$2:$L$800,9,FALSE)</f>
        <v>#N/A</v>
      </c>
      <c r="K214" s="43" t="e">
        <f>VLOOKUP($A214,'[2]Team lists'!$A$2:$L$800,10,FALSE)</f>
        <v>#N/A</v>
      </c>
      <c r="L214" s="43" t="e">
        <f>VLOOKUP($A214,'[2]Team lists'!$A$2:$L$800,11,FALSE)</f>
        <v>#N/A</v>
      </c>
    </row>
    <row r="215" spans="2:13">
      <c r="B215" s="43" t="e">
        <f>VLOOKUP($A215,'[2]Team lists'!$A$2:$L$800,2,FALSE)</f>
        <v>#N/A</v>
      </c>
      <c r="C215" s="43" t="e">
        <f>VLOOKUP($A215,'[2]Team lists'!$A$2:$L$800,3,FALSE)</f>
        <v>#N/A</v>
      </c>
      <c r="D215" s="43" t="e">
        <f>VLOOKUP($A215,'[2]Team lists'!$A$2:$L$800,4,FALSE)</f>
        <v>#N/A</v>
      </c>
      <c r="E215" s="43" t="e">
        <f>VLOOKUP($A215,'[2]Team lists'!$A$2:$L$800,5,FALSE)</f>
        <v>#N/A</v>
      </c>
      <c r="F215" s="43" t="e">
        <f>VLOOKUP($A215,'[2]Team lists'!$A$2:$L$800,6,FALSE)</f>
        <v>#N/A</v>
      </c>
      <c r="G215" s="43" t="e">
        <f>VLOOKUP($A215,'[2]Team lists'!$A$2:$L$800,7,FALSE)</f>
        <v>#N/A</v>
      </c>
      <c r="H215" s="43" t="e">
        <f>VLOOKUP($A215,'[2]Team lists'!$A$2:$L$800,8,FALSE)</f>
        <v>#N/A</v>
      </c>
      <c r="I215" s="43" t="e">
        <f>VLOOKUP($A215,'[2]Team lists'!$A$2:$L$800,9,FALSE)</f>
        <v>#N/A</v>
      </c>
      <c r="J215" s="43" t="e">
        <f>VLOOKUP($A215,'[2]Team lists'!$A$2:$L$800,9,FALSE)</f>
        <v>#N/A</v>
      </c>
      <c r="K215" s="43" t="e">
        <f>VLOOKUP($A215,'[2]Team lists'!$A$2:$L$800,10,FALSE)</f>
        <v>#N/A</v>
      </c>
      <c r="L215" s="43" t="e">
        <f>VLOOKUP($A215,'[2]Team lists'!$A$2:$L$800,11,FALSE)</f>
        <v>#N/A</v>
      </c>
    </row>
    <row r="216" spans="2:13">
      <c r="B216" s="43" t="e">
        <f>VLOOKUP($A216,'[2]Team lists'!$A$2:$L$800,2,FALSE)</f>
        <v>#N/A</v>
      </c>
      <c r="C216" s="43" t="e">
        <f>VLOOKUP($A216,'[2]Team lists'!$A$2:$L$800,3,FALSE)</f>
        <v>#N/A</v>
      </c>
      <c r="D216" s="43" t="e">
        <f>VLOOKUP($A216,'[2]Team lists'!$A$2:$L$800,4,FALSE)</f>
        <v>#N/A</v>
      </c>
      <c r="E216" s="43" t="e">
        <f>VLOOKUP($A216,'[2]Team lists'!$A$2:$L$800,5,FALSE)</f>
        <v>#N/A</v>
      </c>
      <c r="F216" s="43" t="e">
        <f>VLOOKUP($A216,'[2]Team lists'!$A$2:$L$800,6,FALSE)</f>
        <v>#N/A</v>
      </c>
      <c r="G216" s="43" t="e">
        <f>VLOOKUP($A216,'[2]Team lists'!$A$2:$L$800,7,FALSE)</f>
        <v>#N/A</v>
      </c>
      <c r="H216" s="43" t="e">
        <f>VLOOKUP($A216,'[2]Team lists'!$A$2:$L$800,8,FALSE)</f>
        <v>#N/A</v>
      </c>
      <c r="I216" s="43" t="e">
        <f>VLOOKUP($A216,'[2]Team lists'!$A$2:$L$800,9,FALSE)</f>
        <v>#N/A</v>
      </c>
      <c r="J216" s="43" t="e">
        <f>VLOOKUP($A216,'[2]Team lists'!$A$2:$L$800,9,FALSE)</f>
        <v>#N/A</v>
      </c>
      <c r="K216" s="43" t="e">
        <f>VLOOKUP($A216,'[2]Team lists'!$A$2:$L$800,10,FALSE)</f>
        <v>#N/A</v>
      </c>
      <c r="L216" s="43" t="e">
        <f>VLOOKUP($A216,'[2]Team lists'!$A$2:$L$800,11,FALSE)</f>
        <v>#N/A</v>
      </c>
    </row>
    <row r="217" spans="2:13">
      <c r="B217" s="43" t="e">
        <f>VLOOKUP($A217,'[2]Team lists'!$A$2:$L$800,2,FALSE)</f>
        <v>#N/A</v>
      </c>
      <c r="C217" s="43" t="e">
        <f>VLOOKUP($A217,'[2]Team lists'!$A$2:$L$800,3,FALSE)</f>
        <v>#N/A</v>
      </c>
      <c r="D217" s="43" t="e">
        <f>VLOOKUP($A217,'[2]Team lists'!$A$2:$L$800,4,FALSE)</f>
        <v>#N/A</v>
      </c>
      <c r="E217" s="43" t="e">
        <f>VLOOKUP($A217,'[2]Team lists'!$A$2:$L$800,5,FALSE)</f>
        <v>#N/A</v>
      </c>
      <c r="F217" s="43" t="e">
        <f>VLOOKUP($A217,'[2]Team lists'!$A$2:$L$800,6,FALSE)</f>
        <v>#N/A</v>
      </c>
      <c r="G217" s="43" t="e">
        <f>VLOOKUP($A217,'[2]Team lists'!$A$2:$L$800,7,FALSE)</f>
        <v>#N/A</v>
      </c>
      <c r="H217" s="43" t="e">
        <f>VLOOKUP($A217,'[2]Team lists'!$A$2:$L$800,8,FALSE)</f>
        <v>#N/A</v>
      </c>
      <c r="I217" s="43" t="e">
        <f>VLOOKUP($A217,'[2]Team lists'!$A$2:$L$800,9,FALSE)</f>
        <v>#N/A</v>
      </c>
      <c r="J217" s="43" t="e">
        <f>VLOOKUP($A217,'[2]Team lists'!$A$2:$L$800,9,FALSE)</f>
        <v>#N/A</v>
      </c>
      <c r="K217" s="43" t="e">
        <f>VLOOKUP($A217,'[2]Team lists'!$A$2:$L$800,10,FALSE)</f>
        <v>#N/A</v>
      </c>
      <c r="L217" s="43" t="e">
        <f>VLOOKUP($A217,'[2]Team lists'!$A$2:$L$800,11,FALSE)</f>
        <v>#N/A</v>
      </c>
    </row>
    <row r="218" spans="2:13">
      <c r="B218" s="43" t="e">
        <f>VLOOKUP($A218,'[2]Team lists'!$A$2:$L$800,2,FALSE)</f>
        <v>#N/A</v>
      </c>
      <c r="C218" s="43" t="e">
        <f>VLOOKUP($A218,'[2]Team lists'!$A$2:$L$800,3,FALSE)</f>
        <v>#N/A</v>
      </c>
      <c r="D218" s="43" t="e">
        <f>VLOOKUP($A218,'[2]Team lists'!$A$2:$L$800,4,FALSE)</f>
        <v>#N/A</v>
      </c>
      <c r="E218" s="43" t="e">
        <f>VLOOKUP($A218,'[2]Team lists'!$A$2:$L$800,5,FALSE)</f>
        <v>#N/A</v>
      </c>
      <c r="F218" s="43" t="e">
        <f>VLOOKUP($A218,'[2]Team lists'!$A$2:$L$800,6,FALSE)</f>
        <v>#N/A</v>
      </c>
      <c r="G218" s="43" t="e">
        <f>VLOOKUP($A218,'[2]Team lists'!$A$2:$L$800,7,FALSE)</f>
        <v>#N/A</v>
      </c>
      <c r="H218" s="43" t="e">
        <f>VLOOKUP($A218,'[2]Team lists'!$A$2:$L$800,8,FALSE)</f>
        <v>#N/A</v>
      </c>
      <c r="I218" s="43" t="e">
        <f>VLOOKUP($A218,'[2]Team lists'!$A$2:$L$800,9,FALSE)</f>
        <v>#N/A</v>
      </c>
      <c r="J218" s="43" t="e">
        <f>VLOOKUP($A218,'[2]Team lists'!$A$2:$L$800,9,FALSE)</f>
        <v>#N/A</v>
      </c>
      <c r="K218" s="43" t="e">
        <f>VLOOKUP($A218,'[2]Team lists'!$A$2:$L$800,10,FALSE)</f>
        <v>#N/A</v>
      </c>
      <c r="L218" s="43" t="e">
        <f>VLOOKUP($A218,'[2]Team lists'!$A$2:$L$800,11,FALSE)</f>
        <v>#N/A</v>
      </c>
    </row>
    <row r="219" spans="2:13">
      <c r="B219" s="43" t="e">
        <f>VLOOKUP($A219,'[2]Team lists'!$A$2:$L$800,2,FALSE)</f>
        <v>#N/A</v>
      </c>
      <c r="C219" s="43" t="e">
        <f>VLOOKUP($A219,'[2]Team lists'!$A$2:$L$800,3,FALSE)</f>
        <v>#N/A</v>
      </c>
      <c r="D219" s="43" t="e">
        <f>VLOOKUP($A219,'[2]Team lists'!$A$2:$L$800,4,FALSE)</f>
        <v>#N/A</v>
      </c>
      <c r="E219" s="43" t="e">
        <f>VLOOKUP($A219,'[2]Team lists'!$A$2:$L$800,5,FALSE)</f>
        <v>#N/A</v>
      </c>
      <c r="F219" s="43" t="e">
        <f>VLOOKUP($A219,'[2]Team lists'!$A$2:$L$800,6,FALSE)</f>
        <v>#N/A</v>
      </c>
      <c r="G219" s="43" t="e">
        <f>VLOOKUP($A219,'[2]Team lists'!$A$2:$L$800,7,FALSE)</f>
        <v>#N/A</v>
      </c>
      <c r="H219" s="43" t="e">
        <f>VLOOKUP($A219,'[2]Team lists'!$A$2:$L$800,8,FALSE)</f>
        <v>#N/A</v>
      </c>
      <c r="I219" s="43" t="e">
        <f>VLOOKUP($A219,'[2]Team lists'!$A$2:$L$800,9,FALSE)</f>
        <v>#N/A</v>
      </c>
      <c r="J219" s="43" t="e">
        <f>VLOOKUP($A219,'[2]Team lists'!$A$2:$L$800,9,FALSE)</f>
        <v>#N/A</v>
      </c>
      <c r="K219" s="43" t="e">
        <f>VLOOKUP($A219,'[2]Team lists'!$A$2:$L$800,10,FALSE)</f>
        <v>#N/A</v>
      </c>
      <c r="L219" s="43" t="e">
        <f>VLOOKUP($A219,'[2]Team lists'!$A$2:$L$800,11,FALSE)</f>
        <v>#N/A</v>
      </c>
    </row>
    <row r="220" spans="2:13">
      <c r="B220" s="43" t="e">
        <f>VLOOKUP($A220,'[2]Team lists'!$A$2:$L$800,2,FALSE)</f>
        <v>#N/A</v>
      </c>
      <c r="C220" s="43" t="e">
        <f>VLOOKUP($A220,'[2]Team lists'!$A$2:$L$800,3,FALSE)</f>
        <v>#N/A</v>
      </c>
      <c r="D220" s="43" t="e">
        <f>VLOOKUP($A220,'[2]Team lists'!$A$2:$L$800,4,FALSE)</f>
        <v>#N/A</v>
      </c>
      <c r="E220" s="43" t="e">
        <f>VLOOKUP($A220,'[2]Team lists'!$A$2:$L$800,5,FALSE)</f>
        <v>#N/A</v>
      </c>
      <c r="F220" s="43" t="e">
        <f>VLOOKUP($A220,'[2]Team lists'!$A$2:$L$800,6,FALSE)</f>
        <v>#N/A</v>
      </c>
      <c r="G220" s="43" t="e">
        <f>VLOOKUP($A220,'[2]Team lists'!$A$2:$L$800,7,FALSE)</f>
        <v>#N/A</v>
      </c>
      <c r="H220" s="43" t="e">
        <f>VLOOKUP($A220,'[2]Team lists'!$A$2:$L$800,8,FALSE)</f>
        <v>#N/A</v>
      </c>
      <c r="I220" s="43" t="e">
        <f>VLOOKUP($A220,'[2]Team lists'!$A$2:$L$800,9,FALSE)</f>
        <v>#N/A</v>
      </c>
      <c r="J220" s="43" t="e">
        <f>VLOOKUP($A220,'[2]Team lists'!$A$2:$L$800,9,FALSE)</f>
        <v>#N/A</v>
      </c>
      <c r="K220" s="43" t="e">
        <f>VLOOKUP($A220,'[2]Team lists'!$A$2:$L$800,10,FALSE)</f>
        <v>#N/A</v>
      </c>
      <c r="L220" s="43" t="e">
        <f>VLOOKUP($A220,'[2]Team lists'!$A$2:$L$800,11,FALSE)</f>
        <v>#N/A</v>
      </c>
    </row>
    <row r="221" spans="2:13">
      <c r="B221" s="43" t="e">
        <f>VLOOKUP($A221,'[2]Team lists'!$A$2:$L$800,2,FALSE)</f>
        <v>#N/A</v>
      </c>
      <c r="C221" s="43" t="e">
        <f>VLOOKUP($A221,'[2]Team lists'!$A$2:$L$800,3,FALSE)</f>
        <v>#N/A</v>
      </c>
      <c r="D221" s="43" t="e">
        <f>VLOOKUP($A221,'[2]Team lists'!$A$2:$L$800,4,FALSE)</f>
        <v>#N/A</v>
      </c>
      <c r="E221" s="43" t="e">
        <f>VLOOKUP($A221,'[2]Team lists'!$A$2:$L$800,5,FALSE)</f>
        <v>#N/A</v>
      </c>
      <c r="F221" s="43" t="e">
        <f>VLOOKUP($A221,'[2]Team lists'!$A$2:$L$800,6,FALSE)</f>
        <v>#N/A</v>
      </c>
      <c r="G221" s="43" t="e">
        <f>VLOOKUP($A221,'[2]Team lists'!$A$2:$L$800,7,FALSE)</f>
        <v>#N/A</v>
      </c>
      <c r="H221" s="43" t="e">
        <f>VLOOKUP($A221,'[2]Team lists'!$A$2:$L$800,8,FALSE)</f>
        <v>#N/A</v>
      </c>
      <c r="I221" s="43" t="e">
        <f>VLOOKUP($A221,'[2]Team lists'!$A$2:$L$800,9,FALSE)</f>
        <v>#N/A</v>
      </c>
      <c r="J221" s="43" t="e">
        <f>VLOOKUP($A221,'[2]Team lists'!$A$2:$L$800,9,FALSE)</f>
        <v>#N/A</v>
      </c>
      <c r="K221" s="43" t="e">
        <f>VLOOKUP($A221,'[2]Team lists'!$A$2:$L$800,10,FALSE)</f>
        <v>#N/A</v>
      </c>
      <c r="L221" s="43" t="e">
        <f>VLOOKUP($A221,'[2]Team lists'!$A$2:$L$800,11,FALSE)</f>
        <v>#N/A</v>
      </c>
    </row>
    <row r="222" spans="2:13">
      <c r="B222" s="43" t="e">
        <f>VLOOKUP($A222,'[2]Team lists'!$A$2:$L$800,2,FALSE)</f>
        <v>#N/A</v>
      </c>
      <c r="C222" s="43" t="e">
        <f>VLOOKUP($A222,'[2]Team lists'!$A$2:$L$800,3,FALSE)</f>
        <v>#N/A</v>
      </c>
      <c r="D222" s="43" t="e">
        <f>VLOOKUP($A222,'[2]Team lists'!$A$2:$L$800,4,FALSE)</f>
        <v>#N/A</v>
      </c>
      <c r="E222" s="43" t="e">
        <f>VLOOKUP($A222,'[2]Team lists'!$A$2:$L$800,5,FALSE)</f>
        <v>#N/A</v>
      </c>
      <c r="F222" s="43" t="e">
        <f>VLOOKUP($A222,'[2]Team lists'!$A$2:$L$800,6,FALSE)</f>
        <v>#N/A</v>
      </c>
      <c r="G222" s="43" t="e">
        <f>VLOOKUP($A222,'[2]Team lists'!$A$2:$L$800,7,FALSE)</f>
        <v>#N/A</v>
      </c>
      <c r="H222" s="43" t="e">
        <f>VLOOKUP($A222,'[2]Team lists'!$A$2:$L$800,8,FALSE)</f>
        <v>#N/A</v>
      </c>
      <c r="I222" s="43" t="e">
        <f>VLOOKUP($A222,'[2]Team lists'!$A$2:$L$800,9,FALSE)</f>
        <v>#N/A</v>
      </c>
      <c r="J222" s="43" t="e">
        <f>VLOOKUP($A222,'[2]Team lists'!$A$2:$L$800,9,FALSE)</f>
        <v>#N/A</v>
      </c>
      <c r="K222" s="43" t="e">
        <f>VLOOKUP($A222,'[2]Team lists'!$A$2:$L$800,10,FALSE)</f>
        <v>#N/A</v>
      </c>
      <c r="L222" s="43" t="e">
        <f>VLOOKUP($A222,'[2]Team lists'!$A$2:$L$800,11,FALSE)</f>
        <v>#N/A</v>
      </c>
    </row>
    <row r="223" spans="2:13" ht="18" thickBot="1">
      <c r="B223" s="45" t="s">
        <v>3210</v>
      </c>
      <c r="C223" s="46"/>
      <c r="D223" s="47"/>
      <c r="E223" s="48" t="e">
        <f t="shared" ref="E223:L223" si="13">SUM(E212:E222)</f>
        <v>#N/A</v>
      </c>
      <c r="F223" s="49" t="e">
        <f t="shared" si="13"/>
        <v>#N/A</v>
      </c>
      <c r="G223" s="49" t="e">
        <f t="shared" si="13"/>
        <v>#N/A</v>
      </c>
      <c r="H223" s="49" t="e">
        <f t="shared" si="13"/>
        <v>#N/A</v>
      </c>
      <c r="I223" s="49" t="e">
        <f t="shared" si="13"/>
        <v>#N/A</v>
      </c>
      <c r="J223" s="49" t="e">
        <f t="shared" si="13"/>
        <v>#N/A</v>
      </c>
      <c r="K223" s="49" t="e">
        <f t="shared" si="13"/>
        <v>#N/A</v>
      </c>
      <c r="L223" s="50" t="e">
        <f t="shared" si="13"/>
        <v>#N/A</v>
      </c>
    </row>
    <row r="224" spans="2:13" ht="18.600000000000001" thickTop="1" thickBot="1"/>
    <row r="225" spans="2:13" ht="18" thickTop="1">
      <c r="B225" s="23" t="s">
        <v>3204</v>
      </c>
      <c r="C225" s="24" t="s">
        <v>3205</v>
      </c>
      <c r="D225" s="25"/>
      <c r="E225" s="25"/>
      <c r="F225" s="53"/>
      <c r="G225" s="28" t="s">
        <v>3206</v>
      </c>
      <c r="H225" s="54"/>
      <c r="I225" s="54"/>
      <c r="J225" s="54"/>
      <c r="K225" s="28" t="s">
        <v>3207</v>
      </c>
      <c r="L225" s="29"/>
      <c r="M225" s="22" t="str">
        <f>G225</f>
        <v>Manager:</v>
      </c>
    </row>
    <row r="226" spans="2:13" ht="18" thickBot="1">
      <c r="B226" s="30">
        <v>15</v>
      </c>
      <c r="C226" s="57"/>
      <c r="D226" s="31"/>
      <c r="E226" s="31"/>
      <c r="F226" s="33"/>
      <c r="G226" s="55"/>
      <c r="H226" s="55"/>
      <c r="I226" s="55"/>
      <c r="J226" s="55"/>
      <c r="K226" s="34" t="e">
        <f>SUM(F239:L239)</f>
        <v>#N/A</v>
      </c>
      <c r="L226" s="35"/>
      <c r="M226" s="22">
        <f>G226</f>
        <v>0</v>
      </c>
    </row>
    <row r="227" spans="2:13" ht="18.600000000000001" thickTop="1">
      <c r="B227" s="58" t="s">
        <v>913</v>
      </c>
      <c r="C227" s="59" t="s">
        <v>912</v>
      </c>
      <c r="D227" s="60" t="s">
        <v>911</v>
      </c>
      <c r="E227" s="61" t="s">
        <v>3209</v>
      </c>
      <c r="F227" s="62" t="s">
        <v>3162</v>
      </c>
      <c r="G227" s="62" t="s">
        <v>3163</v>
      </c>
      <c r="H227" s="62" t="s">
        <v>3164</v>
      </c>
      <c r="I227" s="62" t="s">
        <v>3165</v>
      </c>
      <c r="J227" s="62" t="s">
        <v>3166</v>
      </c>
      <c r="K227" s="62" t="s">
        <v>3167</v>
      </c>
      <c r="L227" s="63" t="s">
        <v>3168</v>
      </c>
    </row>
    <row r="228" spans="2:13">
      <c r="B228" s="43" t="e">
        <f>VLOOKUP($A228,'[2]Team lists'!$A$2:$L$800,2,FALSE)</f>
        <v>#N/A</v>
      </c>
      <c r="C228" s="43" t="e">
        <f>VLOOKUP($A228,'[2]Team lists'!$A$2:$L$800,3,FALSE)</f>
        <v>#N/A</v>
      </c>
      <c r="D228" s="43" t="e">
        <f>VLOOKUP($A228,'[2]Team lists'!$A$2:$L$800,4,FALSE)</f>
        <v>#N/A</v>
      </c>
      <c r="E228" s="43" t="e">
        <f>VLOOKUP($A228,'[2]Team lists'!$A$2:$L$800,5,FALSE)</f>
        <v>#N/A</v>
      </c>
      <c r="F228" s="43" t="e">
        <f>VLOOKUP($A228,'[2]Team lists'!$A$2:$L$800,6,FALSE)</f>
        <v>#N/A</v>
      </c>
      <c r="G228" s="43" t="e">
        <f>VLOOKUP($A228,'[2]Team lists'!$A$2:$L$800,7,FALSE)</f>
        <v>#N/A</v>
      </c>
      <c r="H228" s="43" t="e">
        <f>VLOOKUP($A228,'[2]Team lists'!$A$2:$L$800,8,FALSE)</f>
        <v>#N/A</v>
      </c>
      <c r="I228" s="43" t="e">
        <f>VLOOKUP($A228,'[2]Team lists'!$A$2:$L$800,9,FALSE)</f>
        <v>#N/A</v>
      </c>
      <c r="J228" s="43" t="e">
        <f>VLOOKUP($A228,'[2]Team lists'!$A$2:$L$800,9,FALSE)</f>
        <v>#N/A</v>
      </c>
      <c r="K228" s="43" t="e">
        <f>VLOOKUP($A228,'[2]Team lists'!$A$2:$L$800,10,FALSE)</f>
        <v>#N/A</v>
      </c>
      <c r="L228" s="43" t="e">
        <f>VLOOKUP($A228,'[2]Team lists'!$A$2:$L$800,11,FALSE)</f>
        <v>#N/A</v>
      </c>
    </row>
    <row r="229" spans="2:13">
      <c r="B229" s="43" t="e">
        <f>VLOOKUP($A229,'[2]Team lists'!$A$2:$L$800,2,FALSE)</f>
        <v>#N/A</v>
      </c>
      <c r="C229" s="43" t="e">
        <f>VLOOKUP($A229,'[2]Team lists'!$A$2:$L$800,3,FALSE)</f>
        <v>#N/A</v>
      </c>
      <c r="D229" s="43" t="e">
        <f>VLOOKUP($A229,'[2]Team lists'!$A$2:$L$800,4,FALSE)</f>
        <v>#N/A</v>
      </c>
      <c r="E229" s="43" t="e">
        <f>VLOOKUP($A229,'[2]Team lists'!$A$2:$L$800,5,FALSE)</f>
        <v>#N/A</v>
      </c>
      <c r="F229" s="43" t="e">
        <f>VLOOKUP($A229,'[2]Team lists'!$A$2:$L$800,6,FALSE)</f>
        <v>#N/A</v>
      </c>
      <c r="G229" s="43" t="e">
        <f>VLOOKUP($A229,'[2]Team lists'!$A$2:$L$800,7,FALSE)</f>
        <v>#N/A</v>
      </c>
      <c r="H229" s="43" t="e">
        <f>VLOOKUP($A229,'[2]Team lists'!$A$2:$L$800,8,FALSE)</f>
        <v>#N/A</v>
      </c>
      <c r="I229" s="43" t="e">
        <f>VLOOKUP($A229,'[2]Team lists'!$A$2:$L$800,9,FALSE)</f>
        <v>#N/A</v>
      </c>
      <c r="J229" s="43" t="e">
        <f>VLOOKUP($A229,'[2]Team lists'!$A$2:$L$800,9,FALSE)</f>
        <v>#N/A</v>
      </c>
      <c r="K229" s="43" t="e">
        <f>VLOOKUP($A229,'[2]Team lists'!$A$2:$L$800,10,FALSE)</f>
        <v>#N/A</v>
      </c>
      <c r="L229" s="43" t="e">
        <f>VLOOKUP($A229,'[2]Team lists'!$A$2:$L$800,11,FALSE)</f>
        <v>#N/A</v>
      </c>
    </row>
    <row r="230" spans="2:13">
      <c r="B230" s="43" t="e">
        <f>VLOOKUP($A230,'[2]Team lists'!$A$2:$L$800,2,FALSE)</f>
        <v>#N/A</v>
      </c>
      <c r="C230" s="43" t="e">
        <f>VLOOKUP($A230,'[2]Team lists'!$A$2:$L$800,3,FALSE)</f>
        <v>#N/A</v>
      </c>
      <c r="D230" s="43" t="e">
        <f>VLOOKUP($A230,'[2]Team lists'!$A$2:$L$800,4,FALSE)</f>
        <v>#N/A</v>
      </c>
      <c r="E230" s="43" t="e">
        <f>VLOOKUP($A230,'[2]Team lists'!$A$2:$L$800,5,FALSE)</f>
        <v>#N/A</v>
      </c>
      <c r="F230" s="43" t="e">
        <f>VLOOKUP($A230,'[2]Team lists'!$A$2:$L$800,6,FALSE)</f>
        <v>#N/A</v>
      </c>
      <c r="G230" s="43" t="e">
        <f>VLOOKUP($A230,'[2]Team lists'!$A$2:$L$800,7,FALSE)</f>
        <v>#N/A</v>
      </c>
      <c r="H230" s="43" t="e">
        <f>VLOOKUP($A230,'[2]Team lists'!$A$2:$L$800,8,FALSE)</f>
        <v>#N/A</v>
      </c>
      <c r="I230" s="43" t="e">
        <f>VLOOKUP($A230,'[2]Team lists'!$A$2:$L$800,9,FALSE)</f>
        <v>#N/A</v>
      </c>
      <c r="J230" s="43" t="e">
        <f>VLOOKUP($A230,'[2]Team lists'!$A$2:$L$800,9,FALSE)</f>
        <v>#N/A</v>
      </c>
      <c r="K230" s="43" t="e">
        <f>VLOOKUP($A230,'[2]Team lists'!$A$2:$L$800,10,FALSE)</f>
        <v>#N/A</v>
      </c>
      <c r="L230" s="43" t="e">
        <f>VLOOKUP($A230,'[2]Team lists'!$A$2:$L$800,11,FALSE)</f>
        <v>#N/A</v>
      </c>
    </row>
    <row r="231" spans="2:13">
      <c r="B231" s="43" t="e">
        <f>VLOOKUP($A231,'[2]Team lists'!$A$2:$L$800,2,FALSE)</f>
        <v>#N/A</v>
      </c>
      <c r="C231" s="43" t="e">
        <f>VLOOKUP($A231,'[2]Team lists'!$A$2:$L$800,3,FALSE)</f>
        <v>#N/A</v>
      </c>
      <c r="D231" s="43" t="e">
        <f>VLOOKUP($A231,'[2]Team lists'!$A$2:$L$800,4,FALSE)</f>
        <v>#N/A</v>
      </c>
      <c r="E231" s="43" t="e">
        <f>VLOOKUP($A231,'[2]Team lists'!$A$2:$L$800,5,FALSE)</f>
        <v>#N/A</v>
      </c>
      <c r="F231" s="43" t="e">
        <f>VLOOKUP($A231,'[2]Team lists'!$A$2:$L$800,6,FALSE)</f>
        <v>#N/A</v>
      </c>
      <c r="G231" s="43" t="e">
        <f>VLOOKUP($A231,'[2]Team lists'!$A$2:$L$800,7,FALSE)</f>
        <v>#N/A</v>
      </c>
      <c r="H231" s="43" t="e">
        <f>VLOOKUP($A231,'[2]Team lists'!$A$2:$L$800,8,FALSE)</f>
        <v>#N/A</v>
      </c>
      <c r="I231" s="43" t="e">
        <f>VLOOKUP($A231,'[2]Team lists'!$A$2:$L$800,9,FALSE)</f>
        <v>#N/A</v>
      </c>
      <c r="J231" s="43" t="e">
        <f>VLOOKUP($A231,'[2]Team lists'!$A$2:$L$800,9,FALSE)</f>
        <v>#N/A</v>
      </c>
      <c r="K231" s="43" t="e">
        <f>VLOOKUP($A231,'[2]Team lists'!$A$2:$L$800,10,FALSE)</f>
        <v>#N/A</v>
      </c>
      <c r="L231" s="43" t="e">
        <f>VLOOKUP($A231,'[2]Team lists'!$A$2:$L$800,11,FALSE)</f>
        <v>#N/A</v>
      </c>
    </row>
    <row r="232" spans="2:13">
      <c r="B232" s="43" t="e">
        <f>VLOOKUP($A232,'[2]Team lists'!$A$2:$L$800,2,FALSE)</f>
        <v>#N/A</v>
      </c>
      <c r="C232" s="43" t="e">
        <f>VLOOKUP($A232,'[2]Team lists'!$A$2:$L$800,3,FALSE)</f>
        <v>#N/A</v>
      </c>
      <c r="D232" s="43" t="e">
        <f>VLOOKUP($A232,'[2]Team lists'!$A$2:$L$800,4,FALSE)</f>
        <v>#N/A</v>
      </c>
      <c r="E232" s="43" t="e">
        <f>VLOOKUP($A232,'[2]Team lists'!$A$2:$L$800,5,FALSE)</f>
        <v>#N/A</v>
      </c>
      <c r="F232" s="43" t="e">
        <f>VLOOKUP($A232,'[2]Team lists'!$A$2:$L$800,6,FALSE)</f>
        <v>#N/A</v>
      </c>
      <c r="G232" s="43" t="e">
        <f>VLOOKUP($A232,'[2]Team lists'!$A$2:$L$800,7,FALSE)</f>
        <v>#N/A</v>
      </c>
      <c r="H232" s="43" t="e">
        <f>VLOOKUP($A232,'[2]Team lists'!$A$2:$L$800,8,FALSE)</f>
        <v>#N/A</v>
      </c>
      <c r="I232" s="43" t="e">
        <f>VLOOKUP($A232,'[2]Team lists'!$A$2:$L$800,9,FALSE)</f>
        <v>#N/A</v>
      </c>
      <c r="J232" s="43" t="e">
        <f>VLOOKUP($A232,'[2]Team lists'!$A$2:$L$800,9,FALSE)</f>
        <v>#N/A</v>
      </c>
      <c r="K232" s="43" t="e">
        <f>VLOOKUP($A232,'[2]Team lists'!$A$2:$L$800,10,FALSE)</f>
        <v>#N/A</v>
      </c>
      <c r="L232" s="43" t="e">
        <f>VLOOKUP($A232,'[2]Team lists'!$A$2:$L$800,11,FALSE)</f>
        <v>#N/A</v>
      </c>
    </row>
    <row r="233" spans="2:13">
      <c r="B233" s="43" t="e">
        <f>VLOOKUP($A233,'[2]Team lists'!$A$2:$L$800,2,FALSE)</f>
        <v>#N/A</v>
      </c>
      <c r="C233" s="43" t="e">
        <f>VLOOKUP($A233,'[2]Team lists'!$A$2:$L$800,3,FALSE)</f>
        <v>#N/A</v>
      </c>
      <c r="D233" s="43" t="e">
        <f>VLOOKUP($A233,'[2]Team lists'!$A$2:$L$800,4,FALSE)</f>
        <v>#N/A</v>
      </c>
      <c r="E233" s="43" t="e">
        <f>VLOOKUP($A233,'[2]Team lists'!$A$2:$L$800,5,FALSE)</f>
        <v>#N/A</v>
      </c>
      <c r="F233" s="43" t="e">
        <f>VLOOKUP($A233,'[2]Team lists'!$A$2:$L$800,6,FALSE)</f>
        <v>#N/A</v>
      </c>
      <c r="G233" s="43" t="e">
        <f>VLOOKUP($A233,'[2]Team lists'!$A$2:$L$800,7,FALSE)</f>
        <v>#N/A</v>
      </c>
      <c r="H233" s="43" t="e">
        <f>VLOOKUP($A233,'[2]Team lists'!$A$2:$L$800,8,FALSE)</f>
        <v>#N/A</v>
      </c>
      <c r="I233" s="43" t="e">
        <f>VLOOKUP($A233,'[2]Team lists'!$A$2:$L$800,9,FALSE)</f>
        <v>#N/A</v>
      </c>
      <c r="J233" s="43" t="e">
        <f>VLOOKUP($A233,'[2]Team lists'!$A$2:$L$800,9,FALSE)</f>
        <v>#N/A</v>
      </c>
      <c r="K233" s="43" t="e">
        <f>VLOOKUP($A233,'[2]Team lists'!$A$2:$L$800,10,FALSE)</f>
        <v>#N/A</v>
      </c>
      <c r="L233" s="43" t="e">
        <f>VLOOKUP($A233,'[2]Team lists'!$A$2:$L$800,11,FALSE)</f>
        <v>#N/A</v>
      </c>
    </row>
    <row r="234" spans="2:13">
      <c r="B234" s="43" t="e">
        <f>VLOOKUP($A234,'[2]Team lists'!$A$2:$L$800,2,FALSE)</f>
        <v>#N/A</v>
      </c>
      <c r="C234" s="43" t="e">
        <f>VLOOKUP($A234,'[2]Team lists'!$A$2:$L$800,3,FALSE)</f>
        <v>#N/A</v>
      </c>
      <c r="D234" s="43" t="e">
        <f>VLOOKUP($A234,'[2]Team lists'!$A$2:$L$800,4,FALSE)</f>
        <v>#N/A</v>
      </c>
      <c r="E234" s="43" t="e">
        <f>VLOOKUP($A234,'[2]Team lists'!$A$2:$L$800,5,FALSE)</f>
        <v>#N/A</v>
      </c>
      <c r="F234" s="43" t="e">
        <f>VLOOKUP($A234,'[2]Team lists'!$A$2:$L$800,6,FALSE)</f>
        <v>#N/A</v>
      </c>
      <c r="G234" s="43" t="e">
        <f>VLOOKUP($A234,'[2]Team lists'!$A$2:$L$800,7,FALSE)</f>
        <v>#N/A</v>
      </c>
      <c r="H234" s="43" t="e">
        <f>VLOOKUP($A234,'[2]Team lists'!$A$2:$L$800,8,FALSE)</f>
        <v>#N/A</v>
      </c>
      <c r="I234" s="43" t="e">
        <f>VLOOKUP($A234,'[2]Team lists'!$A$2:$L$800,9,FALSE)</f>
        <v>#N/A</v>
      </c>
      <c r="J234" s="43" t="e">
        <f>VLOOKUP($A234,'[2]Team lists'!$A$2:$L$800,9,FALSE)</f>
        <v>#N/A</v>
      </c>
      <c r="K234" s="43" t="e">
        <f>VLOOKUP($A234,'[2]Team lists'!$A$2:$L$800,10,FALSE)</f>
        <v>#N/A</v>
      </c>
      <c r="L234" s="43" t="e">
        <f>VLOOKUP($A234,'[2]Team lists'!$A$2:$L$800,11,FALSE)</f>
        <v>#N/A</v>
      </c>
    </row>
    <row r="235" spans="2:13">
      <c r="B235" s="43" t="e">
        <f>VLOOKUP($A235,'[2]Team lists'!$A$2:$L$800,2,FALSE)</f>
        <v>#N/A</v>
      </c>
      <c r="C235" s="43" t="e">
        <f>VLOOKUP($A235,'[2]Team lists'!$A$2:$L$800,3,FALSE)</f>
        <v>#N/A</v>
      </c>
      <c r="D235" s="43" t="e">
        <f>VLOOKUP($A235,'[2]Team lists'!$A$2:$L$800,4,FALSE)</f>
        <v>#N/A</v>
      </c>
      <c r="E235" s="43" t="e">
        <f>VLOOKUP($A235,'[2]Team lists'!$A$2:$L$800,5,FALSE)</f>
        <v>#N/A</v>
      </c>
      <c r="F235" s="43" t="e">
        <f>VLOOKUP($A235,'[2]Team lists'!$A$2:$L$800,6,FALSE)</f>
        <v>#N/A</v>
      </c>
      <c r="G235" s="43" t="e">
        <f>VLOOKUP($A235,'[2]Team lists'!$A$2:$L$800,7,FALSE)</f>
        <v>#N/A</v>
      </c>
      <c r="H235" s="43" t="e">
        <f>VLOOKUP($A235,'[2]Team lists'!$A$2:$L$800,8,FALSE)</f>
        <v>#N/A</v>
      </c>
      <c r="I235" s="43" t="e">
        <f>VLOOKUP($A235,'[2]Team lists'!$A$2:$L$800,9,FALSE)</f>
        <v>#N/A</v>
      </c>
      <c r="J235" s="43" t="e">
        <f>VLOOKUP($A235,'[2]Team lists'!$A$2:$L$800,9,FALSE)</f>
        <v>#N/A</v>
      </c>
      <c r="K235" s="43" t="e">
        <f>VLOOKUP($A235,'[2]Team lists'!$A$2:$L$800,10,FALSE)</f>
        <v>#N/A</v>
      </c>
      <c r="L235" s="43" t="e">
        <f>VLOOKUP($A235,'[2]Team lists'!$A$2:$L$800,11,FALSE)</f>
        <v>#N/A</v>
      </c>
    </row>
    <row r="236" spans="2:13">
      <c r="B236" s="43" t="e">
        <f>VLOOKUP($A236,'[2]Team lists'!$A$2:$L$800,2,FALSE)</f>
        <v>#N/A</v>
      </c>
      <c r="C236" s="43" t="e">
        <f>VLOOKUP($A236,'[2]Team lists'!$A$2:$L$800,3,FALSE)</f>
        <v>#N/A</v>
      </c>
      <c r="D236" s="43" t="e">
        <f>VLOOKUP($A236,'[2]Team lists'!$A$2:$L$800,4,FALSE)</f>
        <v>#N/A</v>
      </c>
      <c r="E236" s="43" t="e">
        <f>VLOOKUP($A236,'[2]Team lists'!$A$2:$L$800,5,FALSE)</f>
        <v>#N/A</v>
      </c>
      <c r="F236" s="43" t="e">
        <f>VLOOKUP($A236,'[2]Team lists'!$A$2:$L$800,6,FALSE)</f>
        <v>#N/A</v>
      </c>
      <c r="G236" s="43" t="e">
        <f>VLOOKUP($A236,'[2]Team lists'!$A$2:$L$800,7,FALSE)</f>
        <v>#N/A</v>
      </c>
      <c r="H236" s="43" t="e">
        <f>VLOOKUP($A236,'[2]Team lists'!$A$2:$L$800,8,FALSE)</f>
        <v>#N/A</v>
      </c>
      <c r="I236" s="43" t="e">
        <f>VLOOKUP($A236,'[2]Team lists'!$A$2:$L$800,9,FALSE)</f>
        <v>#N/A</v>
      </c>
      <c r="J236" s="43" t="e">
        <f>VLOOKUP($A236,'[2]Team lists'!$A$2:$L$800,9,FALSE)</f>
        <v>#N/A</v>
      </c>
      <c r="K236" s="43" t="e">
        <f>VLOOKUP($A236,'[2]Team lists'!$A$2:$L$800,10,FALSE)</f>
        <v>#N/A</v>
      </c>
      <c r="L236" s="43" t="e">
        <f>VLOOKUP($A236,'[2]Team lists'!$A$2:$L$800,11,FALSE)</f>
        <v>#N/A</v>
      </c>
    </row>
    <row r="237" spans="2:13">
      <c r="B237" s="43" t="e">
        <f>VLOOKUP($A237,'[2]Team lists'!$A$2:$L$800,2,FALSE)</f>
        <v>#N/A</v>
      </c>
      <c r="C237" s="43" t="e">
        <f>VLOOKUP($A237,'[2]Team lists'!$A$2:$L$800,3,FALSE)</f>
        <v>#N/A</v>
      </c>
      <c r="D237" s="43" t="e">
        <f>VLOOKUP($A237,'[2]Team lists'!$A$2:$L$800,4,FALSE)</f>
        <v>#N/A</v>
      </c>
      <c r="E237" s="43" t="e">
        <f>VLOOKUP($A237,'[2]Team lists'!$A$2:$L$800,5,FALSE)</f>
        <v>#N/A</v>
      </c>
      <c r="F237" s="43" t="e">
        <f>VLOOKUP($A237,'[2]Team lists'!$A$2:$L$800,6,FALSE)</f>
        <v>#N/A</v>
      </c>
      <c r="G237" s="43" t="e">
        <f>VLOOKUP($A237,'[2]Team lists'!$A$2:$L$800,7,FALSE)</f>
        <v>#N/A</v>
      </c>
      <c r="H237" s="43" t="e">
        <f>VLOOKUP($A237,'[2]Team lists'!$A$2:$L$800,8,FALSE)</f>
        <v>#N/A</v>
      </c>
      <c r="I237" s="43" t="e">
        <f>VLOOKUP($A237,'[2]Team lists'!$A$2:$L$800,9,FALSE)</f>
        <v>#N/A</v>
      </c>
      <c r="J237" s="43" t="e">
        <f>VLOOKUP($A237,'[2]Team lists'!$A$2:$L$800,9,FALSE)</f>
        <v>#N/A</v>
      </c>
      <c r="K237" s="43" t="e">
        <f>VLOOKUP($A237,'[2]Team lists'!$A$2:$L$800,10,FALSE)</f>
        <v>#N/A</v>
      </c>
      <c r="L237" s="43" t="e">
        <f>VLOOKUP($A237,'[2]Team lists'!$A$2:$L$800,11,FALSE)</f>
        <v>#N/A</v>
      </c>
    </row>
    <row r="238" spans="2:13">
      <c r="B238" s="43" t="e">
        <f>VLOOKUP($A238,'[2]Team lists'!$A$2:$L$800,2,FALSE)</f>
        <v>#N/A</v>
      </c>
      <c r="C238" s="43" t="e">
        <f>VLOOKUP($A238,'[2]Team lists'!$A$2:$L$800,3,FALSE)</f>
        <v>#N/A</v>
      </c>
      <c r="D238" s="43" t="e">
        <f>VLOOKUP($A238,'[2]Team lists'!$A$2:$L$800,4,FALSE)</f>
        <v>#N/A</v>
      </c>
      <c r="E238" s="43" t="e">
        <f>VLOOKUP($A238,'[2]Team lists'!$A$2:$L$800,5,FALSE)</f>
        <v>#N/A</v>
      </c>
      <c r="F238" s="43" t="e">
        <f>VLOOKUP($A238,'[2]Team lists'!$A$2:$L$800,6,FALSE)</f>
        <v>#N/A</v>
      </c>
      <c r="G238" s="43" t="e">
        <f>VLOOKUP($A238,'[2]Team lists'!$A$2:$L$800,7,FALSE)</f>
        <v>#N/A</v>
      </c>
      <c r="H238" s="43" t="e">
        <f>VLOOKUP($A238,'[2]Team lists'!$A$2:$L$800,8,FALSE)</f>
        <v>#N/A</v>
      </c>
      <c r="I238" s="43" t="e">
        <f>VLOOKUP($A238,'[2]Team lists'!$A$2:$L$800,9,FALSE)</f>
        <v>#N/A</v>
      </c>
      <c r="J238" s="43" t="e">
        <f>VLOOKUP($A238,'[2]Team lists'!$A$2:$L$800,9,FALSE)</f>
        <v>#N/A</v>
      </c>
      <c r="K238" s="43" t="e">
        <f>VLOOKUP($A238,'[2]Team lists'!$A$2:$L$800,10,FALSE)</f>
        <v>#N/A</v>
      </c>
      <c r="L238" s="43" t="e">
        <f>VLOOKUP($A238,'[2]Team lists'!$A$2:$L$800,11,FALSE)</f>
        <v>#N/A</v>
      </c>
    </row>
    <row r="239" spans="2:13" ht="18" thickBot="1">
      <c r="B239" s="45" t="s">
        <v>3210</v>
      </c>
      <c r="C239" s="46"/>
      <c r="D239" s="47"/>
      <c r="E239" s="48" t="e">
        <f t="shared" ref="E239:L239" si="14">SUM(E228:E238)</f>
        <v>#N/A</v>
      </c>
      <c r="F239" s="49" t="e">
        <f t="shared" si="14"/>
        <v>#N/A</v>
      </c>
      <c r="G239" s="49" t="e">
        <f t="shared" si="14"/>
        <v>#N/A</v>
      </c>
      <c r="H239" s="49" t="e">
        <f t="shared" si="14"/>
        <v>#N/A</v>
      </c>
      <c r="I239" s="49" t="e">
        <f t="shared" si="14"/>
        <v>#N/A</v>
      </c>
      <c r="J239" s="49" t="e">
        <f t="shared" si="14"/>
        <v>#N/A</v>
      </c>
      <c r="K239" s="49" t="e">
        <f t="shared" si="14"/>
        <v>#N/A</v>
      </c>
      <c r="L239" s="50" t="e">
        <f t="shared" si="14"/>
        <v>#N/A</v>
      </c>
    </row>
    <row r="240" spans="2:13" ht="18.600000000000001" thickTop="1" thickBot="1"/>
    <row r="241" spans="2:13" ht="18" thickTop="1">
      <c r="B241" s="23" t="s">
        <v>3204</v>
      </c>
      <c r="C241" s="24" t="s">
        <v>3205</v>
      </c>
      <c r="D241" s="25"/>
      <c r="E241" s="25"/>
      <c r="F241" s="53"/>
      <c r="G241" s="28" t="s">
        <v>3206</v>
      </c>
      <c r="H241" s="54"/>
      <c r="I241" s="54"/>
      <c r="J241" s="54"/>
      <c r="K241" s="28" t="s">
        <v>3207</v>
      </c>
      <c r="L241" s="29"/>
      <c r="M241" s="22" t="str">
        <f>G241</f>
        <v>Manager:</v>
      </c>
    </row>
    <row r="242" spans="2:13" ht="18" thickBot="1">
      <c r="B242" s="30">
        <v>16</v>
      </c>
      <c r="C242" s="57"/>
      <c r="D242" s="31"/>
      <c r="E242" s="31"/>
      <c r="F242" s="33"/>
      <c r="G242" s="55"/>
      <c r="H242" s="55"/>
      <c r="I242" s="55"/>
      <c r="J242" s="55"/>
      <c r="K242" s="34" t="e">
        <f>SUM(F255:L255)</f>
        <v>#N/A</v>
      </c>
      <c r="L242" s="35"/>
      <c r="M242" s="22">
        <f>G242</f>
        <v>0</v>
      </c>
    </row>
    <row r="243" spans="2:13" ht="18.600000000000001" thickTop="1">
      <c r="B243" s="58" t="s">
        <v>913</v>
      </c>
      <c r="C243" s="59" t="s">
        <v>912</v>
      </c>
      <c r="D243" s="60" t="s">
        <v>911</v>
      </c>
      <c r="E243" s="61" t="s">
        <v>3209</v>
      </c>
      <c r="F243" s="62" t="s">
        <v>3162</v>
      </c>
      <c r="G243" s="62" t="s">
        <v>3163</v>
      </c>
      <c r="H243" s="62" t="s">
        <v>3164</v>
      </c>
      <c r="I243" s="62" t="s">
        <v>3165</v>
      </c>
      <c r="J243" s="62" t="s">
        <v>3166</v>
      </c>
      <c r="K243" s="62" t="s">
        <v>3167</v>
      </c>
      <c r="L243" s="63" t="s">
        <v>3168</v>
      </c>
    </row>
    <row r="244" spans="2:13">
      <c r="B244" s="43" t="e">
        <f>VLOOKUP($A244,'[2]Team lists'!$A$2:$L$800,2,FALSE)</f>
        <v>#N/A</v>
      </c>
      <c r="C244" s="43" t="e">
        <f>VLOOKUP($A244,'[2]Team lists'!$A$2:$L$800,3,FALSE)</f>
        <v>#N/A</v>
      </c>
      <c r="D244" s="43" t="e">
        <f>VLOOKUP($A244,'[2]Team lists'!$A$2:$L$800,4,FALSE)</f>
        <v>#N/A</v>
      </c>
      <c r="E244" s="43" t="e">
        <f>VLOOKUP($A244,'[2]Team lists'!$A$2:$L$800,5,FALSE)</f>
        <v>#N/A</v>
      </c>
      <c r="F244" s="43" t="e">
        <f>VLOOKUP($A244,'[2]Team lists'!$A$2:$L$800,6,FALSE)</f>
        <v>#N/A</v>
      </c>
      <c r="G244" s="43" t="e">
        <f>VLOOKUP($A244,'[2]Team lists'!$A$2:$L$800,7,FALSE)</f>
        <v>#N/A</v>
      </c>
      <c r="H244" s="43" t="e">
        <f>VLOOKUP($A244,'[2]Team lists'!$A$2:$L$800,8,FALSE)</f>
        <v>#N/A</v>
      </c>
      <c r="I244" s="43" t="e">
        <f>VLOOKUP($A244,'[2]Team lists'!$A$2:$L$800,9,FALSE)</f>
        <v>#N/A</v>
      </c>
      <c r="J244" s="43" t="e">
        <f>VLOOKUP($A244,'[2]Team lists'!$A$2:$L$800,9,FALSE)</f>
        <v>#N/A</v>
      </c>
      <c r="K244" s="43" t="e">
        <f>VLOOKUP($A244,'[2]Team lists'!$A$2:$L$800,10,FALSE)</f>
        <v>#N/A</v>
      </c>
      <c r="L244" s="43" t="e">
        <f>VLOOKUP($A244,'[2]Team lists'!$A$2:$L$800,11,FALSE)</f>
        <v>#N/A</v>
      </c>
    </row>
    <row r="245" spans="2:13">
      <c r="B245" s="43" t="e">
        <f>VLOOKUP($A245,'[2]Team lists'!$A$2:$L$800,2,FALSE)</f>
        <v>#N/A</v>
      </c>
      <c r="C245" s="43" t="e">
        <f>VLOOKUP($A245,'[2]Team lists'!$A$2:$L$800,3,FALSE)</f>
        <v>#N/A</v>
      </c>
      <c r="D245" s="43" t="e">
        <f>VLOOKUP($A245,'[2]Team lists'!$A$2:$L$800,4,FALSE)</f>
        <v>#N/A</v>
      </c>
      <c r="E245" s="43" t="e">
        <f>VLOOKUP($A245,'[2]Team lists'!$A$2:$L$800,5,FALSE)</f>
        <v>#N/A</v>
      </c>
      <c r="F245" s="43" t="e">
        <f>VLOOKUP($A245,'[2]Team lists'!$A$2:$L$800,6,FALSE)</f>
        <v>#N/A</v>
      </c>
      <c r="G245" s="43" t="e">
        <f>VLOOKUP($A245,'[2]Team lists'!$A$2:$L$800,7,FALSE)</f>
        <v>#N/A</v>
      </c>
      <c r="H245" s="43" t="e">
        <f>VLOOKUP($A245,'[2]Team lists'!$A$2:$L$800,8,FALSE)</f>
        <v>#N/A</v>
      </c>
      <c r="I245" s="43" t="e">
        <f>VLOOKUP($A245,'[2]Team lists'!$A$2:$L$800,9,FALSE)</f>
        <v>#N/A</v>
      </c>
      <c r="J245" s="43" t="e">
        <f>VLOOKUP($A245,'[2]Team lists'!$A$2:$L$800,9,FALSE)</f>
        <v>#N/A</v>
      </c>
      <c r="K245" s="43" t="e">
        <f>VLOOKUP($A245,'[2]Team lists'!$A$2:$L$800,10,FALSE)</f>
        <v>#N/A</v>
      </c>
      <c r="L245" s="43" t="e">
        <f>VLOOKUP($A245,'[2]Team lists'!$A$2:$L$800,11,FALSE)</f>
        <v>#N/A</v>
      </c>
    </row>
    <row r="246" spans="2:13">
      <c r="B246" s="43" t="e">
        <f>VLOOKUP($A246,'[2]Team lists'!$A$2:$L$800,2,FALSE)</f>
        <v>#N/A</v>
      </c>
      <c r="C246" s="43" t="e">
        <f>VLOOKUP($A246,'[2]Team lists'!$A$2:$L$800,3,FALSE)</f>
        <v>#N/A</v>
      </c>
      <c r="D246" s="43" t="e">
        <f>VLOOKUP($A246,'[2]Team lists'!$A$2:$L$800,4,FALSE)</f>
        <v>#N/A</v>
      </c>
      <c r="E246" s="43" t="e">
        <f>VLOOKUP($A246,'[2]Team lists'!$A$2:$L$800,5,FALSE)</f>
        <v>#N/A</v>
      </c>
      <c r="F246" s="43" t="e">
        <f>VLOOKUP($A246,'[2]Team lists'!$A$2:$L$800,6,FALSE)</f>
        <v>#N/A</v>
      </c>
      <c r="G246" s="43" t="e">
        <f>VLOOKUP($A246,'[2]Team lists'!$A$2:$L$800,7,FALSE)</f>
        <v>#N/A</v>
      </c>
      <c r="H246" s="43" t="e">
        <f>VLOOKUP($A246,'[2]Team lists'!$A$2:$L$800,8,FALSE)</f>
        <v>#N/A</v>
      </c>
      <c r="I246" s="43" t="e">
        <f>VLOOKUP($A246,'[2]Team lists'!$A$2:$L$800,9,FALSE)</f>
        <v>#N/A</v>
      </c>
      <c r="J246" s="43" t="e">
        <f>VLOOKUP($A246,'[2]Team lists'!$A$2:$L$800,9,FALSE)</f>
        <v>#N/A</v>
      </c>
      <c r="K246" s="43" t="e">
        <f>VLOOKUP($A246,'[2]Team lists'!$A$2:$L$800,10,FALSE)</f>
        <v>#N/A</v>
      </c>
      <c r="L246" s="43" t="e">
        <f>VLOOKUP($A246,'[2]Team lists'!$A$2:$L$800,11,FALSE)</f>
        <v>#N/A</v>
      </c>
    </row>
    <row r="247" spans="2:13">
      <c r="B247" s="43" t="e">
        <f>VLOOKUP($A247,'[2]Team lists'!$A$2:$L$800,2,FALSE)</f>
        <v>#N/A</v>
      </c>
      <c r="C247" s="43" t="e">
        <f>VLOOKUP($A247,'[2]Team lists'!$A$2:$L$800,3,FALSE)</f>
        <v>#N/A</v>
      </c>
      <c r="D247" s="43" t="e">
        <f>VLOOKUP($A247,'[2]Team lists'!$A$2:$L$800,4,FALSE)</f>
        <v>#N/A</v>
      </c>
      <c r="E247" s="43" t="e">
        <f>VLOOKUP($A247,'[2]Team lists'!$A$2:$L$800,5,FALSE)</f>
        <v>#N/A</v>
      </c>
      <c r="F247" s="43" t="e">
        <f>VLOOKUP($A247,'[2]Team lists'!$A$2:$L$800,6,FALSE)</f>
        <v>#N/A</v>
      </c>
      <c r="G247" s="43" t="e">
        <f>VLOOKUP($A247,'[2]Team lists'!$A$2:$L$800,7,FALSE)</f>
        <v>#N/A</v>
      </c>
      <c r="H247" s="43" t="e">
        <f>VLOOKUP($A247,'[2]Team lists'!$A$2:$L$800,8,FALSE)</f>
        <v>#N/A</v>
      </c>
      <c r="I247" s="43" t="e">
        <f>VLOOKUP($A247,'[2]Team lists'!$A$2:$L$800,9,FALSE)</f>
        <v>#N/A</v>
      </c>
      <c r="J247" s="43" t="e">
        <f>VLOOKUP($A247,'[2]Team lists'!$A$2:$L$800,9,FALSE)</f>
        <v>#N/A</v>
      </c>
      <c r="K247" s="43" t="e">
        <f>VLOOKUP($A247,'[2]Team lists'!$A$2:$L$800,10,FALSE)</f>
        <v>#N/A</v>
      </c>
      <c r="L247" s="43" t="e">
        <f>VLOOKUP($A247,'[2]Team lists'!$A$2:$L$800,11,FALSE)</f>
        <v>#N/A</v>
      </c>
    </row>
    <row r="248" spans="2:13">
      <c r="B248" s="43" t="e">
        <f>VLOOKUP($A248,'[2]Team lists'!$A$2:$L$800,2,FALSE)</f>
        <v>#N/A</v>
      </c>
      <c r="C248" s="43" t="e">
        <f>VLOOKUP($A248,'[2]Team lists'!$A$2:$L$800,3,FALSE)</f>
        <v>#N/A</v>
      </c>
      <c r="D248" s="43" t="e">
        <f>VLOOKUP($A248,'[2]Team lists'!$A$2:$L$800,4,FALSE)</f>
        <v>#N/A</v>
      </c>
      <c r="E248" s="43" t="e">
        <f>VLOOKUP($A248,'[2]Team lists'!$A$2:$L$800,5,FALSE)</f>
        <v>#N/A</v>
      </c>
      <c r="F248" s="43" t="e">
        <f>VLOOKUP($A248,'[2]Team lists'!$A$2:$L$800,6,FALSE)</f>
        <v>#N/A</v>
      </c>
      <c r="G248" s="43" t="e">
        <f>VLOOKUP($A248,'[2]Team lists'!$A$2:$L$800,7,FALSE)</f>
        <v>#N/A</v>
      </c>
      <c r="H248" s="43" t="e">
        <f>VLOOKUP($A248,'[2]Team lists'!$A$2:$L$800,8,FALSE)</f>
        <v>#N/A</v>
      </c>
      <c r="I248" s="43" t="e">
        <f>VLOOKUP($A248,'[2]Team lists'!$A$2:$L$800,9,FALSE)</f>
        <v>#N/A</v>
      </c>
      <c r="J248" s="43" t="e">
        <f>VLOOKUP($A248,'[2]Team lists'!$A$2:$L$800,9,FALSE)</f>
        <v>#N/A</v>
      </c>
      <c r="K248" s="43" t="e">
        <f>VLOOKUP($A248,'[2]Team lists'!$A$2:$L$800,10,FALSE)</f>
        <v>#N/A</v>
      </c>
      <c r="L248" s="43" t="e">
        <f>VLOOKUP($A248,'[2]Team lists'!$A$2:$L$800,11,FALSE)</f>
        <v>#N/A</v>
      </c>
    </row>
    <row r="249" spans="2:13">
      <c r="B249" s="43" t="e">
        <f>VLOOKUP($A249,'[2]Team lists'!$A$2:$L$800,2,FALSE)</f>
        <v>#N/A</v>
      </c>
      <c r="C249" s="43" t="e">
        <f>VLOOKUP($A249,'[2]Team lists'!$A$2:$L$800,3,FALSE)</f>
        <v>#N/A</v>
      </c>
      <c r="D249" s="43" t="e">
        <f>VLOOKUP($A249,'[2]Team lists'!$A$2:$L$800,4,FALSE)</f>
        <v>#N/A</v>
      </c>
      <c r="E249" s="43" t="e">
        <f>VLOOKUP($A249,'[2]Team lists'!$A$2:$L$800,5,FALSE)</f>
        <v>#N/A</v>
      </c>
      <c r="F249" s="43" t="e">
        <f>VLOOKUP($A249,'[2]Team lists'!$A$2:$L$800,6,FALSE)</f>
        <v>#N/A</v>
      </c>
      <c r="G249" s="43" t="e">
        <f>VLOOKUP($A249,'[2]Team lists'!$A$2:$L$800,7,FALSE)</f>
        <v>#N/A</v>
      </c>
      <c r="H249" s="43" t="e">
        <f>VLOOKUP($A249,'[2]Team lists'!$A$2:$L$800,8,FALSE)</f>
        <v>#N/A</v>
      </c>
      <c r="I249" s="43" t="e">
        <f>VLOOKUP($A249,'[2]Team lists'!$A$2:$L$800,9,FALSE)</f>
        <v>#N/A</v>
      </c>
      <c r="J249" s="43" t="e">
        <f>VLOOKUP($A249,'[2]Team lists'!$A$2:$L$800,9,FALSE)</f>
        <v>#N/A</v>
      </c>
      <c r="K249" s="43" t="e">
        <f>VLOOKUP($A249,'[2]Team lists'!$A$2:$L$800,10,FALSE)</f>
        <v>#N/A</v>
      </c>
      <c r="L249" s="43" t="e">
        <f>VLOOKUP($A249,'[2]Team lists'!$A$2:$L$800,11,FALSE)</f>
        <v>#N/A</v>
      </c>
    </row>
    <row r="250" spans="2:13">
      <c r="B250" s="43" t="e">
        <f>VLOOKUP($A250,'[2]Team lists'!$A$2:$L$800,2,FALSE)</f>
        <v>#N/A</v>
      </c>
      <c r="C250" s="43" t="e">
        <f>VLOOKUP($A250,'[2]Team lists'!$A$2:$L$800,3,FALSE)</f>
        <v>#N/A</v>
      </c>
      <c r="D250" s="43" t="e">
        <f>VLOOKUP($A250,'[2]Team lists'!$A$2:$L$800,4,FALSE)</f>
        <v>#N/A</v>
      </c>
      <c r="E250" s="43" t="e">
        <f>VLOOKUP($A250,'[2]Team lists'!$A$2:$L$800,5,FALSE)</f>
        <v>#N/A</v>
      </c>
      <c r="F250" s="43" t="e">
        <f>VLOOKUP($A250,'[2]Team lists'!$A$2:$L$800,6,FALSE)</f>
        <v>#N/A</v>
      </c>
      <c r="G250" s="43" t="e">
        <f>VLOOKUP($A250,'[2]Team lists'!$A$2:$L$800,7,FALSE)</f>
        <v>#N/A</v>
      </c>
      <c r="H250" s="43" t="e">
        <f>VLOOKUP($A250,'[2]Team lists'!$A$2:$L$800,8,FALSE)</f>
        <v>#N/A</v>
      </c>
      <c r="I250" s="43" t="e">
        <f>VLOOKUP($A250,'[2]Team lists'!$A$2:$L$800,9,FALSE)</f>
        <v>#N/A</v>
      </c>
      <c r="J250" s="43" t="e">
        <f>VLOOKUP($A250,'[2]Team lists'!$A$2:$L$800,9,FALSE)</f>
        <v>#N/A</v>
      </c>
      <c r="K250" s="43" t="e">
        <f>VLOOKUP($A250,'[2]Team lists'!$A$2:$L$800,10,FALSE)</f>
        <v>#N/A</v>
      </c>
      <c r="L250" s="43" t="e">
        <f>VLOOKUP($A250,'[2]Team lists'!$A$2:$L$800,11,FALSE)</f>
        <v>#N/A</v>
      </c>
    </row>
    <row r="251" spans="2:13">
      <c r="B251" s="43" t="e">
        <f>VLOOKUP($A251,'[2]Team lists'!$A$2:$L$800,2,FALSE)</f>
        <v>#N/A</v>
      </c>
      <c r="C251" s="43" t="e">
        <f>VLOOKUP($A251,'[2]Team lists'!$A$2:$L$800,3,FALSE)</f>
        <v>#N/A</v>
      </c>
      <c r="D251" s="43" t="e">
        <f>VLOOKUP($A251,'[2]Team lists'!$A$2:$L$800,4,FALSE)</f>
        <v>#N/A</v>
      </c>
      <c r="E251" s="43" t="e">
        <f>VLOOKUP($A251,'[2]Team lists'!$A$2:$L$800,5,FALSE)</f>
        <v>#N/A</v>
      </c>
      <c r="F251" s="43" t="e">
        <f>VLOOKUP($A251,'[2]Team lists'!$A$2:$L$800,6,FALSE)</f>
        <v>#N/A</v>
      </c>
      <c r="G251" s="43" t="e">
        <f>VLOOKUP($A251,'[2]Team lists'!$A$2:$L$800,7,FALSE)</f>
        <v>#N/A</v>
      </c>
      <c r="H251" s="43" t="e">
        <f>VLOOKUP($A251,'[2]Team lists'!$A$2:$L$800,8,FALSE)</f>
        <v>#N/A</v>
      </c>
      <c r="I251" s="43" t="e">
        <f>VLOOKUP($A251,'[2]Team lists'!$A$2:$L$800,9,FALSE)</f>
        <v>#N/A</v>
      </c>
      <c r="J251" s="43" t="e">
        <f>VLOOKUP($A251,'[2]Team lists'!$A$2:$L$800,9,FALSE)</f>
        <v>#N/A</v>
      </c>
      <c r="K251" s="43" t="e">
        <f>VLOOKUP($A251,'[2]Team lists'!$A$2:$L$800,10,FALSE)</f>
        <v>#N/A</v>
      </c>
      <c r="L251" s="43" t="e">
        <f>VLOOKUP($A251,'[2]Team lists'!$A$2:$L$800,11,FALSE)</f>
        <v>#N/A</v>
      </c>
    </row>
    <row r="252" spans="2:13">
      <c r="B252" s="43" t="e">
        <f>VLOOKUP($A252,'[2]Team lists'!$A$2:$L$800,2,FALSE)</f>
        <v>#N/A</v>
      </c>
      <c r="C252" s="43" t="e">
        <f>VLOOKUP($A252,'[2]Team lists'!$A$2:$L$800,3,FALSE)</f>
        <v>#N/A</v>
      </c>
      <c r="D252" s="43" t="e">
        <f>VLOOKUP($A252,'[2]Team lists'!$A$2:$L$800,4,FALSE)</f>
        <v>#N/A</v>
      </c>
      <c r="E252" s="43" t="e">
        <f>VLOOKUP($A252,'[2]Team lists'!$A$2:$L$800,5,FALSE)</f>
        <v>#N/A</v>
      </c>
      <c r="F252" s="43" t="e">
        <f>VLOOKUP($A252,'[2]Team lists'!$A$2:$L$800,6,FALSE)</f>
        <v>#N/A</v>
      </c>
      <c r="G252" s="43" t="e">
        <f>VLOOKUP($A252,'[2]Team lists'!$A$2:$L$800,7,FALSE)</f>
        <v>#N/A</v>
      </c>
      <c r="H252" s="43" t="e">
        <f>VLOOKUP($A252,'[2]Team lists'!$A$2:$L$800,8,FALSE)</f>
        <v>#N/A</v>
      </c>
      <c r="I252" s="43" t="e">
        <f>VLOOKUP($A252,'[2]Team lists'!$A$2:$L$800,9,FALSE)</f>
        <v>#N/A</v>
      </c>
      <c r="J252" s="43" t="e">
        <f>VLOOKUP($A252,'[2]Team lists'!$A$2:$L$800,9,FALSE)</f>
        <v>#N/A</v>
      </c>
      <c r="K252" s="43" t="e">
        <f>VLOOKUP($A252,'[2]Team lists'!$A$2:$L$800,10,FALSE)</f>
        <v>#N/A</v>
      </c>
      <c r="L252" s="43" t="e">
        <f>VLOOKUP($A252,'[2]Team lists'!$A$2:$L$800,11,FALSE)</f>
        <v>#N/A</v>
      </c>
    </row>
    <row r="253" spans="2:13">
      <c r="B253" s="43" t="e">
        <f>VLOOKUP($A253,'[2]Team lists'!$A$2:$L$800,2,FALSE)</f>
        <v>#N/A</v>
      </c>
      <c r="C253" s="43" t="e">
        <f>VLOOKUP($A253,'[2]Team lists'!$A$2:$L$800,3,FALSE)</f>
        <v>#N/A</v>
      </c>
      <c r="D253" s="43" t="e">
        <f>VLOOKUP($A253,'[2]Team lists'!$A$2:$L$800,4,FALSE)</f>
        <v>#N/A</v>
      </c>
      <c r="E253" s="43" t="e">
        <f>VLOOKUP($A253,'[2]Team lists'!$A$2:$L$800,5,FALSE)</f>
        <v>#N/A</v>
      </c>
      <c r="F253" s="43" t="e">
        <f>VLOOKUP($A253,'[2]Team lists'!$A$2:$L$800,6,FALSE)</f>
        <v>#N/A</v>
      </c>
      <c r="G253" s="43" t="e">
        <f>VLOOKUP($A253,'[2]Team lists'!$A$2:$L$800,7,FALSE)</f>
        <v>#N/A</v>
      </c>
      <c r="H253" s="43" t="e">
        <f>VLOOKUP($A253,'[2]Team lists'!$A$2:$L$800,8,FALSE)</f>
        <v>#N/A</v>
      </c>
      <c r="I253" s="43" t="e">
        <f>VLOOKUP($A253,'[2]Team lists'!$A$2:$L$800,9,FALSE)</f>
        <v>#N/A</v>
      </c>
      <c r="J253" s="43" t="e">
        <f>VLOOKUP($A253,'[2]Team lists'!$A$2:$L$800,9,FALSE)</f>
        <v>#N/A</v>
      </c>
      <c r="K253" s="43" t="e">
        <f>VLOOKUP($A253,'[2]Team lists'!$A$2:$L$800,10,FALSE)</f>
        <v>#N/A</v>
      </c>
      <c r="L253" s="43" t="e">
        <f>VLOOKUP($A253,'[2]Team lists'!$A$2:$L$800,11,FALSE)</f>
        <v>#N/A</v>
      </c>
    </row>
    <row r="254" spans="2:13">
      <c r="B254" s="43" t="e">
        <f>VLOOKUP($A254,'[2]Team lists'!$A$2:$L$800,2,FALSE)</f>
        <v>#N/A</v>
      </c>
      <c r="C254" s="43" t="e">
        <f>VLOOKUP($A254,'[2]Team lists'!$A$2:$L$800,3,FALSE)</f>
        <v>#N/A</v>
      </c>
      <c r="D254" s="43" t="e">
        <f>VLOOKUP($A254,'[2]Team lists'!$A$2:$L$800,4,FALSE)</f>
        <v>#N/A</v>
      </c>
      <c r="E254" s="43" t="e">
        <f>VLOOKUP($A254,'[2]Team lists'!$A$2:$L$800,5,FALSE)</f>
        <v>#N/A</v>
      </c>
      <c r="F254" s="43" t="e">
        <f>VLOOKUP($A254,'[2]Team lists'!$A$2:$L$800,6,FALSE)</f>
        <v>#N/A</v>
      </c>
      <c r="G254" s="43" t="e">
        <f>VLOOKUP($A254,'[2]Team lists'!$A$2:$L$800,7,FALSE)</f>
        <v>#N/A</v>
      </c>
      <c r="H254" s="43" t="e">
        <f>VLOOKUP($A254,'[2]Team lists'!$A$2:$L$800,8,FALSE)</f>
        <v>#N/A</v>
      </c>
      <c r="I254" s="43" t="e">
        <f>VLOOKUP($A254,'[2]Team lists'!$A$2:$L$800,9,FALSE)</f>
        <v>#N/A</v>
      </c>
      <c r="J254" s="43" t="e">
        <f>VLOOKUP($A254,'[2]Team lists'!$A$2:$L$800,9,FALSE)</f>
        <v>#N/A</v>
      </c>
      <c r="K254" s="43" t="e">
        <f>VLOOKUP($A254,'[2]Team lists'!$A$2:$L$800,10,FALSE)</f>
        <v>#N/A</v>
      </c>
      <c r="L254" s="43" t="e">
        <f>VLOOKUP($A254,'[2]Team lists'!$A$2:$L$800,11,FALSE)</f>
        <v>#N/A</v>
      </c>
    </row>
    <row r="255" spans="2:13" ht="18" thickBot="1">
      <c r="B255" s="45" t="s">
        <v>3210</v>
      </c>
      <c r="C255" s="46"/>
      <c r="D255" s="47"/>
      <c r="E255" s="48" t="e">
        <f t="shared" ref="E255:L255" si="15">SUM(E244:E254)</f>
        <v>#N/A</v>
      </c>
      <c r="F255" s="49" t="e">
        <f t="shared" si="15"/>
        <v>#N/A</v>
      </c>
      <c r="G255" s="49" t="e">
        <f t="shared" si="15"/>
        <v>#N/A</v>
      </c>
      <c r="H255" s="49" t="e">
        <f t="shared" si="15"/>
        <v>#N/A</v>
      </c>
      <c r="I255" s="49" t="e">
        <f t="shared" si="15"/>
        <v>#N/A</v>
      </c>
      <c r="J255" s="49" t="e">
        <f t="shared" si="15"/>
        <v>#N/A</v>
      </c>
      <c r="K255" s="49" t="e">
        <f t="shared" si="15"/>
        <v>#N/A</v>
      </c>
      <c r="L255" s="50" t="e">
        <f t="shared" si="15"/>
        <v>#N/A</v>
      </c>
    </row>
    <row r="256" spans="2:13" ht="18.600000000000001" thickTop="1" thickBot="1"/>
    <row r="257" spans="2:13" ht="18" thickTop="1">
      <c r="B257" s="23" t="s">
        <v>3204</v>
      </c>
      <c r="C257" s="24" t="s">
        <v>3205</v>
      </c>
      <c r="D257" s="25"/>
      <c r="E257" s="25"/>
      <c r="F257" s="53"/>
      <c r="G257" s="28" t="s">
        <v>3206</v>
      </c>
      <c r="H257" s="54"/>
      <c r="I257" s="54"/>
      <c r="J257" s="54"/>
      <c r="K257" s="28" t="s">
        <v>3207</v>
      </c>
      <c r="L257" s="29"/>
      <c r="M257" s="22" t="str">
        <f>G257</f>
        <v>Manager:</v>
      </c>
    </row>
    <row r="258" spans="2:13" ht="18" thickBot="1">
      <c r="B258" s="30">
        <v>17</v>
      </c>
      <c r="C258" s="57"/>
      <c r="D258" s="31"/>
      <c r="E258" s="31"/>
      <c r="F258" s="33"/>
      <c r="G258" s="55"/>
      <c r="H258" s="55"/>
      <c r="I258" s="55"/>
      <c r="J258" s="55"/>
      <c r="K258" s="34" t="e">
        <f>SUM(F271:L271)</f>
        <v>#N/A</v>
      </c>
      <c r="L258" s="35"/>
      <c r="M258" s="22">
        <f>G258</f>
        <v>0</v>
      </c>
    </row>
    <row r="259" spans="2:13" ht="18.600000000000001" thickTop="1">
      <c r="B259" s="58" t="s">
        <v>913</v>
      </c>
      <c r="C259" s="59" t="s">
        <v>912</v>
      </c>
      <c r="D259" s="60" t="s">
        <v>911</v>
      </c>
      <c r="E259" s="61" t="s">
        <v>3209</v>
      </c>
      <c r="F259" s="62" t="s">
        <v>3162</v>
      </c>
      <c r="G259" s="62" t="s">
        <v>3163</v>
      </c>
      <c r="H259" s="62" t="s">
        <v>3164</v>
      </c>
      <c r="I259" s="62" t="s">
        <v>3165</v>
      </c>
      <c r="J259" s="62" t="s">
        <v>3166</v>
      </c>
      <c r="K259" s="62" t="s">
        <v>3167</v>
      </c>
      <c r="L259" s="63" t="s">
        <v>3168</v>
      </c>
    </row>
    <row r="260" spans="2:13">
      <c r="B260" s="43" t="e">
        <f>VLOOKUP($A260,'[2]Team lists'!$A$2:$L$800,2,FALSE)</f>
        <v>#N/A</v>
      </c>
      <c r="C260" s="43" t="e">
        <f>VLOOKUP($A260,'[2]Team lists'!$A$2:$L$800,3,FALSE)</f>
        <v>#N/A</v>
      </c>
      <c r="D260" s="43" t="e">
        <f>VLOOKUP($A260,'[2]Team lists'!$A$2:$L$800,4,FALSE)</f>
        <v>#N/A</v>
      </c>
      <c r="E260" s="43" t="e">
        <f>VLOOKUP($A260,'[2]Team lists'!$A$2:$L$800,5,FALSE)</f>
        <v>#N/A</v>
      </c>
      <c r="F260" s="43" t="e">
        <f>VLOOKUP($A260,'[2]Team lists'!$A$2:$L$800,6,FALSE)</f>
        <v>#N/A</v>
      </c>
      <c r="G260" s="43" t="e">
        <f>VLOOKUP($A260,'[2]Team lists'!$A$2:$L$800,7,FALSE)</f>
        <v>#N/A</v>
      </c>
      <c r="H260" s="43" t="e">
        <f>VLOOKUP($A260,'[2]Team lists'!$A$2:$L$800,8,FALSE)</f>
        <v>#N/A</v>
      </c>
      <c r="I260" s="43" t="e">
        <f>VLOOKUP($A260,'[2]Team lists'!$A$2:$L$800,9,FALSE)</f>
        <v>#N/A</v>
      </c>
      <c r="J260" s="43" t="e">
        <f>VLOOKUP($A260,'[2]Team lists'!$A$2:$L$800,9,FALSE)</f>
        <v>#N/A</v>
      </c>
      <c r="K260" s="43" t="e">
        <f>VLOOKUP($A260,'[2]Team lists'!$A$2:$L$800,10,FALSE)</f>
        <v>#N/A</v>
      </c>
      <c r="L260" s="43" t="e">
        <f>VLOOKUP($A260,'[2]Team lists'!$A$2:$L$800,11,FALSE)</f>
        <v>#N/A</v>
      </c>
    </row>
    <row r="261" spans="2:13">
      <c r="B261" s="43" t="e">
        <f>VLOOKUP($A261,'[2]Team lists'!$A$2:$L$800,2,FALSE)</f>
        <v>#N/A</v>
      </c>
      <c r="C261" s="43" t="e">
        <f>VLOOKUP($A261,'[2]Team lists'!$A$2:$L$800,3,FALSE)</f>
        <v>#N/A</v>
      </c>
      <c r="D261" s="43" t="e">
        <f>VLOOKUP($A261,'[2]Team lists'!$A$2:$L$800,4,FALSE)</f>
        <v>#N/A</v>
      </c>
      <c r="E261" s="43" t="e">
        <f>VLOOKUP($A261,'[2]Team lists'!$A$2:$L$800,5,FALSE)</f>
        <v>#N/A</v>
      </c>
      <c r="F261" s="43" t="e">
        <f>VLOOKUP($A261,'[2]Team lists'!$A$2:$L$800,6,FALSE)</f>
        <v>#N/A</v>
      </c>
      <c r="G261" s="43" t="e">
        <f>VLOOKUP($A261,'[2]Team lists'!$A$2:$L$800,7,FALSE)</f>
        <v>#N/A</v>
      </c>
      <c r="H261" s="43" t="e">
        <f>VLOOKUP($A261,'[2]Team lists'!$A$2:$L$800,8,FALSE)</f>
        <v>#N/A</v>
      </c>
      <c r="I261" s="43" t="e">
        <f>VLOOKUP($A261,'[2]Team lists'!$A$2:$L$800,9,FALSE)</f>
        <v>#N/A</v>
      </c>
      <c r="J261" s="43" t="e">
        <f>VLOOKUP($A261,'[2]Team lists'!$A$2:$L$800,9,FALSE)</f>
        <v>#N/A</v>
      </c>
      <c r="K261" s="43" t="e">
        <f>VLOOKUP($A261,'[2]Team lists'!$A$2:$L$800,10,FALSE)</f>
        <v>#N/A</v>
      </c>
      <c r="L261" s="43" t="e">
        <f>VLOOKUP($A261,'[2]Team lists'!$A$2:$L$800,11,FALSE)</f>
        <v>#N/A</v>
      </c>
    </row>
    <row r="262" spans="2:13">
      <c r="B262" s="43" t="e">
        <f>VLOOKUP($A262,'[2]Team lists'!$A$2:$L$800,2,FALSE)</f>
        <v>#N/A</v>
      </c>
      <c r="C262" s="43" t="e">
        <f>VLOOKUP($A262,'[2]Team lists'!$A$2:$L$800,3,FALSE)</f>
        <v>#N/A</v>
      </c>
      <c r="D262" s="43" t="e">
        <f>VLOOKUP($A262,'[2]Team lists'!$A$2:$L$800,4,FALSE)</f>
        <v>#N/A</v>
      </c>
      <c r="E262" s="43" t="e">
        <f>VLOOKUP($A262,'[2]Team lists'!$A$2:$L$800,5,FALSE)</f>
        <v>#N/A</v>
      </c>
      <c r="F262" s="43" t="e">
        <f>VLOOKUP($A262,'[2]Team lists'!$A$2:$L$800,6,FALSE)</f>
        <v>#N/A</v>
      </c>
      <c r="G262" s="43" t="e">
        <f>VLOOKUP($A262,'[2]Team lists'!$A$2:$L$800,7,FALSE)</f>
        <v>#N/A</v>
      </c>
      <c r="H262" s="43" t="e">
        <f>VLOOKUP($A262,'[2]Team lists'!$A$2:$L$800,8,FALSE)</f>
        <v>#N/A</v>
      </c>
      <c r="I262" s="43" t="e">
        <f>VLOOKUP($A262,'[2]Team lists'!$A$2:$L$800,9,FALSE)</f>
        <v>#N/A</v>
      </c>
      <c r="J262" s="43" t="e">
        <f>VLOOKUP($A262,'[2]Team lists'!$A$2:$L$800,9,FALSE)</f>
        <v>#N/A</v>
      </c>
      <c r="K262" s="43" t="e">
        <f>VLOOKUP($A262,'[2]Team lists'!$A$2:$L$800,10,FALSE)</f>
        <v>#N/A</v>
      </c>
      <c r="L262" s="43" t="e">
        <f>VLOOKUP($A262,'[2]Team lists'!$A$2:$L$800,11,FALSE)</f>
        <v>#N/A</v>
      </c>
    </row>
    <row r="263" spans="2:13">
      <c r="B263" s="43" t="e">
        <f>VLOOKUP($A263,'[2]Team lists'!$A$2:$L$800,2,FALSE)</f>
        <v>#N/A</v>
      </c>
      <c r="C263" s="43" t="e">
        <f>VLOOKUP($A263,'[2]Team lists'!$A$2:$L$800,3,FALSE)</f>
        <v>#N/A</v>
      </c>
      <c r="D263" s="43" t="e">
        <f>VLOOKUP($A263,'[2]Team lists'!$A$2:$L$800,4,FALSE)</f>
        <v>#N/A</v>
      </c>
      <c r="E263" s="43" t="e">
        <f>VLOOKUP($A263,'[2]Team lists'!$A$2:$L$800,5,FALSE)</f>
        <v>#N/A</v>
      </c>
      <c r="F263" s="43" t="e">
        <f>VLOOKUP($A263,'[2]Team lists'!$A$2:$L$800,6,FALSE)</f>
        <v>#N/A</v>
      </c>
      <c r="G263" s="43" t="e">
        <f>VLOOKUP($A263,'[2]Team lists'!$A$2:$L$800,7,FALSE)</f>
        <v>#N/A</v>
      </c>
      <c r="H263" s="43" t="e">
        <f>VLOOKUP($A263,'[2]Team lists'!$A$2:$L$800,8,FALSE)</f>
        <v>#N/A</v>
      </c>
      <c r="I263" s="43" t="e">
        <f>VLOOKUP($A263,'[2]Team lists'!$A$2:$L$800,9,FALSE)</f>
        <v>#N/A</v>
      </c>
      <c r="J263" s="43" t="e">
        <f>VLOOKUP($A263,'[2]Team lists'!$A$2:$L$800,9,FALSE)</f>
        <v>#N/A</v>
      </c>
      <c r="K263" s="43" t="e">
        <f>VLOOKUP($A263,'[2]Team lists'!$A$2:$L$800,10,FALSE)</f>
        <v>#N/A</v>
      </c>
      <c r="L263" s="43" t="e">
        <f>VLOOKUP($A263,'[2]Team lists'!$A$2:$L$800,11,FALSE)</f>
        <v>#N/A</v>
      </c>
    </row>
    <row r="264" spans="2:13">
      <c r="B264" s="43" t="e">
        <f>VLOOKUP($A264,'[2]Team lists'!$A$2:$L$800,2,FALSE)</f>
        <v>#N/A</v>
      </c>
      <c r="C264" s="43" t="e">
        <f>VLOOKUP($A264,'[2]Team lists'!$A$2:$L$800,3,FALSE)</f>
        <v>#N/A</v>
      </c>
      <c r="D264" s="43" t="e">
        <f>VLOOKUP($A264,'[2]Team lists'!$A$2:$L$800,4,FALSE)</f>
        <v>#N/A</v>
      </c>
      <c r="E264" s="43" t="e">
        <f>VLOOKUP($A264,'[2]Team lists'!$A$2:$L$800,5,FALSE)</f>
        <v>#N/A</v>
      </c>
      <c r="F264" s="43" t="e">
        <f>VLOOKUP($A264,'[2]Team lists'!$A$2:$L$800,6,FALSE)</f>
        <v>#N/A</v>
      </c>
      <c r="G264" s="43" t="e">
        <f>VLOOKUP($A264,'[2]Team lists'!$A$2:$L$800,7,FALSE)</f>
        <v>#N/A</v>
      </c>
      <c r="H264" s="43" t="e">
        <f>VLOOKUP($A264,'[2]Team lists'!$A$2:$L$800,8,FALSE)</f>
        <v>#N/A</v>
      </c>
      <c r="I264" s="43" t="e">
        <f>VLOOKUP($A264,'[2]Team lists'!$A$2:$L$800,9,FALSE)</f>
        <v>#N/A</v>
      </c>
      <c r="J264" s="43" t="e">
        <f>VLOOKUP($A264,'[2]Team lists'!$A$2:$L$800,9,FALSE)</f>
        <v>#N/A</v>
      </c>
      <c r="K264" s="43" t="e">
        <f>VLOOKUP($A264,'[2]Team lists'!$A$2:$L$800,10,FALSE)</f>
        <v>#N/A</v>
      </c>
      <c r="L264" s="43" t="e">
        <f>VLOOKUP($A264,'[2]Team lists'!$A$2:$L$800,11,FALSE)</f>
        <v>#N/A</v>
      </c>
    </row>
    <row r="265" spans="2:13">
      <c r="B265" s="43" t="e">
        <f>VLOOKUP($A265,'[2]Team lists'!$A$2:$L$800,2,FALSE)</f>
        <v>#N/A</v>
      </c>
      <c r="C265" s="43" t="e">
        <f>VLOOKUP($A265,'[2]Team lists'!$A$2:$L$800,3,FALSE)</f>
        <v>#N/A</v>
      </c>
      <c r="D265" s="43" t="e">
        <f>VLOOKUP($A265,'[2]Team lists'!$A$2:$L$800,4,FALSE)</f>
        <v>#N/A</v>
      </c>
      <c r="E265" s="43" t="e">
        <f>VLOOKUP($A265,'[2]Team lists'!$A$2:$L$800,5,FALSE)</f>
        <v>#N/A</v>
      </c>
      <c r="F265" s="43" t="e">
        <f>VLOOKUP($A265,'[2]Team lists'!$A$2:$L$800,6,FALSE)</f>
        <v>#N/A</v>
      </c>
      <c r="G265" s="43" t="e">
        <f>VLOOKUP($A265,'[2]Team lists'!$A$2:$L$800,7,FALSE)</f>
        <v>#N/A</v>
      </c>
      <c r="H265" s="43" t="e">
        <f>VLOOKUP($A265,'[2]Team lists'!$A$2:$L$800,8,FALSE)</f>
        <v>#N/A</v>
      </c>
      <c r="I265" s="43" t="e">
        <f>VLOOKUP($A265,'[2]Team lists'!$A$2:$L$800,9,FALSE)</f>
        <v>#N/A</v>
      </c>
      <c r="J265" s="43" t="e">
        <f>VLOOKUP($A265,'[2]Team lists'!$A$2:$L$800,9,FALSE)</f>
        <v>#N/A</v>
      </c>
      <c r="K265" s="43" t="e">
        <f>VLOOKUP($A265,'[2]Team lists'!$A$2:$L$800,10,FALSE)</f>
        <v>#N/A</v>
      </c>
      <c r="L265" s="43" t="e">
        <f>VLOOKUP($A265,'[2]Team lists'!$A$2:$L$800,11,FALSE)</f>
        <v>#N/A</v>
      </c>
    </row>
    <row r="266" spans="2:13">
      <c r="B266" s="43" t="e">
        <f>VLOOKUP($A266,'[2]Team lists'!$A$2:$L$800,2,FALSE)</f>
        <v>#N/A</v>
      </c>
      <c r="C266" s="43" t="e">
        <f>VLOOKUP($A266,'[2]Team lists'!$A$2:$L$800,3,FALSE)</f>
        <v>#N/A</v>
      </c>
      <c r="D266" s="43" t="e">
        <f>VLOOKUP($A266,'[2]Team lists'!$A$2:$L$800,4,FALSE)</f>
        <v>#N/A</v>
      </c>
      <c r="E266" s="43" t="e">
        <f>VLOOKUP($A266,'[2]Team lists'!$A$2:$L$800,5,FALSE)</f>
        <v>#N/A</v>
      </c>
      <c r="F266" s="43" t="e">
        <f>VLOOKUP($A266,'[2]Team lists'!$A$2:$L$800,6,FALSE)</f>
        <v>#N/A</v>
      </c>
      <c r="G266" s="43" t="e">
        <f>VLOOKUP($A266,'[2]Team lists'!$A$2:$L$800,7,FALSE)</f>
        <v>#N/A</v>
      </c>
      <c r="H266" s="43" t="e">
        <f>VLOOKUP($A266,'[2]Team lists'!$A$2:$L$800,8,FALSE)</f>
        <v>#N/A</v>
      </c>
      <c r="I266" s="43" t="e">
        <f>VLOOKUP($A266,'[2]Team lists'!$A$2:$L$800,9,FALSE)</f>
        <v>#N/A</v>
      </c>
      <c r="J266" s="43" t="e">
        <f>VLOOKUP($A266,'[2]Team lists'!$A$2:$L$800,9,FALSE)</f>
        <v>#N/A</v>
      </c>
      <c r="K266" s="43" t="e">
        <f>VLOOKUP($A266,'[2]Team lists'!$A$2:$L$800,10,FALSE)</f>
        <v>#N/A</v>
      </c>
      <c r="L266" s="43" t="e">
        <f>VLOOKUP($A266,'[2]Team lists'!$A$2:$L$800,11,FALSE)</f>
        <v>#N/A</v>
      </c>
    </row>
    <row r="267" spans="2:13">
      <c r="B267" s="43" t="e">
        <f>VLOOKUP($A267,'[2]Team lists'!$A$2:$L$800,2,FALSE)</f>
        <v>#N/A</v>
      </c>
      <c r="C267" s="43" t="e">
        <f>VLOOKUP($A267,'[2]Team lists'!$A$2:$L$800,3,FALSE)</f>
        <v>#N/A</v>
      </c>
      <c r="D267" s="43" t="e">
        <f>VLOOKUP($A267,'[2]Team lists'!$A$2:$L$800,4,FALSE)</f>
        <v>#N/A</v>
      </c>
      <c r="E267" s="43" t="e">
        <f>VLOOKUP($A267,'[2]Team lists'!$A$2:$L$800,5,FALSE)</f>
        <v>#N/A</v>
      </c>
      <c r="F267" s="43" t="e">
        <f>VLOOKUP($A267,'[2]Team lists'!$A$2:$L$800,6,FALSE)</f>
        <v>#N/A</v>
      </c>
      <c r="G267" s="43" t="e">
        <f>VLOOKUP($A267,'[2]Team lists'!$A$2:$L$800,7,FALSE)</f>
        <v>#N/A</v>
      </c>
      <c r="H267" s="43" t="e">
        <f>VLOOKUP($A267,'[2]Team lists'!$A$2:$L$800,8,FALSE)</f>
        <v>#N/A</v>
      </c>
      <c r="I267" s="43" t="e">
        <f>VLOOKUP($A267,'[2]Team lists'!$A$2:$L$800,9,FALSE)</f>
        <v>#N/A</v>
      </c>
      <c r="J267" s="43" t="e">
        <f>VLOOKUP($A267,'[2]Team lists'!$A$2:$L$800,9,FALSE)</f>
        <v>#N/A</v>
      </c>
      <c r="K267" s="43" t="e">
        <f>VLOOKUP($A267,'[2]Team lists'!$A$2:$L$800,10,FALSE)</f>
        <v>#N/A</v>
      </c>
      <c r="L267" s="43" t="e">
        <f>VLOOKUP($A267,'[2]Team lists'!$A$2:$L$800,11,FALSE)</f>
        <v>#N/A</v>
      </c>
    </row>
    <row r="268" spans="2:13">
      <c r="B268" s="43" t="e">
        <f>VLOOKUP($A268,'[2]Team lists'!$A$2:$L$800,2,FALSE)</f>
        <v>#N/A</v>
      </c>
      <c r="C268" s="43" t="e">
        <f>VLOOKUP($A268,'[2]Team lists'!$A$2:$L$800,3,FALSE)</f>
        <v>#N/A</v>
      </c>
      <c r="D268" s="43" t="e">
        <f>VLOOKUP($A268,'[2]Team lists'!$A$2:$L$800,4,FALSE)</f>
        <v>#N/A</v>
      </c>
      <c r="E268" s="43" t="e">
        <f>VLOOKUP($A268,'[2]Team lists'!$A$2:$L$800,5,FALSE)</f>
        <v>#N/A</v>
      </c>
      <c r="F268" s="43" t="e">
        <f>VLOOKUP($A268,'[2]Team lists'!$A$2:$L$800,6,FALSE)</f>
        <v>#N/A</v>
      </c>
      <c r="G268" s="43" t="e">
        <f>VLOOKUP($A268,'[2]Team lists'!$A$2:$L$800,7,FALSE)</f>
        <v>#N/A</v>
      </c>
      <c r="H268" s="43" t="e">
        <f>VLOOKUP($A268,'[2]Team lists'!$A$2:$L$800,8,FALSE)</f>
        <v>#N/A</v>
      </c>
      <c r="I268" s="43" t="e">
        <f>VLOOKUP($A268,'[2]Team lists'!$A$2:$L$800,9,FALSE)</f>
        <v>#N/A</v>
      </c>
      <c r="J268" s="43" t="e">
        <f>VLOOKUP($A268,'[2]Team lists'!$A$2:$L$800,9,FALSE)</f>
        <v>#N/A</v>
      </c>
      <c r="K268" s="43" t="e">
        <f>VLOOKUP($A268,'[2]Team lists'!$A$2:$L$800,10,FALSE)</f>
        <v>#N/A</v>
      </c>
      <c r="L268" s="43" t="e">
        <f>VLOOKUP($A268,'[2]Team lists'!$A$2:$L$800,11,FALSE)</f>
        <v>#N/A</v>
      </c>
    </row>
    <row r="269" spans="2:13">
      <c r="B269" s="43" t="e">
        <f>VLOOKUP($A269,'[2]Team lists'!$A$2:$L$800,2,FALSE)</f>
        <v>#N/A</v>
      </c>
      <c r="C269" s="43" t="e">
        <f>VLOOKUP($A269,'[2]Team lists'!$A$2:$L$800,3,FALSE)</f>
        <v>#N/A</v>
      </c>
      <c r="D269" s="43" t="e">
        <f>VLOOKUP($A269,'[2]Team lists'!$A$2:$L$800,4,FALSE)</f>
        <v>#N/A</v>
      </c>
      <c r="E269" s="43" t="e">
        <f>VLOOKUP($A269,'[2]Team lists'!$A$2:$L$800,5,FALSE)</f>
        <v>#N/A</v>
      </c>
      <c r="F269" s="43" t="e">
        <f>VLOOKUP($A269,'[2]Team lists'!$A$2:$L$800,6,FALSE)</f>
        <v>#N/A</v>
      </c>
      <c r="G269" s="43" t="e">
        <f>VLOOKUP($A269,'[2]Team lists'!$A$2:$L$800,7,FALSE)</f>
        <v>#N/A</v>
      </c>
      <c r="H269" s="43" t="e">
        <f>VLOOKUP($A269,'[2]Team lists'!$A$2:$L$800,8,FALSE)</f>
        <v>#N/A</v>
      </c>
      <c r="I269" s="43" t="e">
        <f>VLOOKUP($A269,'[2]Team lists'!$A$2:$L$800,9,FALSE)</f>
        <v>#N/A</v>
      </c>
      <c r="J269" s="43" t="e">
        <f>VLOOKUP($A269,'[2]Team lists'!$A$2:$L$800,9,FALSE)</f>
        <v>#N/A</v>
      </c>
      <c r="K269" s="43" t="e">
        <f>VLOOKUP($A269,'[2]Team lists'!$A$2:$L$800,10,FALSE)</f>
        <v>#N/A</v>
      </c>
      <c r="L269" s="43" t="e">
        <f>VLOOKUP($A269,'[2]Team lists'!$A$2:$L$800,11,FALSE)</f>
        <v>#N/A</v>
      </c>
    </row>
    <row r="270" spans="2:13">
      <c r="B270" s="43" t="e">
        <f>VLOOKUP($A270,'[2]Team lists'!$A$2:$L$800,2,FALSE)</f>
        <v>#N/A</v>
      </c>
      <c r="C270" s="43" t="e">
        <f>VLOOKUP($A270,'[2]Team lists'!$A$2:$L$800,3,FALSE)</f>
        <v>#N/A</v>
      </c>
      <c r="D270" s="43" t="e">
        <f>VLOOKUP($A270,'[2]Team lists'!$A$2:$L$800,4,FALSE)</f>
        <v>#N/A</v>
      </c>
      <c r="E270" s="43" t="e">
        <f>VLOOKUP($A270,'[2]Team lists'!$A$2:$L$800,5,FALSE)</f>
        <v>#N/A</v>
      </c>
      <c r="F270" s="43" t="e">
        <f>VLOOKUP($A270,'[2]Team lists'!$A$2:$L$800,6,FALSE)</f>
        <v>#N/A</v>
      </c>
      <c r="G270" s="43" t="e">
        <f>VLOOKUP($A270,'[2]Team lists'!$A$2:$L$800,7,FALSE)</f>
        <v>#N/A</v>
      </c>
      <c r="H270" s="43" t="e">
        <f>VLOOKUP($A270,'[2]Team lists'!$A$2:$L$800,8,FALSE)</f>
        <v>#N/A</v>
      </c>
      <c r="I270" s="43" t="e">
        <f>VLOOKUP($A270,'[2]Team lists'!$A$2:$L$800,9,FALSE)</f>
        <v>#N/A</v>
      </c>
      <c r="J270" s="43" t="e">
        <f>VLOOKUP($A270,'[2]Team lists'!$A$2:$L$800,9,FALSE)</f>
        <v>#N/A</v>
      </c>
      <c r="K270" s="43" t="e">
        <f>VLOOKUP($A270,'[2]Team lists'!$A$2:$L$800,10,FALSE)</f>
        <v>#N/A</v>
      </c>
      <c r="L270" s="43" t="e">
        <f>VLOOKUP($A270,'[2]Team lists'!$A$2:$L$800,11,FALSE)</f>
        <v>#N/A</v>
      </c>
    </row>
    <row r="271" spans="2:13" ht="18" thickBot="1">
      <c r="B271" s="45" t="s">
        <v>3210</v>
      </c>
      <c r="C271" s="46"/>
      <c r="D271" s="47"/>
      <c r="E271" s="48" t="e">
        <f t="shared" ref="E271:L271" si="16">SUM(E260:E270)</f>
        <v>#N/A</v>
      </c>
      <c r="F271" s="49" t="e">
        <f t="shared" si="16"/>
        <v>#N/A</v>
      </c>
      <c r="G271" s="49" t="e">
        <f t="shared" si="16"/>
        <v>#N/A</v>
      </c>
      <c r="H271" s="49" t="e">
        <f t="shared" si="16"/>
        <v>#N/A</v>
      </c>
      <c r="I271" s="49" t="e">
        <f t="shared" si="16"/>
        <v>#N/A</v>
      </c>
      <c r="J271" s="49" t="e">
        <f t="shared" si="16"/>
        <v>#N/A</v>
      </c>
      <c r="K271" s="49" t="e">
        <f t="shared" si="16"/>
        <v>#N/A</v>
      </c>
      <c r="L271" s="50" t="e">
        <f t="shared" si="16"/>
        <v>#N/A</v>
      </c>
    </row>
    <row r="272" spans="2:13" ht="18.600000000000001" thickTop="1" thickBot="1"/>
    <row r="273" spans="2:13" ht="18" thickTop="1">
      <c r="B273" s="23" t="s">
        <v>3204</v>
      </c>
      <c r="C273" s="24" t="s">
        <v>3205</v>
      </c>
      <c r="D273" s="25"/>
      <c r="E273" s="25"/>
      <c r="F273" s="53"/>
      <c r="G273" s="28" t="s">
        <v>3206</v>
      </c>
      <c r="H273" s="54"/>
      <c r="I273" s="54"/>
      <c r="J273" s="54"/>
      <c r="K273" s="28" t="s">
        <v>3207</v>
      </c>
      <c r="L273" s="29"/>
      <c r="M273" s="22" t="str">
        <f>G273</f>
        <v>Manager:</v>
      </c>
    </row>
    <row r="274" spans="2:13" ht="18" thickBot="1">
      <c r="B274" s="30">
        <v>18</v>
      </c>
      <c r="C274" s="57"/>
      <c r="D274" s="31"/>
      <c r="E274" s="31"/>
      <c r="F274" s="33"/>
      <c r="G274" s="55"/>
      <c r="H274" s="55"/>
      <c r="I274" s="55"/>
      <c r="J274" s="55"/>
      <c r="K274" s="34" t="e">
        <f>SUM(F287:L287)</f>
        <v>#N/A</v>
      </c>
      <c r="L274" s="35"/>
      <c r="M274" s="22">
        <f>G274</f>
        <v>0</v>
      </c>
    </row>
    <row r="275" spans="2:13" ht="18.600000000000001" thickTop="1">
      <c r="B275" s="58" t="s">
        <v>913</v>
      </c>
      <c r="C275" s="59" t="s">
        <v>912</v>
      </c>
      <c r="D275" s="60" t="s">
        <v>911</v>
      </c>
      <c r="E275" s="61" t="s">
        <v>3209</v>
      </c>
      <c r="F275" s="62" t="s">
        <v>3162</v>
      </c>
      <c r="G275" s="62" t="s">
        <v>3163</v>
      </c>
      <c r="H275" s="62" t="s">
        <v>3164</v>
      </c>
      <c r="I275" s="62" t="s">
        <v>3165</v>
      </c>
      <c r="J275" s="62" t="s">
        <v>3166</v>
      </c>
      <c r="K275" s="62" t="s">
        <v>3167</v>
      </c>
      <c r="L275" s="63" t="s">
        <v>3168</v>
      </c>
    </row>
    <row r="276" spans="2:13">
      <c r="B276" s="43" t="e">
        <f>VLOOKUP($A276,'[2]Team lists'!$A$2:$L$800,2,FALSE)</f>
        <v>#N/A</v>
      </c>
      <c r="C276" s="43" t="e">
        <f>VLOOKUP($A276,'[2]Team lists'!$A$2:$L$800,3,FALSE)</f>
        <v>#N/A</v>
      </c>
      <c r="D276" s="43" t="e">
        <f>VLOOKUP($A276,'[2]Team lists'!$A$2:$L$800,4,FALSE)</f>
        <v>#N/A</v>
      </c>
      <c r="E276" s="43" t="e">
        <f>VLOOKUP($A276,'[2]Team lists'!$A$2:$L$800,5,FALSE)</f>
        <v>#N/A</v>
      </c>
      <c r="F276" s="43" t="e">
        <f>VLOOKUP($A276,'[2]Team lists'!$A$2:$L$800,6,FALSE)</f>
        <v>#N/A</v>
      </c>
      <c r="G276" s="43" t="e">
        <f>VLOOKUP($A276,'[2]Team lists'!$A$2:$L$800,7,FALSE)</f>
        <v>#N/A</v>
      </c>
      <c r="H276" s="43" t="e">
        <f>VLOOKUP($A276,'[2]Team lists'!$A$2:$L$800,8,FALSE)</f>
        <v>#N/A</v>
      </c>
      <c r="I276" s="43" t="e">
        <f>VLOOKUP($A276,'[2]Team lists'!$A$2:$L$800,9,FALSE)</f>
        <v>#N/A</v>
      </c>
      <c r="J276" s="43" t="e">
        <f>VLOOKUP($A276,'[2]Team lists'!$A$2:$L$800,9,FALSE)</f>
        <v>#N/A</v>
      </c>
      <c r="K276" s="43" t="e">
        <f>VLOOKUP($A276,'[2]Team lists'!$A$2:$L$800,10,FALSE)</f>
        <v>#N/A</v>
      </c>
      <c r="L276" s="43" t="e">
        <f>VLOOKUP($A276,'[2]Team lists'!$A$2:$L$800,11,FALSE)</f>
        <v>#N/A</v>
      </c>
    </row>
    <row r="277" spans="2:13">
      <c r="B277" s="43" t="e">
        <f>VLOOKUP($A277,'[2]Team lists'!$A$2:$L$800,2,FALSE)</f>
        <v>#N/A</v>
      </c>
      <c r="C277" s="43" t="e">
        <f>VLOOKUP($A277,'[2]Team lists'!$A$2:$L$800,3,FALSE)</f>
        <v>#N/A</v>
      </c>
      <c r="D277" s="43" t="e">
        <f>VLOOKUP($A277,'[2]Team lists'!$A$2:$L$800,4,FALSE)</f>
        <v>#N/A</v>
      </c>
      <c r="E277" s="43" t="e">
        <f>VLOOKUP($A277,'[2]Team lists'!$A$2:$L$800,5,FALSE)</f>
        <v>#N/A</v>
      </c>
      <c r="F277" s="43" t="e">
        <f>VLOOKUP($A277,'[2]Team lists'!$A$2:$L$800,6,FALSE)</f>
        <v>#N/A</v>
      </c>
      <c r="G277" s="43" t="e">
        <f>VLOOKUP($A277,'[2]Team lists'!$A$2:$L$800,7,FALSE)</f>
        <v>#N/A</v>
      </c>
      <c r="H277" s="43" t="e">
        <f>VLOOKUP($A277,'[2]Team lists'!$A$2:$L$800,8,FALSE)</f>
        <v>#N/A</v>
      </c>
      <c r="I277" s="43" t="e">
        <f>VLOOKUP($A277,'[2]Team lists'!$A$2:$L$800,9,FALSE)</f>
        <v>#N/A</v>
      </c>
      <c r="J277" s="43" t="e">
        <f>VLOOKUP($A277,'[2]Team lists'!$A$2:$L$800,9,FALSE)</f>
        <v>#N/A</v>
      </c>
      <c r="K277" s="43" t="e">
        <f>VLOOKUP($A277,'[2]Team lists'!$A$2:$L$800,10,FALSE)</f>
        <v>#N/A</v>
      </c>
      <c r="L277" s="43" t="e">
        <f>VLOOKUP($A277,'[2]Team lists'!$A$2:$L$800,11,FALSE)</f>
        <v>#N/A</v>
      </c>
    </row>
    <row r="278" spans="2:13">
      <c r="B278" s="43" t="e">
        <f>VLOOKUP($A278,'[2]Team lists'!$A$2:$L$800,2,FALSE)</f>
        <v>#N/A</v>
      </c>
      <c r="C278" s="43" t="e">
        <f>VLOOKUP($A278,'[2]Team lists'!$A$2:$L$800,3,FALSE)</f>
        <v>#N/A</v>
      </c>
      <c r="D278" s="43" t="e">
        <f>VLOOKUP($A278,'[2]Team lists'!$A$2:$L$800,4,FALSE)</f>
        <v>#N/A</v>
      </c>
      <c r="E278" s="43" t="e">
        <f>VLOOKUP($A278,'[2]Team lists'!$A$2:$L$800,5,FALSE)</f>
        <v>#N/A</v>
      </c>
      <c r="F278" s="43" t="e">
        <f>VLOOKUP($A278,'[2]Team lists'!$A$2:$L$800,6,FALSE)</f>
        <v>#N/A</v>
      </c>
      <c r="G278" s="43" t="e">
        <f>VLOOKUP($A278,'[2]Team lists'!$A$2:$L$800,7,FALSE)</f>
        <v>#N/A</v>
      </c>
      <c r="H278" s="43" t="e">
        <f>VLOOKUP($A278,'[2]Team lists'!$A$2:$L$800,8,FALSE)</f>
        <v>#N/A</v>
      </c>
      <c r="I278" s="43" t="e">
        <f>VLOOKUP($A278,'[2]Team lists'!$A$2:$L$800,9,FALSE)</f>
        <v>#N/A</v>
      </c>
      <c r="J278" s="43" t="e">
        <f>VLOOKUP($A278,'[2]Team lists'!$A$2:$L$800,9,FALSE)</f>
        <v>#N/A</v>
      </c>
      <c r="K278" s="43" t="e">
        <f>VLOOKUP($A278,'[2]Team lists'!$A$2:$L$800,10,FALSE)</f>
        <v>#N/A</v>
      </c>
      <c r="L278" s="43" t="e">
        <f>VLOOKUP($A278,'[2]Team lists'!$A$2:$L$800,11,FALSE)</f>
        <v>#N/A</v>
      </c>
    </row>
    <row r="279" spans="2:13">
      <c r="B279" s="43" t="e">
        <f>VLOOKUP($A279,'[2]Team lists'!$A$2:$L$800,2,FALSE)</f>
        <v>#N/A</v>
      </c>
      <c r="C279" s="43" t="e">
        <f>VLOOKUP($A279,'[2]Team lists'!$A$2:$L$800,3,FALSE)</f>
        <v>#N/A</v>
      </c>
      <c r="D279" s="43" t="e">
        <f>VLOOKUP($A279,'[2]Team lists'!$A$2:$L$800,4,FALSE)</f>
        <v>#N/A</v>
      </c>
      <c r="E279" s="43" t="e">
        <f>VLOOKUP($A279,'[2]Team lists'!$A$2:$L$800,5,FALSE)</f>
        <v>#N/A</v>
      </c>
      <c r="F279" s="43" t="e">
        <f>VLOOKUP($A279,'[2]Team lists'!$A$2:$L$800,6,FALSE)</f>
        <v>#N/A</v>
      </c>
      <c r="G279" s="43" t="e">
        <f>VLOOKUP($A279,'[2]Team lists'!$A$2:$L$800,7,FALSE)</f>
        <v>#N/A</v>
      </c>
      <c r="H279" s="43" t="e">
        <f>VLOOKUP($A279,'[2]Team lists'!$A$2:$L$800,8,FALSE)</f>
        <v>#N/A</v>
      </c>
      <c r="I279" s="43" t="e">
        <f>VLOOKUP($A279,'[2]Team lists'!$A$2:$L$800,9,FALSE)</f>
        <v>#N/A</v>
      </c>
      <c r="J279" s="43" t="e">
        <f>VLOOKUP($A279,'[2]Team lists'!$A$2:$L$800,9,FALSE)</f>
        <v>#N/A</v>
      </c>
      <c r="K279" s="43" t="e">
        <f>VLOOKUP($A279,'[2]Team lists'!$A$2:$L$800,10,FALSE)</f>
        <v>#N/A</v>
      </c>
      <c r="L279" s="43" t="e">
        <f>VLOOKUP($A279,'[2]Team lists'!$A$2:$L$800,11,FALSE)</f>
        <v>#N/A</v>
      </c>
    </row>
    <row r="280" spans="2:13">
      <c r="B280" s="43" t="e">
        <f>VLOOKUP($A280,'[2]Team lists'!$A$2:$L$800,2,FALSE)</f>
        <v>#N/A</v>
      </c>
      <c r="C280" s="43" t="e">
        <f>VLOOKUP($A280,'[2]Team lists'!$A$2:$L$800,3,FALSE)</f>
        <v>#N/A</v>
      </c>
      <c r="D280" s="43" t="e">
        <f>VLOOKUP($A280,'[2]Team lists'!$A$2:$L$800,4,FALSE)</f>
        <v>#N/A</v>
      </c>
      <c r="E280" s="43" t="e">
        <f>VLOOKUP($A280,'[2]Team lists'!$A$2:$L$800,5,FALSE)</f>
        <v>#N/A</v>
      </c>
      <c r="F280" s="43" t="e">
        <f>VLOOKUP($A280,'[2]Team lists'!$A$2:$L$800,6,FALSE)</f>
        <v>#N/A</v>
      </c>
      <c r="G280" s="43" t="e">
        <f>VLOOKUP($A280,'[2]Team lists'!$A$2:$L$800,7,FALSE)</f>
        <v>#N/A</v>
      </c>
      <c r="H280" s="43" t="e">
        <f>VLOOKUP($A280,'[2]Team lists'!$A$2:$L$800,8,FALSE)</f>
        <v>#N/A</v>
      </c>
      <c r="I280" s="43" t="e">
        <f>VLOOKUP($A280,'[2]Team lists'!$A$2:$L$800,9,FALSE)</f>
        <v>#N/A</v>
      </c>
      <c r="J280" s="43" t="e">
        <f>VLOOKUP($A280,'[2]Team lists'!$A$2:$L$800,9,FALSE)</f>
        <v>#N/A</v>
      </c>
      <c r="K280" s="43" t="e">
        <f>VLOOKUP($A280,'[2]Team lists'!$A$2:$L$800,10,FALSE)</f>
        <v>#N/A</v>
      </c>
      <c r="L280" s="43" t="e">
        <f>VLOOKUP($A280,'[2]Team lists'!$A$2:$L$800,11,FALSE)</f>
        <v>#N/A</v>
      </c>
    </row>
    <row r="281" spans="2:13">
      <c r="B281" s="43" t="e">
        <f>VLOOKUP($A281,'[2]Team lists'!$A$2:$L$800,2,FALSE)</f>
        <v>#N/A</v>
      </c>
      <c r="C281" s="43" t="e">
        <f>VLOOKUP($A281,'[2]Team lists'!$A$2:$L$800,3,FALSE)</f>
        <v>#N/A</v>
      </c>
      <c r="D281" s="43" t="e">
        <f>VLOOKUP($A281,'[2]Team lists'!$A$2:$L$800,4,FALSE)</f>
        <v>#N/A</v>
      </c>
      <c r="E281" s="43" t="e">
        <f>VLOOKUP($A281,'[2]Team lists'!$A$2:$L$800,5,FALSE)</f>
        <v>#N/A</v>
      </c>
      <c r="F281" s="43" t="e">
        <f>VLOOKUP($A281,'[2]Team lists'!$A$2:$L$800,6,FALSE)</f>
        <v>#N/A</v>
      </c>
      <c r="G281" s="43" t="e">
        <f>VLOOKUP($A281,'[2]Team lists'!$A$2:$L$800,7,FALSE)</f>
        <v>#N/A</v>
      </c>
      <c r="H281" s="43" t="e">
        <f>VLOOKUP($A281,'[2]Team lists'!$A$2:$L$800,8,FALSE)</f>
        <v>#N/A</v>
      </c>
      <c r="I281" s="43" t="e">
        <f>VLOOKUP($A281,'[2]Team lists'!$A$2:$L$800,9,FALSE)</f>
        <v>#N/A</v>
      </c>
      <c r="J281" s="43" t="e">
        <f>VLOOKUP($A281,'[2]Team lists'!$A$2:$L$800,9,FALSE)</f>
        <v>#N/A</v>
      </c>
      <c r="K281" s="43" t="e">
        <f>VLOOKUP($A281,'[2]Team lists'!$A$2:$L$800,10,FALSE)</f>
        <v>#N/A</v>
      </c>
      <c r="L281" s="43" t="e">
        <f>VLOOKUP($A281,'[2]Team lists'!$A$2:$L$800,11,FALSE)</f>
        <v>#N/A</v>
      </c>
    </row>
    <row r="282" spans="2:13">
      <c r="B282" s="43" t="e">
        <f>VLOOKUP($A282,'[2]Team lists'!$A$2:$L$800,2,FALSE)</f>
        <v>#N/A</v>
      </c>
      <c r="C282" s="43" t="e">
        <f>VLOOKUP($A282,'[2]Team lists'!$A$2:$L$800,3,FALSE)</f>
        <v>#N/A</v>
      </c>
      <c r="D282" s="43" t="e">
        <f>VLOOKUP($A282,'[2]Team lists'!$A$2:$L$800,4,FALSE)</f>
        <v>#N/A</v>
      </c>
      <c r="E282" s="43" t="e">
        <f>VLOOKUP($A282,'[2]Team lists'!$A$2:$L$800,5,FALSE)</f>
        <v>#N/A</v>
      </c>
      <c r="F282" s="43" t="e">
        <f>VLOOKUP($A282,'[2]Team lists'!$A$2:$L$800,6,FALSE)</f>
        <v>#N/A</v>
      </c>
      <c r="G282" s="43" t="e">
        <f>VLOOKUP($A282,'[2]Team lists'!$A$2:$L$800,7,FALSE)</f>
        <v>#N/A</v>
      </c>
      <c r="H282" s="43" t="e">
        <f>VLOOKUP($A282,'[2]Team lists'!$A$2:$L$800,8,FALSE)</f>
        <v>#N/A</v>
      </c>
      <c r="I282" s="43" t="e">
        <f>VLOOKUP($A282,'[2]Team lists'!$A$2:$L$800,9,FALSE)</f>
        <v>#N/A</v>
      </c>
      <c r="J282" s="43" t="e">
        <f>VLOOKUP($A282,'[2]Team lists'!$A$2:$L$800,9,FALSE)</f>
        <v>#N/A</v>
      </c>
      <c r="K282" s="43" t="e">
        <f>VLOOKUP($A282,'[2]Team lists'!$A$2:$L$800,10,FALSE)</f>
        <v>#N/A</v>
      </c>
      <c r="L282" s="43" t="e">
        <f>VLOOKUP($A282,'[2]Team lists'!$A$2:$L$800,11,FALSE)</f>
        <v>#N/A</v>
      </c>
    </row>
    <row r="283" spans="2:13">
      <c r="B283" s="43" t="e">
        <f>VLOOKUP($A283,'[2]Team lists'!$A$2:$L$800,2,FALSE)</f>
        <v>#N/A</v>
      </c>
      <c r="C283" s="43" t="e">
        <f>VLOOKUP($A283,'[2]Team lists'!$A$2:$L$800,3,FALSE)</f>
        <v>#N/A</v>
      </c>
      <c r="D283" s="43" t="e">
        <f>VLOOKUP($A283,'[2]Team lists'!$A$2:$L$800,4,FALSE)</f>
        <v>#N/A</v>
      </c>
      <c r="E283" s="43" t="e">
        <f>VLOOKUP($A283,'[2]Team lists'!$A$2:$L$800,5,FALSE)</f>
        <v>#N/A</v>
      </c>
      <c r="F283" s="43" t="e">
        <f>VLOOKUP($A283,'[2]Team lists'!$A$2:$L$800,6,FALSE)</f>
        <v>#N/A</v>
      </c>
      <c r="G283" s="43" t="e">
        <f>VLOOKUP($A283,'[2]Team lists'!$A$2:$L$800,7,FALSE)</f>
        <v>#N/A</v>
      </c>
      <c r="H283" s="43" t="e">
        <f>VLOOKUP($A283,'[2]Team lists'!$A$2:$L$800,8,FALSE)</f>
        <v>#N/A</v>
      </c>
      <c r="I283" s="43" t="e">
        <f>VLOOKUP($A283,'[2]Team lists'!$A$2:$L$800,9,FALSE)</f>
        <v>#N/A</v>
      </c>
      <c r="J283" s="43" t="e">
        <f>VLOOKUP($A283,'[2]Team lists'!$A$2:$L$800,9,FALSE)</f>
        <v>#N/A</v>
      </c>
      <c r="K283" s="43" t="e">
        <f>VLOOKUP($A283,'[2]Team lists'!$A$2:$L$800,10,FALSE)</f>
        <v>#N/A</v>
      </c>
      <c r="L283" s="43" t="e">
        <f>VLOOKUP($A283,'[2]Team lists'!$A$2:$L$800,11,FALSE)</f>
        <v>#N/A</v>
      </c>
    </row>
    <row r="284" spans="2:13">
      <c r="B284" s="43" t="e">
        <f>VLOOKUP($A284,'[2]Team lists'!$A$2:$L$800,2,FALSE)</f>
        <v>#N/A</v>
      </c>
      <c r="C284" s="43" t="e">
        <f>VLOOKUP($A284,'[2]Team lists'!$A$2:$L$800,3,FALSE)</f>
        <v>#N/A</v>
      </c>
      <c r="D284" s="43" t="e">
        <f>VLOOKUP($A284,'[2]Team lists'!$A$2:$L$800,4,FALSE)</f>
        <v>#N/A</v>
      </c>
      <c r="E284" s="43" t="e">
        <f>VLOOKUP($A284,'[2]Team lists'!$A$2:$L$800,5,FALSE)</f>
        <v>#N/A</v>
      </c>
      <c r="F284" s="43" t="e">
        <f>VLOOKUP($A284,'[2]Team lists'!$A$2:$L$800,6,FALSE)</f>
        <v>#N/A</v>
      </c>
      <c r="G284" s="43" t="e">
        <f>VLOOKUP($A284,'[2]Team lists'!$A$2:$L$800,7,FALSE)</f>
        <v>#N/A</v>
      </c>
      <c r="H284" s="43" t="e">
        <f>VLOOKUP($A284,'[2]Team lists'!$A$2:$L$800,8,FALSE)</f>
        <v>#N/A</v>
      </c>
      <c r="I284" s="43" t="e">
        <f>VLOOKUP($A284,'[2]Team lists'!$A$2:$L$800,9,FALSE)</f>
        <v>#N/A</v>
      </c>
      <c r="J284" s="43" t="e">
        <f>VLOOKUP($A284,'[2]Team lists'!$A$2:$L$800,9,FALSE)</f>
        <v>#N/A</v>
      </c>
      <c r="K284" s="43" t="e">
        <f>VLOOKUP($A284,'[2]Team lists'!$A$2:$L$800,10,FALSE)</f>
        <v>#N/A</v>
      </c>
      <c r="L284" s="43" t="e">
        <f>VLOOKUP($A284,'[2]Team lists'!$A$2:$L$800,11,FALSE)</f>
        <v>#N/A</v>
      </c>
    </row>
    <row r="285" spans="2:13">
      <c r="B285" s="43" t="e">
        <f>VLOOKUP($A285,'[2]Team lists'!$A$2:$L$800,2,FALSE)</f>
        <v>#N/A</v>
      </c>
      <c r="C285" s="43" t="e">
        <f>VLOOKUP($A285,'[2]Team lists'!$A$2:$L$800,3,FALSE)</f>
        <v>#N/A</v>
      </c>
      <c r="D285" s="43" t="e">
        <f>VLOOKUP($A285,'[2]Team lists'!$A$2:$L$800,4,FALSE)</f>
        <v>#N/A</v>
      </c>
      <c r="E285" s="43" t="e">
        <f>VLOOKUP($A285,'[2]Team lists'!$A$2:$L$800,5,FALSE)</f>
        <v>#N/A</v>
      </c>
      <c r="F285" s="43" t="e">
        <f>VLOOKUP($A285,'[2]Team lists'!$A$2:$L$800,6,FALSE)</f>
        <v>#N/A</v>
      </c>
      <c r="G285" s="43" t="e">
        <f>VLOOKUP($A285,'[2]Team lists'!$A$2:$L$800,7,FALSE)</f>
        <v>#N/A</v>
      </c>
      <c r="H285" s="43" t="e">
        <f>VLOOKUP($A285,'[2]Team lists'!$A$2:$L$800,8,FALSE)</f>
        <v>#N/A</v>
      </c>
      <c r="I285" s="43" t="e">
        <f>VLOOKUP($A285,'[2]Team lists'!$A$2:$L$800,9,FALSE)</f>
        <v>#N/A</v>
      </c>
      <c r="J285" s="43" t="e">
        <f>VLOOKUP($A285,'[2]Team lists'!$A$2:$L$800,9,FALSE)</f>
        <v>#N/A</v>
      </c>
      <c r="K285" s="43" t="e">
        <f>VLOOKUP($A285,'[2]Team lists'!$A$2:$L$800,10,FALSE)</f>
        <v>#N/A</v>
      </c>
      <c r="L285" s="43" t="e">
        <f>VLOOKUP($A285,'[2]Team lists'!$A$2:$L$800,11,FALSE)</f>
        <v>#N/A</v>
      </c>
    </row>
    <row r="286" spans="2:13">
      <c r="B286" s="43" t="e">
        <f>VLOOKUP($A286,'[2]Team lists'!$A$2:$L$800,2,FALSE)</f>
        <v>#N/A</v>
      </c>
      <c r="C286" s="43" t="e">
        <f>VLOOKUP($A286,'[2]Team lists'!$A$2:$L$800,3,FALSE)</f>
        <v>#N/A</v>
      </c>
      <c r="D286" s="43" t="e">
        <f>VLOOKUP($A286,'[2]Team lists'!$A$2:$L$800,4,FALSE)</f>
        <v>#N/A</v>
      </c>
      <c r="E286" s="43" t="e">
        <f>VLOOKUP($A286,'[2]Team lists'!$A$2:$L$800,5,FALSE)</f>
        <v>#N/A</v>
      </c>
      <c r="F286" s="43" t="e">
        <f>VLOOKUP($A286,'[2]Team lists'!$A$2:$L$800,6,FALSE)</f>
        <v>#N/A</v>
      </c>
      <c r="G286" s="43" t="e">
        <f>VLOOKUP($A286,'[2]Team lists'!$A$2:$L$800,7,FALSE)</f>
        <v>#N/A</v>
      </c>
      <c r="H286" s="43" t="e">
        <f>VLOOKUP($A286,'[2]Team lists'!$A$2:$L$800,8,FALSE)</f>
        <v>#N/A</v>
      </c>
      <c r="I286" s="43" t="e">
        <f>VLOOKUP($A286,'[2]Team lists'!$A$2:$L$800,9,FALSE)</f>
        <v>#N/A</v>
      </c>
      <c r="J286" s="43" t="e">
        <f>VLOOKUP($A286,'[2]Team lists'!$A$2:$L$800,9,FALSE)</f>
        <v>#N/A</v>
      </c>
      <c r="K286" s="43" t="e">
        <f>VLOOKUP($A286,'[2]Team lists'!$A$2:$L$800,10,FALSE)</f>
        <v>#N/A</v>
      </c>
      <c r="L286" s="43" t="e">
        <f>VLOOKUP($A286,'[2]Team lists'!$A$2:$L$800,11,FALSE)</f>
        <v>#N/A</v>
      </c>
    </row>
    <row r="287" spans="2:13" ht="18" thickBot="1">
      <c r="B287" s="45" t="s">
        <v>3210</v>
      </c>
      <c r="C287" s="46"/>
      <c r="D287" s="47"/>
      <c r="E287" s="48" t="e">
        <f t="shared" ref="E287:L287" si="17">SUM(E276:E286)</f>
        <v>#N/A</v>
      </c>
      <c r="F287" s="49" t="e">
        <f t="shared" si="17"/>
        <v>#N/A</v>
      </c>
      <c r="G287" s="49" t="e">
        <f t="shared" si="17"/>
        <v>#N/A</v>
      </c>
      <c r="H287" s="49" t="e">
        <f t="shared" si="17"/>
        <v>#N/A</v>
      </c>
      <c r="I287" s="49" t="e">
        <f t="shared" si="17"/>
        <v>#N/A</v>
      </c>
      <c r="J287" s="49" t="e">
        <f t="shared" si="17"/>
        <v>#N/A</v>
      </c>
      <c r="K287" s="49" t="e">
        <f t="shared" si="17"/>
        <v>#N/A</v>
      </c>
      <c r="L287" s="50" t="e">
        <f t="shared" si="17"/>
        <v>#N/A</v>
      </c>
    </row>
    <row r="288" spans="2:13" ht="18.600000000000001" thickTop="1" thickBot="1"/>
    <row r="289" spans="2:13" ht="18" thickTop="1">
      <c r="B289" s="23" t="s">
        <v>3204</v>
      </c>
      <c r="C289" s="24" t="s">
        <v>3205</v>
      </c>
      <c r="D289" s="25"/>
      <c r="E289" s="25"/>
      <c r="F289" s="53"/>
      <c r="G289" s="28" t="s">
        <v>3206</v>
      </c>
      <c r="H289" s="54"/>
      <c r="I289" s="54"/>
      <c r="J289" s="54"/>
      <c r="K289" s="28" t="s">
        <v>3207</v>
      </c>
      <c r="L289" s="29"/>
      <c r="M289" s="22" t="str">
        <f>G289</f>
        <v>Manager:</v>
      </c>
    </row>
    <row r="290" spans="2:13" ht="18" thickBot="1">
      <c r="B290" s="30">
        <v>19</v>
      </c>
      <c r="C290" s="57"/>
      <c r="D290" s="31"/>
      <c r="E290" s="31"/>
      <c r="F290" s="33"/>
      <c r="G290" s="55"/>
      <c r="H290" s="55"/>
      <c r="I290" s="55"/>
      <c r="J290" s="55"/>
      <c r="K290" s="34" t="e">
        <f>SUM(F303:L303)</f>
        <v>#N/A</v>
      </c>
      <c r="L290" s="35"/>
      <c r="M290" s="22">
        <f>G290</f>
        <v>0</v>
      </c>
    </row>
    <row r="291" spans="2:13" ht="18.600000000000001" thickTop="1">
      <c r="B291" s="58" t="s">
        <v>913</v>
      </c>
      <c r="C291" s="59" t="s">
        <v>912</v>
      </c>
      <c r="D291" s="60" t="s">
        <v>911</v>
      </c>
      <c r="E291" s="61" t="s">
        <v>3209</v>
      </c>
      <c r="F291" s="62" t="s">
        <v>3162</v>
      </c>
      <c r="G291" s="62" t="s">
        <v>3163</v>
      </c>
      <c r="H291" s="62" t="s">
        <v>3164</v>
      </c>
      <c r="I291" s="62" t="s">
        <v>3165</v>
      </c>
      <c r="J291" s="62" t="s">
        <v>3166</v>
      </c>
      <c r="K291" s="62" t="s">
        <v>3167</v>
      </c>
      <c r="L291" s="63" t="s">
        <v>3168</v>
      </c>
    </row>
    <row r="292" spans="2:13">
      <c r="B292" s="43" t="e">
        <f>VLOOKUP($A292,'[2]Team lists'!$A$2:$L$800,2,FALSE)</f>
        <v>#N/A</v>
      </c>
      <c r="C292" s="43" t="e">
        <f>VLOOKUP($A292,'[2]Team lists'!$A$2:$L$800,3,FALSE)</f>
        <v>#N/A</v>
      </c>
      <c r="D292" s="43" t="e">
        <f>VLOOKUP($A292,'[2]Team lists'!$A$2:$L$800,4,FALSE)</f>
        <v>#N/A</v>
      </c>
      <c r="E292" s="43" t="e">
        <f>VLOOKUP($A292,'[2]Team lists'!$A$2:$L$800,5,FALSE)</f>
        <v>#N/A</v>
      </c>
      <c r="F292" s="43" t="e">
        <f>VLOOKUP($A292,'[2]Team lists'!$A$2:$L$800,6,FALSE)</f>
        <v>#N/A</v>
      </c>
      <c r="G292" s="43" t="e">
        <f>VLOOKUP($A292,'[2]Team lists'!$A$2:$L$800,7,FALSE)</f>
        <v>#N/A</v>
      </c>
      <c r="H292" s="43" t="e">
        <f>VLOOKUP($A292,'[2]Team lists'!$A$2:$L$800,8,FALSE)</f>
        <v>#N/A</v>
      </c>
      <c r="I292" s="43" t="e">
        <f>VLOOKUP($A292,'[2]Team lists'!$A$2:$L$800,9,FALSE)</f>
        <v>#N/A</v>
      </c>
      <c r="J292" s="43" t="e">
        <f>VLOOKUP($A292,'[2]Team lists'!$A$2:$L$800,9,FALSE)</f>
        <v>#N/A</v>
      </c>
      <c r="K292" s="43" t="e">
        <f>VLOOKUP($A292,'[2]Team lists'!$A$2:$L$800,10,FALSE)</f>
        <v>#N/A</v>
      </c>
      <c r="L292" s="43" t="e">
        <f>VLOOKUP($A292,'[2]Team lists'!$A$2:$L$800,11,FALSE)</f>
        <v>#N/A</v>
      </c>
    </row>
    <row r="293" spans="2:13">
      <c r="B293" s="43" t="e">
        <f>VLOOKUP($A293,'[2]Team lists'!$A$2:$L$800,2,FALSE)</f>
        <v>#N/A</v>
      </c>
      <c r="C293" s="43" t="e">
        <f>VLOOKUP($A293,'[2]Team lists'!$A$2:$L$800,3,FALSE)</f>
        <v>#N/A</v>
      </c>
      <c r="D293" s="43" t="e">
        <f>VLOOKUP($A293,'[2]Team lists'!$A$2:$L$800,4,FALSE)</f>
        <v>#N/A</v>
      </c>
      <c r="E293" s="43" t="e">
        <f>VLOOKUP($A293,'[2]Team lists'!$A$2:$L$800,5,FALSE)</f>
        <v>#N/A</v>
      </c>
      <c r="F293" s="43" t="e">
        <f>VLOOKUP($A293,'[2]Team lists'!$A$2:$L$800,6,FALSE)</f>
        <v>#N/A</v>
      </c>
      <c r="G293" s="43" t="e">
        <f>VLOOKUP($A293,'[2]Team lists'!$A$2:$L$800,7,FALSE)</f>
        <v>#N/A</v>
      </c>
      <c r="H293" s="43" t="e">
        <f>VLOOKUP($A293,'[2]Team lists'!$A$2:$L$800,8,FALSE)</f>
        <v>#N/A</v>
      </c>
      <c r="I293" s="43" t="e">
        <f>VLOOKUP($A293,'[2]Team lists'!$A$2:$L$800,9,FALSE)</f>
        <v>#N/A</v>
      </c>
      <c r="J293" s="43" t="e">
        <f>VLOOKUP($A293,'[2]Team lists'!$A$2:$L$800,9,FALSE)</f>
        <v>#N/A</v>
      </c>
      <c r="K293" s="43" t="e">
        <f>VLOOKUP($A293,'[2]Team lists'!$A$2:$L$800,10,FALSE)</f>
        <v>#N/A</v>
      </c>
      <c r="L293" s="43" t="e">
        <f>VLOOKUP($A293,'[2]Team lists'!$A$2:$L$800,11,FALSE)</f>
        <v>#N/A</v>
      </c>
    </row>
    <row r="294" spans="2:13">
      <c r="B294" s="43" t="e">
        <f>VLOOKUP($A294,'[2]Team lists'!$A$2:$L$800,2,FALSE)</f>
        <v>#N/A</v>
      </c>
      <c r="C294" s="43" t="e">
        <f>VLOOKUP($A294,'[2]Team lists'!$A$2:$L$800,3,FALSE)</f>
        <v>#N/A</v>
      </c>
      <c r="D294" s="43" t="e">
        <f>VLOOKUP($A294,'[2]Team lists'!$A$2:$L$800,4,FALSE)</f>
        <v>#N/A</v>
      </c>
      <c r="E294" s="43" t="e">
        <f>VLOOKUP($A294,'[2]Team lists'!$A$2:$L$800,5,FALSE)</f>
        <v>#N/A</v>
      </c>
      <c r="F294" s="43" t="e">
        <f>VLOOKUP($A294,'[2]Team lists'!$A$2:$L$800,6,FALSE)</f>
        <v>#N/A</v>
      </c>
      <c r="G294" s="43" t="e">
        <f>VLOOKUP($A294,'[2]Team lists'!$A$2:$L$800,7,FALSE)</f>
        <v>#N/A</v>
      </c>
      <c r="H294" s="43" t="e">
        <f>VLOOKUP($A294,'[2]Team lists'!$A$2:$L$800,8,FALSE)</f>
        <v>#N/A</v>
      </c>
      <c r="I294" s="43" t="e">
        <f>VLOOKUP($A294,'[2]Team lists'!$A$2:$L$800,9,FALSE)</f>
        <v>#N/A</v>
      </c>
      <c r="J294" s="43" t="e">
        <f>VLOOKUP($A294,'[2]Team lists'!$A$2:$L$800,9,FALSE)</f>
        <v>#N/A</v>
      </c>
      <c r="K294" s="43" t="e">
        <f>VLOOKUP($A294,'[2]Team lists'!$A$2:$L$800,10,FALSE)</f>
        <v>#N/A</v>
      </c>
      <c r="L294" s="43" t="e">
        <f>VLOOKUP($A294,'[2]Team lists'!$A$2:$L$800,11,FALSE)</f>
        <v>#N/A</v>
      </c>
    </row>
    <row r="295" spans="2:13">
      <c r="B295" s="43" t="e">
        <f>VLOOKUP($A295,'[2]Team lists'!$A$2:$L$800,2,FALSE)</f>
        <v>#N/A</v>
      </c>
      <c r="C295" s="43" t="e">
        <f>VLOOKUP($A295,'[2]Team lists'!$A$2:$L$800,3,FALSE)</f>
        <v>#N/A</v>
      </c>
      <c r="D295" s="43" t="e">
        <f>VLOOKUP($A295,'[2]Team lists'!$A$2:$L$800,4,FALSE)</f>
        <v>#N/A</v>
      </c>
      <c r="E295" s="43" t="e">
        <f>VLOOKUP($A295,'[2]Team lists'!$A$2:$L$800,5,FALSE)</f>
        <v>#N/A</v>
      </c>
      <c r="F295" s="43" t="e">
        <f>VLOOKUP($A295,'[2]Team lists'!$A$2:$L$800,6,FALSE)</f>
        <v>#N/A</v>
      </c>
      <c r="G295" s="43" t="e">
        <f>VLOOKUP($A295,'[2]Team lists'!$A$2:$L$800,7,FALSE)</f>
        <v>#N/A</v>
      </c>
      <c r="H295" s="43" t="e">
        <f>VLOOKUP($A295,'[2]Team lists'!$A$2:$L$800,8,FALSE)</f>
        <v>#N/A</v>
      </c>
      <c r="I295" s="43" t="e">
        <f>VLOOKUP($A295,'[2]Team lists'!$A$2:$L$800,9,FALSE)</f>
        <v>#N/A</v>
      </c>
      <c r="J295" s="43" t="e">
        <f>VLOOKUP($A295,'[2]Team lists'!$A$2:$L$800,9,FALSE)</f>
        <v>#N/A</v>
      </c>
      <c r="K295" s="43" t="e">
        <f>VLOOKUP($A295,'[2]Team lists'!$A$2:$L$800,10,FALSE)</f>
        <v>#N/A</v>
      </c>
      <c r="L295" s="43" t="e">
        <f>VLOOKUP($A295,'[2]Team lists'!$A$2:$L$800,11,FALSE)</f>
        <v>#N/A</v>
      </c>
    </row>
    <row r="296" spans="2:13">
      <c r="B296" s="43" t="e">
        <f>VLOOKUP($A296,'[2]Team lists'!$A$2:$L$800,2,FALSE)</f>
        <v>#N/A</v>
      </c>
      <c r="C296" s="43" t="e">
        <f>VLOOKUP($A296,'[2]Team lists'!$A$2:$L$800,3,FALSE)</f>
        <v>#N/A</v>
      </c>
      <c r="D296" s="43" t="e">
        <f>VLOOKUP($A296,'[2]Team lists'!$A$2:$L$800,4,FALSE)</f>
        <v>#N/A</v>
      </c>
      <c r="E296" s="43" t="e">
        <f>VLOOKUP($A296,'[2]Team lists'!$A$2:$L$800,5,FALSE)</f>
        <v>#N/A</v>
      </c>
      <c r="F296" s="43" t="e">
        <f>VLOOKUP($A296,'[2]Team lists'!$A$2:$L$800,6,FALSE)</f>
        <v>#N/A</v>
      </c>
      <c r="G296" s="43" t="e">
        <f>VLOOKUP($A296,'[2]Team lists'!$A$2:$L$800,7,FALSE)</f>
        <v>#N/A</v>
      </c>
      <c r="H296" s="43" t="e">
        <f>VLOOKUP($A296,'[2]Team lists'!$A$2:$L$800,8,FALSE)</f>
        <v>#N/A</v>
      </c>
      <c r="I296" s="43" t="e">
        <f>VLOOKUP($A296,'[2]Team lists'!$A$2:$L$800,9,FALSE)</f>
        <v>#N/A</v>
      </c>
      <c r="J296" s="43" t="e">
        <f>VLOOKUP($A296,'[2]Team lists'!$A$2:$L$800,9,FALSE)</f>
        <v>#N/A</v>
      </c>
      <c r="K296" s="43" t="e">
        <f>VLOOKUP($A296,'[2]Team lists'!$A$2:$L$800,10,FALSE)</f>
        <v>#N/A</v>
      </c>
      <c r="L296" s="43" t="e">
        <f>VLOOKUP($A296,'[2]Team lists'!$A$2:$L$800,11,FALSE)</f>
        <v>#N/A</v>
      </c>
    </row>
    <row r="297" spans="2:13">
      <c r="B297" s="43" t="e">
        <f>VLOOKUP($A297,'[2]Team lists'!$A$2:$L$800,2,FALSE)</f>
        <v>#N/A</v>
      </c>
      <c r="C297" s="43" t="e">
        <f>VLOOKUP($A297,'[2]Team lists'!$A$2:$L$800,3,FALSE)</f>
        <v>#N/A</v>
      </c>
      <c r="D297" s="43" t="e">
        <f>VLOOKUP($A297,'[2]Team lists'!$A$2:$L$800,4,FALSE)</f>
        <v>#N/A</v>
      </c>
      <c r="E297" s="43" t="e">
        <f>VLOOKUP($A297,'[2]Team lists'!$A$2:$L$800,5,FALSE)</f>
        <v>#N/A</v>
      </c>
      <c r="F297" s="43" t="e">
        <f>VLOOKUP($A297,'[2]Team lists'!$A$2:$L$800,6,FALSE)</f>
        <v>#N/A</v>
      </c>
      <c r="G297" s="43" t="e">
        <f>VLOOKUP($A297,'[2]Team lists'!$A$2:$L$800,7,FALSE)</f>
        <v>#N/A</v>
      </c>
      <c r="H297" s="43" t="e">
        <f>VLOOKUP($A297,'[2]Team lists'!$A$2:$L$800,8,FALSE)</f>
        <v>#N/A</v>
      </c>
      <c r="I297" s="43" t="e">
        <f>VLOOKUP($A297,'[2]Team lists'!$A$2:$L$800,9,FALSE)</f>
        <v>#N/A</v>
      </c>
      <c r="J297" s="43" t="e">
        <f>VLOOKUP($A297,'[2]Team lists'!$A$2:$L$800,9,FALSE)</f>
        <v>#N/A</v>
      </c>
      <c r="K297" s="43" t="e">
        <f>VLOOKUP($A297,'[2]Team lists'!$A$2:$L$800,10,FALSE)</f>
        <v>#N/A</v>
      </c>
      <c r="L297" s="43" t="e">
        <f>VLOOKUP($A297,'[2]Team lists'!$A$2:$L$800,11,FALSE)</f>
        <v>#N/A</v>
      </c>
    </row>
    <row r="298" spans="2:13">
      <c r="B298" s="43" t="e">
        <f>VLOOKUP($A298,'[2]Team lists'!$A$2:$L$800,2,FALSE)</f>
        <v>#N/A</v>
      </c>
      <c r="C298" s="43" t="e">
        <f>VLOOKUP($A298,'[2]Team lists'!$A$2:$L$800,3,FALSE)</f>
        <v>#N/A</v>
      </c>
      <c r="D298" s="43" t="e">
        <f>VLOOKUP($A298,'[2]Team lists'!$A$2:$L$800,4,FALSE)</f>
        <v>#N/A</v>
      </c>
      <c r="E298" s="43" t="e">
        <f>VLOOKUP($A298,'[2]Team lists'!$A$2:$L$800,5,FALSE)</f>
        <v>#N/A</v>
      </c>
      <c r="F298" s="43" t="e">
        <f>VLOOKUP($A298,'[2]Team lists'!$A$2:$L$800,6,FALSE)</f>
        <v>#N/A</v>
      </c>
      <c r="G298" s="43" t="e">
        <f>VLOOKUP($A298,'[2]Team lists'!$A$2:$L$800,7,FALSE)</f>
        <v>#N/A</v>
      </c>
      <c r="H298" s="43" t="e">
        <f>VLOOKUP($A298,'[2]Team lists'!$A$2:$L$800,8,FALSE)</f>
        <v>#N/A</v>
      </c>
      <c r="I298" s="43" t="e">
        <f>VLOOKUP($A298,'[2]Team lists'!$A$2:$L$800,9,FALSE)</f>
        <v>#N/A</v>
      </c>
      <c r="J298" s="43" t="e">
        <f>VLOOKUP($A298,'[2]Team lists'!$A$2:$L$800,9,FALSE)</f>
        <v>#N/A</v>
      </c>
      <c r="K298" s="43" t="e">
        <f>VLOOKUP($A298,'[2]Team lists'!$A$2:$L$800,10,FALSE)</f>
        <v>#N/A</v>
      </c>
      <c r="L298" s="43" t="e">
        <f>VLOOKUP($A298,'[2]Team lists'!$A$2:$L$800,11,FALSE)</f>
        <v>#N/A</v>
      </c>
    </row>
    <row r="299" spans="2:13">
      <c r="B299" s="43" t="e">
        <f>VLOOKUP($A299,'[2]Team lists'!$A$2:$L$800,2,FALSE)</f>
        <v>#N/A</v>
      </c>
      <c r="C299" s="43" t="e">
        <f>VLOOKUP($A299,'[2]Team lists'!$A$2:$L$800,3,FALSE)</f>
        <v>#N/A</v>
      </c>
      <c r="D299" s="43" t="e">
        <f>VLOOKUP($A299,'[2]Team lists'!$A$2:$L$800,4,FALSE)</f>
        <v>#N/A</v>
      </c>
      <c r="E299" s="43" t="e">
        <f>VLOOKUP($A299,'[2]Team lists'!$A$2:$L$800,5,FALSE)</f>
        <v>#N/A</v>
      </c>
      <c r="F299" s="43" t="e">
        <f>VLOOKUP($A299,'[2]Team lists'!$A$2:$L$800,6,FALSE)</f>
        <v>#N/A</v>
      </c>
      <c r="G299" s="43" t="e">
        <f>VLOOKUP($A299,'[2]Team lists'!$A$2:$L$800,7,FALSE)</f>
        <v>#N/A</v>
      </c>
      <c r="H299" s="43" t="e">
        <f>VLOOKUP($A299,'[2]Team lists'!$A$2:$L$800,8,FALSE)</f>
        <v>#N/A</v>
      </c>
      <c r="I299" s="43" t="e">
        <f>VLOOKUP($A299,'[2]Team lists'!$A$2:$L$800,9,FALSE)</f>
        <v>#N/A</v>
      </c>
      <c r="J299" s="43" t="e">
        <f>VLOOKUP($A299,'[2]Team lists'!$A$2:$L$800,9,FALSE)</f>
        <v>#N/A</v>
      </c>
      <c r="K299" s="43" t="e">
        <f>VLOOKUP($A299,'[2]Team lists'!$A$2:$L$800,10,FALSE)</f>
        <v>#N/A</v>
      </c>
      <c r="L299" s="43" t="e">
        <f>VLOOKUP($A299,'[2]Team lists'!$A$2:$L$800,11,FALSE)</f>
        <v>#N/A</v>
      </c>
    </row>
    <row r="300" spans="2:13">
      <c r="B300" s="43" t="e">
        <f>VLOOKUP($A300,'[2]Team lists'!$A$2:$L$800,2,FALSE)</f>
        <v>#N/A</v>
      </c>
      <c r="C300" s="43" t="e">
        <f>VLOOKUP($A300,'[2]Team lists'!$A$2:$L$800,3,FALSE)</f>
        <v>#N/A</v>
      </c>
      <c r="D300" s="43" t="e">
        <f>VLOOKUP($A300,'[2]Team lists'!$A$2:$L$800,4,FALSE)</f>
        <v>#N/A</v>
      </c>
      <c r="E300" s="43" t="e">
        <f>VLOOKUP($A300,'[2]Team lists'!$A$2:$L$800,5,FALSE)</f>
        <v>#N/A</v>
      </c>
      <c r="F300" s="43" t="e">
        <f>VLOOKUP($A300,'[2]Team lists'!$A$2:$L$800,6,FALSE)</f>
        <v>#N/A</v>
      </c>
      <c r="G300" s="43" t="e">
        <f>VLOOKUP($A300,'[2]Team lists'!$A$2:$L$800,7,FALSE)</f>
        <v>#N/A</v>
      </c>
      <c r="H300" s="43" t="e">
        <f>VLOOKUP($A300,'[2]Team lists'!$A$2:$L$800,8,FALSE)</f>
        <v>#N/A</v>
      </c>
      <c r="I300" s="43" t="e">
        <f>VLOOKUP($A300,'[2]Team lists'!$A$2:$L$800,9,FALSE)</f>
        <v>#N/A</v>
      </c>
      <c r="J300" s="43" t="e">
        <f>VLOOKUP($A300,'[2]Team lists'!$A$2:$L$800,9,FALSE)</f>
        <v>#N/A</v>
      </c>
      <c r="K300" s="43" t="e">
        <f>VLOOKUP($A300,'[2]Team lists'!$A$2:$L$800,10,FALSE)</f>
        <v>#N/A</v>
      </c>
      <c r="L300" s="43" t="e">
        <f>VLOOKUP($A300,'[2]Team lists'!$A$2:$L$800,11,FALSE)</f>
        <v>#N/A</v>
      </c>
    </row>
    <row r="301" spans="2:13">
      <c r="B301" s="43" t="e">
        <f>VLOOKUP($A301,'[2]Team lists'!$A$2:$L$800,2,FALSE)</f>
        <v>#N/A</v>
      </c>
      <c r="C301" s="43" t="e">
        <f>VLOOKUP($A301,'[2]Team lists'!$A$2:$L$800,3,FALSE)</f>
        <v>#N/A</v>
      </c>
      <c r="D301" s="43" t="e">
        <f>VLOOKUP($A301,'[2]Team lists'!$A$2:$L$800,4,FALSE)</f>
        <v>#N/A</v>
      </c>
      <c r="E301" s="43" t="e">
        <f>VLOOKUP($A301,'[2]Team lists'!$A$2:$L$800,5,FALSE)</f>
        <v>#N/A</v>
      </c>
      <c r="F301" s="43" t="e">
        <f>VLOOKUP($A301,'[2]Team lists'!$A$2:$L$800,6,FALSE)</f>
        <v>#N/A</v>
      </c>
      <c r="G301" s="43" t="e">
        <f>VLOOKUP($A301,'[2]Team lists'!$A$2:$L$800,7,FALSE)</f>
        <v>#N/A</v>
      </c>
      <c r="H301" s="43" t="e">
        <f>VLOOKUP($A301,'[2]Team lists'!$A$2:$L$800,8,FALSE)</f>
        <v>#N/A</v>
      </c>
      <c r="I301" s="43" t="e">
        <f>VLOOKUP($A301,'[2]Team lists'!$A$2:$L$800,9,FALSE)</f>
        <v>#N/A</v>
      </c>
      <c r="J301" s="43" t="e">
        <f>VLOOKUP($A301,'[2]Team lists'!$A$2:$L$800,9,FALSE)</f>
        <v>#N/A</v>
      </c>
      <c r="K301" s="43" t="e">
        <f>VLOOKUP($A301,'[2]Team lists'!$A$2:$L$800,10,FALSE)</f>
        <v>#N/A</v>
      </c>
      <c r="L301" s="43" t="e">
        <f>VLOOKUP($A301,'[2]Team lists'!$A$2:$L$800,11,FALSE)</f>
        <v>#N/A</v>
      </c>
    </row>
    <row r="302" spans="2:13">
      <c r="B302" s="43" t="e">
        <f>VLOOKUP($A302,'[2]Team lists'!$A$2:$L$800,2,FALSE)</f>
        <v>#N/A</v>
      </c>
      <c r="C302" s="43" t="e">
        <f>VLOOKUP($A302,'[2]Team lists'!$A$2:$L$800,3,FALSE)</f>
        <v>#N/A</v>
      </c>
      <c r="D302" s="43" t="e">
        <f>VLOOKUP($A302,'[2]Team lists'!$A$2:$L$800,4,FALSE)</f>
        <v>#N/A</v>
      </c>
      <c r="E302" s="43" t="e">
        <f>VLOOKUP($A302,'[2]Team lists'!$A$2:$L$800,5,FALSE)</f>
        <v>#N/A</v>
      </c>
      <c r="F302" s="43" t="e">
        <f>VLOOKUP($A302,'[2]Team lists'!$A$2:$L$800,6,FALSE)</f>
        <v>#N/A</v>
      </c>
      <c r="G302" s="43" t="e">
        <f>VLOOKUP($A302,'[2]Team lists'!$A$2:$L$800,7,FALSE)</f>
        <v>#N/A</v>
      </c>
      <c r="H302" s="43" t="e">
        <f>VLOOKUP($A302,'[2]Team lists'!$A$2:$L$800,8,FALSE)</f>
        <v>#N/A</v>
      </c>
      <c r="I302" s="43" t="e">
        <f>VLOOKUP($A302,'[2]Team lists'!$A$2:$L$800,9,FALSE)</f>
        <v>#N/A</v>
      </c>
      <c r="J302" s="43" t="e">
        <f>VLOOKUP($A302,'[2]Team lists'!$A$2:$L$800,9,FALSE)</f>
        <v>#N/A</v>
      </c>
      <c r="K302" s="43" t="e">
        <f>VLOOKUP($A302,'[2]Team lists'!$A$2:$L$800,10,FALSE)</f>
        <v>#N/A</v>
      </c>
      <c r="L302" s="43" t="e">
        <f>VLOOKUP($A302,'[2]Team lists'!$A$2:$L$800,11,FALSE)</f>
        <v>#N/A</v>
      </c>
    </row>
    <row r="303" spans="2:13" ht="18" thickBot="1">
      <c r="B303" s="45" t="s">
        <v>3210</v>
      </c>
      <c r="C303" s="46"/>
      <c r="D303" s="47"/>
      <c r="E303" s="48" t="e">
        <f t="shared" ref="E303:L303" si="18">SUM(E292:E302)</f>
        <v>#N/A</v>
      </c>
      <c r="F303" s="49" t="e">
        <f t="shared" si="18"/>
        <v>#N/A</v>
      </c>
      <c r="G303" s="49" t="e">
        <f t="shared" si="18"/>
        <v>#N/A</v>
      </c>
      <c r="H303" s="49" t="e">
        <f t="shared" si="18"/>
        <v>#N/A</v>
      </c>
      <c r="I303" s="49" t="e">
        <f t="shared" si="18"/>
        <v>#N/A</v>
      </c>
      <c r="J303" s="49" t="e">
        <f t="shared" si="18"/>
        <v>#N/A</v>
      </c>
      <c r="K303" s="49" t="e">
        <f t="shared" si="18"/>
        <v>#N/A</v>
      </c>
      <c r="L303" s="50" t="e">
        <f t="shared" si="18"/>
        <v>#N/A</v>
      </c>
    </row>
    <row r="304" spans="2:13" ht="18.600000000000001" thickTop="1" thickBot="1"/>
    <row r="305" spans="2:13" ht="18" thickTop="1">
      <c r="B305" s="23" t="s">
        <v>3204</v>
      </c>
      <c r="C305" s="24" t="s">
        <v>3205</v>
      </c>
      <c r="D305" s="25"/>
      <c r="E305" s="25"/>
      <c r="F305" s="53"/>
      <c r="G305" s="28" t="s">
        <v>3206</v>
      </c>
      <c r="H305" s="54"/>
      <c r="I305" s="54"/>
      <c r="J305" s="54"/>
      <c r="K305" s="28" t="s">
        <v>3207</v>
      </c>
      <c r="L305" s="29"/>
      <c r="M305" s="22" t="str">
        <f>G305</f>
        <v>Manager:</v>
      </c>
    </row>
    <row r="306" spans="2:13" ht="18" thickBot="1">
      <c r="B306" s="30">
        <v>20</v>
      </c>
      <c r="C306" s="57"/>
      <c r="D306" s="31"/>
      <c r="E306" s="31"/>
      <c r="F306" s="33"/>
      <c r="G306" s="55"/>
      <c r="H306" s="55"/>
      <c r="I306" s="55"/>
      <c r="J306" s="55"/>
      <c r="K306" s="34" t="e">
        <f>SUM(F319:L319)</f>
        <v>#N/A</v>
      </c>
      <c r="L306" s="35"/>
      <c r="M306" s="22">
        <f>G306</f>
        <v>0</v>
      </c>
    </row>
    <row r="307" spans="2:13" ht="18.600000000000001" thickTop="1">
      <c r="B307" s="58" t="s">
        <v>913</v>
      </c>
      <c r="C307" s="59" t="s">
        <v>912</v>
      </c>
      <c r="D307" s="60" t="s">
        <v>911</v>
      </c>
      <c r="E307" s="61" t="s">
        <v>3209</v>
      </c>
      <c r="F307" s="62" t="s">
        <v>3162</v>
      </c>
      <c r="G307" s="62" t="s">
        <v>3163</v>
      </c>
      <c r="H307" s="62" t="s">
        <v>3164</v>
      </c>
      <c r="I307" s="62" t="s">
        <v>3165</v>
      </c>
      <c r="J307" s="62" t="s">
        <v>3166</v>
      </c>
      <c r="K307" s="62" t="s">
        <v>3167</v>
      </c>
      <c r="L307" s="63" t="s">
        <v>3168</v>
      </c>
    </row>
    <row r="308" spans="2:13">
      <c r="B308" s="43" t="e">
        <f>VLOOKUP($A308,'[2]Team lists'!$A$2:$L$800,2,FALSE)</f>
        <v>#N/A</v>
      </c>
      <c r="C308" s="43" t="e">
        <f>VLOOKUP($A308,'[2]Team lists'!$A$2:$L$800,3,FALSE)</f>
        <v>#N/A</v>
      </c>
      <c r="D308" s="43" t="e">
        <f>VLOOKUP($A308,'[2]Team lists'!$A$2:$L$800,4,FALSE)</f>
        <v>#N/A</v>
      </c>
      <c r="E308" s="43" t="e">
        <f>VLOOKUP($A308,'[2]Team lists'!$A$2:$L$800,5,FALSE)</f>
        <v>#N/A</v>
      </c>
      <c r="F308" s="43" t="e">
        <f>VLOOKUP($A308,'[2]Team lists'!$A$2:$L$800,6,FALSE)</f>
        <v>#N/A</v>
      </c>
      <c r="G308" s="43" t="e">
        <f>VLOOKUP($A308,'[2]Team lists'!$A$2:$L$800,7,FALSE)</f>
        <v>#N/A</v>
      </c>
      <c r="H308" s="43" t="e">
        <f>VLOOKUP($A308,'[2]Team lists'!$A$2:$L$800,8,FALSE)</f>
        <v>#N/A</v>
      </c>
      <c r="I308" s="43" t="e">
        <f>VLOOKUP($A308,'[2]Team lists'!$A$2:$L$800,9,FALSE)</f>
        <v>#N/A</v>
      </c>
      <c r="J308" s="43" t="e">
        <f>VLOOKUP($A308,'[2]Team lists'!$A$2:$L$800,9,FALSE)</f>
        <v>#N/A</v>
      </c>
      <c r="K308" s="43" t="e">
        <f>VLOOKUP($A308,'[2]Team lists'!$A$2:$L$800,10,FALSE)</f>
        <v>#N/A</v>
      </c>
      <c r="L308" s="43" t="e">
        <f>VLOOKUP($A308,'[2]Team lists'!$A$2:$L$800,11,FALSE)</f>
        <v>#N/A</v>
      </c>
    </row>
    <row r="309" spans="2:13">
      <c r="B309" s="43" t="e">
        <f>VLOOKUP($A309,'[2]Team lists'!$A$2:$L$800,2,FALSE)</f>
        <v>#N/A</v>
      </c>
      <c r="C309" s="43" t="e">
        <f>VLOOKUP($A309,'[2]Team lists'!$A$2:$L$800,3,FALSE)</f>
        <v>#N/A</v>
      </c>
      <c r="D309" s="43" t="e">
        <f>VLOOKUP($A309,'[2]Team lists'!$A$2:$L$800,4,FALSE)</f>
        <v>#N/A</v>
      </c>
      <c r="E309" s="43" t="e">
        <f>VLOOKUP($A309,'[2]Team lists'!$A$2:$L$800,5,FALSE)</f>
        <v>#N/A</v>
      </c>
      <c r="F309" s="43" t="e">
        <f>VLOOKUP($A309,'[2]Team lists'!$A$2:$L$800,6,FALSE)</f>
        <v>#N/A</v>
      </c>
      <c r="G309" s="43" t="e">
        <f>VLOOKUP($A309,'[2]Team lists'!$A$2:$L$800,7,FALSE)</f>
        <v>#N/A</v>
      </c>
      <c r="H309" s="43" t="e">
        <f>VLOOKUP($A309,'[2]Team lists'!$A$2:$L$800,8,FALSE)</f>
        <v>#N/A</v>
      </c>
      <c r="I309" s="43" t="e">
        <f>VLOOKUP($A309,'[2]Team lists'!$A$2:$L$800,9,FALSE)</f>
        <v>#N/A</v>
      </c>
      <c r="J309" s="43" t="e">
        <f>VLOOKUP($A309,'[2]Team lists'!$A$2:$L$800,9,FALSE)</f>
        <v>#N/A</v>
      </c>
      <c r="K309" s="43" t="e">
        <f>VLOOKUP($A309,'[2]Team lists'!$A$2:$L$800,10,FALSE)</f>
        <v>#N/A</v>
      </c>
      <c r="L309" s="43" t="e">
        <f>VLOOKUP($A309,'[2]Team lists'!$A$2:$L$800,11,FALSE)</f>
        <v>#N/A</v>
      </c>
    </row>
    <row r="310" spans="2:13">
      <c r="B310" s="43" t="e">
        <f>VLOOKUP($A310,'[2]Team lists'!$A$2:$L$800,2,FALSE)</f>
        <v>#N/A</v>
      </c>
      <c r="C310" s="43" t="e">
        <f>VLOOKUP($A310,'[2]Team lists'!$A$2:$L$800,3,FALSE)</f>
        <v>#N/A</v>
      </c>
      <c r="D310" s="43" t="e">
        <f>VLOOKUP($A310,'[2]Team lists'!$A$2:$L$800,4,FALSE)</f>
        <v>#N/A</v>
      </c>
      <c r="E310" s="43" t="e">
        <f>VLOOKUP($A310,'[2]Team lists'!$A$2:$L$800,5,FALSE)</f>
        <v>#N/A</v>
      </c>
      <c r="F310" s="43" t="e">
        <f>VLOOKUP($A310,'[2]Team lists'!$A$2:$L$800,6,FALSE)</f>
        <v>#N/A</v>
      </c>
      <c r="G310" s="43" t="e">
        <f>VLOOKUP($A310,'[2]Team lists'!$A$2:$L$800,7,FALSE)</f>
        <v>#N/A</v>
      </c>
      <c r="H310" s="43" t="e">
        <f>VLOOKUP($A310,'[2]Team lists'!$A$2:$L$800,8,FALSE)</f>
        <v>#N/A</v>
      </c>
      <c r="I310" s="43" t="e">
        <f>VLOOKUP($A310,'[2]Team lists'!$A$2:$L$800,9,FALSE)</f>
        <v>#N/A</v>
      </c>
      <c r="J310" s="43" t="e">
        <f>VLOOKUP($A310,'[2]Team lists'!$A$2:$L$800,9,FALSE)</f>
        <v>#N/A</v>
      </c>
      <c r="K310" s="43" t="e">
        <f>VLOOKUP($A310,'[2]Team lists'!$A$2:$L$800,10,FALSE)</f>
        <v>#N/A</v>
      </c>
      <c r="L310" s="43" t="e">
        <f>VLOOKUP($A310,'[2]Team lists'!$A$2:$L$800,11,FALSE)</f>
        <v>#N/A</v>
      </c>
    </row>
    <row r="311" spans="2:13">
      <c r="B311" s="43" t="e">
        <f>VLOOKUP($A311,'[2]Team lists'!$A$2:$L$800,2,FALSE)</f>
        <v>#N/A</v>
      </c>
      <c r="C311" s="43" t="e">
        <f>VLOOKUP($A311,'[2]Team lists'!$A$2:$L$800,3,FALSE)</f>
        <v>#N/A</v>
      </c>
      <c r="D311" s="43" t="e">
        <f>VLOOKUP($A311,'[2]Team lists'!$A$2:$L$800,4,FALSE)</f>
        <v>#N/A</v>
      </c>
      <c r="E311" s="43" t="e">
        <f>VLOOKUP($A311,'[2]Team lists'!$A$2:$L$800,5,FALSE)</f>
        <v>#N/A</v>
      </c>
      <c r="F311" s="43" t="e">
        <f>VLOOKUP($A311,'[2]Team lists'!$A$2:$L$800,6,FALSE)</f>
        <v>#N/A</v>
      </c>
      <c r="G311" s="43" t="e">
        <f>VLOOKUP($A311,'[2]Team lists'!$A$2:$L$800,7,FALSE)</f>
        <v>#N/A</v>
      </c>
      <c r="H311" s="43" t="e">
        <f>VLOOKUP($A311,'[2]Team lists'!$A$2:$L$800,8,FALSE)</f>
        <v>#N/A</v>
      </c>
      <c r="I311" s="43" t="e">
        <f>VLOOKUP($A311,'[2]Team lists'!$A$2:$L$800,9,FALSE)</f>
        <v>#N/A</v>
      </c>
      <c r="J311" s="43" t="e">
        <f>VLOOKUP($A311,'[2]Team lists'!$A$2:$L$800,9,FALSE)</f>
        <v>#N/A</v>
      </c>
      <c r="K311" s="43" t="e">
        <f>VLOOKUP($A311,'[2]Team lists'!$A$2:$L$800,10,FALSE)</f>
        <v>#N/A</v>
      </c>
      <c r="L311" s="43" t="e">
        <f>VLOOKUP($A311,'[2]Team lists'!$A$2:$L$800,11,FALSE)</f>
        <v>#N/A</v>
      </c>
    </row>
    <row r="312" spans="2:13">
      <c r="B312" s="43" t="e">
        <f>VLOOKUP($A312,'[2]Team lists'!$A$2:$L$800,2,FALSE)</f>
        <v>#N/A</v>
      </c>
      <c r="C312" s="43" t="e">
        <f>VLOOKUP($A312,'[2]Team lists'!$A$2:$L$800,3,FALSE)</f>
        <v>#N/A</v>
      </c>
      <c r="D312" s="43" t="e">
        <f>VLOOKUP($A312,'[2]Team lists'!$A$2:$L$800,4,FALSE)</f>
        <v>#N/A</v>
      </c>
      <c r="E312" s="43" t="e">
        <f>VLOOKUP($A312,'[2]Team lists'!$A$2:$L$800,5,FALSE)</f>
        <v>#N/A</v>
      </c>
      <c r="F312" s="43" t="e">
        <f>VLOOKUP($A312,'[2]Team lists'!$A$2:$L$800,6,FALSE)</f>
        <v>#N/A</v>
      </c>
      <c r="G312" s="43" t="e">
        <f>VLOOKUP($A312,'[2]Team lists'!$A$2:$L$800,7,FALSE)</f>
        <v>#N/A</v>
      </c>
      <c r="H312" s="43" t="e">
        <f>VLOOKUP($A312,'[2]Team lists'!$A$2:$L$800,8,FALSE)</f>
        <v>#N/A</v>
      </c>
      <c r="I312" s="43" t="e">
        <f>VLOOKUP($A312,'[2]Team lists'!$A$2:$L$800,9,FALSE)</f>
        <v>#N/A</v>
      </c>
      <c r="J312" s="43" t="e">
        <f>VLOOKUP($A312,'[2]Team lists'!$A$2:$L$800,9,FALSE)</f>
        <v>#N/A</v>
      </c>
      <c r="K312" s="43" t="e">
        <f>VLOOKUP($A312,'[2]Team lists'!$A$2:$L$800,10,FALSE)</f>
        <v>#N/A</v>
      </c>
      <c r="L312" s="43" t="e">
        <f>VLOOKUP($A312,'[2]Team lists'!$A$2:$L$800,11,FALSE)</f>
        <v>#N/A</v>
      </c>
    </row>
    <row r="313" spans="2:13">
      <c r="B313" s="43" t="e">
        <f>VLOOKUP($A313,'[2]Team lists'!$A$2:$L$800,2,FALSE)</f>
        <v>#N/A</v>
      </c>
      <c r="C313" s="43" t="e">
        <f>VLOOKUP($A313,'[2]Team lists'!$A$2:$L$800,3,FALSE)</f>
        <v>#N/A</v>
      </c>
      <c r="D313" s="43" t="e">
        <f>VLOOKUP($A313,'[2]Team lists'!$A$2:$L$800,4,FALSE)</f>
        <v>#N/A</v>
      </c>
      <c r="E313" s="43" t="e">
        <f>VLOOKUP($A313,'[2]Team lists'!$A$2:$L$800,5,FALSE)</f>
        <v>#N/A</v>
      </c>
      <c r="F313" s="43" t="e">
        <f>VLOOKUP($A313,'[2]Team lists'!$A$2:$L$800,6,FALSE)</f>
        <v>#N/A</v>
      </c>
      <c r="G313" s="43" t="e">
        <f>VLOOKUP($A313,'[2]Team lists'!$A$2:$L$800,7,FALSE)</f>
        <v>#N/A</v>
      </c>
      <c r="H313" s="43" t="e">
        <f>VLOOKUP($A313,'[2]Team lists'!$A$2:$L$800,8,FALSE)</f>
        <v>#N/A</v>
      </c>
      <c r="I313" s="43" t="e">
        <f>VLOOKUP($A313,'[2]Team lists'!$A$2:$L$800,9,FALSE)</f>
        <v>#N/A</v>
      </c>
      <c r="J313" s="43" t="e">
        <f>VLOOKUP($A313,'[2]Team lists'!$A$2:$L$800,9,FALSE)</f>
        <v>#N/A</v>
      </c>
      <c r="K313" s="43" t="e">
        <f>VLOOKUP($A313,'[2]Team lists'!$A$2:$L$800,10,FALSE)</f>
        <v>#N/A</v>
      </c>
      <c r="L313" s="43" t="e">
        <f>VLOOKUP($A313,'[2]Team lists'!$A$2:$L$800,11,FALSE)</f>
        <v>#N/A</v>
      </c>
    </row>
    <row r="314" spans="2:13">
      <c r="B314" s="43" t="e">
        <f>VLOOKUP($A314,'[2]Team lists'!$A$2:$L$800,2,FALSE)</f>
        <v>#N/A</v>
      </c>
      <c r="C314" s="43" t="e">
        <f>VLOOKUP($A314,'[2]Team lists'!$A$2:$L$800,3,FALSE)</f>
        <v>#N/A</v>
      </c>
      <c r="D314" s="43" t="e">
        <f>VLOOKUP($A314,'[2]Team lists'!$A$2:$L$800,4,FALSE)</f>
        <v>#N/A</v>
      </c>
      <c r="E314" s="43" t="e">
        <f>VLOOKUP($A314,'[2]Team lists'!$A$2:$L$800,5,FALSE)</f>
        <v>#N/A</v>
      </c>
      <c r="F314" s="43" t="e">
        <f>VLOOKUP($A314,'[2]Team lists'!$A$2:$L$800,6,FALSE)</f>
        <v>#N/A</v>
      </c>
      <c r="G314" s="43" t="e">
        <f>VLOOKUP($A314,'[2]Team lists'!$A$2:$L$800,7,FALSE)</f>
        <v>#N/A</v>
      </c>
      <c r="H314" s="43" t="e">
        <f>VLOOKUP($A314,'[2]Team lists'!$A$2:$L$800,8,FALSE)</f>
        <v>#N/A</v>
      </c>
      <c r="I314" s="43" t="e">
        <f>VLOOKUP($A314,'[2]Team lists'!$A$2:$L$800,9,FALSE)</f>
        <v>#N/A</v>
      </c>
      <c r="J314" s="43" t="e">
        <f>VLOOKUP($A314,'[2]Team lists'!$A$2:$L$800,9,FALSE)</f>
        <v>#N/A</v>
      </c>
      <c r="K314" s="43" t="e">
        <f>VLOOKUP($A314,'[2]Team lists'!$A$2:$L$800,10,FALSE)</f>
        <v>#N/A</v>
      </c>
      <c r="L314" s="43" t="e">
        <f>VLOOKUP($A314,'[2]Team lists'!$A$2:$L$800,11,FALSE)</f>
        <v>#N/A</v>
      </c>
    </row>
    <row r="315" spans="2:13">
      <c r="B315" s="43" t="e">
        <f>VLOOKUP($A315,'[2]Team lists'!$A$2:$L$800,2,FALSE)</f>
        <v>#N/A</v>
      </c>
      <c r="C315" s="43" t="e">
        <f>VLOOKUP($A315,'[2]Team lists'!$A$2:$L$800,3,FALSE)</f>
        <v>#N/A</v>
      </c>
      <c r="D315" s="43" t="e">
        <f>VLOOKUP($A315,'[2]Team lists'!$A$2:$L$800,4,FALSE)</f>
        <v>#N/A</v>
      </c>
      <c r="E315" s="43" t="e">
        <f>VLOOKUP($A315,'[2]Team lists'!$A$2:$L$800,5,FALSE)</f>
        <v>#N/A</v>
      </c>
      <c r="F315" s="43" t="e">
        <f>VLOOKUP($A315,'[2]Team lists'!$A$2:$L$800,6,FALSE)</f>
        <v>#N/A</v>
      </c>
      <c r="G315" s="43" t="e">
        <f>VLOOKUP($A315,'[2]Team lists'!$A$2:$L$800,7,FALSE)</f>
        <v>#N/A</v>
      </c>
      <c r="H315" s="43" t="e">
        <f>VLOOKUP($A315,'[2]Team lists'!$A$2:$L$800,8,FALSE)</f>
        <v>#N/A</v>
      </c>
      <c r="I315" s="43" t="e">
        <f>VLOOKUP($A315,'[2]Team lists'!$A$2:$L$800,9,FALSE)</f>
        <v>#N/A</v>
      </c>
      <c r="J315" s="43" t="e">
        <f>VLOOKUP($A315,'[2]Team lists'!$A$2:$L$800,9,FALSE)</f>
        <v>#N/A</v>
      </c>
      <c r="K315" s="43" t="e">
        <f>VLOOKUP($A315,'[2]Team lists'!$A$2:$L$800,10,FALSE)</f>
        <v>#N/A</v>
      </c>
      <c r="L315" s="43" t="e">
        <f>VLOOKUP($A315,'[2]Team lists'!$A$2:$L$800,11,FALSE)</f>
        <v>#N/A</v>
      </c>
    </row>
    <row r="316" spans="2:13">
      <c r="B316" s="43" t="e">
        <f>VLOOKUP($A316,'[2]Team lists'!$A$2:$L$800,2,FALSE)</f>
        <v>#N/A</v>
      </c>
      <c r="C316" s="43" t="e">
        <f>VLOOKUP($A316,'[2]Team lists'!$A$2:$L$800,3,FALSE)</f>
        <v>#N/A</v>
      </c>
      <c r="D316" s="43" t="e">
        <f>VLOOKUP($A316,'[2]Team lists'!$A$2:$L$800,4,FALSE)</f>
        <v>#N/A</v>
      </c>
      <c r="E316" s="43" t="e">
        <f>VLOOKUP($A316,'[2]Team lists'!$A$2:$L$800,5,FALSE)</f>
        <v>#N/A</v>
      </c>
      <c r="F316" s="43" t="e">
        <f>VLOOKUP($A316,'[2]Team lists'!$A$2:$L$800,6,FALSE)</f>
        <v>#N/A</v>
      </c>
      <c r="G316" s="43" t="e">
        <f>VLOOKUP($A316,'[2]Team lists'!$A$2:$L$800,7,FALSE)</f>
        <v>#N/A</v>
      </c>
      <c r="H316" s="43" t="e">
        <f>VLOOKUP($A316,'[2]Team lists'!$A$2:$L$800,8,FALSE)</f>
        <v>#N/A</v>
      </c>
      <c r="I316" s="43" t="e">
        <f>VLOOKUP($A316,'[2]Team lists'!$A$2:$L$800,9,FALSE)</f>
        <v>#N/A</v>
      </c>
      <c r="J316" s="43" t="e">
        <f>VLOOKUP($A316,'[2]Team lists'!$A$2:$L$800,9,FALSE)</f>
        <v>#N/A</v>
      </c>
      <c r="K316" s="43" t="e">
        <f>VLOOKUP($A316,'[2]Team lists'!$A$2:$L$800,10,FALSE)</f>
        <v>#N/A</v>
      </c>
      <c r="L316" s="43" t="e">
        <f>VLOOKUP($A316,'[2]Team lists'!$A$2:$L$800,11,FALSE)</f>
        <v>#N/A</v>
      </c>
    </row>
    <row r="317" spans="2:13">
      <c r="B317" s="43" t="e">
        <f>VLOOKUP($A317,'[2]Team lists'!$A$2:$L$800,2,FALSE)</f>
        <v>#N/A</v>
      </c>
      <c r="C317" s="43" t="e">
        <f>VLOOKUP($A317,'[2]Team lists'!$A$2:$L$800,3,FALSE)</f>
        <v>#N/A</v>
      </c>
      <c r="D317" s="43" t="e">
        <f>VLOOKUP($A317,'[2]Team lists'!$A$2:$L$800,4,FALSE)</f>
        <v>#N/A</v>
      </c>
      <c r="E317" s="43" t="e">
        <f>VLOOKUP($A317,'[2]Team lists'!$A$2:$L$800,5,FALSE)</f>
        <v>#N/A</v>
      </c>
      <c r="F317" s="43" t="e">
        <f>VLOOKUP($A317,'[2]Team lists'!$A$2:$L$800,6,FALSE)</f>
        <v>#N/A</v>
      </c>
      <c r="G317" s="43" t="e">
        <f>VLOOKUP($A317,'[2]Team lists'!$A$2:$L$800,7,FALSE)</f>
        <v>#N/A</v>
      </c>
      <c r="H317" s="43" t="e">
        <f>VLOOKUP($A317,'[2]Team lists'!$A$2:$L$800,8,FALSE)</f>
        <v>#N/A</v>
      </c>
      <c r="I317" s="43" t="e">
        <f>VLOOKUP($A317,'[2]Team lists'!$A$2:$L$800,9,FALSE)</f>
        <v>#N/A</v>
      </c>
      <c r="J317" s="43" t="e">
        <f>VLOOKUP($A317,'[2]Team lists'!$A$2:$L$800,9,FALSE)</f>
        <v>#N/A</v>
      </c>
      <c r="K317" s="43" t="e">
        <f>VLOOKUP($A317,'[2]Team lists'!$A$2:$L$800,10,FALSE)</f>
        <v>#N/A</v>
      </c>
      <c r="L317" s="43" t="e">
        <f>VLOOKUP($A317,'[2]Team lists'!$A$2:$L$800,11,FALSE)</f>
        <v>#N/A</v>
      </c>
    </row>
    <row r="318" spans="2:13">
      <c r="B318" s="43" t="e">
        <f>VLOOKUP($A318,'[2]Team lists'!$A$2:$L$800,2,FALSE)</f>
        <v>#N/A</v>
      </c>
      <c r="C318" s="43" t="e">
        <f>VLOOKUP($A318,'[2]Team lists'!$A$2:$L$800,3,FALSE)</f>
        <v>#N/A</v>
      </c>
      <c r="D318" s="43" t="e">
        <f>VLOOKUP($A318,'[2]Team lists'!$A$2:$L$800,4,FALSE)</f>
        <v>#N/A</v>
      </c>
      <c r="E318" s="43" t="e">
        <f>VLOOKUP($A318,'[2]Team lists'!$A$2:$L$800,5,FALSE)</f>
        <v>#N/A</v>
      </c>
      <c r="F318" s="43" t="e">
        <f>VLOOKUP($A318,'[2]Team lists'!$A$2:$L$800,6,FALSE)</f>
        <v>#N/A</v>
      </c>
      <c r="G318" s="43" t="e">
        <f>VLOOKUP($A318,'[2]Team lists'!$A$2:$L$800,7,FALSE)</f>
        <v>#N/A</v>
      </c>
      <c r="H318" s="43" t="e">
        <f>VLOOKUP($A318,'[2]Team lists'!$A$2:$L$800,8,FALSE)</f>
        <v>#N/A</v>
      </c>
      <c r="I318" s="43" t="e">
        <f>VLOOKUP($A318,'[2]Team lists'!$A$2:$L$800,9,FALSE)</f>
        <v>#N/A</v>
      </c>
      <c r="J318" s="43" t="e">
        <f>VLOOKUP($A318,'[2]Team lists'!$A$2:$L$800,9,FALSE)</f>
        <v>#N/A</v>
      </c>
      <c r="K318" s="43" t="e">
        <f>VLOOKUP($A318,'[2]Team lists'!$A$2:$L$800,10,FALSE)</f>
        <v>#N/A</v>
      </c>
      <c r="L318" s="43" t="e">
        <f>VLOOKUP($A318,'[2]Team lists'!$A$2:$L$800,11,FALSE)</f>
        <v>#N/A</v>
      </c>
    </row>
    <row r="319" spans="2:13" ht="18" thickBot="1">
      <c r="B319" s="45" t="s">
        <v>3210</v>
      </c>
      <c r="C319" s="46"/>
      <c r="D319" s="47"/>
      <c r="E319" s="48" t="e">
        <f t="shared" ref="E319:L319" si="19">SUM(E308:E318)</f>
        <v>#N/A</v>
      </c>
      <c r="F319" s="49" t="e">
        <f t="shared" si="19"/>
        <v>#N/A</v>
      </c>
      <c r="G319" s="49" t="e">
        <f t="shared" si="19"/>
        <v>#N/A</v>
      </c>
      <c r="H319" s="49" t="e">
        <f t="shared" si="19"/>
        <v>#N/A</v>
      </c>
      <c r="I319" s="49" t="e">
        <f t="shared" si="19"/>
        <v>#N/A</v>
      </c>
      <c r="J319" s="49" t="e">
        <f t="shared" si="19"/>
        <v>#N/A</v>
      </c>
      <c r="K319" s="49" t="e">
        <f t="shared" si="19"/>
        <v>#N/A</v>
      </c>
      <c r="L319" s="50" t="e">
        <f t="shared" si="19"/>
        <v>#N/A</v>
      </c>
    </row>
    <row r="320" spans="2:13" ht="18.600000000000001" thickTop="1" thickBot="1"/>
    <row r="321" spans="2:13" ht="18" thickTop="1">
      <c r="B321" s="23" t="s">
        <v>3204</v>
      </c>
      <c r="C321" s="24" t="s">
        <v>3205</v>
      </c>
      <c r="D321" s="25"/>
      <c r="E321" s="25"/>
      <c r="F321" s="53"/>
      <c r="G321" s="28" t="s">
        <v>3206</v>
      </c>
      <c r="H321" s="54"/>
      <c r="I321" s="54"/>
      <c r="J321" s="54"/>
      <c r="K321" s="28" t="s">
        <v>3207</v>
      </c>
      <c r="L321" s="29"/>
      <c r="M321" s="22" t="str">
        <f>G321</f>
        <v>Manager:</v>
      </c>
    </row>
    <row r="322" spans="2:13" ht="18" thickBot="1">
      <c r="B322" s="30">
        <v>21</v>
      </c>
      <c r="C322" s="57"/>
      <c r="D322" s="31"/>
      <c r="E322" s="31"/>
      <c r="F322" s="33"/>
      <c r="G322" s="55"/>
      <c r="H322" s="55"/>
      <c r="I322" s="55"/>
      <c r="J322" s="55"/>
      <c r="K322" s="34" t="e">
        <f>SUM(F335:L335)</f>
        <v>#N/A</v>
      </c>
      <c r="L322" s="35"/>
      <c r="M322" s="22">
        <f>G322</f>
        <v>0</v>
      </c>
    </row>
    <row r="323" spans="2:13" ht="18.600000000000001" thickTop="1">
      <c r="B323" s="58" t="s">
        <v>913</v>
      </c>
      <c r="C323" s="59" t="s">
        <v>912</v>
      </c>
      <c r="D323" s="60" t="s">
        <v>911</v>
      </c>
      <c r="E323" s="61" t="s">
        <v>3209</v>
      </c>
      <c r="F323" s="62" t="s">
        <v>3162</v>
      </c>
      <c r="G323" s="62" t="s">
        <v>3163</v>
      </c>
      <c r="H323" s="62" t="s">
        <v>3164</v>
      </c>
      <c r="I323" s="62" t="s">
        <v>3165</v>
      </c>
      <c r="J323" s="62" t="s">
        <v>3166</v>
      </c>
      <c r="K323" s="62" t="s">
        <v>3167</v>
      </c>
      <c r="L323" s="63" t="s">
        <v>3168</v>
      </c>
    </row>
    <row r="324" spans="2:13">
      <c r="B324" s="43" t="e">
        <f>VLOOKUP($A324,'[2]Team lists'!$A$2:$L$800,2,FALSE)</f>
        <v>#N/A</v>
      </c>
      <c r="C324" s="43" t="e">
        <f>VLOOKUP($A324,'[2]Team lists'!$A$2:$L$800,3,FALSE)</f>
        <v>#N/A</v>
      </c>
      <c r="D324" s="43" t="e">
        <f>VLOOKUP($A324,'[2]Team lists'!$A$2:$L$800,4,FALSE)</f>
        <v>#N/A</v>
      </c>
      <c r="E324" s="43" t="e">
        <f>VLOOKUP($A324,'[2]Team lists'!$A$2:$L$800,5,FALSE)</f>
        <v>#N/A</v>
      </c>
      <c r="F324" s="43" t="e">
        <f>VLOOKUP($A324,'[2]Team lists'!$A$2:$L$800,6,FALSE)</f>
        <v>#N/A</v>
      </c>
      <c r="G324" s="43" t="e">
        <f>VLOOKUP($A324,'[2]Team lists'!$A$2:$L$800,7,FALSE)</f>
        <v>#N/A</v>
      </c>
      <c r="H324" s="43" t="e">
        <f>VLOOKUP($A324,'[2]Team lists'!$A$2:$L$800,8,FALSE)</f>
        <v>#N/A</v>
      </c>
      <c r="I324" s="43" t="e">
        <f>VLOOKUP($A324,'[2]Team lists'!$A$2:$L$800,9,FALSE)</f>
        <v>#N/A</v>
      </c>
      <c r="J324" s="43" t="e">
        <f>VLOOKUP($A324,'[2]Team lists'!$A$2:$L$800,9,FALSE)</f>
        <v>#N/A</v>
      </c>
      <c r="K324" s="43" t="e">
        <f>VLOOKUP($A324,'[2]Team lists'!$A$2:$L$800,10,FALSE)</f>
        <v>#N/A</v>
      </c>
      <c r="L324" s="43" t="e">
        <f>VLOOKUP($A324,'[2]Team lists'!$A$2:$L$800,11,FALSE)</f>
        <v>#N/A</v>
      </c>
    </row>
    <row r="325" spans="2:13">
      <c r="B325" s="43" t="e">
        <f>VLOOKUP($A325,'[2]Team lists'!$A$2:$L$800,2,FALSE)</f>
        <v>#N/A</v>
      </c>
      <c r="C325" s="43" t="e">
        <f>VLOOKUP($A325,'[2]Team lists'!$A$2:$L$800,3,FALSE)</f>
        <v>#N/A</v>
      </c>
      <c r="D325" s="43" t="e">
        <f>VLOOKUP($A325,'[2]Team lists'!$A$2:$L$800,4,FALSE)</f>
        <v>#N/A</v>
      </c>
      <c r="E325" s="43" t="e">
        <f>VLOOKUP($A325,'[2]Team lists'!$A$2:$L$800,5,FALSE)</f>
        <v>#N/A</v>
      </c>
      <c r="F325" s="43" t="e">
        <f>VLOOKUP($A325,'[2]Team lists'!$A$2:$L$800,6,FALSE)</f>
        <v>#N/A</v>
      </c>
      <c r="G325" s="43" t="e">
        <f>VLOOKUP($A325,'[2]Team lists'!$A$2:$L$800,7,FALSE)</f>
        <v>#N/A</v>
      </c>
      <c r="H325" s="43" t="e">
        <f>VLOOKUP($A325,'[2]Team lists'!$A$2:$L$800,8,FALSE)</f>
        <v>#N/A</v>
      </c>
      <c r="I325" s="43" t="e">
        <f>VLOOKUP($A325,'[2]Team lists'!$A$2:$L$800,9,FALSE)</f>
        <v>#N/A</v>
      </c>
      <c r="J325" s="43" t="e">
        <f>VLOOKUP($A325,'[2]Team lists'!$A$2:$L$800,9,FALSE)</f>
        <v>#N/A</v>
      </c>
      <c r="K325" s="43" t="e">
        <f>VLOOKUP($A325,'[2]Team lists'!$A$2:$L$800,10,FALSE)</f>
        <v>#N/A</v>
      </c>
      <c r="L325" s="43" t="e">
        <f>VLOOKUP($A325,'[2]Team lists'!$A$2:$L$800,11,FALSE)</f>
        <v>#N/A</v>
      </c>
    </row>
    <row r="326" spans="2:13">
      <c r="B326" s="43" t="e">
        <f>VLOOKUP($A326,'[2]Team lists'!$A$2:$L$800,2,FALSE)</f>
        <v>#N/A</v>
      </c>
      <c r="C326" s="43" t="e">
        <f>VLOOKUP($A326,'[2]Team lists'!$A$2:$L$800,3,FALSE)</f>
        <v>#N/A</v>
      </c>
      <c r="D326" s="43" t="e">
        <f>VLOOKUP($A326,'[2]Team lists'!$A$2:$L$800,4,FALSE)</f>
        <v>#N/A</v>
      </c>
      <c r="E326" s="43" t="e">
        <f>VLOOKUP($A326,'[2]Team lists'!$A$2:$L$800,5,FALSE)</f>
        <v>#N/A</v>
      </c>
      <c r="F326" s="43" t="e">
        <f>VLOOKUP($A326,'[2]Team lists'!$A$2:$L$800,6,FALSE)</f>
        <v>#N/A</v>
      </c>
      <c r="G326" s="43" t="e">
        <f>VLOOKUP($A326,'[2]Team lists'!$A$2:$L$800,7,FALSE)</f>
        <v>#N/A</v>
      </c>
      <c r="H326" s="43" t="e">
        <f>VLOOKUP($A326,'[2]Team lists'!$A$2:$L$800,8,FALSE)</f>
        <v>#N/A</v>
      </c>
      <c r="I326" s="43" t="e">
        <f>VLOOKUP($A326,'[2]Team lists'!$A$2:$L$800,9,FALSE)</f>
        <v>#N/A</v>
      </c>
      <c r="J326" s="43" t="e">
        <f>VLOOKUP($A326,'[2]Team lists'!$A$2:$L$800,9,FALSE)</f>
        <v>#N/A</v>
      </c>
      <c r="K326" s="43" t="e">
        <f>VLOOKUP($A326,'[2]Team lists'!$A$2:$L$800,10,FALSE)</f>
        <v>#N/A</v>
      </c>
      <c r="L326" s="43" t="e">
        <f>VLOOKUP($A326,'[2]Team lists'!$A$2:$L$800,11,FALSE)</f>
        <v>#N/A</v>
      </c>
    </row>
    <row r="327" spans="2:13">
      <c r="B327" s="43" t="e">
        <f>VLOOKUP($A327,'[2]Team lists'!$A$2:$L$800,2,FALSE)</f>
        <v>#N/A</v>
      </c>
      <c r="C327" s="43" t="e">
        <f>VLOOKUP($A327,'[2]Team lists'!$A$2:$L$800,3,FALSE)</f>
        <v>#N/A</v>
      </c>
      <c r="D327" s="43" t="e">
        <f>VLOOKUP($A327,'[2]Team lists'!$A$2:$L$800,4,FALSE)</f>
        <v>#N/A</v>
      </c>
      <c r="E327" s="43" t="e">
        <f>VLOOKUP($A327,'[2]Team lists'!$A$2:$L$800,5,FALSE)</f>
        <v>#N/A</v>
      </c>
      <c r="F327" s="43" t="e">
        <f>VLOOKUP($A327,'[2]Team lists'!$A$2:$L$800,6,FALSE)</f>
        <v>#N/A</v>
      </c>
      <c r="G327" s="43" t="e">
        <f>VLOOKUP($A327,'[2]Team lists'!$A$2:$L$800,7,FALSE)</f>
        <v>#N/A</v>
      </c>
      <c r="H327" s="43" t="e">
        <f>VLOOKUP($A327,'[2]Team lists'!$A$2:$L$800,8,FALSE)</f>
        <v>#N/A</v>
      </c>
      <c r="I327" s="43" t="e">
        <f>VLOOKUP($A327,'[2]Team lists'!$A$2:$L$800,9,FALSE)</f>
        <v>#N/A</v>
      </c>
      <c r="J327" s="43" t="e">
        <f>VLOOKUP($A327,'[2]Team lists'!$A$2:$L$800,9,FALSE)</f>
        <v>#N/A</v>
      </c>
      <c r="K327" s="43" t="e">
        <f>VLOOKUP($A327,'[2]Team lists'!$A$2:$L$800,10,FALSE)</f>
        <v>#N/A</v>
      </c>
      <c r="L327" s="43" t="e">
        <f>VLOOKUP($A327,'[2]Team lists'!$A$2:$L$800,11,FALSE)</f>
        <v>#N/A</v>
      </c>
    </row>
    <row r="328" spans="2:13">
      <c r="B328" s="43" t="e">
        <f>VLOOKUP($A328,'[2]Team lists'!$A$2:$L$800,2,FALSE)</f>
        <v>#N/A</v>
      </c>
      <c r="C328" s="43" t="e">
        <f>VLOOKUP($A328,'[2]Team lists'!$A$2:$L$800,3,FALSE)</f>
        <v>#N/A</v>
      </c>
      <c r="D328" s="43" t="e">
        <f>VLOOKUP($A328,'[2]Team lists'!$A$2:$L$800,4,FALSE)</f>
        <v>#N/A</v>
      </c>
      <c r="E328" s="43" t="e">
        <f>VLOOKUP($A328,'[2]Team lists'!$A$2:$L$800,5,FALSE)</f>
        <v>#N/A</v>
      </c>
      <c r="F328" s="43" t="e">
        <f>VLOOKUP($A328,'[2]Team lists'!$A$2:$L$800,6,FALSE)</f>
        <v>#N/A</v>
      </c>
      <c r="G328" s="43" t="e">
        <f>VLOOKUP($A328,'[2]Team lists'!$A$2:$L$800,7,FALSE)</f>
        <v>#N/A</v>
      </c>
      <c r="H328" s="43" t="e">
        <f>VLOOKUP($A328,'[2]Team lists'!$A$2:$L$800,8,FALSE)</f>
        <v>#N/A</v>
      </c>
      <c r="I328" s="43" t="e">
        <f>VLOOKUP($A328,'[2]Team lists'!$A$2:$L$800,9,FALSE)</f>
        <v>#N/A</v>
      </c>
      <c r="J328" s="43" t="e">
        <f>VLOOKUP($A328,'[2]Team lists'!$A$2:$L$800,9,FALSE)</f>
        <v>#N/A</v>
      </c>
      <c r="K328" s="43" t="e">
        <f>VLOOKUP($A328,'[2]Team lists'!$A$2:$L$800,10,FALSE)</f>
        <v>#N/A</v>
      </c>
      <c r="L328" s="43" t="e">
        <f>VLOOKUP($A328,'[2]Team lists'!$A$2:$L$800,11,FALSE)</f>
        <v>#N/A</v>
      </c>
    </row>
    <row r="329" spans="2:13">
      <c r="B329" s="43" t="e">
        <f>VLOOKUP($A329,'[2]Team lists'!$A$2:$L$800,2,FALSE)</f>
        <v>#N/A</v>
      </c>
      <c r="C329" s="43" t="e">
        <f>VLOOKUP($A329,'[2]Team lists'!$A$2:$L$800,3,FALSE)</f>
        <v>#N/A</v>
      </c>
      <c r="D329" s="43" t="e">
        <f>VLOOKUP($A329,'[2]Team lists'!$A$2:$L$800,4,FALSE)</f>
        <v>#N/A</v>
      </c>
      <c r="E329" s="43" t="e">
        <f>VLOOKUP($A329,'[2]Team lists'!$A$2:$L$800,5,FALSE)</f>
        <v>#N/A</v>
      </c>
      <c r="F329" s="43" t="e">
        <f>VLOOKUP($A329,'[2]Team lists'!$A$2:$L$800,6,FALSE)</f>
        <v>#N/A</v>
      </c>
      <c r="G329" s="43" t="e">
        <f>VLOOKUP($A329,'[2]Team lists'!$A$2:$L$800,7,FALSE)</f>
        <v>#N/A</v>
      </c>
      <c r="H329" s="43" t="e">
        <f>VLOOKUP($A329,'[2]Team lists'!$A$2:$L$800,8,FALSE)</f>
        <v>#N/A</v>
      </c>
      <c r="I329" s="43" t="e">
        <f>VLOOKUP($A329,'[2]Team lists'!$A$2:$L$800,9,FALSE)</f>
        <v>#N/A</v>
      </c>
      <c r="J329" s="43" t="e">
        <f>VLOOKUP($A329,'[2]Team lists'!$A$2:$L$800,9,FALSE)</f>
        <v>#N/A</v>
      </c>
      <c r="K329" s="43" t="e">
        <f>VLOOKUP($A329,'[2]Team lists'!$A$2:$L$800,10,FALSE)</f>
        <v>#N/A</v>
      </c>
      <c r="L329" s="43" t="e">
        <f>VLOOKUP($A329,'[2]Team lists'!$A$2:$L$800,11,FALSE)</f>
        <v>#N/A</v>
      </c>
    </row>
    <row r="330" spans="2:13">
      <c r="B330" s="43" t="e">
        <f>VLOOKUP($A330,'[2]Team lists'!$A$2:$L$800,2,FALSE)</f>
        <v>#N/A</v>
      </c>
      <c r="C330" s="43" t="e">
        <f>VLOOKUP($A330,'[2]Team lists'!$A$2:$L$800,3,FALSE)</f>
        <v>#N/A</v>
      </c>
      <c r="D330" s="43" t="e">
        <f>VLOOKUP($A330,'[2]Team lists'!$A$2:$L$800,4,FALSE)</f>
        <v>#N/A</v>
      </c>
      <c r="E330" s="43" t="e">
        <f>VLOOKUP($A330,'[2]Team lists'!$A$2:$L$800,5,FALSE)</f>
        <v>#N/A</v>
      </c>
      <c r="F330" s="43" t="e">
        <f>VLOOKUP($A330,'[2]Team lists'!$A$2:$L$800,6,FALSE)</f>
        <v>#N/A</v>
      </c>
      <c r="G330" s="43" t="e">
        <f>VLOOKUP($A330,'[2]Team lists'!$A$2:$L$800,7,FALSE)</f>
        <v>#N/A</v>
      </c>
      <c r="H330" s="43" t="e">
        <f>VLOOKUP($A330,'[2]Team lists'!$A$2:$L$800,8,FALSE)</f>
        <v>#N/A</v>
      </c>
      <c r="I330" s="43" t="e">
        <f>VLOOKUP($A330,'[2]Team lists'!$A$2:$L$800,9,FALSE)</f>
        <v>#N/A</v>
      </c>
      <c r="J330" s="43" t="e">
        <f>VLOOKUP($A330,'[2]Team lists'!$A$2:$L$800,9,FALSE)</f>
        <v>#N/A</v>
      </c>
      <c r="K330" s="43" t="e">
        <f>VLOOKUP($A330,'[2]Team lists'!$A$2:$L$800,10,FALSE)</f>
        <v>#N/A</v>
      </c>
      <c r="L330" s="43" t="e">
        <f>VLOOKUP($A330,'[2]Team lists'!$A$2:$L$800,11,FALSE)</f>
        <v>#N/A</v>
      </c>
    </row>
    <row r="331" spans="2:13">
      <c r="B331" s="43" t="e">
        <f>VLOOKUP($A331,'[2]Team lists'!$A$2:$L$800,2,FALSE)</f>
        <v>#N/A</v>
      </c>
      <c r="C331" s="43" t="e">
        <f>VLOOKUP($A331,'[2]Team lists'!$A$2:$L$800,3,FALSE)</f>
        <v>#N/A</v>
      </c>
      <c r="D331" s="43" t="e">
        <f>VLOOKUP($A331,'[2]Team lists'!$A$2:$L$800,4,FALSE)</f>
        <v>#N/A</v>
      </c>
      <c r="E331" s="43" t="e">
        <f>VLOOKUP($A331,'[2]Team lists'!$A$2:$L$800,5,FALSE)</f>
        <v>#N/A</v>
      </c>
      <c r="F331" s="43" t="e">
        <f>VLOOKUP($A331,'[2]Team lists'!$A$2:$L$800,6,FALSE)</f>
        <v>#N/A</v>
      </c>
      <c r="G331" s="43" t="e">
        <f>VLOOKUP($A331,'[2]Team lists'!$A$2:$L$800,7,FALSE)</f>
        <v>#N/A</v>
      </c>
      <c r="H331" s="43" t="e">
        <f>VLOOKUP($A331,'[2]Team lists'!$A$2:$L$800,8,FALSE)</f>
        <v>#N/A</v>
      </c>
      <c r="I331" s="43" t="e">
        <f>VLOOKUP($A331,'[2]Team lists'!$A$2:$L$800,9,FALSE)</f>
        <v>#N/A</v>
      </c>
      <c r="J331" s="43" t="e">
        <f>VLOOKUP($A331,'[2]Team lists'!$A$2:$L$800,9,FALSE)</f>
        <v>#N/A</v>
      </c>
      <c r="K331" s="43" t="e">
        <f>VLOOKUP($A331,'[2]Team lists'!$A$2:$L$800,10,FALSE)</f>
        <v>#N/A</v>
      </c>
      <c r="L331" s="43" t="e">
        <f>VLOOKUP($A331,'[2]Team lists'!$A$2:$L$800,11,FALSE)</f>
        <v>#N/A</v>
      </c>
    </row>
    <row r="332" spans="2:13">
      <c r="B332" s="43" t="e">
        <f>VLOOKUP($A332,'[2]Team lists'!$A$2:$L$800,2,FALSE)</f>
        <v>#N/A</v>
      </c>
      <c r="C332" s="43" t="e">
        <f>VLOOKUP($A332,'[2]Team lists'!$A$2:$L$800,3,FALSE)</f>
        <v>#N/A</v>
      </c>
      <c r="D332" s="43" t="e">
        <f>VLOOKUP($A332,'[2]Team lists'!$A$2:$L$800,4,FALSE)</f>
        <v>#N/A</v>
      </c>
      <c r="E332" s="43" t="e">
        <f>VLOOKUP($A332,'[2]Team lists'!$A$2:$L$800,5,FALSE)</f>
        <v>#N/A</v>
      </c>
      <c r="F332" s="43" t="e">
        <f>VLOOKUP($A332,'[2]Team lists'!$A$2:$L$800,6,FALSE)</f>
        <v>#N/A</v>
      </c>
      <c r="G332" s="43" t="e">
        <f>VLOOKUP($A332,'[2]Team lists'!$A$2:$L$800,7,FALSE)</f>
        <v>#N/A</v>
      </c>
      <c r="H332" s="43" t="e">
        <f>VLOOKUP($A332,'[2]Team lists'!$A$2:$L$800,8,FALSE)</f>
        <v>#N/A</v>
      </c>
      <c r="I332" s="43" t="e">
        <f>VLOOKUP($A332,'[2]Team lists'!$A$2:$L$800,9,FALSE)</f>
        <v>#N/A</v>
      </c>
      <c r="J332" s="43" t="e">
        <f>VLOOKUP($A332,'[2]Team lists'!$A$2:$L$800,9,FALSE)</f>
        <v>#N/A</v>
      </c>
      <c r="K332" s="43" t="e">
        <f>VLOOKUP($A332,'[2]Team lists'!$A$2:$L$800,10,FALSE)</f>
        <v>#N/A</v>
      </c>
      <c r="L332" s="43" t="e">
        <f>VLOOKUP($A332,'[2]Team lists'!$A$2:$L$800,11,FALSE)</f>
        <v>#N/A</v>
      </c>
    </row>
    <row r="333" spans="2:13">
      <c r="B333" s="43" t="e">
        <f>VLOOKUP($A333,'[2]Team lists'!$A$2:$L$800,2,FALSE)</f>
        <v>#N/A</v>
      </c>
      <c r="C333" s="43" t="e">
        <f>VLOOKUP($A333,'[2]Team lists'!$A$2:$L$800,3,FALSE)</f>
        <v>#N/A</v>
      </c>
      <c r="D333" s="43" t="e">
        <f>VLOOKUP($A333,'[2]Team lists'!$A$2:$L$800,4,FALSE)</f>
        <v>#N/A</v>
      </c>
      <c r="E333" s="43" t="e">
        <f>VLOOKUP($A333,'[2]Team lists'!$A$2:$L$800,5,FALSE)</f>
        <v>#N/A</v>
      </c>
      <c r="F333" s="43" t="e">
        <f>VLOOKUP($A333,'[2]Team lists'!$A$2:$L$800,6,FALSE)</f>
        <v>#N/A</v>
      </c>
      <c r="G333" s="43" t="e">
        <f>VLOOKUP($A333,'[2]Team lists'!$A$2:$L$800,7,FALSE)</f>
        <v>#N/A</v>
      </c>
      <c r="H333" s="43" t="e">
        <f>VLOOKUP($A333,'[2]Team lists'!$A$2:$L$800,8,FALSE)</f>
        <v>#N/A</v>
      </c>
      <c r="I333" s="43" t="e">
        <f>VLOOKUP($A333,'[2]Team lists'!$A$2:$L$800,9,FALSE)</f>
        <v>#N/A</v>
      </c>
      <c r="J333" s="43" t="e">
        <f>VLOOKUP($A333,'[2]Team lists'!$A$2:$L$800,9,FALSE)</f>
        <v>#N/A</v>
      </c>
      <c r="K333" s="43" t="e">
        <f>VLOOKUP($A333,'[2]Team lists'!$A$2:$L$800,10,FALSE)</f>
        <v>#N/A</v>
      </c>
      <c r="L333" s="43" t="e">
        <f>VLOOKUP($A333,'[2]Team lists'!$A$2:$L$800,11,FALSE)</f>
        <v>#N/A</v>
      </c>
    </row>
    <row r="334" spans="2:13">
      <c r="B334" s="43" t="e">
        <f>VLOOKUP($A334,'[2]Team lists'!$A$2:$L$800,2,FALSE)</f>
        <v>#N/A</v>
      </c>
      <c r="C334" s="43" t="e">
        <f>VLOOKUP($A334,'[2]Team lists'!$A$2:$L$800,3,FALSE)</f>
        <v>#N/A</v>
      </c>
      <c r="D334" s="43" t="e">
        <f>VLOOKUP($A334,'[2]Team lists'!$A$2:$L$800,4,FALSE)</f>
        <v>#N/A</v>
      </c>
      <c r="E334" s="43" t="e">
        <f>VLOOKUP($A334,'[2]Team lists'!$A$2:$L$800,5,FALSE)</f>
        <v>#N/A</v>
      </c>
      <c r="F334" s="43" t="e">
        <f>VLOOKUP($A334,'[2]Team lists'!$A$2:$L$800,6,FALSE)</f>
        <v>#N/A</v>
      </c>
      <c r="G334" s="43" t="e">
        <f>VLOOKUP($A334,'[2]Team lists'!$A$2:$L$800,7,FALSE)</f>
        <v>#N/A</v>
      </c>
      <c r="H334" s="43" t="e">
        <f>VLOOKUP($A334,'[2]Team lists'!$A$2:$L$800,8,FALSE)</f>
        <v>#N/A</v>
      </c>
      <c r="I334" s="43" t="e">
        <f>VLOOKUP($A334,'[2]Team lists'!$A$2:$L$800,9,FALSE)</f>
        <v>#N/A</v>
      </c>
      <c r="J334" s="43" t="e">
        <f>VLOOKUP($A334,'[2]Team lists'!$A$2:$L$800,9,FALSE)</f>
        <v>#N/A</v>
      </c>
      <c r="K334" s="43" t="e">
        <f>VLOOKUP($A334,'[2]Team lists'!$A$2:$L$800,10,FALSE)</f>
        <v>#N/A</v>
      </c>
      <c r="L334" s="43" t="e">
        <f>VLOOKUP($A334,'[2]Team lists'!$A$2:$L$800,11,FALSE)</f>
        <v>#N/A</v>
      </c>
    </row>
    <row r="335" spans="2:13" ht="18" thickBot="1">
      <c r="B335" s="45" t="s">
        <v>3210</v>
      </c>
      <c r="C335" s="46"/>
      <c r="D335" s="47"/>
      <c r="E335" s="48" t="e">
        <f t="shared" ref="E335:L335" si="20">SUM(E324:E334)</f>
        <v>#N/A</v>
      </c>
      <c r="F335" s="49" t="e">
        <f t="shared" si="20"/>
        <v>#N/A</v>
      </c>
      <c r="G335" s="49" t="e">
        <f t="shared" si="20"/>
        <v>#N/A</v>
      </c>
      <c r="H335" s="49" t="e">
        <f t="shared" si="20"/>
        <v>#N/A</v>
      </c>
      <c r="I335" s="49" t="e">
        <f t="shared" si="20"/>
        <v>#N/A</v>
      </c>
      <c r="J335" s="49" t="e">
        <f t="shared" si="20"/>
        <v>#N/A</v>
      </c>
      <c r="K335" s="49" t="e">
        <f t="shared" si="20"/>
        <v>#N/A</v>
      </c>
      <c r="L335" s="50" t="e">
        <f t="shared" si="20"/>
        <v>#N/A</v>
      </c>
    </row>
    <row r="336" spans="2:13" ht="18.600000000000001" thickTop="1" thickBot="1"/>
    <row r="337" spans="2:13" ht="18" thickTop="1">
      <c r="B337" s="23" t="s">
        <v>3204</v>
      </c>
      <c r="C337" s="24" t="s">
        <v>3205</v>
      </c>
      <c r="D337" s="25"/>
      <c r="E337" s="25"/>
      <c r="F337" s="53"/>
      <c r="G337" s="28" t="s">
        <v>3206</v>
      </c>
      <c r="H337" s="54"/>
      <c r="I337" s="54"/>
      <c r="J337" s="54"/>
      <c r="K337" s="28" t="s">
        <v>3207</v>
      </c>
      <c r="L337" s="29"/>
      <c r="M337" s="22" t="str">
        <f>G337</f>
        <v>Manager:</v>
      </c>
    </row>
    <row r="338" spans="2:13" ht="18" thickBot="1">
      <c r="B338" s="30">
        <v>22</v>
      </c>
      <c r="C338" s="57"/>
      <c r="D338" s="31"/>
      <c r="E338" s="31"/>
      <c r="F338" s="33"/>
      <c r="G338" s="55"/>
      <c r="H338" s="55"/>
      <c r="I338" s="55"/>
      <c r="J338" s="55"/>
      <c r="K338" s="34" t="e">
        <f>SUM(F351:L351)</f>
        <v>#N/A</v>
      </c>
      <c r="L338" s="35"/>
      <c r="M338" s="22">
        <f>G338</f>
        <v>0</v>
      </c>
    </row>
    <row r="339" spans="2:13" ht="18.600000000000001" thickTop="1">
      <c r="B339" s="58" t="s">
        <v>913</v>
      </c>
      <c r="C339" s="59" t="s">
        <v>912</v>
      </c>
      <c r="D339" s="60" t="s">
        <v>911</v>
      </c>
      <c r="E339" s="61" t="s">
        <v>3209</v>
      </c>
      <c r="F339" s="62" t="s">
        <v>3162</v>
      </c>
      <c r="G339" s="62" t="s">
        <v>3163</v>
      </c>
      <c r="H339" s="62" t="s">
        <v>3164</v>
      </c>
      <c r="I339" s="62" t="s">
        <v>3165</v>
      </c>
      <c r="J339" s="62" t="s">
        <v>3166</v>
      </c>
      <c r="K339" s="62" t="s">
        <v>3167</v>
      </c>
      <c r="L339" s="63" t="s">
        <v>3168</v>
      </c>
    </row>
    <row r="340" spans="2:13">
      <c r="B340" s="43" t="e">
        <f>VLOOKUP($A340,'[2]Team lists'!$A$2:$L$800,2,FALSE)</f>
        <v>#N/A</v>
      </c>
      <c r="C340" s="43" t="e">
        <f>VLOOKUP($A340,'[2]Team lists'!$A$2:$L$800,3,FALSE)</f>
        <v>#N/A</v>
      </c>
      <c r="D340" s="43" t="e">
        <f>VLOOKUP($A340,'[2]Team lists'!$A$2:$L$800,4,FALSE)</f>
        <v>#N/A</v>
      </c>
      <c r="E340" s="43" t="e">
        <f>VLOOKUP($A340,'[2]Team lists'!$A$2:$L$800,5,FALSE)</f>
        <v>#N/A</v>
      </c>
      <c r="F340" s="43" t="e">
        <f>VLOOKUP($A340,'[2]Team lists'!$A$2:$L$800,6,FALSE)</f>
        <v>#N/A</v>
      </c>
      <c r="G340" s="43" t="e">
        <f>VLOOKUP($A340,'[2]Team lists'!$A$2:$L$800,7,FALSE)</f>
        <v>#N/A</v>
      </c>
      <c r="H340" s="43" t="e">
        <f>VLOOKUP($A340,'[2]Team lists'!$A$2:$L$800,8,FALSE)</f>
        <v>#N/A</v>
      </c>
      <c r="I340" s="43" t="e">
        <f>VLOOKUP($A340,'[2]Team lists'!$A$2:$L$800,9,FALSE)</f>
        <v>#N/A</v>
      </c>
      <c r="J340" s="43" t="e">
        <f>VLOOKUP($A340,'[2]Team lists'!$A$2:$L$800,9,FALSE)</f>
        <v>#N/A</v>
      </c>
      <c r="K340" s="43" t="e">
        <f>VLOOKUP($A340,'[2]Team lists'!$A$2:$L$800,10,FALSE)</f>
        <v>#N/A</v>
      </c>
      <c r="L340" s="43" t="e">
        <f>VLOOKUP($A340,'[2]Team lists'!$A$2:$L$800,11,FALSE)</f>
        <v>#N/A</v>
      </c>
    </row>
    <row r="341" spans="2:13">
      <c r="B341" s="43" t="e">
        <f>VLOOKUP($A341,'[2]Team lists'!$A$2:$L$800,2,FALSE)</f>
        <v>#N/A</v>
      </c>
      <c r="C341" s="43" t="e">
        <f>VLOOKUP($A341,'[2]Team lists'!$A$2:$L$800,3,FALSE)</f>
        <v>#N/A</v>
      </c>
      <c r="D341" s="43" t="e">
        <f>VLOOKUP($A341,'[2]Team lists'!$A$2:$L$800,4,FALSE)</f>
        <v>#N/A</v>
      </c>
      <c r="E341" s="43" t="e">
        <f>VLOOKUP($A341,'[2]Team lists'!$A$2:$L$800,5,FALSE)</f>
        <v>#N/A</v>
      </c>
      <c r="F341" s="43" t="e">
        <f>VLOOKUP($A341,'[2]Team lists'!$A$2:$L$800,6,FALSE)</f>
        <v>#N/A</v>
      </c>
      <c r="G341" s="43" t="e">
        <f>VLOOKUP($A341,'[2]Team lists'!$A$2:$L$800,7,FALSE)</f>
        <v>#N/A</v>
      </c>
      <c r="H341" s="43" t="e">
        <f>VLOOKUP($A341,'[2]Team lists'!$A$2:$L$800,8,FALSE)</f>
        <v>#N/A</v>
      </c>
      <c r="I341" s="43" t="e">
        <f>VLOOKUP($A341,'[2]Team lists'!$A$2:$L$800,9,FALSE)</f>
        <v>#N/A</v>
      </c>
      <c r="J341" s="43" t="e">
        <f>VLOOKUP($A341,'[2]Team lists'!$A$2:$L$800,9,FALSE)</f>
        <v>#N/A</v>
      </c>
      <c r="K341" s="43" t="e">
        <f>VLOOKUP($A341,'[2]Team lists'!$A$2:$L$800,10,FALSE)</f>
        <v>#N/A</v>
      </c>
      <c r="L341" s="43" t="e">
        <f>VLOOKUP($A341,'[2]Team lists'!$A$2:$L$800,11,FALSE)</f>
        <v>#N/A</v>
      </c>
    </row>
    <row r="342" spans="2:13">
      <c r="B342" s="43" t="e">
        <f>VLOOKUP($A342,'[2]Team lists'!$A$2:$L$800,2,FALSE)</f>
        <v>#N/A</v>
      </c>
      <c r="C342" s="43" t="e">
        <f>VLOOKUP($A342,'[2]Team lists'!$A$2:$L$800,3,FALSE)</f>
        <v>#N/A</v>
      </c>
      <c r="D342" s="43" t="e">
        <f>VLOOKUP($A342,'[2]Team lists'!$A$2:$L$800,4,FALSE)</f>
        <v>#N/A</v>
      </c>
      <c r="E342" s="43" t="e">
        <f>VLOOKUP($A342,'[2]Team lists'!$A$2:$L$800,5,FALSE)</f>
        <v>#N/A</v>
      </c>
      <c r="F342" s="43" t="e">
        <f>VLOOKUP($A342,'[2]Team lists'!$A$2:$L$800,6,FALSE)</f>
        <v>#N/A</v>
      </c>
      <c r="G342" s="43" t="e">
        <f>VLOOKUP($A342,'[2]Team lists'!$A$2:$L$800,7,FALSE)</f>
        <v>#N/A</v>
      </c>
      <c r="H342" s="43" t="e">
        <f>VLOOKUP($A342,'[2]Team lists'!$A$2:$L$800,8,FALSE)</f>
        <v>#N/A</v>
      </c>
      <c r="I342" s="43" t="e">
        <f>VLOOKUP($A342,'[2]Team lists'!$A$2:$L$800,9,FALSE)</f>
        <v>#N/A</v>
      </c>
      <c r="J342" s="43" t="e">
        <f>VLOOKUP($A342,'[2]Team lists'!$A$2:$L$800,9,FALSE)</f>
        <v>#N/A</v>
      </c>
      <c r="K342" s="43" t="e">
        <f>VLOOKUP($A342,'[2]Team lists'!$A$2:$L$800,10,FALSE)</f>
        <v>#N/A</v>
      </c>
      <c r="L342" s="43" t="e">
        <f>VLOOKUP($A342,'[2]Team lists'!$A$2:$L$800,11,FALSE)</f>
        <v>#N/A</v>
      </c>
    </row>
    <row r="343" spans="2:13">
      <c r="B343" s="43" t="e">
        <f>VLOOKUP($A343,'[2]Team lists'!$A$2:$L$800,2,FALSE)</f>
        <v>#N/A</v>
      </c>
      <c r="C343" s="43" t="e">
        <f>VLOOKUP($A343,'[2]Team lists'!$A$2:$L$800,3,FALSE)</f>
        <v>#N/A</v>
      </c>
      <c r="D343" s="43" t="e">
        <f>VLOOKUP($A343,'[2]Team lists'!$A$2:$L$800,4,FALSE)</f>
        <v>#N/A</v>
      </c>
      <c r="E343" s="43" t="e">
        <f>VLOOKUP($A343,'[2]Team lists'!$A$2:$L$800,5,FALSE)</f>
        <v>#N/A</v>
      </c>
      <c r="F343" s="43" t="e">
        <f>VLOOKUP($A343,'[2]Team lists'!$A$2:$L$800,6,FALSE)</f>
        <v>#N/A</v>
      </c>
      <c r="G343" s="43" t="e">
        <f>VLOOKUP($A343,'[2]Team lists'!$A$2:$L$800,7,FALSE)</f>
        <v>#N/A</v>
      </c>
      <c r="H343" s="43" t="e">
        <f>VLOOKUP($A343,'[2]Team lists'!$A$2:$L$800,8,FALSE)</f>
        <v>#N/A</v>
      </c>
      <c r="I343" s="43" t="e">
        <f>VLOOKUP($A343,'[2]Team lists'!$A$2:$L$800,9,FALSE)</f>
        <v>#N/A</v>
      </c>
      <c r="J343" s="43" t="e">
        <f>VLOOKUP($A343,'[2]Team lists'!$A$2:$L$800,9,FALSE)</f>
        <v>#N/A</v>
      </c>
      <c r="K343" s="43" t="e">
        <f>VLOOKUP($A343,'[2]Team lists'!$A$2:$L$800,10,FALSE)</f>
        <v>#N/A</v>
      </c>
      <c r="L343" s="43" t="e">
        <f>VLOOKUP($A343,'[2]Team lists'!$A$2:$L$800,11,FALSE)</f>
        <v>#N/A</v>
      </c>
    </row>
    <row r="344" spans="2:13">
      <c r="B344" s="43" t="e">
        <f>VLOOKUP($A344,'[2]Team lists'!$A$2:$L$800,2,FALSE)</f>
        <v>#N/A</v>
      </c>
      <c r="C344" s="43" t="e">
        <f>VLOOKUP($A344,'[2]Team lists'!$A$2:$L$800,3,FALSE)</f>
        <v>#N/A</v>
      </c>
      <c r="D344" s="43" t="e">
        <f>VLOOKUP($A344,'[2]Team lists'!$A$2:$L$800,4,FALSE)</f>
        <v>#N/A</v>
      </c>
      <c r="E344" s="43" t="e">
        <f>VLOOKUP($A344,'[2]Team lists'!$A$2:$L$800,5,FALSE)</f>
        <v>#N/A</v>
      </c>
      <c r="F344" s="43" t="e">
        <f>VLOOKUP($A344,'[2]Team lists'!$A$2:$L$800,6,FALSE)</f>
        <v>#N/A</v>
      </c>
      <c r="G344" s="43" t="e">
        <f>VLOOKUP($A344,'[2]Team lists'!$A$2:$L$800,7,FALSE)</f>
        <v>#N/A</v>
      </c>
      <c r="H344" s="43" t="e">
        <f>VLOOKUP($A344,'[2]Team lists'!$A$2:$L$800,8,FALSE)</f>
        <v>#N/A</v>
      </c>
      <c r="I344" s="43" t="e">
        <f>VLOOKUP($A344,'[2]Team lists'!$A$2:$L$800,9,FALSE)</f>
        <v>#N/A</v>
      </c>
      <c r="J344" s="43" t="e">
        <f>VLOOKUP($A344,'[2]Team lists'!$A$2:$L$800,9,FALSE)</f>
        <v>#N/A</v>
      </c>
      <c r="K344" s="43" t="e">
        <f>VLOOKUP($A344,'[2]Team lists'!$A$2:$L$800,10,FALSE)</f>
        <v>#N/A</v>
      </c>
      <c r="L344" s="43" t="e">
        <f>VLOOKUP($A344,'[2]Team lists'!$A$2:$L$800,11,FALSE)</f>
        <v>#N/A</v>
      </c>
    </row>
    <row r="345" spans="2:13">
      <c r="B345" s="43" t="e">
        <f>VLOOKUP($A345,'[2]Team lists'!$A$2:$L$800,2,FALSE)</f>
        <v>#N/A</v>
      </c>
      <c r="C345" s="43" t="e">
        <f>VLOOKUP($A345,'[2]Team lists'!$A$2:$L$800,3,FALSE)</f>
        <v>#N/A</v>
      </c>
      <c r="D345" s="43" t="e">
        <f>VLOOKUP($A345,'[2]Team lists'!$A$2:$L$800,4,FALSE)</f>
        <v>#N/A</v>
      </c>
      <c r="E345" s="43" t="e">
        <f>VLOOKUP($A345,'[2]Team lists'!$A$2:$L$800,5,FALSE)</f>
        <v>#N/A</v>
      </c>
      <c r="F345" s="43" t="e">
        <f>VLOOKUP($A345,'[2]Team lists'!$A$2:$L$800,6,FALSE)</f>
        <v>#N/A</v>
      </c>
      <c r="G345" s="43" t="e">
        <f>VLOOKUP($A345,'[2]Team lists'!$A$2:$L$800,7,FALSE)</f>
        <v>#N/A</v>
      </c>
      <c r="H345" s="43" t="e">
        <f>VLOOKUP($A345,'[2]Team lists'!$A$2:$L$800,8,FALSE)</f>
        <v>#N/A</v>
      </c>
      <c r="I345" s="43" t="e">
        <f>VLOOKUP($A345,'[2]Team lists'!$A$2:$L$800,9,FALSE)</f>
        <v>#N/A</v>
      </c>
      <c r="J345" s="43" t="e">
        <f>VLOOKUP($A345,'[2]Team lists'!$A$2:$L$800,9,FALSE)</f>
        <v>#N/A</v>
      </c>
      <c r="K345" s="43" t="e">
        <f>VLOOKUP($A345,'[2]Team lists'!$A$2:$L$800,10,FALSE)</f>
        <v>#N/A</v>
      </c>
      <c r="L345" s="43" t="e">
        <f>VLOOKUP($A345,'[2]Team lists'!$A$2:$L$800,11,FALSE)</f>
        <v>#N/A</v>
      </c>
    </row>
    <row r="346" spans="2:13">
      <c r="B346" s="43" t="e">
        <f>VLOOKUP($A346,'[2]Team lists'!$A$2:$L$800,2,FALSE)</f>
        <v>#N/A</v>
      </c>
      <c r="C346" s="43" t="e">
        <f>VLOOKUP($A346,'[2]Team lists'!$A$2:$L$800,3,FALSE)</f>
        <v>#N/A</v>
      </c>
      <c r="D346" s="43" t="e">
        <f>VLOOKUP($A346,'[2]Team lists'!$A$2:$L$800,4,FALSE)</f>
        <v>#N/A</v>
      </c>
      <c r="E346" s="43" t="e">
        <f>VLOOKUP($A346,'[2]Team lists'!$A$2:$L$800,5,FALSE)</f>
        <v>#N/A</v>
      </c>
      <c r="F346" s="43" t="e">
        <f>VLOOKUP($A346,'[2]Team lists'!$A$2:$L$800,6,FALSE)</f>
        <v>#N/A</v>
      </c>
      <c r="G346" s="43" t="e">
        <f>VLOOKUP($A346,'[2]Team lists'!$A$2:$L$800,7,FALSE)</f>
        <v>#N/A</v>
      </c>
      <c r="H346" s="43" t="e">
        <f>VLOOKUP($A346,'[2]Team lists'!$A$2:$L$800,8,FALSE)</f>
        <v>#N/A</v>
      </c>
      <c r="I346" s="43" t="e">
        <f>VLOOKUP($A346,'[2]Team lists'!$A$2:$L$800,9,FALSE)</f>
        <v>#N/A</v>
      </c>
      <c r="J346" s="43" t="e">
        <f>VLOOKUP($A346,'[2]Team lists'!$A$2:$L$800,9,FALSE)</f>
        <v>#N/A</v>
      </c>
      <c r="K346" s="43" t="e">
        <f>VLOOKUP($A346,'[2]Team lists'!$A$2:$L$800,10,FALSE)</f>
        <v>#N/A</v>
      </c>
      <c r="L346" s="43" t="e">
        <f>VLOOKUP($A346,'[2]Team lists'!$A$2:$L$800,11,FALSE)</f>
        <v>#N/A</v>
      </c>
    </row>
    <row r="347" spans="2:13">
      <c r="B347" s="43" t="e">
        <f>VLOOKUP($A347,'[2]Team lists'!$A$2:$L$800,2,FALSE)</f>
        <v>#N/A</v>
      </c>
      <c r="C347" s="43" t="e">
        <f>VLOOKUP($A347,'[2]Team lists'!$A$2:$L$800,3,FALSE)</f>
        <v>#N/A</v>
      </c>
      <c r="D347" s="43" t="e">
        <f>VLOOKUP($A347,'[2]Team lists'!$A$2:$L$800,4,FALSE)</f>
        <v>#N/A</v>
      </c>
      <c r="E347" s="43" t="e">
        <f>VLOOKUP($A347,'[2]Team lists'!$A$2:$L$800,5,FALSE)</f>
        <v>#N/A</v>
      </c>
      <c r="F347" s="43" t="e">
        <f>VLOOKUP($A347,'[2]Team lists'!$A$2:$L$800,6,FALSE)</f>
        <v>#N/A</v>
      </c>
      <c r="G347" s="43" t="e">
        <f>VLOOKUP($A347,'[2]Team lists'!$A$2:$L$800,7,FALSE)</f>
        <v>#N/A</v>
      </c>
      <c r="H347" s="43" t="e">
        <f>VLOOKUP($A347,'[2]Team lists'!$A$2:$L$800,8,FALSE)</f>
        <v>#N/A</v>
      </c>
      <c r="I347" s="43" t="e">
        <f>VLOOKUP($A347,'[2]Team lists'!$A$2:$L$800,9,FALSE)</f>
        <v>#N/A</v>
      </c>
      <c r="J347" s="43" t="e">
        <f>VLOOKUP($A347,'[2]Team lists'!$A$2:$L$800,9,FALSE)</f>
        <v>#N/A</v>
      </c>
      <c r="K347" s="43" t="e">
        <f>VLOOKUP($A347,'[2]Team lists'!$A$2:$L$800,10,FALSE)</f>
        <v>#N/A</v>
      </c>
      <c r="L347" s="43" t="e">
        <f>VLOOKUP($A347,'[2]Team lists'!$A$2:$L$800,11,FALSE)</f>
        <v>#N/A</v>
      </c>
    </row>
    <row r="348" spans="2:13">
      <c r="B348" s="43" t="e">
        <f>VLOOKUP($A348,'[2]Team lists'!$A$2:$L$800,2,FALSE)</f>
        <v>#N/A</v>
      </c>
      <c r="C348" s="43" t="e">
        <f>VLOOKUP($A348,'[2]Team lists'!$A$2:$L$800,3,FALSE)</f>
        <v>#N/A</v>
      </c>
      <c r="D348" s="43" t="e">
        <f>VLOOKUP($A348,'[2]Team lists'!$A$2:$L$800,4,FALSE)</f>
        <v>#N/A</v>
      </c>
      <c r="E348" s="43" t="e">
        <f>VLOOKUP($A348,'[2]Team lists'!$A$2:$L$800,5,FALSE)</f>
        <v>#N/A</v>
      </c>
      <c r="F348" s="43" t="e">
        <f>VLOOKUP($A348,'[2]Team lists'!$A$2:$L$800,6,FALSE)</f>
        <v>#N/A</v>
      </c>
      <c r="G348" s="43" t="e">
        <f>VLOOKUP($A348,'[2]Team lists'!$A$2:$L$800,7,FALSE)</f>
        <v>#N/A</v>
      </c>
      <c r="H348" s="43" t="e">
        <f>VLOOKUP($A348,'[2]Team lists'!$A$2:$L$800,8,FALSE)</f>
        <v>#N/A</v>
      </c>
      <c r="I348" s="43" t="e">
        <f>VLOOKUP($A348,'[2]Team lists'!$A$2:$L$800,9,FALSE)</f>
        <v>#N/A</v>
      </c>
      <c r="J348" s="43" t="e">
        <f>VLOOKUP($A348,'[2]Team lists'!$A$2:$L$800,9,FALSE)</f>
        <v>#N/A</v>
      </c>
      <c r="K348" s="43" t="e">
        <f>VLOOKUP($A348,'[2]Team lists'!$A$2:$L$800,10,FALSE)</f>
        <v>#N/A</v>
      </c>
      <c r="L348" s="43" t="e">
        <f>VLOOKUP($A348,'[2]Team lists'!$A$2:$L$800,11,FALSE)</f>
        <v>#N/A</v>
      </c>
    </row>
    <row r="349" spans="2:13">
      <c r="B349" s="43" t="e">
        <f>VLOOKUP($A349,'[2]Team lists'!$A$2:$L$800,2,FALSE)</f>
        <v>#N/A</v>
      </c>
      <c r="C349" s="43" t="e">
        <f>VLOOKUP($A349,'[2]Team lists'!$A$2:$L$800,3,FALSE)</f>
        <v>#N/A</v>
      </c>
      <c r="D349" s="43" t="e">
        <f>VLOOKUP($A349,'[2]Team lists'!$A$2:$L$800,4,FALSE)</f>
        <v>#N/A</v>
      </c>
      <c r="E349" s="43" t="e">
        <f>VLOOKUP($A349,'[2]Team lists'!$A$2:$L$800,5,FALSE)</f>
        <v>#N/A</v>
      </c>
      <c r="F349" s="43" t="e">
        <f>VLOOKUP($A349,'[2]Team lists'!$A$2:$L$800,6,FALSE)</f>
        <v>#N/A</v>
      </c>
      <c r="G349" s="43" t="e">
        <f>VLOOKUP($A349,'[2]Team lists'!$A$2:$L$800,7,FALSE)</f>
        <v>#N/A</v>
      </c>
      <c r="H349" s="43" t="e">
        <f>VLOOKUP($A349,'[2]Team lists'!$A$2:$L$800,8,FALSE)</f>
        <v>#N/A</v>
      </c>
      <c r="I349" s="43" t="e">
        <f>VLOOKUP($A349,'[2]Team lists'!$A$2:$L$800,9,FALSE)</f>
        <v>#N/A</v>
      </c>
      <c r="J349" s="43" t="e">
        <f>VLOOKUP($A349,'[2]Team lists'!$A$2:$L$800,9,FALSE)</f>
        <v>#N/A</v>
      </c>
      <c r="K349" s="43" t="e">
        <f>VLOOKUP($A349,'[2]Team lists'!$A$2:$L$800,10,FALSE)</f>
        <v>#N/A</v>
      </c>
      <c r="L349" s="43" t="e">
        <f>VLOOKUP($A349,'[2]Team lists'!$A$2:$L$800,11,FALSE)</f>
        <v>#N/A</v>
      </c>
    </row>
    <row r="350" spans="2:13">
      <c r="B350" s="43" t="e">
        <f>VLOOKUP($A350,'[2]Team lists'!$A$2:$L$800,2,FALSE)</f>
        <v>#N/A</v>
      </c>
      <c r="C350" s="43" t="e">
        <f>VLOOKUP($A350,'[2]Team lists'!$A$2:$L$800,3,FALSE)</f>
        <v>#N/A</v>
      </c>
      <c r="D350" s="43" t="e">
        <f>VLOOKUP($A350,'[2]Team lists'!$A$2:$L$800,4,FALSE)</f>
        <v>#N/A</v>
      </c>
      <c r="E350" s="43" t="e">
        <f>VLOOKUP($A350,'[2]Team lists'!$A$2:$L$800,5,FALSE)</f>
        <v>#N/A</v>
      </c>
      <c r="F350" s="43" t="e">
        <f>VLOOKUP($A350,'[2]Team lists'!$A$2:$L$800,6,FALSE)</f>
        <v>#N/A</v>
      </c>
      <c r="G350" s="43" t="e">
        <f>VLOOKUP($A350,'[2]Team lists'!$A$2:$L$800,7,FALSE)</f>
        <v>#N/A</v>
      </c>
      <c r="H350" s="43" t="e">
        <f>VLOOKUP($A350,'[2]Team lists'!$A$2:$L$800,8,FALSE)</f>
        <v>#N/A</v>
      </c>
      <c r="I350" s="43" t="e">
        <f>VLOOKUP($A350,'[2]Team lists'!$A$2:$L$800,9,FALSE)</f>
        <v>#N/A</v>
      </c>
      <c r="J350" s="43" t="e">
        <f>VLOOKUP($A350,'[2]Team lists'!$A$2:$L$800,9,FALSE)</f>
        <v>#N/A</v>
      </c>
      <c r="K350" s="43" t="e">
        <f>VLOOKUP($A350,'[2]Team lists'!$A$2:$L$800,10,FALSE)</f>
        <v>#N/A</v>
      </c>
      <c r="L350" s="43" t="e">
        <f>VLOOKUP($A350,'[2]Team lists'!$A$2:$L$800,11,FALSE)</f>
        <v>#N/A</v>
      </c>
    </row>
    <row r="351" spans="2:13" ht="18" thickBot="1">
      <c r="B351" s="45" t="s">
        <v>3210</v>
      </c>
      <c r="C351" s="46"/>
      <c r="D351" s="47"/>
      <c r="E351" s="48" t="e">
        <f t="shared" ref="E351:L351" si="21">SUM(E340:E350)</f>
        <v>#N/A</v>
      </c>
      <c r="F351" s="49" t="e">
        <f t="shared" si="21"/>
        <v>#N/A</v>
      </c>
      <c r="G351" s="49" t="e">
        <f t="shared" si="21"/>
        <v>#N/A</v>
      </c>
      <c r="H351" s="49" t="e">
        <f t="shared" si="21"/>
        <v>#N/A</v>
      </c>
      <c r="I351" s="49" t="e">
        <f t="shared" si="21"/>
        <v>#N/A</v>
      </c>
      <c r="J351" s="49" t="e">
        <f t="shared" si="21"/>
        <v>#N/A</v>
      </c>
      <c r="K351" s="49" t="e">
        <f t="shared" si="21"/>
        <v>#N/A</v>
      </c>
      <c r="L351" s="50" t="e">
        <f t="shared" si="21"/>
        <v>#N/A</v>
      </c>
    </row>
    <row r="352" spans="2:13" ht="18.600000000000001" thickTop="1" thickBot="1"/>
    <row r="353" spans="2:13" ht="18" thickTop="1">
      <c r="B353" s="23" t="s">
        <v>3204</v>
      </c>
      <c r="C353" s="24" t="s">
        <v>3205</v>
      </c>
      <c r="D353" s="25"/>
      <c r="E353" s="25"/>
      <c r="F353" s="53"/>
      <c r="G353" s="28" t="s">
        <v>3206</v>
      </c>
      <c r="H353" s="54"/>
      <c r="I353" s="54"/>
      <c r="J353" s="54"/>
      <c r="K353" s="28" t="s">
        <v>3207</v>
      </c>
      <c r="L353" s="29"/>
      <c r="M353" s="22" t="str">
        <f>G353</f>
        <v>Manager:</v>
      </c>
    </row>
    <row r="354" spans="2:13" ht="18" thickBot="1">
      <c r="B354" s="30">
        <v>23</v>
      </c>
      <c r="C354" s="57"/>
      <c r="D354" s="31"/>
      <c r="E354" s="31"/>
      <c r="F354" s="33"/>
      <c r="G354" s="55"/>
      <c r="H354" s="55"/>
      <c r="I354" s="55"/>
      <c r="J354" s="55"/>
      <c r="K354" s="34" t="e">
        <f>SUM(F367:L367)</f>
        <v>#N/A</v>
      </c>
      <c r="L354" s="35"/>
      <c r="M354" s="22">
        <f>G354</f>
        <v>0</v>
      </c>
    </row>
    <row r="355" spans="2:13" ht="18.600000000000001" thickTop="1">
      <c r="B355" s="58" t="s">
        <v>913</v>
      </c>
      <c r="C355" s="59" t="s">
        <v>912</v>
      </c>
      <c r="D355" s="60" t="s">
        <v>911</v>
      </c>
      <c r="E355" s="61" t="s">
        <v>3209</v>
      </c>
      <c r="F355" s="62" t="s">
        <v>3162</v>
      </c>
      <c r="G355" s="62" t="s">
        <v>3163</v>
      </c>
      <c r="H355" s="62" t="s">
        <v>3164</v>
      </c>
      <c r="I355" s="62" t="s">
        <v>3165</v>
      </c>
      <c r="J355" s="62" t="s">
        <v>3166</v>
      </c>
      <c r="K355" s="62" t="s">
        <v>3167</v>
      </c>
      <c r="L355" s="63" t="s">
        <v>3168</v>
      </c>
    </row>
    <row r="356" spans="2:13">
      <c r="B356" s="43" t="e">
        <f>VLOOKUP($A356,'[2]Team lists'!$A$2:$L$800,2,FALSE)</f>
        <v>#N/A</v>
      </c>
      <c r="C356" s="43" t="e">
        <f>VLOOKUP($A356,'[2]Team lists'!$A$2:$L$800,3,FALSE)</f>
        <v>#N/A</v>
      </c>
      <c r="D356" s="43" t="e">
        <f>VLOOKUP($A356,'[2]Team lists'!$A$2:$L$800,4,FALSE)</f>
        <v>#N/A</v>
      </c>
      <c r="E356" s="43" t="e">
        <f>VLOOKUP($A356,'[2]Team lists'!$A$2:$L$800,5,FALSE)</f>
        <v>#N/A</v>
      </c>
      <c r="F356" s="43" t="e">
        <f>VLOOKUP($A356,'[2]Team lists'!$A$2:$L$800,6,FALSE)</f>
        <v>#N/A</v>
      </c>
      <c r="G356" s="43" t="e">
        <f>VLOOKUP($A356,'[2]Team lists'!$A$2:$L$800,7,FALSE)</f>
        <v>#N/A</v>
      </c>
      <c r="H356" s="43" t="e">
        <f>VLOOKUP($A356,'[2]Team lists'!$A$2:$L$800,8,FALSE)</f>
        <v>#N/A</v>
      </c>
      <c r="I356" s="43" t="e">
        <f>VLOOKUP($A356,'[2]Team lists'!$A$2:$L$800,9,FALSE)</f>
        <v>#N/A</v>
      </c>
      <c r="J356" s="43" t="e">
        <f>VLOOKUP($A356,'[2]Team lists'!$A$2:$L$800,9,FALSE)</f>
        <v>#N/A</v>
      </c>
      <c r="K356" s="43" t="e">
        <f>VLOOKUP($A356,'[2]Team lists'!$A$2:$L$800,10,FALSE)</f>
        <v>#N/A</v>
      </c>
      <c r="L356" s="43" t="e">
        <f>VLOOKUP($A356,'[2]Team lists'!$A$2:$L$800,11,FALSE)</f>
        <v>#N/A</v>
      </c>
    </row>
    <row r="357" spans="2:13">
      <c r="B357" s="43" t="e">
        <f>VLOOKUP($A357,'[2]Team lists'!$A$2:$L$800,2,FALSE)</f>
        <v>#N/A</v>
      </c>
      <c r="C357" s="43" t="e">
        <f>VLOOKUP($A357,'[2]Team lists'!$A$2:$L$800,3,FALSE)</f>
        <v>#N/A</v>
      </c>
      <c r="D357" s="43" t="e">
        <f>VLOOKUP($A357,'[2]Team lists'!$A$2:$L$800,4,FALSE)</f>
        <v>#N/A</v>
      </c>
      <c r="E357" s="43" t="e">
        <f>VLOOKUP($A357,'[2]Team lists'!$A$2:$L$800,5,FALSE)</f>
        <v>#N/A</v>
      </c>
      <c r="F357" s="43" t="e">
        <f>VLOOKUP($A357,'[2]Team lists'!$A$2:$L$800,6,FALSE)</f>
        <v>#N/A</v>
      </c>
      <c r="G357" s="43" t="e">
        <f>VLOOKUP($A357,'[2]Team lists'!$A$2:$L$800,7,FALSE)</f>
        <v>#N/A</v>
      </c>
      <c r="H357" s="43" t="e">
        <f>VLOOKUP($A357,'[2]Team lists'!$A$2:$L$800,8,FALSE)</f>
        <v>#N/A</v>
      </c>
      <c r="I357" s="43" t="e">
        <f>VLOOKUP($A357,'[2]Team lists'!$A$2:$L$800,9,FALSE)</f>
        <v>#N/A</v>
      </c>
      <c r="J357" s="43" t="e">
        <f>VLOOKUP($A357,'[2]Team lists'!$A$2:$L$800,9,FALSE)</f>
        <v>#N/A</v>
      </c>
      <c r="K357" s="43" t="e">
        <f>VLOOKUP($A357,'[2]Team lists'!$A$2:$L$800,10,FALSE)</f>
        <v>#N/A</v>
      </c>
      <c r="L357" s="43" t="e">
        <f>VLOOKUP($A357,'[2]Team lists'!$A$2:$L$800,11,FALSE)</f>
        <v>#N/A</v>
      </c>
    </row>
    <row r="358" spans="2:13">
      <c r="B358" s="43" t="e">
        <f>VLOOKUP($A358,'[2]Team lists'!$A$2:$L$800,2,FALSE)</f>
        <v>#N/A</v>
      </c>
      <c r="C358" s="43" t="e">
        <f>VLOOKUP($A358,'[2]Team lists'!$A$2:$L$800,3,FALSE)</f>
        <v>#N/A</v>
      </c>
      <c r="D358" s="43" t="e">
        <f>VLOOKUP($A358,'[2]Team lists'!$A$2:$L$800,4,FALSE)</f>
        <v>#N/A</v>
      </c>
      <c r="E358" s="43" t="e">
        <f>VLOOKUP($A358,'[2]Team lists'!$A$2:$L$800,5,FALSE)</f>
        <v>#N/A</v>
      </c>
      <c r="F358" s="43" t="e">
        <f>VLOOKUP($A358,'[2]Team lists'!$A$2:$L$800,6,FALSE)</f>
        <v>#N/A</v>
      </c>
      <c r="G358" s="43" t="e">
        <f>VLOOKUP($A358,'[2]Team lists'!$A$2:$L$800,7,FALSE)</f>
        <v>#N/A</v>
      </c>
      <c r="H358" s="43" t="e">
        <f>VLOOKUP($A358,'[2]Team lists'!$A$2:$L$800,8,FALSE)</f>
        <v>#N/A</v>
      </c>
      <c r="I358" s="43" t="e">
        <f>VLOOKUP($A358,'[2]Team lists'!$A$2:$L$800,9,FALSE)</f>
        <v>#N/A</v>
      </c>
      <c r="J358" s="43" t="e">
        <f>VLOOKUP($A358,'[2]Team lists'!$A$2:$L$800,9,FALSE)</f>
        <v>#N/A</v>
      </c>
      <c r="K358" s="43" t="e">
        <f>VLOOKUP($A358,'[2]Team lists'!$A$2:$L$800,10,FALSE)</f>
        <v>#N/A</v>
      </c>
      <c r="L358" s="43" t="e">
        <f>VLOOKUP($A358,'[2]Team lists'!$A$2:$L$800,11,FALSE)</f>
        <v>#N/A</v>
      </c>
    </row>
    <row r="359" spans="2:13">
      <c r="B359" s="43" t="e">
        <f>VLOOKUP($A359,'[2]Team lists'!$A$2:$L$800,2,FALSE)</f>
        <v>#N/A</v>
      </c>
      <c r="C359" s="43" t="e">
        <f>VLOOKUP($A359,'[2]Team lists'!$A$2:$L$800,3,FALSE)</f>
        <v>#N/A</v>
      </c>
      <c r="D359" s="43" t="e">
        <f>VLOOKUP($A359,'[2]Team lists'!$A$2:$L$800,4,FALSE)</f>
        <v>#N/A</v>
      </c>
      <c r="E359" s="43" t="e">
        <f>VLOOKUP($A359,'[2]Team lists'!$A$2:$L$800,5,FALSE)</f>
        <v>#N/A</v>
      </c>
      <c r="F359" s="43" t="e">
        <f>VLOOKUP($A359,'[2]Team lists'!$A$2:$L$800,6,FALSE)</f>
        <v>#N/A</v>
      </c>
      <c r="G359" s="43" t="e">
        <f>VLOOKUP($A359,'[2]Team lists'!$A$2:$L$800,7,FALSE)</f>
        <v>#N/A</v>
      </c>
      <c r="H359" s="43" t="e">
        <f>VLOOKUP($A359,'[2]Team lists'!$A$2:$L$800,8,FALSE)</f>
        <v>#N/A</v>
      </c>
      <c r="I359" s="43" t="e">
        <f>VLOOKUP($A359,'[2]Team lists'!$A$2:$L$800,9,FALSE)</f>
        <v>#N/A</v>
      </c>
      <c r="J359" s="43" t="e">
        <f>VLOOKUP($A359,'[2]Team lists'!$A$2:$L$800,9,FALSE)</f>
        <v>#N/A</v>
      </c>
      <c r="K359" s="43" t="e">
        <f>VLOOKUP($A359,'[2]Team lists'!$A$2:$L$800,10,FALSE)</f>
        <v>#N/A</v>
      </c>
      <c r="L359" s="43" t="e">
        <f>VLOOKUP($A359,'[2]Team lists'!$A$2:$L$800,11,FALSE)</f>
        <v>#N/A</v>
      </c>
    </row>
    <row r="360" spans="2:13">
      <c r="B360" s="43" t="e">
        <f>VLOOKUP($A360,'[2]Team lists'!$A$2:$L$800,2,FALSE)</f>
        <v>#N/A</v>
      </c>
      <c r="C360" s="43" t="e">
        <f>VLOOKUP($A360,'[2]Team lists'!$A$2:$L$800,3,FALSE)</f>
        <v>#N/A</v>
      </c>
      <c r="D360" s="43" t="e">
        <f>VLOOKUP($A360,'[2]Team lists'!$A$2:$L$800,4,FALSE)</f>
        <v>#N/A</v>
      </c>
      <c r="E360" s="43" t="e">
        <f>VLOOKUP($A360,'[2]Team lists'!$A$2:$L$800,5,FALSE)</f>
        <v>#N/A</v>
      </c>
      <c r="F360" s="43" t="e">
        <f>VLOOKUP($A360,'[2]Team lists'!$A$2:$L$800,6,FALSE)</f>
        <v>#N/A</v>
      </c>
      <c r="G360" s="43" t="e">
        <f>VLOOKUP($A360,'[2]Team lists'!$A$2:$L$800,7,FALSE)</f>
        <v>#N/A</v>
      </c>
      <c r="H360" s="43" t="e">
        <f>VLOOKUP($A360,'[2]Team lists'!$A$2:$L$800,8,FALSE)</f>
        <v>#N/A</v>
      </c>
      <c r="I360" s="43" t="e">
        <f>VLOOKUP($A360,'[2]Team lists'!$A$2:$L$800,9,FALSE)</f>
        <v>#N/A</v>
      </c>
      <c r="J360" s="43" t="e">
        <f>VLOOKUP($A360,'[2]Team lists'!$A$2:$L$800,9,FALSE)</f>
        <v>#N/A</v>
      </c>
      <c r="K360" s="43" t="e">
        <f>VLOOKUP($A360,'[2]Team lists'!$A$2:$L$800,10,FALSE)</f>
        <v>#N/A</v>
      </c>
      <c r="L360" s="43" t="e">
        <f>VLOOKUP($A360,'[2]Team lists'!$A$2:$L$800,11,FALSE)</f>
        <v>#N/A</v>
      </c>
    </row>
    <row r="361" spans="2:13">
      <c r="B361" s="43" t="e">
        <f>VLOOKUP($A361,'[2]Team lists'!$A$2:$L$800,2,FALSE)</f>
        <v>#N/A</v>
      </c>
      <c r="C361" s="43" t="e">
        <f>VLOOKUP($A361,'[2]Team lists'!$A$2:$L$800,3,FALSE)</f>
        <v>#N/A</v>
      </c>
      <c r="D361" s="43" t="e">
        <f>VLOOKUP($A361,'[2]Team lists'!$A$2:$L$800,4,FALSE)</f>
        <v>#N/A</v>
      </c>
      <c r="E361" s="43" t="e">
        <f>VLOOKUP($A361,'[2]Team lists'!$A$2:$L$800,5,FALSE)</f>
        <v>#N/A</v>
      </c>
      <c r="F361" s="43" t="e">
        <f>VLOOKUP($A361,'[2]Team lists'!$A$2:$L$800,6,FALSE)</f>
        <v>#N/A</v>
      </c>
      <c r="G361" s="43" t="e">
        <f>VLOOKUP($A361,'[2]Team lists'!$A$2:$L$800,7,FALSE)</f>
        <v>#N/A</v>
      </c>
      <c r="H361" s="43" t="e">
        <f>VLOOKUP($A361,'[2]Team lists'!$A$2:$L$800,8,FALSE)</f>
        <v>#N/A</v>
      </c>
      <c r="I361" s="43" t="e">
        <f>VLOOKUP($A361,'[2]Team lists'!$A$2:$L$800,9,FALSE)</f>
        <v>#N/A</v>
      </c>
      <c r="J361" s="43" t="e">
        <f>VLOOKUP($A361,'[2]Team lists'!$A$2:$L$800,9,FALSE)</f>
        <v>#N/A</v>
      </c>
      <c r="K361" s="43" t="e">
        <f>VLOOKUP($A361,'[2]Team lists'!$A$2:$L$800,10,FALSE)</f>
        <v>#N/A</v>
      </c>
      <c r="L361" s="43" t="e">
        <f>VLOOKUP($A361,'[2]Team lists'!$A$2:$L$800,11,FALSE)</f>
        <v>#N/A</v>
      </c>
    </row>
    <row r="362" spans="2:13">
      <c r="B362" s="43" t="e">
        <f>VLOOKUP($A362,'[2]Team lists'!$A$2:$L$800,2,FALSE)</f>
        <v>#N/A</v>
      </c>
      <c r="C362" s="43" t="e">
        <f>VLOOKUP($A362,'[2]Team lists'!$A$2:$L$800,3,FALSE)</f>
        <v>#N/A</v>
      </c>
      <c r="D362" s="43" t="e">
        <f>VLOOKUP($A362,'[2]Team lists'!$A$2:$L$800,4,FALSE)</f>
        <v>#N/A</v>
      </c>
      <c r="E362" s="43" t="e">
        <f>VLOOKUP($A362,'[2]Team lists'!$A$2:$L$800,5,FALSE)</f>
        <v>#N/A</v>
      </c>
      <c r="F362" s="43" t="e">
        <f>VLOOKUP($A362,'[2]Team lists'!$A$2:$L$800,6,FALSE)</f>
        <v>#N/A</v>
      </c>
      <c r="G362" s="43" t="e">
        <f>VLOOKUP($A362,'[2]Team lists'!$A$2:$L$800,7,FALSE)</f>
        <v>#N/A</v>
      </c>
      <c r="H362" s="43" t="e">
        <f>VLOOKUP($A362,'[2]Team lists'!$A$2:$L$800,8,FALSE)</f>
        <v>#N/A</v>
      </c>
      <c r="I362" s="43" t="e">
        <f>VLOOKUP($A362,'[2]Team lists'!$A$2:$L$800,9,FALSE)</f>
        <v>#N/A</v>
      </c>
      <c r="J362" s="43" t="e">
        <f>VLOOKUP($A362,'[2]Team lists'!$A$2:$L$800,9,FALSE)</f>
        <v>#N/A</v>
      </c>
      <c r="K362" s="43" t="e">
        <f>VLOOKUP($A362,'[2]Team lists'!$A$2:$L$800,10,FALSE)</f>
        <v>#N/A</v>
      </c>
      <c r="L362" s="43" t="e">
        <f>VLOOKUP($A362,'[2]Team lists'!$A$2:$L$800,11,FALSE)</f>
        <v>#N/A</v>
      </c>
    </row>
    <row r="363" spans="2:13">
      <c r="B363" s="43" t="e">
        <f>VLOOKUP($A363,'[2]Team lists'!$A$2:$L$800,2,FALSE)</f>
        <v>#N/A</v>
      </c>
      <c r="C363" s="43" t="e">
        <f>VLOOKUP($A363,'[2]Team lists'!$A$2:$L$800,3,FALSE)</f>
        <v>#N/A</v>
      </c>
      <c r="D363" s="43" t="e">
        <f>VLOOKUP($A363,'[2]Team lists'!$A$2:$L$800,4,FALSE)</f>
        <v>#N/A</v>
      </c>
      <c r="E363" s="43" t="e">
        <f>VLOOKUP($A363,'[2]Team lists'!$A$2:$L$800,5,FALSE)</f>
        <v>#N/A</v>
      </c>
      <c r="F363" s="43" t="e">
        <f>VLOOKUP($A363,'[2]Team lists'!$A$2:$L$800,6,FALSE)</f>
        <v>#N/A</v>
      </c>
      <c r="G363" s="43" t="e">
        <f>VLOOKUP($A363,'[2]Team lists'!$A$2:$L$800,7,FALSE)</f>
        <v>#N/A</v>
      </c>
      <c r="H363" s="43" t="e">
        <f>VLOOKUP($A363,'[2]Team lists'!$A$2:$L$800,8,FALSE)</f>
        <v>#N/A</v>
      </c>
      <c r="I363" s="43" t="e">
        <f>VLOOKUP($A363,'[2]Team lists'!$A$2:$L$800,9,FALSE)</f>
        <v>#N/A</v>
      </c>
      <c r="J363" s="43" t="e">
        <f>VLOOKUP($A363,'[2]Team lists'!$A$2:$L$800,9,FALSE)</f>
        <v>#N/A</v>
      </c>
      <c r="K363" s="43" t="e">
        <f>VLOOKUP($A363,'[2]Team lists'!$A$2:$L$800,10,FALSE)</f>
        <v>#N/A</v>
      </c>
      <c r="L363" s="43" t="e">
        <f>VLOOKUP($A363,'[2]Team lists'!$A$2:$L$800,11,FALSE)</f>
        <v>#N/A</v>
      </c>
    </row>
    <row r="364" spans="2:13">
      <c r="B364" s="43" t="e">
        <f>VLOOKUP($A364,'[2]Team lists'!$A$2:$L$800,2,FALSE)</f>
        <v>#N/A</v>
      </c>
      <c r="C364" s="43" t="e">
        <f>VLOOKUP($A364,'[2]Team lists'!$A$2:$L$800,3,FALSE)</f>
        <v>#N/A</v>
      </c>
      <c r="D364" s="43" t="e">
        <f>VLOOKUP($A364,'[2]Team lists'!$A$2:$L$800,4,FALSE)</f>
        <v>#N/A</v>
      </c>
      <c r="E364" s="43" t="e">
        <f>VLOOKUP($A364,'[2]Team lists'!$A$2:$L$800,5,FALSE)</f>
        <v>#N/A</v>
      </c>
      <c r="F364" s="43" t="e">
        <f>VLOOKUP($A364,'[2]Team lists'!$A$2:$L$800,6,FALSE)</f>
        <v>#N/A</v>
      </c>
      <c r="G364" s="43" t="e">
        <f>VLOOKUP($A364,'[2]Team lists'!$A$2:$L$800,7,FALSE)</f>
        <v>#N/A</v>
      </c>
      <c r="H364" s="43" t="e">
        <f>VLOOKUP($A364,'[2]Team lists'!$A$2:$L$800,8,FALSE)</f>
        <v>#N/A</v>
      </c>
      <c r="I364" s="43" t="e">
        <f>VLOOKUP($A364,'[2]Team lists'!$A$2:$L$800,9,FALSE)</f>
        <v>#N/A</v>
      </c>
      <c r="J364" s="43" t="e">
        <f>VLOOKUP($A364,'[2]Team lists'!$A$2:$L$800,9,FALSE)</f>
        <v>#N/A</v>
      </c>
      <c r="K364" s="43" t="e">
        <f>VLOOKUP($A364,'[2]Team lists'!$A$2:$L$800,10,FALSE)</f>
        <v>#N/A</v>
      </c>
      <c r="L364" s="43" t="e">
        <f>VLOOKUP($A364,'[2]Team lists'!$A$2:$L$800,11,FALSE)</f>
        <v>#N/A</v>
      </c>
    </row>
    <row r="365" spans="2:13">
      <c r="B365" s="43" t="e">
        <f>VLOOKUP($A365,'[2]Team lists'!$A$2:$L$800,2,FALSE)</f>
        <v>#N/A</v>
      </c>
      <c r="C365" s="43" t="e">
        <f>VLOOKUP($A365,'[2]Team lists'!$A$2:$L$800,3,FALSE)</f>
        <v>#N/A</v>
      </c>
      <c r="D365" s="43" t="e">
        <f>VLOOKUP($A365,'[2]Team lists'!$A$2:$L$800,4,FALSE)</f>
        <v>#N/A</v>
      </c>
      <c r="E365" s="43" t="e">
        <f>VLOOKUP($A365,'[2]Team lists'!$A$2:$L$800,5,FALSE)</f>
        <v>#N/A</v>
      </c>
      <c r="F365" s="43" t="e">
        <f>VLOOKUP($A365,'[2]Team lists'!$A$2:$L$800,6,FALSE)</f>
        <v>#N/A</v>
      </c>
      <c r="G365" s="43" t="e">
        <f>VLOOKUP($A365,'[2]Team lists'!$A$2:$L$800,7,FALSE)</f>
        <v>#N/A</v>
      </c>
      <c r="H365" s="43" t="e">
        <f>VLOOKUP($A365,'[2]Team lists'!$A$2:$L$800,8,FALSE)</f>
        <v>#N/A</v>
      </c>
      <c r="I365" s="43" t="e">
        <f>VLOOKUP($A365,'[2]Team lists'!$A$2:$L$800,9,FALSE)</f>
        <v>#N/A</v>
      </c>
      <c r="J365" s="43" t="e">
        <f>VLOOKUP($A365,'[2]Team lists'!$A$2:$L$800,9,FALSE)</f>
        <v>#N/A</v>
      </c>
      <c r="K365" s="43" t="e">
        <f>VLOOKUP($A365,'[2]Team lists'!$A$2:$L$800,10,FALSE)</f>
        <v>#N/A</v>
      </c>
      <c r="L365" s="43" t="e">
        <f>VLOOKUP($A365,'[2]Team lists'!$A$2:$L$800,11,FALSE)</f>
        <v>#N/A</v>
      </c>
    </row>
    <row r="366" spans="2:13">
      <c r="B366" s="43" t="e">
        <f>VLOOKUP($A366,'[2]Team lists'!$A$2:$L$800,2,FALSE)</f>
        <v>#N/A</v>
      </c>
      <c r="C366" s="43" t="e">
        <f>VLOOKUP($A366,'[2]Team lists'!$A$2:$L$800,3,FALSE)</f>
        <v>#N/A</v>
      </c>
      <c r="D366" s="43" t="e">
        <f>VLOOKUP($A366,'[2]Team lists'!$A$2:$L$800,4,FALSE)</f>
        <v>#N/A</v>
      </c>
      <c r="E366" s="43" t="e">
        <f>VLOOKUP($A366,'[2]Team lists'!$A$2:$L$800,5,FALSE)</f>
        <v>#N/A</v>
      </c>
      <c r="F366" s="43" t="e">
        <f>VLOOKUP($A366,'[2]Team lists'!$A$2:$L$800,6,FALSE)</f>
        <v>#N/A</v>
      </c>
      <c r="G366" s="43" t="e">
        <f>VLOOKUP($A366,'[2]Team lists'!$A$2:$L$800,7,FALSE)</f>
        <v>#N/A</v>
      </c>
      <c r="H366" s="43" t="e">
        <f>VLOOKUP($A366,'[2]Team lists'!$A$2:$L$800,8,FALSE)</f>
        <v>#N/A</v>
      </c>
      <c r="I366" s="43" t="e">
        <f>VLOOKUP($A366,'[2]Team lists'!$A$2:$L$800,9,FALSE)</f>
        <v>#N/A</v>
      </c>
      <c r="J366" s="43" t="e">
        <f>VLOOKUP($A366,'[2]Team lists'!$A$2:$L$800,9,FALSE)</f>
        <v>#N/A</v>
      </c>
      <c r="K366" s="43" t="e">
        <f>VLOOKUP($A366,'[2]Team lists'!$A$2:$L$800,10,FALSE)</f>
        <v>#N/A</v>
      </c>
      <c r="L366" s="43" t="e">
        <f>VLOOKUP($A366,'[2]Team lists'!$A$2:$L$800,11,FALSE)</f>
        <v>#N/A</v>
      </c>
    </row>
    <row r="367" spans="2:13" ht="18" thickBot="1">
      <c r="B367" s="45" t="s">
        <v>3210</v>
      </c>
      <c r="C367" s="46"/>
      <c r="D367" s="47"/>
      <c r="E367" s="48" t="e">
        <f t="shared" ref="E367:L367" si="22">SUM(E356:E366)</f>
        <v>#N/A</v>
      </c>
      <c r="F367" s="49" t="e">
        <f t="shared" si="22"/>
        <v>#N/A</v>
      </c>
      <c r="G367" s="49" t="e">
        <f t="shared" si="22"/>
        <v>#N/A</v>
      </c>
      <c r="H367" s="49" t="e">
        <f t="shared" si="22"/>
        <v>#N/A</v>
      </c>
      <c r="I367" s="49" t="e">
        <f t="shared" si="22"/>
        <v>#N/A</v>
      </c>
      <c r="J367" s="49" t="e">
        <f t="shared" si="22"/>
        <v>#N/A</v>
      </c>
      <c r="K367" s="49" t="e">
        <f t="shared" si="22"/>
        <v>#N/A</v>
      </c>
      <c r="L367" s="50" t="e">
        <f t="shared" si="22"/>
        <v>#N/A</v>
      </c>
    </row>
    <row r="368" spans="2:13" ht="18.600000000000001" thickTop="1" thickBot="1"/>
    <row r="369" spans="2:13" ht="18" thickTop="1">
      <c r="B369" s="23" t="s">
        <v>3204</v>
      </c>
      <c r="C369" s="24" t="s">
        <v>3205</v>
      </c>
      <c r="D369" s="25"/>
      <c r="E369" s="25"/>
      <c r="F369" s="53"/>
      <c r="G369" s="28" t="s">
        <v>3206</v>
      </c>
      <c r="H369" s="54"/>
      <c r="I369" s="54"/>
      <c r="J369" s="54"/>
      <c r="K369" s="28" t="s">
        <v>3207</v>
      </c>
      <c r="L369" s="29"/>
      <c r="M369" s="22" t="str">
        <f>G369</f>
        <v>Manager:</v>
      </c>
    </row>
    <row r="370" spans="2:13" ht="18" thickBot="1">
      <c r="B370" s="30">
        <v>24</v>
      </c>
      <c r="C370" s="57"/>
      <c r="D370" s="31"/>
      <c r="E370" s="31"/>
      <c r="F370" s="33"/>
      <c r="G370" s="55"/>
      <c r="H370" s="55"/>
      <c r="I370" s="55"/>
      <c r="J370" s="55"/>
      <c r="K370" s="34" t="e">
        <f>SUM(F383:L383)</f>
        <v>#N/A</v>
      </c>
      <c r="L370" s="35"/>
      <c r="M370" s="22">
        <f>G370</f>
        <v>0</v>
      </c>
    </row>
    <row r="371" spans="2:13" ht="18.600000000000001" thickTop="1">
      <c r="B371" s="58" t="s">
        <v>913</v>
      </c>
      <c r="C371" s="59" t="s">
        <v>912</v>
      </c>
      <c r="D371" s="60" t="s">
        <v>911</v>
      </c>
      <c r="E371" s="61" t="s">
        <v>3209</v>
      </c>
      <c r="F371" s="62" t="s">
        <v>3162</v>
      </c>
      <c r="G371" s="62" t="s">
        <v>3163</v>
      </c>
      <c r="H371" s="62" t="s">
        <v>3164</v>
      </c>
      <c r="I371" s="62" t="s">
        <v>3165</v>
      </c>
      <c r="J371" s="62" t="s">
        <v>3166</v>
      </c>
      <c r="K371" s="62" t="s">
        <v>3167</v>
      </c>
      <c r="L371" s="63" t="s">
        <v>3168</v>
      </c>
    </row>
    <row r="372" spans="2:13">
      <c r="B372" s="43" t="e">
        <f>VLOOKUP($A372,'[2]Team lists'!$A$2:$L$800,2,FALSE)</f>
        <v>#N/A</v>
      </c>
      <c r="C372" s="43" t="e">
        <f>VLOOKUP($A372,'[2]Team lists'!$A$2:$L$800,3,FALSE)</f>
        <v>#N/A</v>
      </c>
      <c r="D372" s="43" t="e">
        <f>VLOOKUP($A372,'[2]Team lists'!$A$2:$L$800,4,FALSE)</f>
        <v>#N/A</v>
      </c>
      <c r="E372" s="43" t="e">
        <f>VLOOKUP($A372,'[2]Team lists'!$A$2:$L$800,5,FALSE)</f>
        <v>#N/A</v>
      </c>
      <c r="F372" s="43" t="e">
        <f>VLOOKUP($A372,'[2]Team lists'!$A$2:$L$800,6,FALSE)</f>
        <v>#N/A</v>
      </c>
      <c r="G372" s="43" t="e">
        <f>VLOOKUP($A372,'[2]Team lists'!$A$2:$L$800,7,FALSE)</f>
        <v>#N/A</v>
      </c>
      <c r="H372" s="43" t="e">
        <f>VLOOKUP($A372,'[2]Team lists'!$A$2:$L$800,8,FALSE)</f>
        <v>#N/A</v>
      </c>
      <c r="I372" s="43" t="e">
        <f>VLOOKUP($A372,'[2]Team lists'!$A$2:$L$800,9,FALSE)</f>
        <v>#N/A</v>
      </c>
      <c r="J372" s="43" t="e">
        <f>VLOOKUP($A372,'[2]Team lists'!$A$2:$L$800,9,FALSE)</f>
        <v>#N/A</v>
      </c>
      <c r="K372" s="43" t="e">
        <f>VLOOKUP($A372,'[2]Team lists'!$A$2:$L$800,10,FALSE)</f>
        <v>#N/A</v>
      </c>
      <c r="L372" s="43" t="e">
        <f>VLOOKUP($A372,'[2]Team lists'!$A$2:$L$800,11,FALSE)</f>
        <v>#N/A</v>
      </c>
    </row>
    <row r="373" spans="2:13">
      <c r="B373" s="43" t="e">
        <f>VLOOKUP($A373,'[2]Team lists'!$A$2:$L$800,2,FALSE)</f>
        <v>#N/A</v>
      </c>
      <c r="C373" s="43" t="e">
        <f>VLOOKUP($A373,'[2]Team lists'!$A$2:$L$800,3,FALSE)</f>
        <v>#N/A</v>
      </c>
      <c r="D373" s="43" t="e">
        <f>VLOOKUP($A373,'[2]Team lists'!$A$2:$L$800,4,FALSE)</f>
        <v>#N/A</v>
      </c>
      <c r="E373" s="43" t="e">
        <f>VLOOKUP($A373,'[2]Team lists'!$A$2:$L$800,5,FALSE)</f>
        <v>#N/A</v>
      </c>
      <c r="F373" s="43" t="e">
        <f>VLOOKUP($A373,'[2]Team lists'!$A$2:$L$800,6,FALSE)</f>
        <v>#N/A</v>
      </c>
      <c r="G373" s="43" t="e">
        <f>VLOOKUP($A373,'[2]Team lists'!$A$2:$L$800,7,FALSE)</f>
        <v>#N/A</v>
      </c>
      <c r="H373" s="43" t="e">
        <f>VLOOKUP($A373,'[2]Team lists'!$A$2:$L$800,8,FALSE)</f>
        <v>#N/A</v>
      </c>
      <c r="I373" s="43" t="e">
        <f>VLOOKUP($A373,'[2]Team lists'!$A$2:$L$800,9,FALSE)</f>
        <v>#N/A</v>
      </c>
      <c r="J373" s="43" t="e">
        <f>VLOOKUP($A373,'[2]Team lists'!$A$2:$L$800,9,FALSE)</f>
        <v>#N/A</v>
      </c>
      <c r="K373" s="43" t="e">
        <f>VLOOKUP($A373,'[2]Team lists'!$A$2:$L$800,10,FALSE)</f>
        <v>#N/A</v>
      </c>
      <c r="L373" s="43" t="e">
        <f>VLOOKUP($A373,'[2]Team lists'!$A$2:$L$800,11,FALSE)</f>
        <v>#N/A</v>
      </c>
    </row>
    <row r="374" spans="2:13">
      <c r="B374" s="43" t="e">
        <f>VLOOKUP($A374,'[2]Team lists'!$A$2:$L$800,2,FALSE)</f>
        <v>#N/A</v>
      </c>
      <c r="C374" s="43" t="e">
        <f>VLOOKUP($A374,'[2]Team lists'!$A$2:$L$800,3,FALSE)</f>
        <v>#N/A</v>
      </c>
      <c r="D374" s="43" t="e">
        <f>VLOOKUP($A374,'[2]Team lists'!$A$2:$L$800,4,FALSE)</f>
        <v>#N/A</v>
      </c>
      <c r="E374" s="43" t="e">
        <f>VLOOKUP($A374,'[2]Team lists'!$A$2:$L$800,5,FALSE)</f>
        <v>#N/A</v>
      </c>
      <c r="F374" s="43" t="e">
        <f>VLOOKUP($A374,'[2]Team lists'!$A$2:$L$800,6,FALSE)</f>
        <v>#N/A</v>
      </c>
      <c r="G374" s="43" t="e">
        <f>VLOOKUP($A374,'[2]Team lists'!$A$2:$L$800,7,FALSE)</f>
        <v>#N/A</v>
      </c>
      <c r="H374" s="43" t="e">
        <f>VLOOKUP($A374,'[2]Team lists'!$A$2:$L$800,8,FALSE)</f>
        <v>#N/A</v>
      </c>
      <c r="I374" s="43" t="e">
        <f>VLOOKUP($A374,'[2]Team lists'!$A$2:$L$800,9,FALSE)</f>
        <v>#N/A</v>
      </c>
      <c r="J374" s="43" t="e">
        <f>VLOOKUP($A374,'[2]Team lists'!$A$2:$L$800,9,FALSE)</f>
        <v>#N/A</v>
      </c>
      <c r="K374" s="43" t="e">
        <f>VLOOKUP($A374,'[2]Team lists'!$A$2:$L$800,10,FALSE)</f>
        <v>#N/A</v>
      </c>
      <c r="L374" s="43" t="e">
        <f>VLOOKUP($A374,'[2]Team lists'!$A$2:$L$800,11,FALSE)</f>
        <v>#N/A</v>
      </c>
    </row>
    <row r="375" spans="2:13">
      <c r="B375" s="43" t="e">
        <f>VLOOKUP($A375,'[2]Team lists'!$A$2:$L$800,2,FALSE)</f>
        <v>#N/A</v>
      </c>
      <c r="C375" s="43" t="e">
        <f>VLOOKUP($A375,'[2]Team lists'!$A$2:$L$800,3,FALSE)</f>
        <v>#N/A</v>
      </c>
      <c r="D375" s="43" t="e">
        <f>VLOOKUP($A375,'[2]Team lists'!$A$2:$L$800,4,FALSE)</f>
        <v>#N/A</v>
      </c>
      <c r="E375" s="43" t="e">
        <f>VLOOKUP($A375,'[2]Team lists'!$A$2:$L$800,5,FALSE)</f>
        <v>#N/A</v>
      </c>
      <c r="F375" s="43" t="e">
        <f>VLOOKUP($A375,'[2]Team lists'!$A$2:$L$800,6,FALSE)</f>
        <v>#N/A</v>
      </c>
      <c r="G375" s="43" t="e">
        <f>VLOOKUP($A375,'[2]Team lists'!$A$2:$L$800,7,FALSE)</f>
        <v>#N/A</v>
      </c>
      <c r="H375" s="43" t="e">
        <f>VLOOKUP($A375,'[2]Team lists'!$A$2:$L$800,8,FALSE)</f>
        <v>#N/A</v>
      </c>
      <c r="I375" s="43" t="e">
        <f>VLOOKUP($A375,'[2]Team lists'!$A$2:$L$800,9,FALSE)</f>
        <v>#N/A</v>
      </c>
      <c r="J375" s="43" t="e">
        <f>VLOOKUP($A375,'[2]Team lists'!$A$2:$L$800,9,FALSE)</f>
        <v>#N/A</v>
      </c>
      <c r="K375" s="43" t="e">
        <f>VLOOKUP($A375,'[2]Team lists'!$A$2:$L$800,10,FALSE)</f>
        <v>#N/A</v>
      </c>
      <c r="L375" s="43" t="e">
        <f>VLOOKUP($A375,'[2]Team lists'!$A$2:$L$800,11,FALSE)</f>
        <v>#N/A</v>
      </c>
    </row>
    <row r="376" spans="2:13">
      <c r="B376" s="43" t="e">
        <f>VLOOKUP($A376,'[2]Team lists'!$A$2:$L$800,2,FALSE)</f>
        <v>#N/A</v>
      </c>
      <c r="C376" s="43" t="e">
        <f>VLOOKUP($A376,'[2]Team lists'!$A$2:$L$800,3,FALSE)</f>
        <v>#N/A</v>
      </c>
      <c r="D376" s="43" t="e">
        <f>VLOOKUP($A376,'[2]Team lists'!$A$2:$L$800,4,FALSE)</f>
        <v>#N/A</v>
      </c>
      <c r="E376" s="43" t="e">
        <f>VLOOKUP($A376,'[2]Team lists'!$A$2:$L$800,5,FALSE)</f>
        <v>#N/A</v>
      </c>
      <c r="F376" s="43" t="e">
        <f>VLOOKUP($A376,'[2]Team lists'!$A$2:$L$800,6,FALSE)</f>
        <v>#N/A</v>
      </c>
      <c r="G376" s="43" t="e">
        <f>VLOOKUP($A376,'[2]Team lists'!$A$2:$L$800,7,FALSE)</f>
        <v>#N/A</v>
      </c>
      <c r="H376" s="43" t="e">
        <f>VLOOKUP($A376,'[2]Team lists'!$A$2:$L$800,8,FALSE)</f>
        <v>#N/A</v>
      </c>
      <c r="I376" s="43" t="e">
        <f>VLOOKUP($A376,'[2]Team lists'!$A$2:$L$800,9,FALSE)</f>
        <v>#N/A</v>
      </c>
      <c r="J376" s="43" t="e">
        <f>VLOOKUP($A376,'[2]Team lists'!$A$2:$L$800,9,FALSE)</f>
        <v>#N/A</v>
      </c>
      <c r="K376" s="43" t="e">
        <f>VLOOKUP($A376,'[2]Team lists'!$A$2:$L$800,10,FALSE)</f>
        <v>#N/A</v>
      </c>
      <c r="L376" s="43" t="e">
        <f>VLOOKUP($A376,'[2]Team lists'!$A$2:$L$800,11,FALSE)</f>
        <v>#N/A</v>
      </c>
    </row>
    <row r="377" spans="2:13">
      <c r="B377" s="43" t="e">
        <f>VLOOKUP($A377,'[2]Team lists'!$A$2:$L$800,2,FALSE)</f>
        <v>#N/A</v>
      </c>
      <c r="C377" s="43" t="e">
        <f>VLOOKUP($A377,'[2]Team lists'!$A$2:$L$800,3,FALSE)</f>
        <v>#N/A</v>
      </c>
      <c r="D377" s="43" t="e">
        <f>VLOOKUP($A377,'[2]Team lists'!$A$2:$L$800,4,FALSE)</f>
        <v>#N/A</v>
      </c>
      <c r="E377" s="43" t="e">
        <f>VLOOKUP($A377,'[2]Team lists'!$A$2:$L$800,5,FALSE)</f>
        <v>#N/A</v>
      </c>
      <c r="F377" s="43" t="e">
        <f>VLOOKUP($A377,'[2]Team lists'!$A$2:$L$800,6,FALSE)</f>
        <v>#N/A</v>
      </c>
      <c r="G377" s="43" t="e">
        <f>VLOOKUP($A377,'[2]Team lists'!$A$2:$L$800,7,FALSE)</f>
        <v>#N/A</v>
      </c>
      <c r="H377" s="43" t="e">
        <f>VLOOKUP($A377,'[2]Team lists'!$A$2:$L$800,8,FALSE)</f>
        <v>#N/A</v>
      </c>
      <c r="I377" s="43" t="e">
        <f>VLOOKUP($A377,'[2]Team lists'!$A$2:$L$800,9,FALSE)</f>
        <v>#N/A</v>
      </c>
      <c r="J377" s="43" t="e">
        <f>VLOOKUP($A377,'[2]Team lists'!$A$2:$L$800,9,FALSE)</f>
        <v>#N/A</v>
      </c>
      <c r="K377" s="43" t="e">
        <f>VLOOKUP($A377,'[2]Team lists'!$A$2:$L$800,10,FALSE)</f>
        <v>#N/A</v>
      </c>
      <c r="L377" s="43" t="e">
        <f>VLOOKUP($A377,'[2]Team lists'!$A$2:$L$800,11,FALSE)</f>
        <v>#N/A</v>
      </c>
    </row>
    <row r="378" spans="2:13">
      <c r="B378" s="43" t="e">
        <f>VLOOKUP($A378,'[2]Team lists'!$A$2:$L$800,2,FALSE)</f>
        <v>#N/A</v>
      </c>
      <c r="C378" s="43" t="e">
        <f>VLOOKUP($A378,'[2]Team lists'!$A$2:$L$800,3,FALSE)</f>
        <v>#N/A</v>
      </c>
      <c r="D378" s="43" t="e">
        <f>VLOOKUP($A378,'[2]Team lists'!$A$2:$L$800,4,FALSE)</f>
        <v>#N/A</v>
      </c>
      <c r="E378" s="43" t="e">
        <f>VLOOKUP($A378,'[2]Team lists'!$A$2:$L$800,5,FALSE)</f>
        <v>#N/A</v>
      </c>
      <c r="F378" s="43" t="e">
        <f>VLOOKUP($A378,'[2]Team lists'!$A$2:$L$800,6,FALSE)</f>
        <v>#N/A</v>
      </c>
      <c r="G378" s="43" t="e">
        <f>VLOOKUP($A378,'[2]Team lists'!$A$2:$L$800,7,FALSE)</f>
        <v>#N/A</v>
      </c>
      <c r="H378" s="43" t="e">
        <f>VLOOKUP($A378,'[2]Team lists'!$A$2:$L$800,8,FALSE)</f>
        <v>#N/A</v>
      </c>
      <c r="I378" s="43" t="e">
        <f>VLOOKUP($A378,'[2]Team lists'!$A$2:$L$800,9,FALSE)</f>
        <v>#N/A</v>
      </c>
      <c r="J378" s="43" t="e">
        <f>VLOOKUP($A378,'[2]Team lists'!$A$2:$L$800,9,FALSE)</f>
        <v>#N/A</v>
      </c>
      <c r="K378" s="43" t="e">
        <f>VLOOKUP($A378,'[2]Team lists'!$A$2:$L$800,10,FALSE)</f>
        <v>#N/A</v>
      </c>
      <c r="L378" s="43" t="e">
        <f>VLOOKUP($A378,'[2]Team lists'!$A$2:$L$800,11,FALSE)</f>
        <v>#N/A</v>
      </c>
    </row>
    <row r="379" spans="2:13">
      <c r="B379" s="43" t="e">
        <f>VLOOKUP($A379,'[2]Team lists'!$A$2:$L$800,2,FALSE)</f>
        <v>#N/A</v>
      </c>
      <c r="C379" s="43" t="e">
        <f>VLOOKUP($A379,'[2]Team lists'!$A$2:$L$800,3,FALSE)</f>
        <v>#N/A</v>
      </c>
      <c r="D379" s="43" t="e">
        <f>VLOOKUP($A379,'[2]Team lists'!$A$2:$L$800,4,FALSE)</f>
        <v>#N/A</v>
      </c>
      <c r="E379" s="43" t="e">
        <f>VLOOKUP($A379,'[2]Team lists'!$A$2:$L$800,5,FALSE)</f>
        <v>#N/A</v>
      </c>
      <c r="F379" s="43" t="e">
        <f>VLOOKUP($A379,'[2]Team lists'!$A$2:$L$800,6,FALSE)</f>
        <v>#N/A</v>
      </c>
      <c r="G379" s="43" t="e">
        <f>VLOOKUP($A379,'[2]Team lists'!$A$2:$L$800,7,FALSE)</f>
        <v>#N/A</v>
      </c>
      <c r="H379" s="43" t="e">
        <f>VLOOKUP($A379,'[2]Team lists'!$A$2:$L$800,8,FALSE)</f>
        <v>#N/A</v>
      </c>
      <c r="I379" s="43" t="e">
        <f>VLOOKUP($A379,'[2]Team lists'!$A$2:$L$800,9,FALSE)</f>
        <v>#N/A</v>
      </c>
      <c r="J379" s="43" t="e">
        <f>VLOOKUP($A379,'[2]Team lists'!$A$2:$L$800,9,FALSE)</f>
        <v>#N/A</v>
      </c>
      <c r="K379" s="43" t="e">
        <f>VLOOKUP($A379,'[2]Team lists'!$A$2:$L$800,10,FALSE)</f>
        <v>#N/A</v>
      </c>
      <c r="L379" s="43" t="e">
        <f>VLOOKUP($A379,'[2]Team lists'!$A$2:$L$800,11,FALSE)</f>
        <v>#N/A</v>
      </c>
    </row>
    <row r="380" spans="2:13">
      <c r="B380" s="43" t="e">
        <f>VLOOKUP($A380,'[2]Team lists'!$A$2:$L$800,2,FALSE)</f>
        <v>#N/A</v>
      </c>
      <c r="C380" s="43" t="e">
        <f>VLOOKUP($A380,'[2]Team lists'!$A$2:$L$800,3,FALSE)</f>
        <v>#N/A</v>
      </c>
      <c r="D380" s="43" t="e">
        <f>VLOOKUP($A380,'[2]Team lists'!$A$2:$L$800,4,FALSE)</f>
        <v>#N/A</v>
      </c>
      <c r="E380" s="43" t="e">
        <f>VLOOKUP($A380,'[2]Team lists'!$A$2:$L$800,5,FALSE)</f>
        <v>#N/A</v>
      </c>
      <c r="F380" s="43" t="e">
        <f>VLOOKUP($A380,'[2]Team lists'!$A$2:$L$800,6,FALSE)</f>
        <v>#N/A</v>
      </c>
      <c r="G380" s="43" t="e">
        <f>VLOOKUP($A380,'[2]Team lists'!$A$2:$L$800,7,FALSE)</f>
        <v>#N/A</v>
      </c>
      <c r="H380" s="43" t="e">
        <f>VLOOKUP($A380,'[2]Team lists'!$A$2:$L$800,8,FALSE)</f>
        <v>#N/A</v>
      </c>
      <c r="I380" s="43" t="e">
        <f>VLOOKUP($A380,'[2]Team lists'!$A$2:$L$800,9,FALSE)</f>
        <v>#N/A</v>
      </c>
      <c r="J380" s="43" t="e">
        <f>VLOOKUP($A380,'[2]Team lists'!$A$2:$L$800,9,FALSE)</f>
        <v>#N/A</v>
      </c>
      <c r="K380" s="43" t="e">
        <f>VLOOKUP($A380,'[2]Team lists'!$A$2:$L$800,10,FALSE)</f>
        <v>#N/A</v>
      </c>
      <c r="L380" s="43" t="e">
        <f>VLOOKUP($A380,'[2]Team lists'!$A$2:$L$800,11,FALSE)</f>
        <v>#N/A</v>
      </c>
    </row>
    <row r="381" spans="2:13">
      <c r="B381" s="43" t="e">
        <f>VLOOKUP($A381,'[2]Team lists'!$A$2:$L$800,2,FALSE)</f>
        <v>#N/A</v>
      </c>
      <c r="C381" s="43" t="e">
        <f>VLOOKUP($A381,'[2]Team lists'!$A$2:$L$800,3,FALSE)</f>
        <v>#N/A</v>
      </c>
      <c r="D381" s="43" t="e">
        <f>VLOOKUP($A381,'[2]Team lists'!$A$2:$L$800,4,FALSE)</f>
        <v>#N/A</v>
      </c>
      <c r="E381" s="43" t="e">
        <f>VLOOKUP($A381,'[2]Team lists'!$A$2:$L$800,5,FALSE)</f>
        <v>#N/A</v>
      </c>
      <c r="F381" s="43" t="e">
        <f>VLOOKUP($A381,'[2]Team lists'!$A$2:$L$800,6,FALSE)</f>
        <v>#N/A</v>
      </c>
      <c r="G381" s="43" t="e">
        <f>VLOOKUP($A381,'[2]Team lists'!$A$2:$L$800,7,FALSE)</f>
        <v>#N/A</v>
      </c>
      <c r="H381" s="43" t="e">
        <f>VLOOKUP($A381,'[2]Team lists'!$A$2:$L$800,8,FALSE)</f>
        <v>#N/A</v>
      </c>
      <c r="I381" s="43" t="e">
        <f>VLOOKUP($A381,'[2]Team lists'!$A$2:$L$800,9,FALSE)</f>
        <v>#N/A</v>
      </c>
      <c r="J381" s="43" t="e">
        <f>VLOOKUP($A381,'[2]Team lists'!$A$2:$L$800,9,FALSE)</f>
        <v>#N/A</v>
      </c>
      <c r="K381" s="43" t="e">
        <f>VLOOKUP($A381,'[2]Team lists'!$A$2:$L$800,10,FALSE)</f>
        <v>#N/A</v>
      </c>
      <c r="L381" s="43" t="e">
        <f>VLOOKUP($A381,'[2]Team lists'!$A$2:$L$800,11,FALSE)</f>
        <v>#N/A</v>
      </c>
    </row>
    <row r="382" spans="2:13">
      <c r="B382" s="43" t="e">
        <f>VLOOKUP($A382,'[2]Team lists'!$A$2:$L$800,2,FALSE)</f>
        <v>#N/A</v>
      </c>
      <c r="C382" s="43" t="e">
        <f>VLOOKUP($A382,'[2]Team lists'!$A$2:$L$800,3,FALSE)</f>
        <v>#N/A</v>
      </c>
      <c r="D382" s="43" t="e">
        <f>VLOOKUP($A382,'[2]Team lists'!$A$2:$L$800,4,FALSE)</f>
        <v>#N/A</v>
      </c>
      <c r="E382" s="43" t="e">
        <f>VLOOKUP($A382,'[2]Team lists'!$A$2:$L$800,5,FALSE)</f>
        <v>#N/A</v>
      </c>
      <c r="F382" s="43" t="e">
        <f>VLOOKUP($A382,'[2]Team lists'!$A$2:$L$800,6,FALSE)</f>
        <v>#N/A</v>
      </c>
      <c r="G382" s="43" t="e">
        <f>VLOOKUP($A382,'[2]Team lists'!$A$2:$L$800,7,FALSE)</f>
        <v>#N/A</v>
      </c>
      <c r="H382" s="43" t="e">
        <f>VLOOKUP($A382,'[2]Team lists'!$A$2:$L$800,8,FALSE)</f>
        <v>#N/A</v>
      </c>
      <c r="I382" s="43" t="e">
        <f>VLOOKUP($A382,'[2]Team lists'!$A$2:$L$800,9,FALSE)</f>
        <v>#N/A</v>
      </c>
      <c r="J382" s="43" t="e">
        <f>VLOOKUP($A382,'[2]Team lists'!$A$2:$L$800,9,FALSE)</f>
        <v>#N/A</v>
      </c>
      <c r="K382" s="43" t="e">
        <f>VLOOKUP($A382,'[2]Team lists'!$A$2:$L$800,10,FALSE)</f>
        <v>#N/A</v>
      </c>
      <c r="L382" s="43" t="e">
        <f>VLOOKUP($A382,'[2]Team lists'!$A$2:$L$800,11,FALSE)</f>
        <v>#N/A</v>
      </c>
    </row>
    <row r="383" spans="2:13" ht="18" thickBot="1">
      <c r="B383" s="45" t="s">
        <v>3210</v>
      </c>
      <c r="C383" s="46"/>
      <c r="D383" s="47"/>
      <c r="E383" s="48" t="e">
        <f t="shared" ref="E383:L383" si="23">SUM(E372:E382)</f>
        <v>#N/A</v>
      </c>
      <c r="F383" s="49" t="e">
        <f t="shared" si="23"/>
        <v>#N/A</v>
      </c>
      <c r="G383" s="49" t="e">
        <f t="shared" si="23"/>
        <v>#N/A</v>
      </c>
      <c r="H383" s="49" t="e">
        <f t="shared" si="23"/>
        <v>#N/A</v>
      </c>
      <c r="I383" s="49" t="e">
        <f t="shared" si="23"/>
        <v>#N/A</v>
      </c>
      <c r="J383" s="49" t="e">
        <f t="shared" si="23"/>
        <v>#N/A</v>
      </c>
      <c r="K383" s="49" t="e">
        <f t="shared" si="23"/>
        <v>#N/A</v>
      </c>
      <c r="L383" s="50" t="e">
        <f t="shared" si="23"/>
        <v>#N/A</v>
      </c>
    </row>
    <row r="384" spans="2:13" ht="18.600000000000001" thickTop="1" thickBot="1"/>
    <row r="385" spans="2:13" ht="18" thickTop="1">
      <c r="B385" s="23" t="s">
        <v>3204</v>
      </c>
      <c r="C385" s="24" t="s">
        <v>3205</v>
      </c>
      <c r="D385" s="25"/>
      <c r="E385" s="25"/>
      <c r="F385" s="53"/>
      <c r="G385" s="28" t="s">
        <v>3206</v>
      </c>
      <c r="H385" s="54"/>
      <c r="I385" s="54"/>
      <c r="J385" s="54"/>
      <c r="K385" s="28" t="s">
        <v>3207</v>
      </c>
      <c r="L385" s="29"/>
      <c r="M385" s="22" t="str">
        <f>G385</f>
        <v>Manager:</v>
      </c>
    </row>
    <row r="386" spans="2:13" ht="18" thickBot="1">
      <c r="B386" s="30">
        <v>25</v>
      </c>
      <c r="C386" s="57"/>
      <c r="D386" s="31"/>
      <c r="E386" s="31"/>
      <c r="F386" s="33"/>
      <c r="G386" s="55"/>
      <c r="H386" s="55"/>
      <c r="I386" s="55"/>
      <c r="J386" s="55"/>
      <c r="K386" s="34" t="e">
        <f>SUM(F399:L399)</f>
        <v>#N/A</v>
      </c>
      <c r="L386" s="35"/>
      <c r="M386" s="22">
        <f>G386</f>
        <v>0</v>
      </c>
    </row>
    <row r="387" spans="2:13" ht="18.600000000000001" thickTop="1">
      <c r="B387" s="58" t="s">
        <v>913</v>
      </c>
      <c r="C387" s="59" t="s">
        <v>912</v>
      </c>
      <c r="D387" s="60" t="s">
        <v>911</v>
      </c>
      <c r="E387" s="61" t="s">
        <v>3209</v>
      </c>
      <c r="F387" s="62" t="s">
        <v>3162</v>
      </c>
      <c r="G387" s="62" t="s">
        <v>3163</v>
      </c>
      <c r="H387" s="62" t="s">
        <v>3164</v>
      </c>
      <c r="I387" s="62" t="s">
        <v>3165</v>
      </c>
      <c r="J387" s="62" t="s">
        <v>3166</v>
      </c>
      <c r="K387" s="62" t="s">
        <v>3167</v>
      </c>
      <c r="L387" s="63" t="s">
        <v>3168</v>
      </c>
    </row>
    <row r="388" spans="2:13">
      <c r="B388" s="43" t="e">
        <f>VLOOKUP($A388,'[2]Team lists'!$A$2:$L$800,2,FALSE)</f>
        <v>#N/A</v>
      </c>
      <c r="C388" s="43" t="e">
        <f>VLOOKUP($A388,'[2]Team lists'!$A$2:$L$800,3,FALSE)</f>
        <v>#N/A</v>
      </c>
      <c r="D388" s="43" t="e">
        <f>VLOOKUP($A388,'[2]Team lists'!$A$2:$L$800,4,FALSE)</f>
        <v>#N/A</v>
      </c>
      <c r="E388" s="43" t="e">
        <f>VLOOKUP($A388,'[2]Team lists'!$A$2:$L$800,5,FALSE)</f>
        <v>#N/A</v>
      </c>
      <c r="F388" s="43" t="e">
        <f>VLOOKUP($A388,'[2]Team lists'!$A$2:$L$800,6,FALSE)</f>
        <v>#N/A</v>
      </c>
      <c r="G388" s="43" t="e">
        <f>VLOOKUP($A388,'[2]Team lists'!$A$2:$L$800,7,FALSE)</f>
        <v>#N/A</v>
      </c>
      <c r="H388" s="43" t="e">
        <f>VLOOKUP($A388,'[2]Team lists'!$A$2:$L$800,8,FALSE)</f>
        <v>#N/A</v>
      </c>
      <c r="I388" s="43" t="e">
        <f>VLOOKUP($A388,'[2]Team lists'!$A$2:$L$800,9,FALSE)</f>
        <v>#N/A</v>
      </c>
      <c r="J388" s="43" t="e">
        <f>VLOOKUP($A388,'[2]Team lists'!$A$2:$L$800,9,FALSE)</f>
        <v>#N/A</v>
      </c>
      <c r="K388" s="43" t="e">
        <f>VLOOKUP($A388,'[2]Team lists'!$A$2:$L$800,10,FALSE)</f>
        <v>#N/A</v>
      </c>
      <c r="L388" s="43" t="e">
        <f>VLOOKUP($A388,'[2]Team lists'!$A$2:$L$800,11,FALSE)</f>
        <v>#N/A</v>
      </c>
    </row>
    <row r="389" spans="2:13">
      <c r="B389" s="43" t="e">
        <f>VLOOKUP($A389,'[2]Team lists'!$A$2:$L$800,2,FALSE)</f>
        <v>#N/A</v>
      </c>
      <c r="C389" s="43" t="e">
        <f>VLOOKUP($A389,'[2]Team lists'!$A$2:$L$800,3,FALSE)</f>
        <v>#N/A</v>
      </c>
      <c r="D389" s="43" t="e">
        <f>VLOOKUP($A389,'[2]Team lists'!$A$2:$L$800,4,FALSE)</f>
        <v>#N/A</v>
      </c>
      <c r="E389" s="43" t="e">
        <f>VLOOKUP($A389,'[2]Team lists'!$A$2:$L$800,5,FALSE)</f>
        <v>#N/A</v>
      </c>
      <c r="F389" s="43" t="e">
        <f>VLOOKUP($A389,'[2]Team lists'!$A$2:$L$800,6,FALSE)</f>
        <v>#N/A</v>
      </c>
      <c r="G389" s="43" t="e">
        <f>VLOOKUP($A389,'[2]Team lists'!$A$2:$L$800,7,FALSE)</f>
        <v>#N/A</v>
      </c>
      <c r="H389" s="43" t="e">
        <f>VLOOKUP($A389,'[2]Team lists'!$A$2:$L$800,8,FALSE)</f>
        <v>#N/A</v>
      </c>
      <c r="I389" s="43" t="e">
        <f>VLOOKUP($A389,'[2]Team lists'!$A$2:$L$800,9,FALSE)</f>
        <v>#N/A</v>
      </c>
      <c r="J389" s="43" t="e">
        <f>VLOOKUP($A389,'[2]Team lists'!$A$2:$L$800,9,FALSE)</f>
        <v>#N/A</v>
      </c>
      <c r="K389" s="43" t="e">
        <f>VLOOKUP($A389,'[2]Team lists'!$A$2:$L$800,10,FALSE)</f>
        <v>#N/A</v>
      </c>
      <c r="L389" s="43" t="e">
        <f>VLOOKUP($A389,'[2]Team lists'!$A$2:$L$800,11,FALSE)</f>
        <v>#N/A</v>
      </c>
    </row>
    <row r="390" spans="2:13">
      <c r="B390" s="43" t="e">
        <f>VLOOKUP($A390,'[2]Team lists'!$A$2:$L$800,2,FALSE)</f>
        <v>#N/A</v>
      </c>
      <c r="C390" s="43" t="e">
        <f>VLOOKUP($A390,'[2]Team lists'!$A$2:$L$800,3,FALSE)</f>
        <v>#N/A</v>
      </c>
      <c r="D390" s="43" t="e">
        <f>VLOOKUP($A390,'[2]Team lists'!$A$2:$L$800,4,FALSE)</f>
        <v>#N/A</v>
      </c>
      <c r="E390" s="43" t="e">
        <f>VLOOKUP($A390,'[2]Team lists'!$A$2:$L$800,5,FALSE)</f>
        <v>#N/A</v>
      </c>
      <c r="F390" s="43" t="e">
        <f>VLOOKUP($A390,'[2]Team lists'!$A$2:$L$800,6,FALSE)</f>
        <v>#N/A</v>
      </c>
      <c r="G390" s="43" t="e">
        <f>VLOOKUP($A390,'[2]Team lists'!$A$2:$L$800,7,FALSE)</f>
        <v>#N/A</v>
      </c>
      <c r="H390" s="43" t="e">
        <f>VLOOKUP($A390,'[2]Team lists'!$A$2:$L$800,8,FALSE)</f>
        <v>#N/A</v>
      </c>
      <c r="I390" s="43" t="e">
        <f>VLOOKUP($A390,'[2]Team lists'!$A$2:$L$800,9,FALSE)</f>
        <v>#N/A</v>
      </c>
      <c r="J390" s="43" t="e">
        <f>VLOOKUP($A390,'[2]Team lists'!$A$2:$L$800,9,FALSE)</f>
        <v>#N/A</v>
      </c>
      <c r="K390" s="43" t="e">
        <f>VLOOKUP($A390,'[2]Team lists'!$A$2:$L$800,10,FALSE)</f>
        <v>#N/A</v>
      </c>
      <c r="L390" s="43" t="e">
        <f>VLOOKUP($A390,'[2]Team lists'!$A$2:$L$800,11,FALSE)</f>
        <v>#N/A</v>
      </c>
    </row>
    <row r="391" spans="2:13">
      <c r="B391" s="43" t="e">
        <f>VLOOKUP($A391,'[2]Team lists'!$A$2:$L$800,2,FALSE)</f>
        <v>#N/A</v>
      </c>
      <c r="C391" s="43" t="e">
        <f>VLOOKUP($A391,'[2]Team lists'!$A$2:$L$800,3,FALSE)</f>
        <v>#N/A</v>
      </c>
      <c r="D391" s="43" t="e">
        <f>VLOOKUP($A391,'[2]Team lists'!$A$2:$L$800,4,FALSE)</f>
        <v>#N/A</v>
      </c>
      <c r="E391" s="43" t="e">
        <f>VLOOKUP($A391,'[2]Team lists'!$A$2:$L$800,5,FALSE)</f>
        <v>#N/A</v>
      </c>
      <c r="F391" s="43" t="e">
        <f>VLOOKUP($A391,'[2]Team lists'!$A$2:$L$800,6,FALSE)</f>
        <v>#N/A</v>
      </c>
      <c r="G391" s="43" t="e">
        <f>VLOOKUP($A391,'[2]Team lists'!$A$2:$L$800,7,FALSE)</f>
        <v>#N/A</v>
      </c>
      <c r="H391" s="43" t="e">
        <f>VLOOKUP($A391,'[2]Team lists'!$A$2:$L$800,8,FALSE)</f>
        <v>#N/A</v>
      </c>
      <c r="I391" s="43" t="e">
        <f>VLOOKUP($A391,'[2]Team lists'!$A$2:$L$800,9,FALSE)</f>
        <v>#N/A</v>
      </c>
      <c r="J391" s="43" t="e">
        <f>VLOOKUP($A391,'[2]Team lists'!$A$2:$L$800,9,FALSE)</f>
        <v>#N/A</v>
      </c>
      <c r="K391" s="43" t="e">
        <f>VLOOKUP($A391,'[2]Team lists'!$A$2:$L$800,10,FALSE)</f>
        <v>#N/A</v>
      </c>
      <c r="L391" s="43" t="e">
        <f>VLOOKUP($A391,'[2]Team lists'!$A$2:$L$800,11,FALSE)</f>
        <v>#N/A</v>
      </c>
    </row>
    <row r="392" spans="2:13">
      <c r="B392" s="43" t="e">
        <f>VLOOKUP($A392,'[2]Team lists'!$A$2:$L$800,2,FALSE)</f>
        <v>#N/A</v>
      </c>
      <c r="C392" s="43" t="e">
        <f>VLOOKUP($A392,'[2]Team lists'!$A$2:$L$800,3,FALSE)</f>
        <v>#N/A</v>
      </c>
      <c r="D392" s="43" t="e">
        <f>VLOOKUP($A392,'[2]Team lists'!$A$2:$L$800,4,FALSE)</f>
        <v>#N/A</v>
      </c>
      <c r="E392" s="43" t="e">
        <f>VLOOKUP($A392,'[2]Team lists'!$A$2:$L$800,5,FALSE)</f>
        <v>#N/A</v>
      </c>
      <c r="F392" s="43" t="e">
        <f>VLOOKUP($A392,'[2]Team lists'!$A$2:$L$800,6,FALSE)</f>
        <v>#N/A</v>
      </c>
      <c r="G392" s="43" t="e">
        <f>VLOOKUP($A392,'[2]Team lists'!$A$2:$L$800,7,FALSE)</f>
        <v>#N/A</v>
      </c>
      <c r="H392" s="43" t="e">
        <f>VLOOKUP($A392,'[2]Team lists'!$A$2:$L$800,8,FALSE)</f>
        <v>#N/A</v>
      </c>
      <c r="I392" s="43" t="e">
        <f>VLOOKUP($A392,'[2]Team lists'!$A$2:$L$800,9,FALSE)</f>
        <v>#N/A</v>
      </c>
      <c r="J392" s="43" t="e">
        <f>VLOOKUP($A392,'[2]Team lists'!$A$2:$L$800,9,FALSE)</f>
        <v>#N/A</v>
      </c>
      <c r="K392" s="43" t="e">
        <f>VLOOKUP($A392,'[2]Team lists'!$A$2:$L$800,10,FALSE)</f>
        <v>#N/A</v>
      </c>
      <c r="L392" s="43" t="e">
        <f>VLOOKUP($A392,'[2]Team lists'!$A$2:$L$800,11,FALSE)</f>
        <v>#N/A</v>
      </c>
    </row>
    <row r="393" spans="2:13">
      <c r="B393" s="43" t="e">
        <f>VLOOKUP($A393,'[2]Team lists'!$A$2:$L$800,2,FALSE)</f>
        <v>#N/A</v>
      </c>
      <c r="C393" s="43" t="e">
        <f>VLOOKUP($A393,'[2]Team lists'!$A$2:$L$800,3,FALSE)</f>
        <v>#N/A</v>
      </c>
      <c r="D393" s="43" t="e">
        <f>VLOOKUP($A393,'[2]Team lists'!$A$2:$L$800,4,FALSE)</f>
        <v>#N/A</v>
      </c>
      <c r="E393" s="43" t="e">
        <f>VLOOKUP($A393,'[2]Team lists'!$A$2:$L$800,5,FALSE)</f>
        <v>#N/A</v>
      </c>
      <c r="F393" s="43" t="e">
        <f>VLOOKUP($A393,'[2]Team lists'!$A$2:$L$800,6,FALSE)</f>
        <v>#N/A</v>
      </c>
      <c r="G393" s="43" t="e">
        <f>VLOOKUP($A393,'[2]Team lists'!$A$2:$L$800,7,FALSE)</f>
        <v>#N/A</v>
      </c>
      <c r="H393" s="43" t="e">
        <f>VLOOKUP($A393,'[2]Team lists'!$A$2:$L$800,8,FALSE)</f>
        <v>#N/A</v>
      </c>
      <c r="I393" s="43" t="e">
        <f>VLOOKUP($A393,'[2]Team lists'!$A$2:$L$800,9,FALSE)</f>
        <v>#N/A</v>
      </c>
      <c r="J393" s="43" t="e">
        <f>VLOOKUP($A393,'[2]Team lists'!$A$2:$L$800,9,FALSE)</f>
        <v>#N/A</v>
      </c>
      <c r="K393" s="43" t="e">
        <f>VLOOKUP($A393,'[2]Team lists'!$A$2:$L$800,10,FALSE)</f>
        <v>#N/A</v>
      </c>
      <c r="L393" s="43" t="e">
        <f>VLOOKUP($A393,'[2]Team lists'!$A$2:$L$800,11,FALSE)</f>
        <v>#N/A</v>
      </c>
    </row>
    <row r="394" spans="2:13">
      <c r="B394" s="43" t="e">
        <f>VLOOKUP($A394,'[2]Team lists'!$A$2:$L$800,2,FALSE)</f>
        <v>#N/A</v>
      </c>
      <c r="C394" s="43" t="e">
        <f>VLOOKUP($A394,'[2]Team lists'!$A$2:$L$800,3,FALSE)</f>
        <v>#N/A</v>
      </c>
      <c r="D394" s="43" t="e">
        <f>VLOOKUP($A394,'[2]Team lists'!$A$2:$L$800,4,FALSE)</f>
        <v>#N/A</v>
      </c>
      <c r="E394" s="43" t="e">
        <f>VLOOKUP($A394,'[2]Team lists'!$A$2:$L$800,5,FALSE)</f>
        <v>#N/A</v>
      </c>
      <c r="F394" s="43" t="e">
        <f>VLOOKUP($A394,'[2]Team lists'!$A$2:$L$800,6,FALSE)</f>
        <v>#N/A</v>
      </c>
      <c r="G394" s="43" t="e">
        <f>VLOOKUP($A394,'[2]Team lists'!$A$2:$L$800,7,FALSE)</f>
        <v>#N/A</v>
      </c>
      <c r="H394" s="43" t="e">
        <f>VLOOKUP($A394,'[2]Team lists'!$A$2:$L$800,8,FALSE)</f>
        <v>#N/A</v>
      </c>
      <c r="I394" s="43" t="e">
        <f>VLOOKUP($A394,'[2]Team lists'!$A$2:$L$800,9,FALSE)</f>
        <v>#N/A</v>
      </c>
      <c r="J394" s="43" t="e">
        <f>VLOOKUP($A394,'[2]Team lists'!$A$2:$L$800,9,FALSE)</f>
        <v>#N/A</v>
      </c>
      <c r="K394" s="43" t="e">
        <f>VLOOKUP($A394,'[2]Team lists'!$A$2:$L$800,10,FALSE)</f>
        <v>#N/A</v>
      </c>
      <c r="L394" s="43" t="e">
        <f>VLOOKUP($A394,'[2]Team lists'!$A$2:$L$800,11,FALSE)</f>
        <v>#N/A</v>
      </c>
    </row>
    <row r="395" spans="2:13">
      <c r="B395" s="43" t="e">
        <f>VLOOKUP($A395,'[2]Team lists'!$A$2:$L$800,2,FALSE)</f>
        <v>#N/A</v>
      </c>
      <c r="C395" s="43" t="e">
        <f>VLOOKUP($A395,'[2]Team lists'!$A$2:$L$800,3,FALSE)</f>
        <v>#N/A</v>
      </c>
      <c r="D395" s="43" t="e">
        <f>VLOOKUP($A395,'[2]Team lists'!$A$2:$L$800,4,FALSE)</f>
        <v>#N/A</v>
      </c>
      <c r="E395" s="43" t="e">
        <f>VLOOKUP($A395,'[2]Team lists'!$A$2:$L$800,5,FALSE)</f>
        <v>#N/A</v>
      </c>
      <c r="F395" s="43" t="e">
        <f>VLOOKUP($A395,'[2]Team lists'!$A$2:$L$800,6,FALSE)</f>
        <v>#N/A</v>
      </c>
      <c r="G395" s="43" t="e">
        <f>VLOOKUP($A395,'[2]Team lists'!$A$2:$L$800,7,FALSE)</f>
        <v>#N/A</v>
      </c>
      <c r="H395" s="43" t="e">
        <f>VLOOKUP($A395,'[2]Team lists'!$A$2:$L$800,8,FALSE)</f>
        <v>#N/A</v>
      </c>
      <c r="I395" s="43" t="e">
        <f>VLOOKUP($A395,'[2]Team lists'!$A$2:$L$800,9,FALSE)</f>
        <v>#N/A</v>
      </c>
      <c r="J395" s="43" t="e">
        <f>VLOOKUP($A395,'[2]Team lists'!$A$2:$L$800,9,FALSE)</f>
        <v>#N/A</v>
      </c>
      <c r="K395" s="43" t="e">
        <f>VLOOKUP($A395,'[2]Team lists'!$A$2:$L$800,10,FALSE)</f>
        <v>#N/A</v>
      </c>
      <c r="L395" s="43" t="e">
        <f>VLOOKUP($A395,'[2]Team lists'!$A$2:$L$800,11,FALSE)</f>
        <v>#N/A</v>
      </c>
    </row>
    <row r="396" spans="2:13">
      <c r="B396" s="43" t="e">
        <f>VLOOKUP($A396,'[2]Team lists'!$A$2:$L$800,2,FALSE)</f>
        <v>#N/A</v>
      </c>
      <c r="C396" s="43" t="e">
        <f>VLOOKUP($A396,'[2]Team lists'!$A$2:$L$800,3,FALSE)</f>
        <v>#N/A</v>
      </c>
      <c r="D396" s="43" t="e">
        <f>VLOOKUP($A396,'[2]Team lists'!$A$2:$L$800,4,FALSE)</f>
        <v>#N/A</v>
      </c>
      <c r="E396" s="43" t="e">
        <f>VLOOKUP($A396,'[2]Team lists'!$A$2:$L$800,5,FALSE)</f>
        <v>#N/A</v>
      </c>
      <c r="F396" s="43" t="e">
        <f>VLOOKUP($A396,'[2]Team lists'!$A$2:$L$800,6,FALSE)</f>
        <v>#N/A</v>
      </c>
      <c r="G396" s="43" t="e">
        <f>VLOOKUP($A396,'[2]Team lists'!$A$2:$L$800,7,FALSE)</f>
        <v>#N/A</v>
      </c>
      <c r="H396" s="43" t="e">
        <f>VLOOKUP($A396,'[2]Team lists'!$A$2:$L$800,8,FALSE)</f>
        <v>#N/A</v>
      </c>
      <c r="I396" s="43" t="e">
        <f>VLOOKUP($A396,'[2]Team lists'!$A$2:$L$800,9,FALSE)</f>
        <v>#N/A</v>
      </c>
      <c r="J396" s="43" t="e">
        <f>VLOOKUP($A396,'[2]Team lists'!$A$2:$L$800,9,FALSE)</f>
        <v>#N/A</v>
      </c>
      <c r="K396" s="43" t="e">
        <f>VLOOKUP($A396,'[2]Team lists'!$A$2:$L$800,10,FALSE)</f>
        <v>#N/A</v>
      </c>
      <c r="L396" s="43" t="e">
        <f>VLOOKUP($A396,'[2]Team lists'!$A$2:$L$800,11,FALSE)</f>
        <v>#N/A</v>
      </c>
    </row>
    <row r="397" spans="2:13">
      <c r="B397" s="43" t="e">
        <f>VLOOKUP($A397,'[2]Team lists'!$A$2:$L$800,2,FALSE)</f>
        <v>#N/A</v>
      </c>
      <c r="C397" s="43" t="e">
        <f>VLOOKUP($A397,'[2]Team lists'!$A$2:$L$800,3,FALSE)</f>
        <v>#N/A</v>
      </c>
      <c r="D397" s="43" t="e">
        <f>VLOOKUP($A397,'[2]Team lists'!$A$2:$L$800,4,FALSE)</f>
        <v>#N/A</v>
      </c>
      <c r="E397" s="43" t="e">
        <f>VLOOKUP($A397,'[2]Team lists'!$A$2:$L$800,5,FALSE)</f>
        <v>#N/A</v>
      </c>
      <c r="F397" s="43" t="e">
        <f>VLOOKUP($A397,'[2]Team lists'!$A$2:$L$800,6,FALSE)</f>
        <v>#N/A</v>
      </c>
      <c r="G397" s="43" t="e">
        <f>VLOOKUP($A397,'[2]Team lists'!$A$2:$L$800,7,FALSE)</f>
        <v>#N/A</v>
      </c>
      <c r="H397" s="43" t="e">
        <f>VLOOKUP($A397,'[2]Team lists'!$A$2:$L$800,8,FALSE)</f>
        <v>#N/A</v>
      </c>
      <c r="I397" s="43" t="e">
        <f>VLOOKUP($A397,'[2]Team lists'!$A$2:$L$800,9,FALSE)</f>
        <v>#N/A</v>
      </c>
      <c r="J397" s="43" t="e">
        <f>VLOOKUP($A397,'[2]Team lists'!$A$2:$L$800,9,FALSE)</f>
        <v>#N/A</v>
      </c>
      <c r="K397" s="43" t="e">
        <f>VLOOKUP($A397,'[2]Team lists'!$A$2:$L$800,10,FALSE)</f>
        <v>#N/A</v>
      </c>
      <c r="L397" s="43" t="e">
        <f>VLOOKUP($A397,'[2]Team lists'!$A$2:$L$800,11,FALSE)</f>
        <v>#N/A</v>
      </c>
    </row>
    <row r="398" spans="2:13">
      <c r="B398" s="43" t="e">
        <f>VLOOKUP($A398,'[2]Team lists'!$A$2:$L$800,2,FALSE)</f>
        <v>#N/A</v>
      </c>
      <c r="C398" s="43" t="e">
        <f>VLOOKUP($A398,'[2]Team lists'!$A$2:$L$800,3,FALSE)</f>
        <v>#N/A</v>
      </c>
      <c r="D398" s="43" t="e">
        <f>VLOOKUP($A398,'[2]Team lists'!$A$2:$L$800,4,FALSE)</f>
        <v>#N/A</v>
      </c>
      <c r="E398" s="43" t="e">
        <f>VLOOKUP($A398,'[2]Team lists'!$A$2:$L$800,5,FALSE)</f>
        <v>#N/A</v>
      </c>
      <c r="F398" s="43" t="e">
        <f>VLOOKUP($A398,'[2]Team lists'!$A$2:$L$800,6,FALSE)</f>
        <v>#N/A</v>
      </c>
      <c r="G398" s="43" t="e">
        <f>VLOOKUP($A398,'[2]Team lists'!$A$2:$L$800,7,FALSE)</f>
        <v>#N/A</v>
      </c>
      <c r="H398" s="43" t="e">
        <f>VLOOKUP($A398,'[2]Team lists'!$A$2:$L$800,8,FALSE)</f>
        <v>#N/A</v>
      </c>
      <c r="I398" s="43" t="e">
        <f>VLOOKUP($A398,'[2]Team lists'!$A$2:$L$800,9,FALSE)</f>
        <v>#N/A</v>
      </c>
      <c r="J398" s="43" t="e">
        <f>VLOOKUP($A398,'[2]Team lists'!$A$2:$L$800,9,FALSE)</f>
        <v>#N/A</v>
      </c>
      <c r="K398" s="43" t="e">
        <f>VLOOKUP($A398,'[2]Team lists'!$A$2:$L$800,10,FALSE)</f>
        <v>#N/A</v>
      </c>
      <c r="L398" s="43" t="e">
        <f>VLOOKUP($A398,'[2]Team lists'!$A$2:$L$800,11,FALSE)</f>
        <v>#N/A</v>
      </c>
    </row>
    <row r="399" spans="2:13" ht="18" thickBot="1">
      <c r="B399" s="45" t="s">
        <v>3210</v>
      </c>
      <c r="C399" s="46"/>
      <c r="D399" s="47"/>
      <c r="E399" s="48" t="e">
        <f t="shared" ref="E399:L399" si="24">SUM(E388:E398)</f>
        <v>#N/A</v>
      </c>
      <c r="F399" s="49" t="e">
        <f t="shared" si="24"/>
        <v>#N/A</v>
      </c>
      <c r="G399" s="49" t="e">
        <f t="shared" si="24"/>
        <v>#N/A</v>
      </c>
      <c r="H399" s="49" t="e">
        <f t="shared" si="24"/>
        <v>#N/A</v>
      </c>
      <c r="I399" s="49" t="e">
        <f t="shared" si="24"/>
        <v>#N/A</v>
      </c>
      <c r="J399" s="49" t="e">
        <f t="shared" si="24"/>
        <v>#N/A</v>
      </c>
      <c r="K399" s="49" t="e">
        <f t="shared" si="24"/>
        <v>#N/A</v>
      </c>
      <c r="L399" s="50" t="e">
        <f t="shared" si="24"/>
        <v>#N/A</v>
      </c>
    </row>
    <row r="400" spans="2:13" ht="18.600000000000001" thickTop="1" thickBot="1"/>
    <row r="401" spans="2:13" ht="18" thickTop="1">
      <c r="B401" s="23" t="s">
        <v>3204</v>
      </c>
      <c r="C401" s="24" t="s">
        <v>3205</v>
      </c>
      <c r="D401" s="25"/>
      <c r="E401" s="25"/>
      <c r="F401" s="53"/>
      <c r="G401" s="28" t="s">
        <v>3206</v>
      </c>
      <c r="H401" s="54"/>
      <c r="I401" s="54"/>
      <c r="J401" s="54"/>
      <c r="K401" s="28" t="s">
        <v>3207</v>
      </c>
      <c r="L401" s="29"/>
      <c r="M401" s="22" t="str">
        <f>G401</f>
        <v>Manager:</v>
      </c>
    </row>
    <row r="402" spans="2:13" ht="18" thickBot="1">
      <c r="B402" s="30">
        <v>26</v>
      </c>
      <c r="C402" s="57"/>
      <c r="D402" s="31"/>
      <c r="E402" s="31"/>
      <c r="F402" s="33"/>
      <c r="G402" s="55"/>
      <c r="H402" s="55"/>
      <c r="I402" s="55"/>
      <c r="J402" s="55"/>
      <c r="K402" s="34" t="e">
        <f>SUM(F415:L415)</f>
        <v>#N/A</v>
      </c>
      <c r="L402" s="35"/>
      <c r="M402" s="22">
        <f>G402</f>
        <v>0</v>
      </c>
    </row>
    <row r="403" spans="2:13" ht="18.600000000000001" thickTop="1">
      <c r="B403" s="58" t="s">
        <v>913</v>
      </c>
      <c r="C403" s="59" t="s">
        <v>912</v>
      </c>
      <c r="D403" s="60" t="s">
        <v>911</v>
      </c>
      <c r="E403" s="61" t="s">
        <v>3209</v>
      </c>
      <c r="F403" s="62" t="s">
        <v>3162</v>
      </c>
      <c r="G403" s="62" t="s">
        <v>3163</v>
      </c>
      <c r="H403" s="62" t="s">
        <v>3164</v>
      </c>
      <c r="I403" s="62" t="s">
        <v>3165</v>
      </c>
      <c r="J403" s="62" t="s">
        <v>3166</v>
      </c>
      <c r="K403" s="62" t="s">
        <v>3167</v>
      </c>
      <c r="L403" s="63" t="s">
        <v>3168</v>
      </c>
    </row>
    <row r="404" spans="2:13">
      <c r="B404" s="43" t="e">
        <f>VLOOKUP($A404,'[2]Team lists'!$A$2:$L$800,2,FALSE)</f>
        <v>#N/A</v>
      </c>
      <c r="C404" s="43" t="e">
        <f>VLOOKUP($A404,'[2]Team lists'!$A$2:$L$800,3,FALSE)</f>
        <v>#N/A</v>
      </c>
      <c r="D404" s="43" t="e">
        <f>VLOOKUP($A404,'[2]Team lists'!$A$2:$L$800,4,FALSE)</f>
        <v>#N/A</v>
      </c>
      <c r="E404" s="43" t="e">
        <f>VLOOKUP($A404,'[2]Team lists'!$A$2:$L$800,5,FALSE)</f>
        <v>#N/A</v>
      </c>
      <c r="F404" s="43" t="e">
        <f>VLOOKUP($A404,'[2]Team lists'!$A$2:$L$800,6,FALSE)</f>
        <v>#N/A</v>
      </c>
      <c r="G404" s="43" t="e">
        <f>VLOOKUP($A404,'[2]Team lists'!$A$2:$L$800,7,FALSE)</f>
        <v>#N/A</v>
      </c>
      <c r="H404" s="43" t="e">
        <f>VLOOKUP($A404,'[2]Team lists'!$A$2:$L$800,8,FALSE)</f>
        <v>#N/A</v>
      </c>
      <c r="I404" s="43" t="e">
        <f>VLOOKUP($A404,'[2]Team lists'!$A$2:$L$800,9,FALSE)</f>
        <v>#N/A</v>
      </c>
      <c r="J404" s="43" t="e">
        <f>VLOOKUP($A404,'[2]Team lists'!$A$2:$L$800,9,FALSE)</f>
        <v>#N/A</v>
      </c>
      <c r="K404" s="43" t="e">
        <f>VLOOKUP($A404,'[2]Team lists'!$A$2:$L$800,10,FALSE)</f>
        <v>#N/A</v>
      </c>
      <c r="L404" s="43" t="e">
        <f>VLOOKUP($A404,'[2]Team lists'!$A$2:$L$800,11,FALSE)</f>
        <v>#N/A</v>
      </c>
    </row>
    <row r="405" spans="2:13">
      <c r="B405" s="43" t="e">
        <f>VLOOKUP($A405,'[2]Team lists'!$A$2:$L$800,2,FALSE)</f>
        <v>#N/A</v>
      </c>
      <c r="C405" s="43" t="e">
        <f>VLOOKUP($A405,'[2]Team lists'!$A$2:$L$800,3,FALSE)</f>
        <v>#N/A</v>
      </c>
      <c r="D405" s="43" t="e">
        <f>VLOOKUP($A405,'[2]Team lists'!$A$2:$L$800,4,FALSE)</f>
        <v>#N/A</v>
      </c>
      <c r="E405" s="43" t="e">
        <f>VLOOKUP($A405,'[2]Team lists'!$A$2:$L$800,5,FALSE)</f>
        <v>#N/A</v>
      </c>
      <c r="F405" s="43" t="e">
        <f>VLOOKUP($A405,'[2]Team lists'!$A$2:$L$800,6,FALSE)</f>
        <v>#N/A</v>
      </c>
      <c r="G405" s="43" t="e">
        <f>VLOOKUP($A405,'[2]Team lists'!$A$2:$L$800,7,FALSE)</f>
        <v>#N/A</v>
      </c>
      <c r="H405" s="43" t="e">
        <f>VLOOKUP($A405,'[2]Team lists'!$A$2:$L$800,8,FALSE)</f>
        <v>#N/A</v>
      </c>
      <c r="I405" s="43" t="e">
        <f>VLOOKUP($A405,'[2]Team lists'!$A$2:$L$800,9,FALSE)</f>
        <v>#N/A</v>
      </c>
      <c r="J405" s="43" t="e">
        <f>VLOOKUP($A405,'[2]Team lists'!$A$2:$L$800,9,FALSE)</f>
        <v>#N/A</v>
      </c>
      <c r="K405" s="43" t="e">
        <f>VLOOKUP($A405,'[2]Team lists'!$A$2:$L$800,10,FALSE)</f>
        <v>#N/A</v>
      </c>
      <c r="L405" s="43" t="e">
        <f>VLOOKUP($A405,'[2]Team lists'!$A$2:$L$800,11,FALSE)</f>
        <v>#N/A</v>
      </c>
    </row>
    <row r="406" spans="2:13">
      <c r="B406" s="43" t="e">
        <f>VLOOKUP($A406,'[2]Team lists'!$A$2:$L$800,2,FALSE)</f>
        <v>#N/A</v>
      </c>
      <c r="C406" s="43" t="e">
        <f>VLOOKUP($A406,'[2]Team lists'!$A$2:$L$800,3,FALSE)</f>
        <v>#N/A</v>
      </c>
      <c r="D406" s="43" t="e">
        <f>VLOOKUP($A406,'[2]Team lists'!$A$2:$L$800,4,FALSE)</f>
        <v>#N/A</v>
      </c>
      <c r="E406" s="43" t="e">
        <f>VLOOKUP($A406,'[2]Team lists'!$A$2:$L$800,5,FALSE)</f>
        <v>#N/A</v>
      </c>
      <c r="F406" s="43" t="e">
        <f>VLOOKUP($A406,'[2]Team lists'!$A$2:$L$800,6,FALSE)</f>
        <v>#N/A</v>
      </c>
      <c r="G406" s="43" t="e">
        <f>VLOOKUP($A406,'[2]Team lists'!$A$2:$L$800,7,FALSE)</f>
        <v>#N/A</v>
      </c>
      <c r="H406" s="43" t="e">
        <f>VLOOKUP($A406,'[2]Team lists'!$A$2:$L$800,8,FALSE)</f>
        <v>#N/A</v>
      </c>
      <c r="I406" s="43" t="e">
        <f>VLOOKUP($A406,'[2]Team lists'!$A$2:$L$800,9,FALSE)</f>
        <v>#N/A</v>
      </c>
      <c r="J406" s="43" t="e">
        <f>VLOOKUP($A406,'[2]Team lists'!$A$2:$L$800,9,FALSE)</f>
        <v>#N/A</v>
      </c>
      <c r="K406" s="43" t="e">
        <f>VLOOKUP($A406,'[2]Team lists'!$A$2:$L$800,10,FALSE)</f>
        <v>#N/A</v>
      </c>
      <c r="L406" s="43" t="e">
        <f>VLOOKUP($A406,'[2]Team lists'!$A$2:$L$800,11,FALSE)</f>
        <v>#N/A</v>
      </c>
    </row>
    <row r="407" spans="2:13">
      <c r="B407" s="43" t="e">
        <f>VLOOKUP($A407,'[2]Team lists'!$A$2:$L$800,2,FALSE)</f>
        <v>#N/A</v>
      </c>
      <c r="C407" s="43" t="e">
        <f>VLOOKUP($A407,'[2]Team lists'!$A$2:$L$800,3,FALSE)</f>
        <v>#N/A</v>
      </c>
      <c r="D407" s="43" t="e">
        <f>VLOOKUP($A407,'[2]Team lists'!$A$2:$L$800,4,FALSE)</f>
        <v>#N/A</v>
      </c>
      <c r="E407" s="43" t="e">
        <f>VLOOKUP($A407,'[2]Team lists'!$A$2:$L$800,5,FALSE)</f>
        <v>#N/A</v>
      </c>
      <c r="F407" s="43" t="e">
        <f>VLOOKUP($A407,'[2]Team lists'!$A$2:$L$800,6,FALSE)</f>
        <v>#N/A</v>
      </c>
      <c r="G407" s="43" t="e">
        <f>VLOOKUP($A407,'[2]Team lists'!$A$2:$L$800,7,FALSE)</f>
        <v>#N/A</v>
      </c>
      <c r="H407" s="43" t="e">
        <f>VLOOKUP($A407,'[2]Team lists'!$A$2:$L$800,8,FALSE)</f>
        <v>#N/A</v>
      </c>
      <c r="I407" s="43" t="e">
        <f>VLOOKUP($A407,'[2]Team lists'!$A$2:$L$800,9,FALSE)</f>
        <v>#N/A</v>
      </c>
      <c r="J407" s="43" t="e">
        <f>VLOOKUP($A407,'[2]Team lists'!$A$2:$L$800,9,FALSE)</f>
        <v>#N/A</v>
      </c>
      <c r="K407" s="43" t="e">
        <f>VLOOKUP($A407,'[2]Team lists'!$A$2:$L$800,10,FALSE)</f>
        <v>#N/A</v>
      </c>
      <c r="L407" s="43" t="e">
        <f>VLOOKUP($A407,'[2]Team lists'!$A$2:$L$800,11,FALSE)</f>
        <v>#N/A</v>
      </c>
    </row>
    <row r="408" spans="2:13">
      <c r="B408" s="43" t="e">
        <f>VLOOKUP($A408,'[2]Team lists'!$A$2:$L$800,2,FALSE)</f>
        <v>#N/A</v>
      </c>
      <c r="C408" s="43" t="e">
        <f>VLOOKUP($A408,'[2]Team lists'!$A$2:$L$800,3,FALSE)</f>
        <v>#N/A</v>
      </c>
      <c r="D408" s="43" t="e">
        <f>VLOOKUP($A408,'[2]Team lists'!$A$2:$L$800,4,FALSE)</f>
        <v>#N/A</v>
      </c>
      <c r="E408" s="43" t="e">
        <f>VLOOKUP($A408,'[2]Team lists'!$A$2:$L$800,5,FALSE)</f>
        <v>#N/A</v>
      </c>
      <c r="F408" s="43" t="e">
        <f>VLOOKUP($A408,'[2]Team lists'!$A$2:$L$800,6,FALSE)</f>
        <v>#N/A</v>
      </c>
      <c r="G408" s="43" t="e">
        <f>VLOOKUP($A408,'[2]Team lists'!$A$2:$L$800,7,FALSE)</f>
        <v>#N/A</v>
      </c>
      <c r="H408" s="43" t="e">
        <f>VLOOKUP($A408,'[2]Team lists'!$A$2:$L$800,8,FALSE)</f>
        <v>#N/A</v>
      </c>
      <c r="I408" s="43" t="e">
        <f>VLOOKUP($A408,'[2]Team lists'!$A$2:$L$800,9,FALSE)</f>
        <v>#N/A</v>
      </c>
      <c r="J408" s="43" t="e">
        <f>VLOOKUP($A408,'[2]Team lists'!$A$2:$L$800,9,FALSE)</f>
        <v>#N/A</v>
      </c>
      <c r="K408" s="43" t="e">
        <f>VLOOKUP($A408,'[2]Team lists'!$A$2:$L$800,10,FALSE)</f>
        <v>#N/A</v>
      </c>
      <c r="L408" s="43" t="e">
        <f>VLOOKUP($A408,'[2]Team lists'!$A$2:$L$800,11,FALSE)</f>
        <v>#N/A</v>
      </c>
    </row>
    <row r="409" spans="2:13">
      <c r="B409" s="43" t="e">
        <f>VLOOKUP($A409,'[2]Team lists'!$A$2:$L$800,2,FALSE)</f>
        <v>#N/A</v>
      </c>
      <c r="C409" s="43" t="e">
        <f>VLOOKUP($A409,'[2]Team lists'!$A$2:$L$800,3,FALSE)</f>
        <v>#N/A</v>
      </c>
      <c r="D409" s="43" t="e">
        <f>VLOOKUP($A409,'[2]Team lists'!$A$2:$L$800,4,FALSE)</f>
        <v>#N/A</v>
      </c>
      <c r="E409" s="43" t="e">
        <f>VLOOKUP($A409,'[2]Team lists'!$A$2:$L$800,5,FALSE)</f>
        <v>#N/A</v>
      </c>
      <c r="F409" s="43" t="e">
        <f>VLOOKUP($A409,'[2]Team lists'!$A$2:$L$800,6,FALSE)</f>
        <v>#N/A</v>
      </c>
      <c r="G409" s="43" t="e">
        <f>VLOOKUP($A409,'[2]Team lists'!$A$2:$L$800,7,FALSE)</f>
        <v>#N/A</v>
      </c>
      <c r="H409" s="43" t="e">
        <f>VLOOKUP($A409,'[2]Team lists'!$A$2:$L$800,8,FALSE)</f>
        <v>#N/A</v>
      </c>
      <c r="I409" s="43" t="e">
        <f>VLOOKUP($A409,'[2]Team lists'!$A$2:$L$800,9,FALSE)</f>
        <v>#N/A</v>
      </c>
      <c r="J409" s="43" t="e">
        <f>VLOOKUP($A409,'[2]Team lists'!$A$2:$L$800,9,FALSE)</f>
        <v>#N/A</v>
      </c>
      <c r="K409" s="43" t="e">
        <f>VLOOKUP($A409,'[2]Team lists'!$A$2:$L$800,10,FALSE)</f>
        <v>#N/A</v>
      </c>
      <c r="L409" s="43" t="e">
        <f>VLOOKUP($A409,'[2]Team lists'!$A$2:$L$800,11,FALSE)</f>
        <v>#N/A</v>
      </c>
    </row>
    <row r="410" spans="2:13">
      <c r="B410" s="43" t="e">
        <f>VLOOKUP($A410,'[2]Team lists'!$A$2:$L$800,2,FALSE)</f>
        <v>#N/A</v>
      </c>
      <c r="C410" s="43" t="e">
        <f>VLOOKUP($A410,'[2]Team lists'!$A$2:$L$800,3,FALSE)</f>
        <v>#N/A</v>
      </c>
      <c r="D410" s="43" t="e">
        <f>VLOOKUP($A410,'[2]Team lists'!$A$2:$L$800,4,FALSE)</f>
        <v>#N/A</v>
      </c>
      <c r="E410" s="43" t="e">
        <f>VLOOKUP($A410,'[2]Team lists'!$A$2:$L$800,5,FALSE)</f>
        <v>#N/A</v>
      </c>
      <c r="F410" s="43" t="e">
        <f>VLOOKUP($A410,'[2]Team lists'!$A$2:$L$800,6,FALSE)</f>
        <v>#N/A</v>
      </c>
      <c r="G410" s="43" t="e">
        <f>VLOOKUP($A410,'[2]Team lists'!$A$2:$L$800,7,FALSE)</f>
        <v>#N/A</v>
      </c>
      <c r="H410" s="43" t="e">
        <f>VLOOKUP($A410,'[2]Team lists'!$A$2:$L$800,8,FALSE)</f>
        <v>#N/A</v>
      </c>
      <c r="I410" s="43" t="e">
        <f>VLOOKUP($A410,'[2]Team lists'!$A$2:$L$800,9,FALSE)</f>
        <v>#N/A</v>
      </c>
      <c r="J410" s="43" t="e">
        <f>VLOOKUP($A410,'[2]Team lists'!$A$2:$L$800,9,FALSE)</f>
        <v>#N/A</v>
      </c>
      <c r="K410" s="43" t="e">
        <f>VLOOKUP($A410,'[2]Team lists'!$A$2:$L$800,10,FALSE)</f>
        <v>#N/A</v>
      </c>
      <c r="L410" s="43" t="e">
        <f>VLOOKUP($A410,'[2]Team lists'!$A$2:$L$800,11,FALSE)</f>
        <v>#N/A</v>
      </c>
    </row>
    <row r="411" spans="2:13">
      <c r="B411" s="43" t="e">
        <f>VLOOKUP($A411,'[2]Team lists'!$A$2:$L$800,2,FALSE)</f>
        <v>#N/A</v>
      </c>
      <c r="C411" s="43" t="e">
        <f>VLOOKUP($A411,'[2]Team lists'!$A$2:$L$800,3,FALSE)</f>
        <v>#N/A</v>
      </c>
      <c r="D411" s="43" t="e">
        <f>VLOOKUP($A411,'[2]Team lists'!$A$2:$L$800,4,FALSE)</f>
        <v>#N/A</v>
      </c>
      <c r="E411" s="43" t="e">
        <f>VLOOKUP($A411,'[2]Team lists'!$A$2:$L$800,5,FALSE)</f>
        <v>#N/A</v>
      </c>
      <c r="F411" s="43" t="e">
        <f>VLOOKUP($A411,'[2]Team lists'!$A$2:$L$800,6,FALSE)</f>
        <v>#N/A</v>
      </c>
      <c r="G411" s="43" t="e">
        <f>VLOOKUP($A411,'[2]Team lists'!$A$2:$L$800,7,FALSE)</f>
        <v>#N/A</v>
      </c>
      <c r="H411" s="43" t="e">
        <f>VLOOKUP($A411,'[2]Team lists'!$A$2:$L$800,8,FALSE)</f>
        <v>#N/A</v>
      </c>
      <c r="I411" s="43" t="e">
        <f>VLOOKUP($A411,'[2]Team lists'!$A$2:$L$800,9,FALSE)</f>
        <v>#N/A</v>
      </c>
      <c r="J411" s="43" t="e">
        <f>VLOOKUP($A411,'[2]Team lists'!$A$2:$L$800,9,FALSE)</f>
        <v>#N/A</v>
      </c>
      <c r="K411" s="43" t="e">
        <f>VLOOKUP($A411,'[2]Team lists'!$A$2:$L$800,10,FALSE)</f>
        <v>#N/A</v>
      </c>
      <c r="L411" s="43" t="e">
        <f>VLOOKUP($A411,'[2]Team lists'!$A$2:$L$800,11,FALSE)</f>
        <v>#N/A</v>
      </c>
    </row>
    <row r="412" spans="2:13">
      <c r="B412" s="43" t="e">
        <f>VLOOKUP($A412,'[2]Team lists'!$A$2:$L$800,2,FALSE)</f>
        <v>#N/A</v>
      </c>
      <c r="C412" s="43" t="e">
        <f>VLOOKUP($A412,'[2]Team lists'!$A$2:$L$800,3,FALSE)</f>
        <v>#N/A</v>
      </c>
      <c r="D412" s="43" t="e">
        <f>VLOOKUP($A412,'[2]Team lists'!$A$2:$L$800,4,FALSE)</f>
        <v>#N/A</v>
      </c>
      <c r="E412" s="43" t="e">
        <f>VLOOKUP($A412,'[2]Team lists'!$A$2:$L$800,5,FALSE)</f>
        <v>#N/A</v>
      </c>
      <c r="F412" s="43" t="e">
        <f>VLOOKUP($A412,'[2]Team lists'!$A$2:$L$800,6,FALSE)</f>
        <v>#N/A</v>
      </c>
      <c r="G412" s="43" t="e">
        <f>VLOOKUP($A412,'[2]Team lists'!$A$2:$L$800,7,FALSE)</f>
        <v>#N/A</v>
      </c>
      <c r="H412" s="43" t="e">
        <f>VLOOKUP($A412,'[2]Team lists'!$A$2:$L$800,8,FALSE)</f>
        <v>#N/A</v>
      </c>
      <c r="I412" s="43" t="e">
        <f>VLOOKUP($A412,'[2]Team lists'!$A$2:$L$800,9,FALSE)</f>
        <v>#N/A</v>
      </c>
      <c r="J412" s="43" t="e">
        <f>VLOOKUP($A412,'[2]Team lists'!$A$2:$L$800,9,FALSE)</f>
        <v>#N/A</v>
      </c>
      <c r="K412" s="43" t="e">
        <f>VLOOKUP($A412,'[2]Team lists'!$A$2:$L$800,10,FALSE)</f>
        <v>#N/A</v>
      </c>
      <c r="L412" s="43" t="e">
        <f>VLOOKUP($A412,'[2]Team lists'!$A$2:$L$800,11,FALSE)</f>
        <v>#N/A</v>
      </c>
    </row>
    <row r="413" spans="2:13">
      <c r="B413" s="43" t="e">
        <f>VLOOKUP($A413,'[2]Team lists'!$A$2:$L$800,2,FALSE)</f>
        <v>#N/A</v>
      </c>
      <c r="C413" s="43" t="e">
        <f>VLOOKUP($A413,'[2]Team lists'!$A$2:$L$800,3,FALSE)</f>
        <v>#N/A</v>
      </c>
      <c r="D413" s="43" t="e">
        <f>VLOOKUP($A413,'[2]Team lists'!$A$2:$L$800,4,FALSE)</f>
        <v>#N/A</v>
      </c>
      <c r="E413" s="43" t="e">
        <f>VLOOKUP($A413,'[2]Team lists'!$A$2:$L$800,5,FALSE)</f>
        <v>#N/A</v>
      </c>
      <c r="F413" s="43" t="e">
        <f>VLOOKUP($A413,'[2]Team lists'!$A$2:$L$800,6,FALSE)</f>
        <v>#N/A</v>
      </c>
      <c r="G413" s="43" t="e">
        <f>VLOOKUP($A413,'[2]Team lists'!$A$2:$L$800,7,FALSE)</f>
        <v>#N/A</v>
      </c>
      <c r="H413" s="43" t="e">
        <f>VLOOKUP($A413,'[2]Team lists'!$A$2:$L$800,8,FALSE)</f>
        <v>#N/A</v>
      </c>
      <c r="I413" s="43" t="e">
        <f>VLOOKUP($A413,'[2]Team lists'!$A$2:$L$800,9,FALSE)</f>
        <v>#N/A</v>
      </c>
      <c r="J413" s="43" t="e">
        <f>VLOOKUP($A413,'[2]Team lists'!$A$2:$L$800,9,FALSE)</f>
        <v>#N/A</v>
      </c>
      <c r="K413" s="43" t="e">
        <f>VLOOKUP($A413,'[2]Team lists'!$A$2:$L$800,10,FALSE)</f>
        <v>#N/A</v>
      </c>
      <c r="L413" s="43" t="e">
        <f>VLOOKUP($A413,'[2]Team lists'!$A$2:$L$800,11,FALSE)</f>
        <v>#N/A</v>
      </c>
    </row>
    <row r="414" spans="2:13">
      <c r="B414" s="43" t="e">
        <f>VLOOKUP($A414,'[2]Team lists'!$A$2:$L$800,2,FALSE)</f>
        <v>#N/A</v>
      </c>
      <c r="C414" s="43" t="e">
        <f>VLOOKUP($A414,'[2]Team lists'!$A$2:$L$800,3,FALSE)</f>
        <v>#N/A</v>
      </c>
      <c r="D414" s="43" t="e">
        <f>VLOOKUP($A414,'[2]Team lists'!$A$2:$L$800,4,FALSE)</f>
        <v>#N/A</v>
      </c>
      <c r="E414" s="43" t="e">
        <f>VLOOKUP($A414,'[2]Team lists'!$A$2:$L$800,5,FALSE)</f>
        <v>#N/A</v>
      </c>
      <c r="F414" s="43" t="e">
        <f>VLOOKUP($A414,'[2]Team lists'!$A$2:$L$800,6,FALSE)</f>
        <v>#N/A</v>
      </c>
      <c r="G414" s="43" t="e">
        <f>VLOOKUP($A414,'[2]Team lists'!$A$2:$L$800,7,FALSE)</f>
        <v>#N/A</v>
      </c>
      <c r="H414" s="43" t="e">
        <f>VLOOKUP($A414,'[2]Team lists'!$A$2:$L$800,8,FALSE)</f>
        <v>#N/A</v>
      </c>
      <c r="I414" s="43" t="e">
        <f>VLOOKUP($A414,'[2]Team lists'!$A$2:$L$800,9,FALSE)</f>
        <v>#N/A</v>
      </c>
      <c r="J414" s="43" t="e">
        <f>VLOOKUP($A414,'[2]Team lists'!$A$2:$L$800,9,FALSE)</f>
        <v>#N/A</v>
      </c>
      <c r="K414" s="43" t="e">
        <f>VLOOKUP($A414,'[2]Team lists'!$A$2:$L$800,10,FALSE)</f>
        <v>#N/A</v>
      </c>
      <c r="L414" s="43" t="e">
        <f>VLOOKUP($A414,'[2]Team lists'!$A$2:$L$800,11,FALSE)</f>
        <v>#N/A</v>
      </c>
    </row>
    <row r="415" spans="2:13" ht="18" thickBot="1">
      <c r="B415" s="45" t="s">
        <v>3210</v>
      </c>
      <c r="C415" s="46"/>
      <c r="D415" s="47"/>
      <c r="E415" s="48" t="e">
        <f t="shared" ref="E415:L415" si="25">SUM(E404:E414)</f>
        <v>#N/A</v>
      </c>
      <c r="F415" s="49" t="e">
        <f t="shared" si="25"/>
        <v>#N/A</v>
      </c>
      <c r="G415" s="49" t="e">
        <f t="shared" si="25"/>
        <v>#N/A</v>
      </c>
      <c r="H415" s="49" t="e">
        <f t="shared" si="25"/>
        <v>#N/A</v>
      </c>
      <c r="I415" s="49" t="e">
        <f t="shared" si="25"/>
        <v>#N/A</v>
      </c>
      <c r="J415" s="49" t="e">
        <f t="shared" si="25"/>
        <v>#N/A</v>
      </c>
      <c r="K415" s="49" t="e">
        <f t="shared" si="25"/>
        <v>#N/A</v>
      </c>
      <c r="L415" s="50" t="e">
        <f t="shared" si="25"/>
        <v>#N/A</v>
      </c>
    </row>
    <row r="416" spans="2:13" ht="18.600000000000001" thickTop="1" thickBot="1"/>
    <row r="417" spans="2:13" ht="18" thickTop="1">
      <c r="B417" s="23" t="s">
        <v>3204</v>
      </c>
      <c r="C417" s="24" t="s">
        <v>3205</v>
      </c>
      <c r="D417" s="25"/>
      <c r="E417" s="25"/>
      <c r="F417" s="53"/>
      <c r="G417" s="28" t="s">
        <v>3206</v>
      </c>
      <c r="H417" s="54"/>
      <c r="I417" s="54"/>
      <c r="J417" s="54"/>
      <c r="K417" s="28" t="s">
        <v>3207</v>
      </c>
      <c r="L417" s="29"/>
      <c r="M417" s="22" t="str">
        <f>G417</f>
        <v>Manager:</v>
      </c>
    </row>
    <row r="418" spans="2:13" ht="18" thickBot="1">
      <c r="B418" s="30">
        <v>27</v>
      </c>
      <c r="C418" s="57"/>
      <c r="D418" s="31"/>
      <c r="E418" s="31"/>
      <c r="F418" s="33"/>
      <c r="G418" s="55"/>
      <c r="H418" s="55"/>
      <c r="I418" s="55"/>
      <c r="J418" s="55"/>
      <c r="K418" s="34" t="e">
        <f>SUM(F431:L431)</f>
        <v>#N/A</v>
      </c>
      <c r="L418" s="35"/>
      <c r="M418" s="22">
        <f>G418</f>
        <v>0</v>
      </c>
    </row>
    <row r="419" spans="2:13" ht="18.600000000000001" thickTop="1">
      <c r="B419" s="58" t="s">
        <v>913</v>
      </c>
      <c r="C419" s="59" t="s">
        <v>912</v>
      </c>
      <c r="D419" s="60" t="s">
        <v>911</v>
      </c>
      <c r="E419" s="61" t="s">
        <v>3209</v>
      </c>
      <c r="F419" s="62" t="s">
        <v>3162</v>
      </c>
      <c r="G419" s="62" t="s">
        <v>3163</v>
      </c>
      <c r="H419" s="62" t="s">
        <v>3164</v>
      </c>
      <c r="I419" s="62" t="s">
        <v>3165</v>
      </c>
      <c r="J419" s="62" t="s">
        <v>3166</v>
      </c>
      <c r="K419" s="62" t="s">
        <v>3167</v>
      </c>
      <c r="L419" s="63" t="s">
        <v>3168</v>
      </c>
    </row>
    <row r="420" spans="2:13">
      <c r="B420" s="43" t="e">
        <f>VLOOKUP($A420,'[2]Team lists'!$A$2:$L$800,2,FALSE)</f>
        <v>#N/A</v>
      </c>
      <c r="C420" s="43" t="e">
        <f>VLOOKUP($A420,'[2]Team lists'!$A$2:$L$800,3,FALSE)</f>
        <v>#N/A</v>
      </c>
      <c r="D420" s="43" t="e">
        <f>VLOOKUP($A420,'[2]Team lists'!$A$2:$L$800,4,FALSE)</f>
        <v>#N/A</v>
      </c>
      <c r="E420" s="43" t="e">
        <f>VLOOKUP($A420,'[2]Team lists'!$A$2:$L$800,5,FALSE)</f>
        <v>#N/A</v>
      </c>
      <c r="F420" s="43" t="e">
        <f>VLOOKUP($A420,'[2]Team lists'!$A$2:$L$800,6,FALSE)</f>
        <v>#N/A</v>
      </c>
      <c r="G420" s="43" t="e">
        <f>VLOOKUP($A420,'[2]Team lists'!$A$2:$L$800,7,FALSE)</f>
        <v>#N/A</v>
      </c>
      <c r="H420" s="43" t="e">
        <f>VLOOKUP($A420,'[2]Team lists'!$A$2:$L$800,8,FALSE)</f>
        <v>#N/A</v>
      </c>
      <c r="I420" s="43" t="e">
        <f>VLOOKUP($A420,'[2]Team lists'!$A$2:$L$800,9,FALSE)</f>
        <v>#N/A</v>
      </c>
      <c r="J420" s="43" t="e">
        <f>VLOOKUP($A420,'[2]Team lists'!$A$2:$L$800,9,FALSE)</f>
        <v>#N/A</v>
      </c>
      <c r="K420" s="43" t="e">
        <f>VLOOKUP($A420,'[2]Team lists'!$A$2:$L$800,10,FALSE)</f>
        <v>#N/A</v>
      </c>
      <c r="L420" s="43" t="e">
        <f>VLOOKUP($A420,'[2]Team lists'!$A$2:$L$800,11,FALSE)</f>
        <v>#N/A</v>
      </c>
    </row>
    <row r="421" spans="2:13">
      <c r="B421" s="43" t="e">
        <f>VLOOKUP($A421,'[2]Team lists'!$A$2:$L$800,2,FALSE)</f>
        <v>#N/A</v>
      </c>
      <c r="C421" s="43" t="e">
        <f>VLOOKUP($A421,'[2]Team lists'!$A$2:$L$800,3,FALSE)</f>
        <v>#N/A</v>
      </c>
      <c r="D421" s="43" t="e">
        <f>VLOOKUP($A421,'[2]Team lists'!$A$2:$L$800,4,FALSE)</f>
        <v>#N/A</v>
      </c>
      <c r="E421" s="43" t="e">
        <f>VLOOKUP($A421,'[2]Team lists'!$A$2:$L$800,5,FALSE)</f>
        <v>#N/A</v>
      </c>
      <c r="F421" s="43" t="e">
        <f>VLOOKUP($A421,'[2]Team lists'!$A$2:$L$800,6,FALSE)</f>
        <v>#N/A</v>
      </c>
      <c r="G421" s="43" t="e">
        <f>VLOOKUP($A421,'[2]Team lists'!$A$2:$L$800,7,FALSE)</f>
        <v>#N/A</v>
      </c>
      <c r="H421" s="43" t="e">
        <f>VLOOKUP($A421,'[2]Team lists'!$A$2:$L$800,8,FALSE)</f>
        <v>#N/A</v>
      </c>
      <c r="I421" s="43" t="e">
        <f>VLOOKUP($A421,'[2]Team lists'!$A$2:$L$800,9,FALSE)</f>
        <v>#N/A</v>
      </c>
      <c r="J421" s="43" t="e">
        <f>VLOOKUP($A421,'[2]Team lists'!$A$2:$L$800,9,FALSE)</f>
        <v>#N/A</v>
      </c>
      <c r="K421" s="43" t="e">
        <f>VLOOKUP($A421,'[2]Team lists'!$A$2:$L$800,10,FALSE)</f>
        <v>#N/A</v>
      </c>
      <c r="L421" s="43" t="e">
        <f>VLOOKUP($A421,'[2]Team lists'!$A$2:$L$800,11,FALSE)</f>
        <v>#N/A</v>
      </c>
    </row>
    <row r="422" spans="2:13">
      <c r="B422" s="43" t="e">
        <f>VLOOKUP($A422,'[2]Team lists'!$A$2:$L$800,2,FALSE)</f>
        <v>#N/A</v>
      </c>
      <c r="C422" s="43" t="e">
        <f>VLOOKUP($A422,'[2]Team lists'!$A$2:$L$800,3,FALSE)</f>
        <v>#N/A</v>
      </c>
      <c r="D422" s="43" t="e">
        <f>VLOOKUP($A422,'[2]Team lists'!$A$2:$L$800,4,FALSE)</f>
        <v>#N/A</v>
      </c>
      <c r="E422" s="43" t="e">
        <f>VLOOKUP($A422,'[2]Team lists'!$A$2:$L$800,5,FALSE)</f>
        <v>#N/A</v>
      </c>
      <c r="F422" s="43" t="e">
        <f>VLOOKUP($A422,'[2]Team lists'!$A$2:$L$800,6,FALSE)</f>
        <v>#N/A</v>
      </c>
      <c r="G422" s="43" t="e">
        <f>VLOOKUP($A422,'[2]Team lists'!$A$2:$L$800,7,FALSE)</f>
        <v>#N/A</v>
      </c>
      <c r="H422" s="43" t="e">
        <f>VLOOKUP($A422,'[2]Team lists'!$A$2:$L$800,8,FALSE)</f>
        <v>#N/A</v>
      </c>
      <c r="I422" s="43" t="e">
        <f>VLOOKUP($A422,'[2]Team lists'!$A$2:$L$800,9,FALSE)</f>
        <v>#N/A</v>
      </c>
      <c r="J422" s="43" t="e">
        <f>VLOOKUP($A422,'[2]Team lists'!$A$2:$L$800,9,FALSE)</f>
        <v>#N/A</v>
      </c>
      <c r="K422" s="43" t="e">
        <f>VLOOKUP($A422,'[2]Team lists'!$A$2:$L$800,10,FALSE)</f>
        <v>#N/A</v>
      </c>
      <c r="L422" s="43" t="e">
        <f>VLOOKUP($A422,'[2]Team lists'!$A$2:$L$800,11,FALSE)</f>
        <v>#N/A</v>
      </c>
    </row>
    <row r="423" spans="2:13">
      <c r="B423" s="43" t="e">
        <f>VLOOKUP($A423,'[2]Team lists'!$A$2:$L$800,2,FALSE)</f>
        <v>#N/A</v>
      </c>
      <c r="C423" s="43" t="e">
        <f>VLOOKUP($A423,'[2]Team lists'!$A$2:$L$800,3,FALSE)</f>
        <v>#N/A</v>
      </c>
      <c r="D423" s="43" t="e">
        <f>VLOOKUP($A423,'[2]Team lists'!$A$2:$L$800,4,FALSE)</f>
        <v>#N/A</v>
      </c>
      <c r="E423" s="43" t="e">
        <f>VLOOKUP($A423,'[2]Team lists'!$A$2:$L$800,5,FALSE)</f>
        <v>#N/A</v>
      </c>
      <c r="F423" s="43" t="e">
        <f>VLOOKUP($A423,'[2]Team lists'!$A$2:$L$800,6,FALSE)</f>
        <v>#N/A</v>
      </c>
      <c r="G423" s="43" t="e">
        <f>VLOOKUP($A423,'[2]Team lists'!$A$2:$L$800,7,FALSE)</f>
        <v>#N/A</v>
      </c>
      <c r="H423" s="43" t="e">
        <f>VLOOKUP($A423,'[2]Team lists'!$A$2:$L$800,8,FALSE)</f>
        <v>#N/A</v>
      </c>
      <c r="I423" s="43" t="e">
        <f>VLOOKUP($A423,'[2]Team lists'!$A$2:$L$800,9,FALSE)</f>
        <v>#N/A</v>
      </c>
      <c r="J423" s="43" t="e">
        <f>VLOOKUP($A423,'[2]Team lists'!$A$2:$L$800,9,FALSE)</f>
        <v>#N/A</v>
      </c>
      <c r="K423" s="43" t="e">
        <f>VLOOKUP($A423,'[2]Team lists'!$A$2:$L$800,10,FALSE)</f>
        <v>#N/A</v>
      </c>
      <c r="L423" s="43" t="e">
        <f>VLOOKUP($A423,'[2]Team lists'!$A$2:$L$800,11,FALSE)</f>
        <v>#N/A</v>
      </c>
    </row>
    <row r="424" spans="2:13">
      <c r="B424" s="43" t="e">
        <f>VLOOKUP($A424,'[2]Team lists'!$A$2:$L$800,2,FALSE)</f>
        <v>#N/A</v>
      </c>
      <c r="C424" s="43" t="e">
        <f>VLOOKUP($A424,'[2]Team lists'!$A$2:$L$800,3,FALSE)</f>
        <v>#N/A</v>
      </c>
      <c r="D424" s="43" t="e">
        <f>VLOOKUP($A424,'[2]Team lists'!$A$2:$L$800,4,FALSE)</f>
        <v>#N/A</v>
      </c>
      <c r="E424" s="43" t="e">
        <f>VLOOKUP($A424,'[2]Team lists'!$A$2:$L$800,5,FALSE)</f>
        <v>#N/A</v>
      </c>
      <c r="F424" s="43" t="e">
        <f>VLOOKUP($A424,'[2]Team lists'!$A$2:$L$800,6,FALSE)</f>
        <v>#N/A</v>
      </c>
      <c r="G424" s="43" t="e">
        <f>VLOOKUP($A424,'[2]Team lists'!$A$2:$L$800,7,FALSE)</f>
        <v>#N/A</v>
      </c>
      <c r="H424" s="43" t="e">
        <f>VLOOKUP($A424,'[2]Team lists'!$A$2:$L$800,8,FALSE)</f>
        <v>#N/A</v>
      </c>
      <c r="I424" s="43" t="e">
        <f>VLOOKUP($A424,'[2]Team lists'!$A$2:$L$800,9,FALSE)</f>
        <v>#N/A</v>
      </c>
      <c r="J424" s="43" t="e">
        <f>VLOOKUP($A424,'[2]Team lists'!$A$2:$L$800,9,FALSE)</f>
        <v>#N/A</v>
      </c>
      <c r="K424" s="43" t="e">
        <f>VLOOKUP($A424,'[2]Team lists'!$A$2:$L$800,10,FALSE)</f>
        <v>#N/A</v>
      </c>
      <c r="L424" s="43" t="e">
        <f>VLOOKUP($A424,'[2]Team lists'!$A$2:$L$800,11,FALSE)</f>
        <v>#N/A</v>
      </c>
    </row>
    <row r="425" spans="2:13">
      <c r="B425" s="43" t="e">
        <f>VLOOKUP($A425,'[2]Team lists'!$A$2:$L$800,2,FALSE)</f>
        <v>#N/A</v>
      </c>
      <c r="C425" s="43" t="e">
        <f>VLOOKUP($A425,'[2]Team lists'!$A$2:$L$800,3,FALSE)</f>
        <v>#N/A</v>
      </c>
      <c r="D425" s="43" t="e">
        <f>VLOOKUP($A425,'[2]Team lists'!$A$2:$L$800,4,FALSE)</f>
        <v>#N/A</v>
      </c>
      <c r="E425" s="43" t="e">
        <f>VLOOKUP($A425,'[2]Team lists'!$A$2:$L$800,5,FALSE)</f>
        <v>#N/A</v>
      </c>
      <c r="F425" s="43" t="e">
        <f>VLOOKUP($A425,'[2]Team lists'!$A$2:$L$800,6,FALSE)</f>
        <v>#N/A</v>
      </c>
      <c r="G425" s="43" t="e">
        <f>VLOOKUP($A425,'[2]Team lists'!$A$2:$L$800,7,FALSE)</f>
        <v>#N/A</v>
      </c>
      <c r="H425" s="43" t="e">
        <f>VLOOKUP($A425,'[2]Team lists'!$A$2:$L$800,8,FALSE)</f>
        <v>#N/A</v>
      </c>
      <c r="I425" s="43" t="e">
        <f>VLOOKUP($A425,'[2]Team lists'!$A$2:$L$800,9,FALSE)</f>
        <v>#N/A</v>
      </c>
      <c r="J425" s="43" t="e">
        <f>VLOOKUP($A425,'[2]Team lists'!$A$2:$L$800,9,FALSE)</f>
        <v>#N/A</v>
      </c>
      <c r="K425" s="43" t="e">
        <f>VLOOKUP($A425,'[2]Team lists'!$A$2:$L$800,10,FALSE)</f>
        <v>#N/A</v>
      </c>
      <c r="L425" s="43" t="e">
        <f>VLOOKUP($A425,'[2]Team lists'!$A$2:$L$800,11,FALSE)</f>
        <v>#N/A</v>
      </c>
    </row>
    <row r="426" spans="2:13">
      <c r="B426" s="43" t="e">
        <f>VLOOKUP($A426,'[2]Team lists'!$A$2:$L$800,2,FALSE)</f>
        <v>#N/A</v>
      </c>
      <c r="C426" s="43" t="e">
        <f>VLOOKUP($A426,'[2]Team lists'!$A$2:$L$800,3,FALSE)</f>
        <v>#N/A</v>
      </c>
      <c r="D426" s="43" t="e">
        <f>VLOOKUP($A426,'[2]Team lists'!$A$2:$L$800,4,FALSE)</f>
        <v>#N/A</v>
      </c>
      <c r="E426" s="43" t="e">
        <f>VLOOKUP($A426,'[2]Team lists'!$A$2:$L$800,5,FALSE)</f>
        <v>#N/A</v>
      </c>
      <c r="F426" s="43" t="e">
        <f>VLOOKUP($A426,'[2]Team lists'!$A$2:$L$800,6,FALSE)</f>
        <v>#N/A</v>
      </c>
      <c r="G426" s="43" t="e">
        <f>VLOOKUP($A426,'[2]Team lists'!$A$2:$L$800,7,FALSE)</f>
        <v>#N/A</v>
      </c>
      <c r="H426" s="43" t="e">
        <f>VLOOKUP($A426,'[2]Team lists'!$A$2:$L$800,8,FALSE)</f>
        <v>#N/A</v>
      </c>
      <c r="I426" s="43" t="e">
        <f>VLOOKUP($A426,'[2]Team lists'!$A$2:$L$800,9,FALSE)</f>
        <v>#N/A</v>
      </c>
      <c r="J426" s="43" t="e">
        <f>VLOOKUP($A426,'[2]Team lists'!$A$2:$L$800,9,FALSE)</f>
        <v>#N/A</v>
      </c>
      <c r="K426" s="43" t="e">
        <f>VLOOKUP($A426,'[2]Team lists'!$A$2:$L$800,10,FALSE)</f>
        <v>#N/A</v>
      </c>
      <c r="L426" s="43" t="e">
        <f>VLOOKUP($A426,'[2]Team lists'!$A$2:$L$800,11,FALSE)</f>
        <v>#N/A</v>
      </c>
    </row>
    <row r="427" spans="2:13">
      <c r="B427" s="43" t="e">
        <f>VLOOKUP($A427,'[2]Team lists'!$A$2:$L$800,2,FALSE)</f>
        <v>#N/A</v>
      </c>
      <c r="C427" s="43" t="e">
        <f>VLOOKUP($A427,'[2]Team lists'!$A$2:$L$800,3,FALSE)</f>
        <v>#N/A</v>
      </c>
      <c r="D427" s="43" t="e">
        <f>VLOOKUP($A427,'[2]Team lists'!$A$2:$L$800,4,FALSE)</f>
        <v>#N/A</v>
      </c>
      <c r="E427" s="43" t="e">
        <f>VLOOKUP($A427,'[2]Team lists'!$A$2:$L$800,5,FALSE)</f>
        <v>#N/A</v>
      </c>
      <c r="F427" s="43" t="e">
        <f>VLOOKUP($A427,'[2]Team lists'!$A$2:$L$800,6,FALSE)</f>
        <v>#N/A</v>
      </c>
      <c r="G427" s="43" t="e">
        <f>VLOOKUP($A427,'[2]Team lists'!$A$2:$L$800,7,FALSE)</f>
        <v>#N/A</v>
      </c>
      <c r="H427" s="43" t="e">
        <f>VLOOKUP($A427,'[2]Team lists'!$A$2:$L$800,8,FALSE)</f>
        <v>#N/A</v>
      </c>
      <c r="I427" s="43" t="e">
        <f>VLOOKUP($A427,'[2]Team lists'!$A$2:$L$800,9,FALSE)</f>
        <v>#N/A</v>
      </c>
      <c r="J427" s="43" t="e">
        <f>VLOOKUP($A427,'[2]Team lists'!$A$2:$L$800,9,FALSE)</f>
        <v>#N/A</v>
      </c>
      <c r="K427" s="43" t="e">
        <f>VLOOKUP($A427,'[2]Team lists'!$A$2:$L$800,10,FALSE)</f>
        <v>#N/A</v>
      </c>
      <c r="L427" s="43" t="e">
        <f>VLOOKUP($A427,'[2]Team lists'!$A$2:$L$800,11,FALSE)</f>
        <v>#N/A</v>
      </c>
    </row>
    <row r="428" spans="2:13">
      <c r="B428" s="43" t="e">
        <f>VLOOKUP($A428,'[2]Team lists'!$A$2:$L$800,2,FALSE)</f>
        <v>#N/A</v>
      </c>
      <c r="C428" s="43" t="e">
        <f>VLOOKUP($A428,'[2]Team lists'!$A$2:$L$800,3,FALSE)</f>
        <v>#N/A</v>
      </c>
      <c r="D428" s="43" t="e">
        <f>VLOOKUP($A428,'[2]Team lists'!$A$2:$L$800,4,FALSE)</f>
        <v>#N/A</v>
      </c>
      <c r="E428" s="43" t="e">
        <f>VLOOKUP($A428,'[2]Team lists'!$A$2:$L$800,5,FALSE)</f>
        <v>#N/A</v>
      </c>
      <c r="F428" s="43" t="e">
        <f>VLOOKUP($A428,'[2]Team lists'!$A$2:$L$800,6,FALSE)</f>
        <v>#N/A</v>
      </c>
      <c r="G428" s="43" t="e">
        <f>VLOOKUP($A428,'[2]Team lists'!$A$2:$L$800,7,FALSE)</f>
        <v>#N/A</v>
      </c>
      <c r="H428" s="43" t="e">
        <f>VLOOKUP($A428,'[2]Team lists'!$A$2:$L$800,8,FALSE)</f>
        <v>#N/A</v>
      </c>
      <c r="I428" s="43" t="e">
        <f>VLOOKUP($A428,'[2]Team lists'!$A$2:$L$800,9,FALSE)</f>
        <v>#N/A</v>
      </c>
      <c r="J428" s="43" t="e">
        <f>VLOOKUP($A428,'[2]Team lists'!$A$2:$L$800,9,FALSE)</f>
        <v>#N/A</v>
      </c>
      <c r="K428" s="43" t="e">
        <f>VLOOKUP($A428,'[2]Team lists'!$A$2:$L$800,10,FALSE)</f>
        <v>#N/A</v>
      </c>
      <c r="L428" s="43" t="e">
        <f>VLOOKUP($A428,'[2]Team lists'!$A$2:$L$800,11,FALSE)</f>
        <v>#N/A</v>
      </c>
    </row>
    <row r="429" spans="2:13">
      <c r="B429" s="43" t="e">
        <f>VLOOKUP($A429,'[2]Team lists'!$A$2:$L$800,2,FALSE)</f>
        <v>#N/A</v>
      </c>
      <c r="C429" s="43" t="e">
        <f>VLOOKUP($A429,'[2]Team lists'!$A$2:$L$800,3,FALSE)</f>
        <v>#N/A</v>
      </c>
      <c r="D429" s="43" t="e">
        <f>VLOOKUP($A429,'[2]Team lists'!$A$2:$L$800,4,FALSE)</f>
        <v>#N/A</v>
      </c>
      <c r="E429" s="43" t="e">
        <f>VLOOKUP($A429,'[2]Team lists'!$A$2:$L$800,5,FALSE)</f>
        <v>#N/A</v>
      </c>
      <c r="F429" s="43" t="e">
        <f>VLOOKUP($A429,'[2]Team lists'!$A$2:$L$800,6,FALSE)</f>
        <v>#N/A</v>
      </c>
      <c r="G429" s="43" t="e">
        <f>VLOOKUP($A429,'[2]Team lists'!$A$2:$L$800,7,FALSE)</f>
        <v>#N/A</v>
      </c>
      <c r="H429" s="43" t="e">
        <f>VLOOKUP($A429,'[2]Team lists'!$A$2:$L$800,8,FALSE)</f>
        <v>#N/A</v>
      </c>
      <c r="I429" s="43" t="e">
        <f>VLOOKUP($A429,'[2]Team lists'!$A$2:$L$800,9,FALSE)</f>
        <v>#N/A</v>
      </c>
      <c r="J429" s="43" t="e">
        <f>VLOOKUP($A429,'[2]Team lists'!$A$2:$L$800,9,FALSE)</f>
        <v>#N/A</v>
      </c>
      <c r="K429" s="43" t="e">
        <f>VLOOKUP($A429,'[2]Team lists'!$A$2:$L$800,10,FALSE)</f>
        <v>#N/A</v>
      </c>
      <c r="L429" s="43" t="e">
        <f>VLOOKUP($A429,'[2]Team lists'!$A$2:$L$800,11,FALSE)</f>
        <v>#N/A</v>
      </c>
    </row>
    <row r="430" spans="2:13">
      <c r="B430" s="43" t="e">
        <f>VLOOKUP($A430,'[2]Team lists'!$A$2:$L$800,2,FALSE)</f>
        <v>#N/A</v>
      </c>
      <c r="C430" s="43" t="e">
        <f>VLOOKUP($A430,'[2]Team lists'!$A$2:$L$800,3,FALSE)</f>
        <v>#N/A</v>
      </c>
      <c r="D430" s="43" t="e">
        <f>VLOOKUP($A430,'[2]Team lists'!$A$2:$L$800,4,FALSE)</f>
        <v>#N/A</v>
      </c>
      <c r="E430" s="43" t="e">
        <f>VLOOKUP($A430,'[2]Team lists'!$A$2:$L$800,5,FALSE)</f>
        <v>#N/A</v>
      </c>
      <c r="F430" s="43" t="e">
        <f>VLOOKUP($A430,'[2]Team lists'!$A$2:$L$800,6,FALSE)</f>
        <v>#N/A</v>
      </c>
      <c r="G430" s="43" t="e">
        <f>VLOOKUP($A430,'[2]Team lists'!$A$2:$L$800,7,FALSE)</f>
        <v>#N/A</v>
      </c>
      <c r="H430" s="43" t="e">
        <f>VLOOKUP($A430,'[2]Team lists'!$A$2:$L$800,8,FALSE)</f>
        <v>#N/A</v>
      </c>
      <c r="I430" s="43" t="e">
        <f>VLOOKUP($A430,'[2]Team lists'!$A$2:$L$800,9,FALSE)</f>
        <v>#N/A</v>
      </c>
      <c r="J430" s="43" t="e">
        <f>VLOOKUP($A430,'[2]Team lists'!$A$2:$L$800,9,FALSE)</f>
        <v>#N/A</v>
      </c>
      <c r="K430" s="43" t="e">
        <f>VLOOKUP($A430,'[2]Team lists'!$A$2:$L$800,10,FALSE)</f>
        <v>#N/A</v>
      </c>
      <c r="L430" s="43" t="e">
        <f>VLOOKUP($A430,'[2]Team lists'!$A$2:$L$800,11,FALSE)</f>
        <v>#N/A</v>
      </c>
    </row>
    <row r="431" spans="2:13" ht="18" thickBot="1">
      <c r="B431" s="45" t="s">
        <v>3210</v>
      </c>
      <c r="C431" s="46"/>
      <c r="D431" s="47"/>
      <c r="E431" s="48" t="e">
        <f t="shared" ref="E431:L431" si="26">SUM(E420:E430)</f>
        <v>#N/A</v>
      </c>
      <c r="F431" s="49" t="e">
        <f t="shared" si="26"/>
        <v>#N/A</v>
      </c>
      <c r="G431" s="49" t="e">
        <f t="shared" si="26"/>
        <v>#N/A</v>
      </c>
      <c r="H431" s="49" t="e">
        <f t="shared" si="26"/>
        <v>#N/A</v>
      </c>
      <c r="I431" s="49" t="e">
        <f t="shared" si="26"/>
        <v>#N/A</v>
      </c>
      <c r="J431" s="49" t="e">
        <f t="shared" si="26"/>
        <v>#N/A</v>
      </c>
      <c r="K431" s="49" t="e">
        <f t="shared" si="26"/>
        <v>#N/A</v>
      </c>
      <c r="L431" s="50" t="e">
        <f t="shared" si="26"/>
        <v>#N/A</v>
      </c>
    </row>
    <row r="432" spans="2:13" ht="18.600000000000001" thickTop="1" thickBot="1"/>
    <row r="433" spans="2:13" ht="18" thickTop="1">
      <c r="B433" s="23" t="s">
        <v>3204</v>
      </c>
      <c r="C433" s="24" t="s">
        <v>3205</v>
      </c>
      <c r="D433" s="25"/>
      <c r="E433" s="25"/>
      <c r="F433" s="53"/>
      <c r="G433" s="28" t="s">
        <v>3206</v>
      </c>
      <c r="H433" s="54"/>
      <c r="I433" s="54"/>
      <c r="J433" s="54"/>
      <c r="K433" s="28" t="s">
        <v>3207</v>
      </c>
      <c r="L433" s="29"/>
      <c r="M433" s="22" t="str">
        <f>G433</f>
        <v>Manager:</v>
      </c>
    </row>
    <row r="434" spans="2:13" ht="18" thickBot="1">
      <c r="B434" s="30">
        <v>28</v>
      </c>
      <c r="C434" s="57"/>
      <c r="D434" s="31"/>
      <c r="E434" s="31"/>
      <c r="F434" s="33"/>
      <c r="G434" s="55"/>
      <c r="H434" s="55"/>
      <c r="I434" s="55"/>
      <c r="J434" s="55"/>
      <c r="K434" s="34" t="e">
        <f>SUM(F447:L447)</f>
        <v>#N/A</v>
      </c>
      <c r="L434" s="35"/>
      <c r="M434" s="22">
        <f>G434</f>
        <v>0</v>
      </c>
    </row>
    <row r="435" spans="2:13" ht="18.600000000000001" thickTop="1">
      <c r="B435" s="58" t="s">
        <v>913</v>
      </c>
      <c r="C435" s="59" t="s">
        <v>912</v>
      </c>
      <c r="D435" s="60" t="s">
        <v>911</v>
      </c>
      <c r="E435" s="61" t="s">
        <v>3209</v>
      </c>
      <c r="F435" s="62" t="s">
        <v>3162</v>
      </c>
      <c r="G435" s="62" t="s">
        <v>3163</v>
      </c>
      <c r="H435" s="62" t="s">
        <v>3164</v>
      </c>
      <c r="I435" s="62" t="s">
        <v>3165</v>
      </c>
      <c r="J435" s="62" t="s">
        <v>3166</v>
      </c>
      <c r="K435" s="62" t="s">
        <v>3167</v>
      </c>
      <c r="L435" s="63" t="s">
        <v>3168</v>
      </c>
    </row>
    <row r="436" spans="2:13">
      <c r="B436" s="43" t="e">
        <f>VLOOKUP($A436,'[2]Team lists'!$A$2:$L$800,2,FALSE)</f>
        <v>#N/A</v>
      </c>
      <c r="C436" s="43" t="e">
        <f>VLOOKUP($A436,'[2]Team lists'!$A$2:$L$800,3,FALSE)</f>
        <v>#N/A</v>
      </c>
      <c r="D436" s="43" t="e">
        <f>VLOOKUP($A436,'[2]Team lists'!$A$2:$L$800,4,FALSE)</f>
        <v>#N/A</v>
      </c>
      <c r="E436" s="43" t="e">
        <f>VLOOKUP($A436,'[2]Team lists'!$A$2:$L$800,5,FALSE)</f>
        <v>#N/A</v>
      </c>
      <c r="F436" s="43" t="e">
        <f>VLOOKUP($A436,'[2]Team lists'!$A$2:$L$800,6,FALSE)</f>
        <v>#N/A</v>
      </c>
      <c r="G436" s="43" t="e">
        <f>VLOOKUP($A436,'[2]Team lists'!$A$2:$L$800,7,FALSE)</f>
        <v>#N/A</v>
      </c>
      <c r="H436" s="43" t="e">
        <f>VLOOKUP($A436,'[2]Team lists'!$A$2:$L$800,8,FALSE)</f>
        <v>#N/A</v>
      </c>
      <c r="I436" s="43" t="e">
        <f>VLOOKUP($A436,'[2]Team lists'!$A$2:$L$800,9,FALSE)</f>
        <v>#N/A</v>
      </c>
      <c r="J436" s="43" t="e">
        <f>VLOOKUP($A436,'[2]Team lists'!$A$2:$L$800,9,FALSE)</f>
        <v>#N/A</v>
      </c>
      <c r="K436" s="43" t="e">
        <f>VLOOKUP($A436,'[2]Team lists'!$A$2:$L$800,10,FALSE)</f>
        <v>#N/A</v>
      </c>
      <c r="L436" s="43" t="e">
        <f>VLOOKUP($A436,'[2]Team lists'!$A$2:$L$800,11,FALSE)</f>
        <v>#N/A</v>
      </c>
    </row>
    <row r="437" spans="2:13">
      <c r="B437" s="43" t="e">
        <f>VLOOKUP($A437,'[2]Team lists'!$A$2:$L$800,2,FALSE)</f>
        <v>#N/A</v>
      </c>
      <c r="C437" s="43" t="e">
        <f>VLOOKUP($A437,'[2]Team lists'!$A$2:$L$800,3,FALSE)</f>
        <v>#N/A</v>
      </c>
      <c r="D437" s="43" t="e">
        <f>VLOOKUP($A437,'[2]Team lists'!$A$2:$L$800,4,FALSE)</f>
        <v>#N/A</v>
      </c>
      <c r="E437" s="43" t="e">
        <f>VLOOKUP($A437,'[2]Team lists'!$A$2:$L$800,5,FALSE)</f>
        <v>#N/A</v>
      </c>
      <c r="F437" s="43" t="e">
        <f>VLOOKUP($A437,'[2]Team lists'!$A$2:$L$800,6,FALSE)</f>
        <v>#N/A</v>
      </c>
      <c r="G437" s="43" t="e">
        <f>VLOOKUP($A437,'[2]Team lists'!$A$2:$L$800,7,FALSE)</f>
        <v>#N/A</v>
      </c>
      <c r="H437" s="43" t="e">
        <f>VLOOKUP($A437,'[2]Team lists'!$A$2:$L$800,8,FALSE)</f>
        <v>#N/A</v>
      </c>
      <c r="I437" s="43" t="e">
        <f>VLOOKUP($A437,'[2]Team lists'!$A$2:$L$800,9,FALSE)</f>
        <v>#N/A</v>
      </c>
      <c r="J437" s="43" t="e">
        <f>VLOOKUP($A437,'[2]Team lists'!$A$2:$L$800,9,FALSE)</f>
        <v>#N/A</v>
      </c>
      <c r="K437" s="43" t="e">
        <f>VLOOKUP($A437,'[2]Team lists'!$A$2:$L$800,10,FALSE)</f>
        <v>#N/A</v>
      </c>
      <c r="L437" s="43" t="e">
        <f>VLOOKUP($A437,'[2]Team lists'!$A$2:$L$800,11,FALSE)</f>
        <v>#N/A</v>
      </c>
    </row>
    <row r="438" spans="2:13">
      <c r="B438" s="43" t="e">
        <f>VLOOKUP($A438,'[2]Team lists'!$A$2:$L$800,2,FALSE)</f>
        <v>#N/A</v>
      </c>
      <c r="C438" s="43" t="e">
        <f>VLOOKUP($A438,'[2]Team lists'!$A$2:$L$800,3,FALSE)</f>
        <v>#N/A</v>
      </c>
      <c r="D438" s="43" t="e">
        <f>VLOOKUP($A438,'[2]Team lists'!$A$2:$L$800,4,FALSE)</f>
        <v>#N/A</v>
      </c>
      <c r="E438" s="43" t="e">
        <f>VLOOKUP($A438,'[2]Team lists'!$A$2:$L$800,5,FALSE)</f>
        <v>#N/A</v>
      </c>
      <c r="F438" s="43" t="e">
        <f>VLOOKUP($A438,'[2]Team lists'!$A$2:$L$800,6,FALSE)</f>
        <v>#N/A</v>
      </c>
      <c r="G438" s="43" t="e">
        <f>VLOOKUP($A438,'[2]Team lists'!$A$2:$L$800,7,FALSE)</f>
        <v>#N/A</v>
      </c>
      <c r="H438" s="43" t="e">
        <f>VLOOKUP($A438,'[2]Team lists'!$A$2:$L$800,8,FALSE)</f>
        <v>#N/A</v>
      </c>
      <c r="I438" s="43" t="e">
        <f>VLOOKUP($A438,'[2]Team lists'!$A$2:$L$800,9,FALSE)</f>
        <v>#N/A</v>
      </c>
      <c r="J438" s="43" t="e">
        <f>VLOOKUP($A438,'[2]Team lists'!$A$2:$L$800,9,FALSE)</f>
        <v>#N/A</v>
      </c>
      <c r="K438" s="43" t="e">
        <f>VLOOKUP($A438,'[2]Team lists'!$A$2:$L$800,10,FALSE)</f>
        <v>#N/A</v>
      </c>
      <c r="L438" s="43" t="e">
        <f>VLOOKUP($A438,'[2]Team lists'!$A$2:$L$800,11,FALSE)</f>
        <v>#N/A</v>
      </c>
    </row>
    <row r="439" spans="2:13">
      <c r="B439" s="43" t="e">
        <f>VLOOKUP($A439,'[2]Team lists'!$A$2:$L$800,2,FALSE)</f>
        <v>#N/A</v>
      </c>
      <c r="C439" s="43" t="e">
        <f>VLOOKUP($A439,'[2]Team lists'!$A$2:$L$800,3,FALSE)</f>
        <v>#N/A</v>
      </c>
      <c r="D439" s="43" t="e">
        <f>VLOOKUP($A439,'[2]Team lists'!$A$2:$L$800,4,FALSE)</f>
        <v>#N/A</v>
      </c>
      <c r="E439" s="43" t="e">
        <f>VLOOKUP($A439,'[2]Team lists'!$A$2:$L$800,5,FALSE)</f>
        <v>#N/A</v>
      </c>
      <c r="F439" s="43" t="e">
        <f>VLOOKUP($A439,'[2]Team lists'!$A$2:$L$800,6,FALSE)</f>
        <v>#N/A</v>
      </c>
      <c r="G439" s="43" t="e">
        <f>VLOOKUP($A439,'[2]Team lists'!$A$2:$L$800,7,FALSE)</f>
        <v>#N/A</v>
      </c>
      <c r="H439" s="43" t="e">
        <f>VLOOKUP($A439,'[2]Team lists'!$A$2:$L$800,8,FALSE)</f>
        <v>#N/A</v>
      </c>
      <c r="I439" s="43" t="e">
        <f>VLOOKUP($A439,'[2]Team lists'!$A$2:$L$800,9,FALSE)</f>
        <v>#N/A</v>
      </c>
      <c r="J439" s="43" t="e">
        <f>VLOOKUP($A439,'[2]Team lists'!$A$2:$L$800,9,FALSE)</f>
        <v>#N/A</v>
      </c>
      <c r="K439" s="43" t="e">
        <f>VLOOKUP($A439,'[2]Team lists'!$A$2:$L$800,10,FALSE)</f>
        <v>#N/A</v>
      </c>
      <c r="L439" s="43" t="e">
        <f>VLOOKUP($A439,'[2]Team lists'!$A$2:$L$800,11,FALSE)</f>
        <v>#N/A</v>
      </c>
    </row>
    <row r="440" spans="2:13">
      <c r="B440" s="43" t="e">
        <f>VLOOKUP($A440,'[2]Team lists'!$A$2:$L$800,2,FALSE)</f>
        <v>#N/A</v>
      </c>
      <c r="C440" s="43" t="e">
        <f>VLOOKUP($A440,'[2]Team lists'!$A$2:$L$800,3,FALSE)</f>
        <v>#N/A</v>
      </c>
      <c r="D440" s="43" t="e">
        <f>VLOOKUP($A440,'[2]Team lists'!$A$2:$L$800,4,FALSE)</f>
        <v>#N/A</v>
      </c>
      <c r="E440" s="43" t="e">
        <f>VLOOKUP($A440,'[2]Team lists'!$A$2:$L$800,5,FALSE)</f>
        <v>#N/A</v>
      </c>
      <c r="F440" s="43" t="e">
        <f>VLOOKUP($A440,'[2]Team lists'!$A$2:$L$800,6,FALSE)</f>
        <v>#N/A</v>
      </c>
      <c r="G440" s="43" t="e">
        <f>VLOOKUP($A440,'[2]Team lists'!$A$2:$L$800,7,FALSE)</f>
        <v>#N/A</v>
      </c>
      <c r="H440" s="43" t="e">
        <f>VLOOKUP($A440,'[2]Team lists'!$A$2:$L$800,8,FALSE)</f>
        <v>#N/A</v>
      </c>
      <c r="I440" s="43" t="e">
        <f>VLOOKUP($A440,'[2]Team lists'!$A$2:$L$800,9,FALSE)</f>
        <v>#N/A</v>
      </c>
      <c r="J440" s="43" t="e">
        <f>VLOOKUP($A440,'[2]Team lists'!$A$2:$L$800,9,FALSE)</f>
        <v>#N/A</v>
      </c>
      <c r="K440" s="43" t="e">
        <f>VLOOKUP($A440,'[2]Team lists'!$A$2:$L$800,10,FALSE)</f>
        <v>#N/A</v>
      </c>
      <c r="L440" s="43" t="e">
        <f>VLOOKUP($A440,'[2]Team lists'!$A$2:$L$800,11,FALSE)</f>
        <v>#N/A</v>
      </c>
    </row>
    <row r="441" spans="2:13">
      <c r="B441" s="43" t="e">
        <f>VLOOKUP($A441,'[2]Team lists'!$A$2:$L$800,2,FALSE)</f>
        <v>#N/A</v>
      </c>
      <c r="C441" s="43" t="e">
        <f>VLOOKUP($A441,'[2]Team lists'!$A$2:$L$800,3,FALSE)</f>
        <v>#N/A</v>
      </c>
      <c r="D441" s="43" t="e">
        <f>VLOOKUP($A441,'[2]Team lists'!$A$2:$L$800,4,FALSE)</f>
        <v>#N/A</v>
      </c>
      <c r="E441" s="43" t="e">
        <f>VLOOKUP($A441,'[2]Team lists'!$A$2:$L$800,5,FALSE)</f>
        <v>#N/A</v>
      </c>
      <c r="F441" s="43" t="e">
        <f>VLOOKUP($A441,'[2]Team lists'!$A$2:$L$800,6,FALSE)</f>
        <v>#N/A</v>
      </c>
      <c r="G441" s="43" t="e">
        <f>VLOOKUP($A441,'[2]Team lists'!$A$2:$L$800,7,FALSE)</f>
        <v>#N/A</v>
      </c>
      <c r="H441" s="43" t="e">
        <f>VLOOKUP($A441,'[2]Team lists'!$A$2:$L$800,8,FALSE)</f>
        <v>#N/A</v>
      </c>
      <c r="I441" s="43" t="e">
        <f>VLOOKUP($A441,'[2]Team lists'!$A$2:$L$800,9,FALSE)</f>
        <v>#N/A</v>
      </c>
      <c r="J441" s="43" t="e">
        <f>VLOOKUP($A441,'[2]Team lists'!$A$2:$L$800,9,FALSE)</f>
        <v>#N/A</v>
      </c>
      <c r="K441" s="43" t="e">
        <f>VLOOKUP($A441,'[2]Team lists'!$A$2:$L$800,10,FALSE)</f>
        <v>#N/A</v>
      </c>
      <c r="L441" s="43" t="e">
        <f>VLOOKUP($A441,'[2]Team lists'!$A$2:$L$800,11,FALSE)</f>
        <v>#N/A</v>
      </c>
    </row>
    <row r="442" spans="2:13">
      <c r="B442" s="43" t="e">
        <f>VLOOKUP($A442,'[2]Team lists'!$A$2:$L$800,2,FALSE)</f>
        <v>#N/A</v>
      </c>
      <c r="C442" s="43" t="e">
        <f>VLOOKUP($A442,'[2]Team lists'!$A$2:$L$800,3,FALSE)</f>
        <v>#N/A</v>
      </c>
      <c r="D442" s="43" t="e">
        <f>VLOOKUP($A442,'[2]Team lists'!$A$2:$L$800,4,FALSE)</f>
        <v>#N/A</v>
      </c>
      <c r="E442" s="43" t="e">
        <f>VLOOKUP($A442,'[2]Team lists'!$A$2:$L$800,5,FALSE)</f>
        <v>#N/A</v>
      </c>
      <c r="F442" s="43" t="e">
        <f>VLOOKUP($A442,'[2]Team lists'!$A$2:$L$800,6,FALSE)</f>
        <v>#N/A</v>
      </c>
      <c r="G442" s="43" t="e">
        <f>VLOOKUP($A442,'[2]Team lists'!$A$2:$L$800,7,FALSE)</f>
        <v>#N/A</v>
      </c>
      <c r="H442" s="43" t="e">
        <f>VLOOKUP($A442,'[2]Team lists'!$A$2:$L$800,8,FALSE)</f>
        <v>#N/A</v>
      </c>
      <c r="I442" s="43" t="e">
        <f>VLOOKUP($A442,'[2]Team lists'!$A$2:$L$800,9,FALSE)</f>
        <v>#N/A</v>
      </c>
      <c r="J442" s="43" t="e">
        <f>VLOOKUP($A442,'[2]Team lists'!$A$2:$L$800,9,FALSE)</f>
        <v>#N/A</v>
      </c>
      <c r="K442" s="43" t="e">
        <f>VLOOKUP($A442,'[2]Team lists'!$A$2:$L$800,10,FALSE)</f>
        <v>#N/A</v>
      </c>
      <c r="L442" s="43" t="e">
        <f>VLOOKUP($A442,'[2]Team lists'!$A$2:$L$800,11,FALSE)</f>
        <v>#N/A</v>
      </c>
    </row>
    <row r="443" spans="2:13">
      <c r="B443" s="43" t="e">
        <f>VLOOKUP($A443,'[2]Team lists'!$A$2:$L$800,2,FALSE)</f>
        <v>#N/A</v>
      </c>
      <c r="C443" s="43" t="e">
        <f>VLOOKUP($A443,'[2]Team lists'!$A$2:$L$800,3,FALSE)</f>
        <v>#N/A</v>
      </c>
      <c r="D443" s="43" t="e">
        <f>VLOOKUP($A443,'[2]Team lists'!$A$2:$L$800,4,FALSE)</f>
        <v>#N/A</v>
      </c>
      <c r="E443" s="43" t="e">
        <f>VLOOKUP($A443,'[2]Team lists'!$A$2:$L$800,5,FALSE)</f>
        <v>#N/A</v>
      </c>
      <c r="F443" s="43" t="e">
        <f>VLOOKUP($A443,'[2]Team lists'!$A$2:$L$800,6,FALSE)</f>
        <v>#N/A</v>
      </c>
      <c r="G443" s="43" t="e">
        <f>VLOOKUP($A443,'[2]Team lists'!$A$2:$L$800,7,FALSE)</f>
        <v>#N/A</v>
      </c>
      <c r="H443" s="43" t="e">
        <f>VLOOKUP($A443,'[2]Team lists'!$A$2:$L$800,8,FALSE)</f>
        <v>#N/A</v>
      </c>
      <c r="I443" s="43" t="e">
        <f>VLOOKUP($A443,'[2]Team lists'!$A$2:$L$800,9,FALSE)</f>
        <v>#N/A</v>
      </c>
      <c r="J443" s="43" t="e">
        <f>VLOOKUP($A443,'[2]Team lists'!$A$2:$L$800,9,FALSE)</f>
        <v>#N/A</v>
      </c>
      <c r="K443" s="43" t="e">
        <f>VLOOKUP($A443,'[2]Team lists'!$A$2:$L$800,10,FALSE)</f>
        <v>#N/A</v>
      </c>
      <c r="L443" s="43" t="e">
        <f>VLOOKUP($A443,'[2]Team lists'!$A$2:$L$800,11,FALSE)</f>
        <v>#N/A</v>
      </c>
    </row>
    <row r="444" spans="2:13">
      <c r="B444" s="43" t="e">
        <f>VLOOKUP($A444,'[2]Team lists'!$A$2:$L$800,2,FALSE)</f>
        <v>#N/A</v>
      </c>
      <c r="C444" s="43" t="e">
        <f>VLOOKUP($A444,'[2]Team lists'!$A$2:$L$800,3,FALSE)</f>
        <v>#N/A</v>
      </c>
      <c r="D444" s="43" t="e">
        <f>VLOOKUP($A444,'[2]Team lists'!$A$2:$L$800,4,FALSE)</f>
        <v>#N/A</v>
      </c>
      <c r="E444" s="43" t="e">
        <f>VLOOKUP($A444,'[2]Team lists'!$A$2:$L$800,5,FALSE)</f>
        <v>#N/A</v>
      </c>
      <c r="F444" s="43" t="e">
        <f>VLOOKUP($A444,'[2]Team lists'!$A$2:$L$800,6,FALSE)</f>
        <v>#N/A</v>
      </c>
      <c r="G444" s="43" t="e">
        <f>VLOOKUP($A444,'[2]Team lists'!$A$2:$L$800,7,FALSE)</f>
        <v>#N/A</v>
      </c>
      <c r="H444" s="43" t="e">
        <f>VLOOKUP($A444,'[2]Team lists'!$A$2:$L$800,8,FALSE)</f>
        <v>#N/A</v>
      </c>
      <c r="I444" s="43" t="e">
        <f>VLOOKUP($A444,'[2]Team lists'!$A$2:$L$800,9,FALSE)</f>
        <v>#N/A</v>
      </c>
      <c r="J444" s="43" t="e">
        <f>VLOOKUP($A444,'[2]Team lists'!$A$2:$L$800,9,FALSE)</f>
        <v>#N/A</v>
      </c>
      <c r="K444" s="43" t="e">
        <f>VLOOKUP($A444,'[2]Team lists'!$A$2:$L$800,10,FALSE)</f>
        <v>#N/A</v>
      </c>
      <c r="L444" s="43" t="e">
        <f>VLOOKUP($A444,'[2]Team lists'!$A$2:$L$800,11,FALSE)</f>
        <v>#N/A</v>
      </c>
    </row>
    <row r="445" spans="2:13">
      <c r="B445" s="43" t="e">
        <f>VLOOKUP($A445,'[2]Team lists'!$A$2:$L$800,2,FALSE)</f>
        <v>#N/A</v>
      </c>
      <c r="C445" s="43" t="e">
        <f>VLOOKUP($A445,'[2]Team lists'!$A$2:$L$800,3,FALSE)</f>
        <v>#N/A</v>
      </c>
      <c r="D445" s="43" t="e">
        <f>VLOOKUP($A445,'[2]Team lists'!$A$2:$L$800,4,FALSE)</f>
        <v>#N/A</v>
      </c>
      <c r="E445" s="43" t="e">
        <f>VLOOKUP($A445,'[2]Team lists'!$A$2:$L$800,5,FALSE)</f>
        <v>#N/A</v>
      </c>
      <c r="F445" s="43" t="e">
        <f>VLOOKUP($A445,'[2]Team lists'!$A$2:$L$800,6,FALSE)</f>
        <v>#N/A</v>
      </c>
      <c r="G445" s="43" t="e">
        <f>VLOOKUP($A445,'[2]Team lists'!$A$2:$L$800,7,FALSE)</f>
        <v>#N/A</v>
      </c>
      <c r="H445" s="43" t="e">
        <f>VLOOKUP($A445,'[2]Team lists'!$A$2:$L$800,8,FALSE)</f>
        <v>#N/A</v>
      </c>
      <c r="I445" s="43" t="e">
        <f>VLOOKUP($A445,'[2]Team lists'!$A$2:$L$800,9,FALSE)</f>
        <v>#N/A</v>
      </c>
      <c r="J445" s="43" t="e">
        <f>VLOOKUP($A445,'[2]Team lists'!$A$2:$L$800,9,FALSE)</f>
        <v>#N/A</v>
      </c>
      <c r="K445" s="43" t="e">
        <f>VLOOKUP($A445,'[2]Team lists'!$A$2:$L$800,10,FALSE)</f>
        <v>#N/A</v>
      </c>
      <c r="L445" s="43" t="e">
        <f>VLOOKUP($A445,'[2]Team lists'!$A$2:$L$800,11,FALSE)</f>
        <v>#N/A</v>
      </c>
    </row>
    <row r="446" spans="2:13">
      <c r="B446" s="43" t="e">
        <f>VLOOKUP($A446,'[2]Team lists'!$A$2:$L$800,2,FALSE)</f>
        <v>#N/A</v>
      </c>
      <c r="C446" s="43" t="e">
        <f>VLOOKUP($A446,'[2]Team lists'!$A$2:$L$800,3,FALSE)</f>
        <v>#N/A</v>
      </c>
      <c r="D446" s="43" t="e">
        <f>VLOOKUP($A446,'[2]Team lists'!$A$2:$L$800,4,FALSE)</f>
        <v>#N/A</v>
      </c>
      <c r="E446" s="43" t="e">
        <f>VLOOKUP($A446,'[2]Team lists'!$A$2:$L$800,5,FALSE)</f>
        <v>#N/A</v>
      </c>
      <c r="F446" s="43" t="e">
        <f>VLOOKUP($A446,'[2]Team lists'!$A$2:$L$800,6,FALSE)</f>
        <v>#N/A</v>
      </c>
      <c r="G446" s="43" t="e">
        <f>VLOOKUP($A446,'[2]Team lists'!$A$2:$L$800,7,FALSE)</f>
        <v>#N/A</v>
      </c>
      <c r="H446" s="43" t="e">
        <f>VLOOKUP($A446,'[2]Team lists'!$A$2:$L$800,8,FALSE)</f>
        <v>#N/A</v>
      </c>
      <c r="I446" s="43" t="e">
        <f>VLOOKUP($A446,'[2]Team lists'!$A$2:$L$800,9,FALSE)</f>
        <v>#N/A</v>
      </c>
      <c r="J446" s="43" t="e">
        <f>VLOOKUP($A446,'[2]Team lists'!$A$2:$L$800,9,FALSE)</f>
        <v>#N/A</v>
      </c>
      <c r="K446" s="43" t="e">
        <f>VLOOKUP($A446,'[2]Team lists'!$A$2:$L$800,10,FALSE)</f>
        <v>#N/A</v>
      </c>
      <c r="L446" s="43" t="e">
        <f>VLOOKUP($A446,'[2]Team lists'!$A$2:$L$800,11,FALSE)</f>
        <v>#N/A</v>
      </c>
    </row>
    <row r="447" spans="2:13" ht="18" thickBot="1">
      <c r="B447" s="45" t="s">
        <v>3210</v>
      </c>
      <c r="C447" s="46"/>
      <c r="D447" s="47"/>
      <c r="E447" s="48" t="e">
        <f t="shared" ref="E447:L447" si="27">SUM(E436:E446)</f>
        <v>#N/A</v>
      </c>
      <c r="F447" s="49" t="e">
        <f t="shared" si="27"/>
        <v>#N/A</v>
      </c>
      <c r="G447" s="49" t="e">
        <f t="shared" si="27"/>
        <v>#N/A</v>
      </c>
      <c r="H447" s="49" t="e">
        <f t="shared" si="27"/>
        <v>#N/A</v>
      </c>
      <c r="I447" s="49" t="e">
        <f t="shared" si="27"/>
        <v>#N/A</v>
      </c>
      <c r="J447" s="49" t="e">
        <f t="shared" si="27"/>
        <v>#N/A</v>
      </c>
      <c r="K447" s="49" t="e">
        <f t="shared" si="27"/>
        <v>#N/A</v>
      </c>
      <c r="L447" s="50" t="e">
        <f t="shared" si="27"/>
        <v>#N/A</v>
      </c>
    </row>
    <row r="448" spans="2:13" ht="18.600000000000001" thickTop="1" thickBot="1"/>
    <row r="449" spans="2:13" ht="18" thickTop="1">
      <c r="B449" s="23" t="s">
        <v>3204</v>
      </c>
      <c r="C449" s="24" t="s">
        <v>3205</v>
      </c>
      <c r="D449" s="25"/>
      <c r="E449" s="25"/>
      <c r="F449" s="53"/>
      <c r="G449" s="28" t="s">
        <v>3206</v>
      </c>
      <c r="H449" s="54"/>
      <c r="I449" s="54"/>
      <c r="J449" s="54"/>
      <c r="K449" s="28" t="s">
        <v>3207</v>
      </c>
      <c r="L449" s="29"/>
      <c r="M449" s="22" t="str">
        <f>G449</f>
        <v>Manager:</v>
      </c>
    </row>
    <row r="450" spans="2:13" ht="18" thickBot="1">
      <c r="B450" s="30">
        <v>29</v>
      </c>
      <c r="C450" s="57"/>
      <c r="D450" s="31"/>
      <c r="E450" s="31"/>
      <c r="F450" s="33"/>
      <c r="G450" s="55"/>
      <c r="H450" s="55"/>
      <c r="I450" s="55"/>
      <c r="J450" s="55"/>
      <c r="K450" s="34" t="e">
        <f>SUM(F463:L463)</f>
        <v>#N/A</v>
      </c>
      <c r="L450" s="35"/>
      <c r="M450" s="22">
        <f>G450</f>
        <v>0</v>
      </c>
    </row>
    <row r="451" spans="2:13" ht="18.600000000000001" thickTop="1">
      <c r="B451" s="58" t="s">
        <v>913</v>
      </c>
      <c r="C451" s="59" t="s">
        <v>912</v>
      </c>
      <c r="D451" s="60" t="s">
        <v>911</v>
      </c>
      <c r="E451" s="61" t="s">
        <v>3209</v>
      </c>
      <c r="F451" s="62" t="s">
        <v>3162</v>
      </c>
      <c r="G451" s="62" t="s">
        <v>3163</v>
      </c>
      <c r="H451" s="62" t="s">
        <v>3164</v>
      </c>
      <c r="I451" s="62" t="s">
        <v>3165</v>
      </c>
      <c r="J451" s="62" t="s">
        <v>3166</v>
      </c>
      <c r="K451" s="62" t="s">
        <v>3167</v>
      </c>
      <c r="L451" s="63" t="s">
        <v>3168</v>
      </c>
    </row>
    <row r="452" spans="2:13">
      <c r="B452" s="43" t="e">
        <f>VLOOKUP($A452,'[2]Team lists'!$A$2:$L$800,2,FALSE)</f>
        <v>#N/A</v>
      </c>
      <c r="C452" s="43" t="e">
        <f>VLOOKUP($A452,'[2]Team lists'!$A$2:$L$800,3,FALSE)</f>
        <v>#N/A</v>
      </c>
      <c r="D452" s="43" t="e">
        <f>VLOOKUP($A452,'[2]Team lists'!$A$2:$L$800,4,FALSE)</f>
        <v>#N/A</v>
      </c>
      <c r="E452" s="43" t="e">
        <f>VLOOKUP($A452,'[2]Team lists'!$A$2:$L$800,5,FALSE)</f>
        <v>#N/A</v>
      </c>
      <c r="F452" s="43" t="e">
        <f>VLOOKUP($A452,'[2]Team lists'!$A$2:$L$800,6,FALSE)</f>
        <v>#N/A</v>
      </c>
      <c r="G452" s="43" t="e">
        <f>VLOOKUP($A452,'[2]Team lists'!$A$2:$L$800,7,FALSE)</f>
        <v>#N/A</v>
      </c>
      <c r="H452" s="43" t="e">
        <f>VLOOKUP($A452,'[2]Team lists'!$A$2:$L$800,8,FALSE)</f>
        <v>#N/A</v>
      </c>
      <c r="I452" s="43" t="e">
        <f>VLOOKUP($A452,'[2]Team lists'!$A$2:$L$800,9,FALSE)</f>
        <v>#N/A</v>
      </c>
      <c r="J452" s="43" t="e">
        <f>VLOOKUP($A452,'[2]Team lists'!$A$2:$L$800,9,FALSE)</f>
        <v>#N/A</v>
      </c>
      <c r="K452" s="43" t="e">
        <f>VLOOKUP($A452,'[2]Team lists'!$A$2:$L$800,10,FALSE)</f>
        <v>#N/A</v>
      </c>
      <c r="L452" s="43" t="e">
        <f>VLOOKUP($A452,'[2]Team lists'!$A$2:$L$800,11,FALSE)</f>
        <v>#N/A</v>
      </c>
    </row>
    <row r="453" spans="2:13">
      <c r="B453" s="43" t="e">
        <f>VLOOKUP($A453,'[2]Team lists'!$A$2:$L$800,2,FALSE)</f>
        <v>#N/A</v>
      </c>
      <c r="C453" s="43" t="e">
        <f>VLOOKUP($A453,'[2]Team lists'!$A$2:$L$800,3,FALSE)</f>
        <v>#N/A</v>
      </c>
      <c r="D453" s="43" t="e">
        <f>VLOOKUP($A453,'[2]Team lists'!$A$2:$L$800,4,FALSE)</f>
        <v>#N/A</v>
      </c>
      <c r="E453" s="43" t="e">
        <f>VLOOKUP($A453,'[2]Team lists'!$A$2:$L$800,5,FALSE)</f>
        <v>#N/A</v>
      </c>
      <c r="F453" s="43" t="e">
        <f>VLOOKUP($A453,'[2]Team lists'!$A$2:$L$800,6,FALSE)</f>
        <v>#N/A</v>
      </c>
      <c r="G453" s="43" t="e">
        <f>VLOOKUP($A453,'[2]Team lists'!$A$2:$L$800,7,FALSE)</f>
        <v>#N/A</v>
      </c>
      <c r="H453" s="43" t="e">
        <f>VLOOKUP($A453,'[2]Team lists'!$A$2:$L$800,8,FALSE)</f>
        <v>#N/A</v>
      </c>
      <c r="I453" s="43" t="e">
        <f>VLOOKUP($A453,'[2]Team lists'!$A$2:$L$800,9,FALSE)</f>
        <v>#N/A</v>
      </c>
      <c r="J453" s="43" t="e">
        <f>VLOOKUP($A453,'[2]Team lists'!$A$2:$L$800,9,FALSE)</f>
        <v>#N/A</v>
      </c>
      <c r="K453" s="43" t="e">
        <f>VLOOKUP($A453,'[2]Team lists'!$A$2:$L$800,10,FALSE)</f>
        <v>#N/A</v>
      </c>
      <c r="L453" s="43" t="e">
        <f>VLOOKUP($A453,'[2]Team lists'!$A$2:$L$800,11,FALSE)</f>
        <v>#N/A</v>
      </c>
    </row>
    <row r="454" spans="2:13">
      <c r="B454" s="43" t="e">
        <f>VLOOKUP($A454,'[2]Team lists'!$A$2:$L$800,2,FALSE)</f>
        <v>#N/A</v>
      </c>
      <c r="C454" s="43" t="e">
        <f>VLOOKUP($A454,'[2]Team lists'!$A$2:$L$800,3,FALSE)</f>
        <v>#N/A</v>
      </c>
      <c r="D454" s="43" t="e">
        <f>VLOOKUP($A454,'[2]Team lists'!$A$2:$L$800,4,FALSE)</f>
        <v>#N/A</v>
      </c>
      <c r="E454" s="43" t="e">
        <f>VLOOKUP($A454,'[2]Team lists'!$A$2:$L$800,5,FALSE)</f>
        <v>#N/A</v>
      </c>
      <c r="F454" s="43" t="e">
        <f>VLOOKUP($A454,'[2]Team lists'!$A$2:$L$800,6,FALSE)</f>
        <v>#N/A</v>
      </c>
      <c r="G454" s="43" t="e">
        <f>VLOOKUP($A454,'[2]Team lists'!$A$2:$L$800,7,FALSE)</f>
        <v>#N/A</v>
      </c>
      <c r="H454" s="43" t="e">
        <f>VLOOKUP($A454,'[2]Team lists'!$A$2:$L$800,8,FALSE)</f>
        <v>#N/A</v>
      </c>
      <c r="I454" s="43" t="e">
        <f>VLOOKUP($A454,'[2]Team lists'!$A$2:$L$800,9,FALSE)</f>
        <v>#N/A</v>
      </c>
      <c r="J454" s="43" t="e">
        <f>VLOOKUP($A454,'[2]Team lists'!$A$2:$L$800,9,FALSE)</f>
        <v>#N/A</v>
      </c>
      <c r="K454" s="43" t="e">
        <f>VLOOKUP($A454,'[2]Team lists'!$A$2:$L$800,10,FALSE)</f>
        <v>#N/A</v>
      </c>
      <c r="L454" s="43" t="e">
        <f>VLOOKUP($A454,'[2]Team lists'!$A$2:$L$800,11,FALSE)</f>
        <v>#N/A</v>
      </c>
    </row>
    <row r="455" spans="2:13">
      <c r="B455" s="43" t="e">
        <f>VLOOKUP($A455,'[2]Team lists'!$A$2:$L$800,2,FALSE)</f>
        <v>#N/A</v>
      </c>
      <c r="C455" s="43" t="e">
        <f>VLOOKUP($A455,'[2]Team lists'!$A$2:$L$800,3,FALSE)</f>
        <v>#N/A</v>
      </c>
      <c r="D455" s="43" t="e">
        <f>VLOOKUP($A455,'[2]Team lists'!$A$2:$L$800,4,FALSE)</f>
        <v>#N/A</v>
      </c>
      <c r="E455" s="43" t="e">
        <f>VLOOKUP($A455,'[2]Team lists'!$A$2:$L$800,5,FALSE)</f>
        <v>#N/A</v>
      </c>
      <c r="F455" s="43" t="e">
        <f>VLOOKUP($A455,'[2]Team lists'!$A$2:$L$800,6,FALSE)</f>
        <v>#N/A</v>
      </c>
      <c r="G455" s="43" t="e">
        <f>VLOOKUP($A455,'[2]Team lists'!$A$2:$L$800,7,FALSE)</f>
        <v>#N/A</v>
      </c>
      <c r="H455" s="43" t="e">
        <f>VLOOKUP($A455,'[2]Team lists'!$A$2:$L$800,8,FALSE)</f>
        <v>#N/A</v>
      </c>
      <c r="I455" s="43" t="e">
        <f>VLOOKUP($A455,'[2]Team lists'!$A$2:$L$800,9,FALSE)</f>
        <v>#N/A</v>
      </c>
      <c r="J455" s="43" t="e">
        <f>VLOOKUP($A455,'[2]Team lists'!$A$2:$L$800,9,FALSE)</f>
        <v>#N/A</v>
      </c>
      <c r="K455" s="43" t="e">
        <f>VLOOKUP($A455,'[2]Team lists'!$A$2:$L$800,10,FALSE)</f>
        <v>#N/A</v>
      </c>
      <c r="L455" s="43" t="e">
        <f>VLOOKUP($A455,'[2]Team lists'!$A$2:$L$800,11,FALSE)</f>
        <v>#N/A</v>
      </c>
    </row>
    <row r="456" spans="2:13">
      <c r="B456" s="43" t="e">
        <f>VLOOKUP($A456,'[2]Team lists'!$A$2:$L$800,2,FALSE)</f>
        <v>#N/A</v>
      </c>
      <c r="C456" s="43" t="e">
        <f>VLOOKUP($A456,'[2]Team lists'!$A$2:$L$800,3,FALSE)</f>
        <v>#N/A</v>
      </c>
      <c r="D456" s="43" t="e">
        <f>VLOOKUP($A456,'[2]Team lists'!$A$2:$L$800,4,FALSE)</f>
        <v>#N/A</v>
      </c>
      <c r="E456" s="43" t="e">
        <f>VLOOKUP($A456,'[2]Team lists'!$A$2:$L$800,5,FALSE)</f>
        <v>#N/A</v>
      </c>
      <c r="F456" s="43" t="e">
        <f>VLOOKUP($A456,'[2]Team lists'!$A$2:$L$800,6,FALSE)</f>
        <v>#N/A</v>
      </c>
      <c r="G456" s="43" t="e">
        <f>VLOOKUP($A456,'[2]Team lists'!$A$2:$L$800,7,FALSE)</f>
        <v>#N/A</v>
      </c>
      <c r="H456" s="43" t="e">
        <f>VLOOKUP($A456,'[2]Team lists'!$A$2:$L$800,8,FALSE)</f>
        <v>#N/A</v>
      </c>
      <c r="I456" s="43" t="e">
        <f>VLOOKUP($A456,'[2]Team lists'!$A$2:$L$800,9,FALSE)</f>
        <v>#N/A</v>
      </c>
      <c r="J456" s="43" t="e">
        <f>VLOOKUP($A456,'[2]Team lists'!$A$2:$L$800,9,FALSE)</f>
        <v>#N/A</v>
      </c>
      <c r="K456" s="43" t="e">
        <f>VLOOKUP($A456,'[2]Team lists'!$A$2:$L$800,10,FALSE)</f>
        <v>#N/A</v>
      </c>
      <c r="L456" s="43" t="e">
        <f>VLOOKUP($A456,'[2]Team lists'!$A$2:$L$800,11,FALSE)</f>
        <v>#N/A</v>
      </c>
    </row>
    <row r="457" spans="2:13">
      <c r="B457" s="43" t="e">
        <f>VLOOKUP($A457,'[2]Team lists'!$A$2:$L$800,2,FALSE)</f>
        <v>#N/A</v>
      </c>
      <c r="C457" s="43" t="e">
        <f>VLOOKUP($A457,'[2]Team lists'!$A$2:$L$800,3,FALSE)</f>
        <v>#N/A</v>
      </c>
      <c r="D457" s="43" t="e">
        <f>VLOOKUP($A457,'[2]Team lists'!$A$2:$L$800,4,FALSE)</f>
        <v>#N/A</v>
      </c>
      <c r="E457" s="43" t="e">
        <f>VLOOKUP($A457,'[2]Team lists'!$A$2:$L$800,5,FALSE)</f>
        <v>#N/A</v>
      </c>
      <c r="F457" s="43" t="e">
        <f>VLOOKUP($A457,'[2]Team lists'!$A$2:$L$800,6,FALSE)</f>
        <v>#N/A</v>
      </c>
      <c r="G457" s="43" t="e">
        <f>VLOOKUP($A457,'[2]Team lists'!$A$2:$L$800,7,FALSE)</f>
        <v>#N/A</v>
      </c>
      <c r="H457" s="43" t="e">
        <f>VLOOKUP($A457,'[2]Team lists'!$A$2:$L$800,8,FALSE)</f>
        <v>#N/A</v>
      </c>
      <c r="I457" s="43" t="e">
        <f>VLOOKUP($A457,'[2]Team lists'!$A$2:$L$800,9,FALSE)</f>
        <v>#N/A</v>
      </c>
      <c r="J457" s="43" t="e">
        <f>VLOOKUP($A457,'[2]Team lists'!$A$2:$L$800,9,FALSE)</f>
        <v>#N/A</v>
      </c>
      <c r="K457" s="43" t="e">
        <f>VLOOKUP($A457,'[2]Team lists'!$A$2:$L$800,10,FALSE)</f>
        <v>#N/A</v>
      </c>
      <c r="L457" s="43" t="e">
        <f>VLOOKUP($A457,'[2]Team lists'!$A$2:$L$800,11,FALSE)</f>
        <v>#N/A</v>
      </c>
    </row>
    <row r="458" spans="2:13">
      <c r="B458" s="43" t="e">
        <f>VLOOKUP($A458,'[2]Team lists'!$A$2:$L$800,2,FALSE)</f>
        <v>#N/A</v>
      </c>
      <c r="C458" s="43" t="e">
        <f>VLOOKUP($A458,'[2]Team lists'!$A$2:$L$800,3,FALSE)</f>
        <v>#N/A</v>
      </c>
      <c r="D458" s="43" t="e">
        <f>VLOOKUP($A458,'[2]Team lists'!$A$2:$L$800,4,FALSE)</f>
        <v>#N/A</v>
      </c>
      <c r="E458" s="43" t="e">
        <f>VLOOKUP($A458,'[2]Team lists'!$A$2:$L$800,5,FALSE)</f>
        <v>#N/A</v>
      </c>
      <c r="F458" s="43" t="e">
        <f>VLOOKUP($A458,'[2]Team lists'!$A$2:$L$800,6,FALSE)</f>
        <v>#N/A</v>
      </c>
      <c r="G458" s="43" t="e">
        <f>VLOOKUP($A458,'[2]Team lists'!$A$2:$L$800,7,FALSE)</f>
        <v>#N/A</v>
      </c>
      <c r="H458" s="43" t="e">
        <f>VLOOKUP($A458,'[2]Team lists'!$A$2:$L$800,8,FALSE)</f>
        <v>#N/A</v>
      </c>
      <c r="I458" s="43" t="e">
        <f>VLOOKUP($A458,'[2]Team lists'!$A$2:$L$800,9,FALSE)</f>
        <v>#N/A</v>
      </c>
      <c r="J458" s="43" t="e">
        <f>VLOOKUP($A458,'[2]Team lists'!$A$2:$L$800,9,FALSE)</f>
        <v>#N/A</v>
      </c>
      <c r="K458" s="43" t="e">
        <f>VLOOKUP($A458,'[2]Team lists'!$A$2:$L$800,10,FALSE)</f>
        <v>#N/A</v>
      </c>
      <c r="L458" s="43" t="e">
        <f>VLOOKUP($A458,'[2]Team lists'!$A$2:$L$800,11,FALSE)</f>
        <v>#N/A</v>
      </c>
    </row>
    <row r="459" spans="2:13">
      <c r="B459" s="43" t="e">
        <f>VLOOKUP($A459,'[2]Team lists'!$A$2:$L$800,2,FALSE)</f>
        <v>#N/A</v>
      </c>
      <c r="C459" s="43" t="e">
        <f>VLOOKUP($A459,'[2]Team lists'!$A$2:$L$800,3,FALSE)</f>
        <v>#N/A</v>
      </c>
      <c r="D459" s="43" t="e">
        <f>VLOOKUP($A459,'[2]Team lists'!$A$2:$L$800,4,FALSE)</f>
        <v>#N/A</v>
      </c>
      <c r="E459" s="43" t="e">
        <f>VLOOKUP($A459,'[2]Team lists'!$A$2:$L$800,5,FALSE)</f>
        <v>#N/A</v>
      </c>
      <c r="F459" s="43" t="e">
        <f>VLOOKUP($A459,'[2]Team lists'!$A$2:$L$800,6,FALSE)</f>
        <v>#N/A</v>
      </c>
      <c r="G459" s="43" t="e">
        <f>VLOOKUP($A459,'[2]Team lists'!$A$2:$L$800,7,FALSE)</f>
        <v>#N/A</v>
      </c>
      <c r="H459" s="43" t="e">
        <f>VLOOKUP($A459,'[2]Team lists'!$A$2:$L$800,8,FALSE)</f>
        <v>#N/A</v>
      </c>
      <c r="I459" s="43" t="e">
        <f>VLOOKUP($A459,'[2]Team lists'!$A$2:$L$800,9,FALSE)</f>
        <v>#N/A</v>
      </c>
      <c r="J459" s="43" t="e">
        <f>VLOOKUP($A459,'[2]Team lists'!$A$2:$L$800,9,FALSE)</f>
        <v>#N/A</v>
      </c>
      <c r="K459" s="43" t="e">
        <f>VLOOKUP($A459,'[2]Team lists'!$A$2:$L$800,10,FALSE)</f>
        <v>#N/A</v>
      </c>
      <c r="L459" s="43" t="e">
        <f>VLOOKUP($A459,'[2]Team lists'!$A$2:$L$800,11,FALSE)</f>
        <v>#N/A</v>
      </c>
    </row>
    <row r="460" spans="2:13">
      <c r="B460" s="43" t="e">
        <f>VLOOKUP($A460,'[2]Team lists'!$A$2:$L$800,2,FALSE)</f>
        <v>#N/A</v>
      </c>
      <c r="C460" s="43" t="e">
        <f>VLOOKUP($A460,'[2]Team lists'!$A$2:$L$800,3,FALSE)</f>
        <v>#N/A</v>
      </c>
      <c r="D460" s="43" t="e">
        <f>VLOOKUP($A460,'[2]Team lists'!$A$2:$L$800,4,FALSE)</f>
        <v>#N/A</v>
      </c>
      <c r="E460" s="43" t="e">
        <f>VLOOKUP($A460,'[2]Team lists'!$A$2:$L$800,5,FALSE)</f>
        <v>#N/A</v>
      </c>
      <c r="F460" s="43" t="e">
        <f>VLOOKUP($A460,'[2]Team lists'!$A$2:$L$800,6,FALSE)</f>
        <v>#N/A</v>
      </c>
      <c r="G460" s="43" t="e">
        <f>VLOOKUP($A460,'[2]Team lists'!$A$2:$L$800,7,FALSE)</f>
        <v>#N/A</v>
      </c>
      <c r="H460" s="43" t="e">
        <f>VLOOKUP($A460,'[2]Team lists'!$A$2:$L$800,8,FALSE)</f>
        <v>#N/A</v>
      </c>
      <c r="I460" s="43" t="e">
        <f>VLOOKUP($A460,'[2]Team lists'!$A$2:$L$800,9,FALSE)</f>
        <v>#N/A</v>
      </c>
      <c r="J460" s="43" t="e">
        <f>VLOOKUP($A460,'[2]Team lists'!$A$2:$L$800,9,FALSE)</f>
        <v>#N/A</v>
      </c>
      <c r="K460" s="43" t="e">
        <f>VLOOKUP($A460,'[2]Team lists'!$A$2:$L$800,10,FALSE)</f>
        <v>#N/A</v>
      </c>
      <c r="L460" s="43" t="e">
        <f>VLOOKUP($A460,'[2]Team lists'!$A$2:$L$800,11,FALSE)</f>
        <v>#N/A</v>
      </c>
    </row>
    <row r="461" spans="2:13">
      <c r="B461" s="43" t="e">
        <f>VLOOKUP($A461,'[2]Team lists'!$A$2:$L$800,2,FALSE)</f>
        <v>#N/A</v>
      </c>
      <c r="C461" s="43" t="e">
        <f>VLOOKUP($A461,'[2]Team lists'!$A$2:$L$800,3,FALSE)</f>
        <v>#N/A</v>
      </c>
      <c r="D461" s="43" t="e">
        <f>VLOOKUP($A461,'[2]Team lists'!$A$2:$L$800,4,FALSE)</f>
        <v>#N/A</v>
      </c>
      <c r="E461" s="43" t="e">
        <f>VLOOKUP($A461,'[2]Team lists'!$A$2:$L$800,5,FALSE)</f>
        <v>#N/A</v>
      </c>
      <c r="F461" s="43" t="e">
        <f>VLOOKUP($A461,'[2]Team lists'!$A$2:$L$800,6,FALSE)</f>
        <v>#N/A</v>
      </c>
      <c r="G461" s="43" t="e">
        <f>VLOOKUP($A461,'[2]Team lists'!$A$2:$L$800,7,FALSE)</f>
        <v>#N/A</v>
      </c>
      <c r="H461" s="43" t="e">
        <f>VLOOKUP($A461,'[2]Team lists'!$A$2:$L$800,8,FALSE)</f>
        <v>#N/A</v>
      </c>
      <c r="I461" s="43" t="e">
        <f>VLOOKUP($A461,'[2]Team lists'!$A$2:$L$800,9,FALSE)</f>
        <v>#N/A</v>
      </c>
      <c r="J461" s="43" t="e">
        <f>VLOOKUP($A461,'[2]Team lists'!$A$2:$L$800,9,FALSE)</f>
        <v>#N/A</v>
      </c>
      <c r="K461" s="43" t="e">
        <f>VLOOKUP($A461,'[2]Team lists'!$A$2:$L$800,10,FALSE)</f>
        <v>#N/A</v>
      </c>
      <c r="L461" s="43" t="e">
        <f>VLOOKUP($A461,'[2]Team lists'!$A$2:$L$800,11,FALSE)</f>
        <v>#N/A</v>
      </c>
    </row>
    <row r="462" spans="2:13">
      <c r="B462" s="43" t="e">
        <f>VLOOKUP($A462,'[2]Team lists'!$A$2:$L$800,2,FALSE)</f>
        <v>#N/A</v>
      </c>
      <c r="C462" s="43" t="e">
        <f>VLOOKUP($A462,'[2]Team lists'!$A$2:$L$800,3,FALSE)</f>
        <v>#N/A</v>
      </c>
      <c r="D462" s="43" t="e">
        <f>VLOOKUP($A462,'[2]Team lists'!$A$2:$L$800,4,FALSE)</f>
        <v>#N/A</v>
      </c>
      <c r="E462" s="43" t="e">
        <f>VLOOKUP($A462,'[2]Team lists'!$A$2:$L$800,5,FALSE)</f>
        <v>#N/A</v>
      </c>
      <c r="F462" s="43" t="e">
        <f>VLOOKUP($A462,'[2]Team lists'!$A$2:$L$800,6,FALSE)</f>
        <v>#N/A</v>
      </c>
      <c r="G462" s="43" t="e">
        <f>VLOOKUP($A462,'[2]Team lists'!$A$2:$L$800,7,FALSE)</f>
        <v>#N/A</v>
      </c>
      <c r="H462" s="43" t="e">
        <f>VLOOKUP($A462,'[2]Team lists'!$A$2:$L$800,8,FALSE)</f>
        <v>#N/A</v>
      </c>
      <c r="I462" s="43" t="e">
        <f>VLOOKUP($A462,'[2]Team lists'!$A$2:$L$800,9,FALSE)</f>
        <v>#N/A</v>
      </c>
      <c r="J462" s="43" t="e">
        <f>VLOOKUP($A462,'[2]Team lists'!$A$2:$L$800,9,FALSE)</f>
        <v>#N/A</v>
      </c>
      <c r="K462" s="43" t="e">
        <f>VLOOKUP($A462,'[2]Team lists'!$A$2:$L$800,10,FALSE)</f>
        <v>#N/A</v>
      </c>
      <c r="L462" s="43" t="e">
        <f>VLOOKUP($A462,'[2]Team lists'!$A$2:$L$800,11,FALSE)</f>
        <v>#N/A</v>
      </c>
    </row>
    <row r="463" spans="2:13" ht="18" thickBot="1">
      <c r="B463" s="45" t="s">
        <v>3210</v>
      </c>
      <c r="C463" s="46"/>
      <c r="D463" s="47"/>
      <c r="E463" s="48" t="e">
        <f t="shared" ref="E463:L463" si="28">SUM(E452:E462)</f>
        <v>#N/A</v>
      </c>
      <c r="F463" s="49" t="e">
        <f t="shared" si="28"/>
        <v>#N/A</v>
      </c>
      <c r="G463" s="49" t="e">
        <f t="shared" si="28"/>
        <v>#N/A</v>
      </c>
      <c r="H463" s="49" t="e">
        <f t="shared" si="28"/>
        <v>#N/A</v>
      </c>
      <c r="I463" s="49" t="e">
        <f t="shared" si="28"/>
        <v>#N/A</v>
      </c>
      <c r="J463" s="49" t="e">
        <f t="shared" si="28"/>
        <v>#N/A</v>
      </c>
      <c r="K463" s="49" t="e">
        <f t="shared" si="28"/>
        <v>#N/A</v>
      </c>
      <c r="L463" s="50" t="e">
        <f t="shared" si="28"/>
        <v>#N/A</v>
      </c>
    </row>
    <row r="464" spans="2:13" ht="18.600000000000001" thickTop="1" thickBot="1"/>
    <row r="465" spans="2:13" ht="18" thickTop="1">
      <c r="B465" s="23" t="s">
        <v>3204</v>
      </c>
      <c r="C465" s="24" t="s">
        <v>3205</v>
      </c>
      <c r="D465" s="25"/>
      <c r="E465" s="25"/>
      <c r="F465" s="53"/>
      <c r="G465" s="28" t="s">
        <v>3206</v>
      </c>
      <c r="H465" s="54"/>
      <c r="I465" s="54"/>
      <c r="J465" s="54"/>
      <c r="K465" s="28" t="s">
        <v>3207</v>
      </c>
      <c r="L465" s="29"/>
      <c r="M465" s="22" t="str">
        <f>G465</f>
        <v>Manager:</v>
      </c>
    </row>
    <row r="466" spans="2:13" ht="18" thickBot="1">
      <c r="B466" s="30">
        <v>30</v>
      </c>
      <c r="C466" s="57"/>
      <c r="D466" s="31"/>
      <c r="E466" s="31"/>
      <c r="F466" s="33"/>
      <c r="G466" s="55"/>
      <c r="H466" s="55"/>
      <c r="I466" s="55"/>
      <c r="J466" s="55"/>
      <c r="K466" s="34" t="e">
        <f>SUM(F479:L479)</f>
        <v>#N/A</v>
      </c>
      <c r="L466" s="35"/>
      <c r="M466" s="22">
        <f>G466</f>
        <v>0</v>
      </c>
    </row>
    <row r="467" spans="2:13" ht="18.600000000000001" thickTop="1">
      <c r="B467" s="58" t="s">
        <v>913</v>
      </c>
      <c r="C467" s="59" t="s">
        <v>912</v>
      </c>
      <c r="D467" s="60" t="s">
        <v>911</v>
      </c>
      <c r="E467" s="61" t="s">
        <v>3209</v>
      </c>
      <c r="F467" s="62" t="s">
        <v>3162</v>
      </c>
      <c r="G467" s="62" t="s">
        <v>3163</v>
      </c>
      <c r="H467" s="62" t="s">
        <v>3164</v>
      </c>
      <c r="I467" s="62" t="s">
        <v>3165</v>
      </c>
      <c r="J467" s="62" t="s">
        <v>3166</v>
      </c>
      <c r="K467" s="62" t="s">
        <v>3167</v>
      </c>
      <c r="L467" s="63" t="s">
        <v>3168</v>
      </c>
    </row>
    <row r="468" spans="2:13">
      <c r="B468" s="43" t="e">
        <f>VLOOKUP($A468,'[2]Team lists'!$A$2:$L$800,2,FALSE)</f>
        <v>#N/A</v>
      </c>
      <c r="C468" s="43" t="e">
        <f>VLOOKUP($A468,'[2]Team lists'!$A$2:$L$800,3,FALSE)</f>
        <v>#N/A</v>
      </c>
      <c r="D468" s="43" t="e">
        <f>VLOOKUP($A468,'[2]Team lists'!$A$2:$L$800,4,FALSE)</f>
        <v>#N/A</v>
      </c>
      <c r="E468" s="43" t="e">
        <f>VLOOKUP($A468,'[2]Team lists'!$A$2:$L$800,5,FALSE)</f>
        <v>#N/A</v>
      </c>
      <c r="F468" s="43" t="e">
        <f>VLOOKUP($A468,'[2]Team lists'!$A$2:$L$800,6,FALSE)</f>
        <v>#N/A</v>
      </c>
      <c r="G468" s="43" t="e">
        <f>VLOOKUP($A468,'[2]Team lists'!$A$2:$L$800,7,FALSE)</f>
        <v>#N/A</v>
      </c>
      <c r="H468" s="43" t="e">
        <f>VLOOKUP($A468,'[2]Team lists'!$A$2:$L$800,8,FALSE)</f>
        <v>#N/A</v>
      </c>
      <c r="I468" s="43" t="e">
        <f>VLOOKUP($A468,'[2]Team lists'!$A$2:$L$800,9,FALSE)</f>
        <v>#N/A</v>
      </c>
      <c r="J468" s="43" t="e">
        <f>VLOOKUP($A468,'[2]Team lists'!$A$2:$L$800,9,FALSE)</f>
        <v>#N/A</v>
      </c>
      <c r="K468" s="43" t="e">
        <f>VLOOKUP($A468,'[2]Team lists'!$A$2:$L$800,10,FALSE)</f>
        <v>#N/A</v>
      </c>
      <c r="L468" s="43" t="e">
        <f>VLOOKUP($A468,'[2]Team lists'!$A$2:$L$800,11,FALSE)</f>
        <v>#N/A</v>
      </c>
    </row>
    <row r="469" spans="2:13">
      <c r="B469" s="43" t="e">
        <f>VLOOKUP($A469,'[2]Team lists'!$A$2:$L$800,2,FALSE)</f>
        <v>#N/A</v>
      </c>
      <c r="C469" s="43" t="e">
        <f>VLOOKUP($A469,'[2]Team lists'!$A$2:$L$800,3,FALSE)</f>
        <v>#N/A</v>
      </c>
      <c r="D469" s="43" t="e">
        <f>VLOOKUP($A469,'[2]Team lists'!$A$2:$L$800,4,FALSE)</f>
        <v>#N/A</v>
      </c>
      <c r="E469" s="43" t="e">
        <f>VLOOKUP($A469,'[2]Team lists'!$A$2:$L$800,5,FALSE)</f>
        <v>#N/A</v>
      </c>
      <c r="F469" s="43" t="e">
        <f>VLOOKUP($A469,'[2]Team lists'!$A$2:$L$800,6,FALSE)</f>
        <v>#N/A</v>
      </c>
      <c r="G469" s="43" t="e">
        <f>VLOOKUP($A469,'[2]Team lists'!$A$2:$L$800,7,FALSE)</f>
        <v>#N/A</v>
      </c>
      <c r="H469" s="43" t="e">
        <f>VLOOKUP($A469,'[2]Team lists'!$A$2:$L$800,8,FALSE)</f>
        <v>#N/A</v>
      </c>
      <c r="I469" s="43" t="e">
        <f>VLOOKUP($A469,'[2]Team lists'!$A$2:$L$800,9,FALSE)</f>
        <v>#N/A</v>
      </c>
      <c r="J469" s="43" t="e">
        <f>VLOOKUP($A469,'[2]Team lists'!$A$2:$L$800,9,FALSE)</f>
        <v>#N/A</v>
      </c>
      <c r="K469" s="43" t="e">
        <f>VLOOKUP($A469,'[2]Team lists'!$A$2:$L$800,10,FALSE)</f>
        <v>#N/A</v>
      </c>
      <c r="L469" s="43" t="e">
        <f>VLOOKUP($A469,'[2]Team lists'!$A$2:$L$800,11,FALSE)</f>
        <v>#N/A</v>
      </c>
    </row>
    <row r="470" spans="2:13">
      <c r="B470" s="43" t="e">
        <f>VLOOKUP($A470,'[2]Team lists'!$A$2:$L$800,2,FALSE)</f>
        <v>#N/A</v>
      </c>
      <c r="C470" s="43" t="e">
        <f>VLOOKUP($A470,'[2]Team lists'!$A$2:$L$800,3,FALSE)</f>
        <v>#N/A</v>
      </c>
      <c r="D470" s="43" t="e">
        <f>VLOOKUP($A470,'[2]Team lists'!$A$2:$L$800,4,FALSE)</f>
        <v>#N/A</v>
      </c>
      <c r="E470" s="43" t="e">
        <f>VLOOKUP($A470,'[2]Team lists'!$A$2:$L$800,5,FALSE)</f>
        <v>#N/A</v>
      </c>
      <c r="F470" s="43" t="e">
        <f>VLOOKUP($A470,'[2]Team lists'!$A$2:$L$800,6,FALSE)</f>
        <v>#N/A</v>
      </c>
      <c r="G470" s="43" t="e">
        <f>VLOOKUP($A470,'[2]Team lists'!$A$2:$L$800,7,FALSE)</f>
        <v>#N/A</v>
      </c>
      <c r="H470" s="43" t="e">
        <f>VLOOKUP($A470,'[2]Team lists'!$A$2:$L$800,8,FALSE)</f>
        <v>#N/A</v>
      </c>
      <c r="I470" s="43" t="e">
        <f>VLOOKUP($A470,'[2]Team lists'!$A$2:$L$800,9,FALSE)</f>
        <v>#N/A</v>
      </c>
      <c r="J470" s="43" t="e">
        <f>VLOOKUP($A470,'[2]Team lists'!$A$2:$L$800,9,FALSE)</f>
        <v>#N/A</v>
      </c>
      <c r="K470" s="43" t="e">
        <f>VLOOKUP($A470,'[2]Team lists'!$A$2:$L$800,10,FALSE)</f>
        <v>#N/A</v>
      </c>
      <c r="L470" s="43" t="e">
        <f>VLOOKUP($A470,'[2]Team lists'!$A$2:$L$800,11,FALSE)</f>
        <v>#N/A</v>
      </c>
    </row>
    <row r="471" spans="2:13">
      <c r="B471" s="43" t="e">
        <f>VLOOKUP($A471,'[2]Team lists'!$A$2:$L$800,2,FALSE)</f>
        <v>#N/A</v>
      </c>
      <c r="C471" s="43" t="e">
        <f>VLOOKUP($A471,'[2]Team lists'!$A$2:$L$800,3,FALSE)</f>
        <v>#N/A</v>
      </c>
      <c r="D471" s="43" t="e">
        <f>VLOOKUP($A471,'[2]Team lists'!$A$2:$L$800,4,FALSE)</f>
        <v>#N/A</v>
      </c>
      <c r="E471" s="43" t="e">
        <f>VLOOKUP($A471,'[2]Team lists'!$A$2:$L$800,5,FALSE)</f>
        <v>#N/A</v>
      </c>
      <c r="F471" s="43" t="e">
        <f>VLOOKUP($A471,'[2]Team lists'!$A$2:$L$800,6,FALSE)</f>
        <v>#N/A</v>
      </c>
      <c r="G471" s="43" t="e">
        <f>VLOOKUP($A471,'[2]Team lists'!$A$2:$L$800,7,FALSE)</f>
        <v>#N/A</v>
      </c>
      <c r="H471" s="43" t="e">
        <f>VLOOKUP($A471,'[2]Team lists'!$A$2:$L$800,8,FALSE)</f>
        <v>#N/A</v>
      </c>
      <c r="I471" s="43" t="e">
        <f>VLOOKUP($A471,'[2]Team lists'!$A$2:$L$800,9,FALSE)</f>
        <v>#N/A</v>
      </c>
      <c r="J471" s="43" t="e">
        <f>VLOOKUP($A471,'[2]Team lists'!$A$2:$L$800,9,FALSE)</f>
        <v>#N/A</v>
      </c>
      <c r="K471" s="43" t="e">
        <f>VLOOKUP($A471,'[2]Team lists'!$A$2:$L$800,10,FALSE)</f>
        <v>#N/A</v>
      </c>
      <c r="L471" s="43" t="e">
        <f>VLOOKUP($A471,'[2]Team lists'!$A$2:$L$800,11,FALSE)</f>
        <v>#N/A</v>
      </c>
    </row>
    <row r="472" spans="2:13">
      <c r="B472" s="43" t="e">
        <f>VLOOKUP($A472,'[2]Team lists'!$A$2:$L$800,2,FALSE)</f>
        <v>#N/A</v>
      </c>
      <c r="C472" s="43" t="e">
        <f>VLOOKUP($A472,'[2]Team lists'!$A$2:$L$800,3,FALSE)</f>
        <v>#N/A</v>
      </c>
      <c r="D472" s="43" t="e">
        <f>VLOOKUP($A472,'[2]Team lists'!$A$2:$L$800,4,FALSE)</f>
        <v>#N/A</v>
      </c>
      <c r="E472" s="43" t="e">
        <f>VLOOKUP($A472,'[2]Team lists'!$A$2:$L$800,5,FALSE)</f>
        <v>#N/A</v>
      </c>
      <c r="F472" s="43" t="e">
        <f>VLOOKUP($A472,'[2]Team lists'!$A$2:$L$800,6,FALSE)</f>
        <v>#N/A</v>
      </c>
      <c r="G472" s="43" t="e">
        <f>VLOOKUP($A472,'[2]Team lists'!$A$2:$L$800,7,FALSE)</f>
        <v>#N/A</v>
      </c>
      <c r="H472" s="43" t="e">
        <f>VLOOKUP($A472,'[2]Team lists'!$A$2:$L$800,8,FALSE)</f>
        <v>#N/A</v>
      </c>
      <c r="I472" s="43" t="e">
        <f>VLOOKUP($A472,'[2]Team lists'!$A$2:$L$800,9,FALSE)</f>
        <v>#N/A</v>
      </c>
      <c r="J472" s="43" t="e">
        <f>VLOOKUP($A472,'[2]Team lists'!$A$2:$L$800,9,FALSE)</f>
        <v>#N/A</v>
      </c>
      <c r="K472" s="43" t="e">
        <f>VLOOKUP($A472,'[2]Team lists'!$A$2:$L$800,10,FALSE)</f>
        <v>#N/A</v>
      </c>
      <c r="L472" s="43" t="e">
        <f>VLOOKUP($A472,'[2]Team lists'!$A$2:$L$800,11,FALSE)</f>
        <v>#N/A</v>
      </c>
    </row>
    <row r="473" spans="2:13">
      <c r="B473" s="43" t="e">
        <f>VLOOKUP($A473,'[2]Team lists'!$A$2:$L$800,2,FALSE)</f>
        <v>#N/A</v>
      </c>
      <c r="C473" s="43" t="e">
        <f>VLOOKUP($A473,'[2]Team lists'!$A$2:$L$800,3,FALSE)</f>
        <v>#N/A</v>
      </c>
      <c r="D473" s="43" t="e">
        <f>VLOOKUP($A473,'[2]Team lists'!$A$2:$L$800,4,FALSE)</f>
        <v>#N/A</v>
      </c>
      <c r="E473" s="43" t="e">
        <f>VLOOKUP($A473,'[2]Team lists'!$A$2:$L$800,5,FALSE)</f>
        <v>#N/A</v>
      </c>
      <c r="F473" s="43" t="e">
        <f>VLOOKUP($A473,'[2]Team lists'!$A$2:$L$800,6,FALSE)</f>
        <v>#N/A</v>
      </c>
      <c r="G473" s="43" t="e">
        <f>VLOOKUP($A473,'[2]Team lists'!$A$2:$L$800,7,FALSE)</f>
        <v>#N/A</v>
      </c>
      <c r="H473" s="43" t="e">
        <f>VLOOKUP($A473,'[2]Team lists'!$A$2:$L$800,8,FALSE)</f>
        <v>#N/A</v>
      </c>
      <c r="I473" s="43" t="e">
        <f>VLOOKUP($A473,'[2]Team lists'!$A$2:$L$800,9,FALSE)</f>
        <v>#N/A</v>
      </c>
      <c r="J473" s="43" t="e">
        <f>VLOOKUP($A473,'[2]Team lists'!$A$2:$L$800,9,FALSE)</f>
        <v>#N/A</v>
      </c>
      <c r="K473" s="43" t="e">
        <f>VLOOKUP($A473,'[2]Team lists'!$A$2:$L$800,10,FALSE)</f>
        <v>#N/A</v>
      </c>
      <c r="L473" s="43" t="e">
        <f>VLOOKUP($A473,'[2]Team lists'!$A$2:$L$800,11,FALSE)</f>
        <v>#N/A</v>
      </c>
    </row>
    <row r="474" spans="2:13">
      <c r="B474" s="43" t="e">
        <f>VLOOKUP($A474,'[2]Team lists'!$A$2:$L$800,2,FALSE)</f>
        <v>#N/A</v>
      </c>
      <c r="C474" s="43" t="e">
        <f>VLOOKUP($A474,'[2]Team lists'!$A$2:$L$800,3,FALSE)</f>
        <v>#N/A</v>
      </c>
      <c r="D474" s="43" t="e">
        <f>VLOOKUP($A474,'[2]Team lists'!$A$2:$L$800,4,FALSE)</f>
        <v>#N/A</v>
      </c>
      <c r="E474" s="43" t="e">
        <f>VLOOKUP($A474,'[2]Team lists'!$A$2:$L$800,5,FALSE)</f>
        <v>#N/A</v>
      </c>
      <c r="F474" s="43" t="e">
        <f>VLOOKUP($A474,'[2]Team lists'!$A$2:$L$800,6,FALSE)</f>
        <v>#N/A</v>
      </c>
      <c r="G474" s="43" t="e">
        <f>VLOOKUP($A474,'[2]Team lists'!$A$2:$L$800,7,FALSE)</f>
        <v>#N/A</v>
      </c>
      <c r="H474" s="43" t="e">
        <f>VLOOKUP($A474,'[2]Team lists'!$A$2:$L$800,8,FALSE)</f>
        <v>#N/A</v>
      </c>
      <c r="I474" s="43" t="e">
        <f>VLOOKUP($A474,'[2]Team lists'!$A$2:$L$800,9,FALSE)</f>
        <v>#N/A</v>
      </c>
      <c r="J474" s="43" t="e">
        <f>VLOOKUP($A474,'[2]Team lists'!$A$2:$L$800,9,FALSE)</f>
        <v>#N/A</v>
      </c>
      <c r="K474" s="43" t="e">
        <f>VLOOKUP($A474,'[2]Team lists'!$A$2:$L$800,10,FALSE)</f>
        <v>#N/A</v>
      </c>
      <c r="L474" s="43" t="e">
        <f>VLOOKUP($A474,'[2]Team lists'!$A$2:$L$800,11,FALSE)</f>
        <v>#N/A</v>
      </c>
    </row>
    <row r="475" spans="2:13">
      <c r="B475" s="43" t="e">
        <f>VLOOKUP($A475,'[2]Team lists'!$A$2:$L$800,2,FALSE)</f>
        <v>#N/A</v>
      </c>
      <c r="C475" s="43" t="e">
        <f>VLOOKUP($A475,'[2]Team lists'!$A$2:$L$800,3,FALSE)</f>
        <v>#N/A</v>
      </c>
      <c r="D475" s="43" t="e">
        <f>VLOOKUP($A475,'[2]Team lists'!$A$2:$L$800,4,FALSE)</f>
        <v>#N/A</v>
      </c>
      <c r="E475" s="43" t="e">
        <f>VLOOKUP($A475,'[2]Team lists'!$A$2:$L$800,5,FALSE)</f>
        <v>#N/A</v>
      </c>
      <c r="F475" s="43" t="e">
        <f>VLOOKUP($A475,'[2]Team lists'!$A$2:$L$800,6,FALSE)</f>
        <v>#N/A</v>
      </c>
      <c r="G475" s="43" t="e">
        <f>VLOOKUP($A475,'[2]Team lists'!$A$2:$L$800,7,FALSE)</f>
        <v>#N/A</v>
      </c>
      <c r="H475" s="43" t="e">
        <f>VLOOKUP($A475,'[2]Team lists'!$A$2:$L$800,8,FALSE)</f>
        <v>#N/A</v>
      </c>
      <c r="I475" s="43" t="e">
        <f>VLOOKUP($A475,'[2]Team lists'!$A$2:$L$800,9,FALSE)</f>
        <v>#N/A</v>
      </c>
      <c r="J475" s="43" t="e">
        <f>VLOOKUP($A475,'[2]Team lists'!$A$2:$L$800,9,FALSE)</f>
        <v>#N/A</v>
      </c>
      <c r="K475" s="43" t="e">
        <f>VLOOKUP($A475,'[2]Team lists'!$A$2:$L$800,10,FALSE)</f>
        <v>#N/A</v>
      </c>
      <c r="L475" s="43" t="e">
        <f>VLOOKUP($A475,'[2]Team lists'!$A$2:$L$800,11,FALSE)</f>
        <v>#N/A</v>
      </c>
    </row>
    <row r="476" spans="2:13">
      <c r="B476" s="43" t="e">
        <f>VLOOKUP($A476,'[2]Team lists'!$A$2:$L$800,2,FALSE)</f>
        <v>#N/A</v>
      </c>
      <c r="C476" s="43" t="e">
        <f>VLOOKUP($A476,'[2]Team lists'!$A$2:$L$800,3,FALSE)</f>
        <v>#N/A</v>
      </c>
      <c r="D476" s="43" t="e">
        <f>VLOOKUP($A476,'[2]Team lists'!$A$2:$L$800,4,FALSE)</f>
        <v>#N/A</v>
      </c>
      <c r="E476" s="43" t="e">
        <f>VLOOKUP($A476,'[2]Team lists'!$A$2:$L$800,5,FALSE)</f>
        <v>#N/A</v>
      </c>
      <c r="F476" s="43" t="e">
        <f>VLOOKUP($A476,'[2]Team lists'!$A$2:$L$800,6,FALSE)</f>
        <v>#N/A</v>
      </c>
      <c r="G476" s="43" t="e">
        <f>VLOOKUP($A476,'[2]Team lists'!$A$2:$L$800,7,FALSE)</f>
        <v>#N/A</v>
      </c>
      <c r="H476" s="43" t="e">
        <f>VLOOKUP($A476,'[2]Team lists'!$A$2:$L$800,8,FALSE)</f>
        <v>#N/A</v>
      </c>
      <c r="I476" s="43" t="e">
        <f>VLOOKUP($A476,'[2]Team lists'!$A$2:$L$800,9,FALSE)</f>
        <v>#N/A</v>
      </c>
      <c r="J476" s="43" t="e">
        <f>VLOOKUP($A476,'[2]Team lists'!$A$2:$L$800,9,FALSE)</f>
        <v>#N/A</v>
      </c>
      <c r="K476" s="43" t="e">
        <f>VLOOKUP($A476,'[2]Team lists'!$A$2:$L$800,10,FALSE)</f>
        <v>#N/A</v>
      </c>
      <c r="L476" s="43" t="e">
        <f>VLOOKUP($A476,'[2]Team lists'!$A$2:$L$800,11,FALSE)</f>
        <v>#N/A</v>
      </c>
    </row>
    <row r="477" spans="2:13">
      <c r="B477" s="43" t="e">
        <f>VLOOKUP($A477,'[2]Team lists'!$A$2:$L$800,2,FALSE)</f>
        <v>#N/A</v>
      </c>
      <c r="C477" s="43" t="e">
        <f>VLOOKUP($A477,'[2]Team lists'!$A$2:$L$800,3,FALSE)</f>
        <v>#N/A</v>
      </c>
      <c r="D477" s="43" t="e">
        <f>VLOOKUP($A477,'[2]Team lists'!$A$2:$L$800,4,FALSE)</f>
        <v>#N/A</v>
      </c>
      <c r="E477" s="43" t="e">
        <f>VLOOKUP($A477,'[2]Team lists'!$A$2:$L$800,5,FALSE)</f>
        <v>#N/A</v>
      </c>
      <c r="F477" s="43" t="e">
        <f>VLOOKUP($A477,'[2]Team lists'!$A$2:$L$800,6,FALSE)</f>
        <v>#N/A</v>
      </c>
      <c r="G477" s="43" t="e">
        <f>VLOOKUP($A477,'[2]Team lists'!$A$2:$L$800,7,FALSE)</f>
        <v>#N/A</v>
      </c>
      <c r="H477" s="43" t="e">
        <f>VLOOKUP($A477,'[2]Team lists'!$A$2:$L$800,8,FALSE)</f>
        <v>#N/A</v>
      </c>
      <c r="I477" s="43" t="e">
        <f>VLOOKUP($A477,'[2]Team lists'!$A$2:$L$800,9,FALSE)</f>
        <v>#N/A</v>
      </c>
      <c r="J477" s="43" t="e">
        <f>VLOOKUP($A477,'[2]Team lists'!$A$2:$L$800,9,FALSE)</f>
        <v>#N/A</v>
      </c>
      <c r="K477" s="43" t="e">
        <f>VLOOKUP($A477,'[2]Team lists'!$A$2:$L$800,10,FALSE)</f>
        <v>#N/A</v>
      </c>
      <c r="L477" s="43" t="e">
        <f>VLOOKUP($A477,'[2]Team lists'!$A$2:$L$800,11,FALSE)</f>
        <v>#N/A</v>
      </c>
    </row>
    <row r="478" spans="2:13">
      <c r="B478" s="43" t="e">
        <f>VLOOKUP($A478,'[2]Team lists'!$A$2:$L$800,2,FALSE)</f>
        <v>#N/A</v>
      </c>
      <c r="C478" s="43" t="e">
        <f>VLOOKUP($A478,'[2]Team lists'!$A$2:$L$800,3,FALSE)</f>
        <v>#N/A</v>
      </c>
      <c r="D478" s="43" t="e">
        <f>VLOOKUP($A478,'[2]Team lists'!$A$2:$L$800,4,FALSE)</f>
        <v>#N/A</v>
      </c>
      <c r="E478" s="43" t="e">
        <f>VLOOKUP($A478,'[2]Team lists'!$A$2:$L$800,5,FALSE)</f>
        <v>#N/A</v>
      </c>
      <c r="F478" s="43" t="e">
        <f>VLOOKUP($A478,'[2]Team lists'!$A$2:$L$800,6,FALSE)</f>
        <v>#N/A</v>
      </c>
      <c r="G478" s="43" t="e">
        <f>VLOOKUP($A478,'[2]Team lists'!$A$2:$L$800,7,FALSE)</f>
        <v>#N/A</v>
      </c>
      <c r="H478" s="43" t="e">
        <f>VLOOKUP($A478,'[2]Team lists'!$A$2:$L$800,8,FALSE)</f>
        <v>#N/A</v>
      </c>
      <c r="I478" s="43" t="e">
        <f>VLOOKUP($A478,'[2]Team lists'!$A$2:$L$800,9,FALSE)</f>
        <v>#N/A</v>
      </c>
      <c r="J478" s="43" t="e">
        <f>VLOOKUP($A478,'[2]Team lists'!$A$2:$L$800,9,FALSE)</f>
        <v>#N/A</v>
      </c>
      <c r="K478" s="43" t="e">
        <f>VLOOKUP($A478,'[2]Team lists'!$A$2:$L$800,10,FALSE)</f>
        <v>#N/A</v>
      </c>
      <c r="L478" s="43" t="e">
        <f>VLOOKUP($A478,'[2]Team lists'!$A$2:$L$800,11,FALSE)</f>
        <v>#N/A</v>
      </c>
    </row>
    <row r="479" spans="2:13" ht="18" thickBot="1">
      <c r="B479" s="45" t="s">
        <v>3210</v>
      </c>
      <c r="C479" s="46"/>
      <c r="D479" s="47"/>
      <c r="E479" s="48" t="e">
        <f t="shared" ref="E479:L479" si="29">SUM(E468:E478)</f>
        <v>#N/A</v>
      </c>
      <c r="F479" s="49" t="e">
        <f t="shared" si="29"/>
        <v>#N/A</v>
      </c>
      <c r="G479" s="49" t="e">
        <f t="shared" si="29"/>
        <v>#N/A</v>
      </c>
      <c r="H479" s="49" t="e">
        <f t="shared" si="29"/>
        <v>#N/A</v>
      </c>
      <c r="I479" s="49" t="e">
        <f t="shared" si="29"/>
        <v>#N/A</v>
      </c>
      <c r="J479" s="49" t="e">
        <f t="shared" si="29"/>
        <v>#N/A</v>
      </c>
      <c r="K479" s="49" t="e">
        <f t="shared" si="29"/>
        <v>#N/A</v>
      </c>
      <c r="L479" s="50" t="e">
        <f t="shared" si="29"/>
        <v>#N/A</v>
      </c>
    </row>
    <row r="480" spans="2:13" ht="18.600000000000001" thickTop="1" thickBot="1"/>
    <row r="481" spans="2:13" ht="18" thickTop="1">
      <c r="B481" s="23" t="s">
        <v>3204</v>
      </c>
      <c r="C481" s="24" t="s">
        <v>3205</v>
      </c>
      <c r="D481" s="25"/>
      <c r="E481" s="25"/>
      <c r="F481" s="53"/>
      <c r="G481" s="28" t="s">
        <v>3206</v>
      </c>
      <c r="H481" s="54"/>
      <c r="I481" s="54"/>
      <c r="J481" s="54"/>
      <c r="K481" s="28" t="s">
        <v>3207</v>
      </c>
      <c r="L481" s="29"/>
      <c r="M481" s="22" t="str">
        <f>G481</f>
        <v>Manager:</v>
      </c>
    </row>
    <row r="482" spans="2:13" ht="18" thickBot="1">
      <c r="B482" s="30">
        <v>31</v>
      </c>
      <c r="C482" s="57"/>
      <c r="D482" s="31"/>
      <c r="E482" s="31"/>
      <c r="F482" s="33"/>
      <c r="G482" s="55"/>
      <c r="H482" s="55"/>
      <c r="I482" s="55"/>
      <c r="J482" s="55"/>
      <c r="K482" s="34" t="e">
        <f>SUM(F495:L495)</f>
        <v>#N/A</v>
      </c>
      <c r="L482" s="35"/>
      <c r="M482" s="22">
        <f>G482</f>
        <v>0</v>
      </c>
    </row>
    <row r="483" spans="2:13" ht="18.600000000000001" thickTop="1">
      <c r="B483" s="58" t="s">
        <v>913</v>
      </c>
      <c r="C483" s="59" t="s">
        <v>912</v>
      </c>
      <c r="D483" s="60" t="s">
        <v>911</v>
      </c>
      <c r="E483" s="61" t="s">
        <v>3209</v>
      </c>
      <c r="F483" s="62" t="s">
        <v>3162</v>
      </c>
      <c r="G483" s="62" t="s">
        <v>3163</v>
      </c>
      <c r="H483" s="62" t="s">
        <v>3164</v>
      </c>
      <c r="I483" s="62" t="s">
        <v>3165</v>
      </c>
      <c r="J483" s="62" t="s">
        <v>3166</v>
      </c>
      <c r="K483" s="62" t="s">
        <v>3167</v>
      </c>
      <c r="L483" s="63" t="s">
        <v>3168</v>
      </c>
    </row>
    <row r="484" spans="2:13">
      <c r="B484" s="43" t="e">
        <f>VLOOKUP($A484,'[2]Team lists'!$A$2:$L$800,2,FALSE)</f>
        <v>#N/A</v>
      </c>
      <c r="C484" s="43" t="e">
        <f>VLOOKUP($A484,'[2]Team lists'!$A$2:$L$800,3,FALSE)</f>
        <v>#N/A</v>
      </c>
      <c r="D484" s="43" t="e">
        <f>VLOOKUP($A484,'[2]Team lists'!$A$2:$L$800,4,FALSE)</f>
        <v>#N/A</v>
      </c>
      <c r="E484" s="43" t="e">
        <f>VLOOKUP($A484,'[2]Team lists'!$A$2:$L$800,5,FALSE)</f>
        <v>#N/A</v>
      </c>
      <c r="F484" s="43" t="e">
        <f>VLOOKUP($A484,'[2]Team lists'!$A$2:$L$800,6,FALSE)</f>
        <v>#N/A</v>
      </c>
      <c r="G484" s="43" t="e">
        <f>VLOOKUP($A484,'[2]Team lists'!$A$2:$L$800,7,FALSE)</f>
        <v>#N/A</v>
      </c>
      <c r="H484" s="43" t="e">
        <f>VLOOKUP($A484,'[2]Team lists'!$A$2:$L$800,8,FALSE)</f>
        <v>#N/A</v>
      </c>
      <c r="I484" s="43" t="e">
        <f>VLOOKUP($A484,'[2]Team lists'!$A$2:$L$800,9,FALSE)</f>
        <v>#N/A</v>
      </c>
      <c r="J484" s="43" t="e">
        <f>VLOOKUP($A484,'[2]Team lists'!$A$2:$L$800,9,FALSE)</f>
        <v>#N/A</v>
      </c>
      <c r="K484" s="43" t="e">
        <f>VLOOKUP($A484,'[2]Team lists'!$A$2:$L$800,10,FALSE)</f>
        <v>#N/A</v>
      </c>
      <c r="L484" s="43" t="e">
        <f>VLOOKUP($A484,'[2]Team lists'!$A$2:$L$800,11,FALSE)</f>
        <v>#N/A</v>
      </c>
    </row>
    <row r="485" spans="2:13">
      <c r="B485" s="43" t="e">
        <f>VLOOKUP($A485,'[2]Team lists'!$A$2:$L$800,2,FALSE)</f>
        <v>#N/A</v>
      </c>
      <c r="C485" s="43" t="e">
        <f>VLOOKUP($A485,'[2]Team lists'!$A$2:$L$800,3,FALSE)</f>
        <v>#N/A</v>
      </c>
      <c r="D485" s="43" t="e">
        <f>VLOOKUP($A485,'[2]Team lists'!$A$2:$L$800,4,FALSE)</f>
        <v>#N/A</v>
      </c>
      <c r="E485" s="43" t="e">
        <f>VLOOKUP($A485,'[2]Team lists'!$A$2:$L$800,5,FALSE)</f>
        <v>#N/A</v>
      </c>
      <c r="F485" s="43" t="e">
        <f>VLOOKUP($A485,'[2]Team lists'!$A$2:$L$800,6,FALSE)</f>
        <v>#N/A</v>
      </c>
      <c r="G485" s="43" t="e">
        <f>VLOOKUP($A485,'[2]Team lists'!$A$2:$L$800,7,FALSE)</f>
        <v>#N/A</v>
      </c>
      <c r="H485" s="43" t="e">
        <f>VLOOKUP($A485,'[2]Team lists'!$A$2:$L$800,8,FALSE)</f>
        <v>#N/A</v>
      </c>
      <c r="I485" s="43" t="e">
        <f>VLOOKUP($A485,'[2]Team lists'!$A$2:$L$800,9,FALSE)</f>
        <v>#N/A</v>
      </c>
      <c r="J485" s="43" t="e">
        <f>VLOOKUP($A485,'[2]Team lists'!$A$2:$L$800,9,FALSE)</f>
        <v>#N/A</v>
      </c>
      <c r="K485" s="43" t="e">
        <f>VLOOKUP($A485,'[2]Team lists'!$A$2:$L$800,10,FALSE)</f>
        <v>#N/A</v>
      </c>
      <c r="L485" s="43" t="e">
        <f>VLOOKUP($A485,'[2]Team lists'!$A$2:$L$800,11,FALSE)</f>
        <v>#N/A</v>
      </c>
    </row>
    <row r="486" spans="2:13">
      <c r="B486" s="43" t="e">
        <f>VLOOKUP($A486,'[2]Team lists'!$A$2:$L$800,2,FALSE)</f>
        <v>#N/A</v>
      </c>
      <c r="C486" s="43" t="e">
        <f>VLOOKUP($A486,'[2]Team lists'!$A$2:$L$800,3,FALSE)</f>
        <v>#N/A</v>
      </c>
      <c r="D486" s="43" t="e">
        <f>VLOOKUP($A486,'[2]Team lists'!$A$2:$L$800,4,FALSE)</f>
        <v>#N/A</v>
      </c>
      <c r="E486" s="43" t="e">
        <f>VLOOKUP($A486,'[2]Team lists'!$A$2:$L$800,5,FALSE)</f>
        <v>#N/A</v>
      </c>
      <c r="F486" s="43" t="e">
        <f>VLOOKUP($A486,'[2]Team lists'!$A$2:$L$800,6,FALSE)</f>
        <v>#N/A</v>
      </c>
      <c r="G486" s="43" t="e">
        <f>VLOOKUP($A486,'[2]Team lists'!$A$2:$L$800,7,FALSE)</f>
        <v>#N/A</v>
      </c>
      <c r="H486" s="43" t="e">
        <f>VLOOKUP($A486,'[2]Team lists'!$A$2:$L$800,8,FALSE)</f>
        <v>#N/A</v>
      </c>
      <c r="I486" s="43" t="e">
        <f>VLOOKUP($A486,'[2]Team lists'!$A$2:$L$800,9,FALSE)</f>
        <v>#N/A</v>
      </c>
      <c r="J486" s="43" t="e">
        <f>VLOOKUP($A486,'[2]Team lists'!$A$2:$L$800,9,FALSE)</f>
        <v>#N/A</v>
      </c>
      <c r="K486" s="43" t="e">
        <f>VLOOKUP($A486,'[2]Team lists'!$A$2:$L$800,10,FALSE)</f>
        <v>#N/A</v>
      </c>
      <c r="L486" s="43" t="e">
        <f>VLOOKUP($A486,'[2]Team lists'!$A$2:$L$800,11,FALSE)</f>
        <v>#N/A</v>
      </c>
    </row>
    <row r="487" spans="2:13">
      <c r="B487" s="43" t="e">
        <f>VLOOKUP($A487,'[2]Team lists'!$A$2:$L$800,2,FALSE)</f>
        <v>#N/A</v>
      </c>
      <c r="C487" s="43" t="e">
        <f>VLOOKUP($A487,'[2]Team lists'!$A$2:$L$800,3,FALSE)</f>
        <v>#N/A</v>
      </c>
      <c r="D487" s="43" t="e">
        <f>VLOOKUP($A487,'[2]Team lists'!$A$2:$L$800,4,FALSE)</f>
        <v>#N/A</v>
      </c>
      <c r="E487" s="43" t="e">
        <f>VLOOKUP($A487,'[2]Team lists'!$A$2:$L$800,5,FALSE)</f>
        <v>#N/A</v>
      </c>
      <c r="F487" s="43" t="e">
        <f>VLOOKUP($A487,'[2]Team lists'!$A$2:$L$800,6,FALSE)</f>
        <v>#N/A</v>
      </c>
      <c r="G487" s="43" t="e">
        <f>VLOOKUP($A487,'[2]Team lists'!$A$2:$L$800,7,FALSE)</f>
        <v>#N/A</v>
      </c>
      <c r="H487" s="43" t="e">
        <f>VLOOKUP($A487,'[2]Team lists'!$A$2:$L$800,8,FALSE)</f>
        <v>#N/A</v>
      </c>
      <c r="I487" s="43" t="e">
        <f>VLOOKUP($A487,'[2]Team lists'!$A$2:$L$800,9,FALSE)</f>
        <v>#N/A</v>
      </c>
      <c r="J487" s="43" t="e">
        <f>VLOOKUP($A487,'[2]Team lists'!$A$2:$L$800,9,FALSE)</f>
        <v>#N/A</v>
      </c>
      <c r="K487" s="43" t="e">
        <f>VLOOKUP($A487,'[2]Team lists'!$A$2:$L$800,10,FALSE)</f>
        <v>#N/A</v>
      </c>
      <c r="L487" s="43" t="e">
        <f>VLOOKUP($A487,'[2]Team lists'!$A$2:$L$800,11,FALSE)</f>
        <v>#N/A</v>
      </c>
    </row>
    <row r="488" spans="2:13">
      <c r="B488" s="43" t="e">
        <f>VLOOKUP($A488,'[2]Team lists'!$A$2:$L$800,2,FALSE)</f>
        <v>#N/A</v>
      </c>
      <c r="C488" s="43" t="e">
        <f>VLOOKUP($A488,'[2]Team lists'!$A$2:$L$800,3,FALSE)</f>
        <v>#N/A</v>
      </c>
      <c r="D488" s="43" t="e">
        <f>VLOOKUP($A488,'[2]Team lists'!$A$2:$L$800,4,FALSE)</f>
        <v>#N/A</v>
      </c>
      <c r="E488" s="43" t="e">
        <f>VLOOKUP($A488,'[2]Team lists'!$A$2:$L$800,5,FALSE)</f>
        <v>#N/A</v>
      </c>
      <c r="F488" s="43" t="e">
        <f>VLOOKUP($A488,'[2]Team lists'!$A$2:$L$800,6,FALSE)</f>
        <v>#N/A</v>
      </c>
      <c r="G488" s="43" t="e">
        <f>VLOOKUP($A488,'[2]Team lists'!$A$2:$L$800,7,FALSE)</f>
        <v>#N/A</v>
      </c>
      <c r="H488" s="43" t="e">
        <f>VLOOKUP($A488,'[2]Team lists'!$A$2:$L$800,8,FALSE)</f>
        <v>#N/A</v>
      </c>
      <c r="I488" s="43" t="e">
        <f>VLOOKUP($A488,'[2]Team lists'!$A$2:$L$800,9,FALSE)</f>
        <v>#N/A</v>
      </c>
      <c r="J488" s="43" t="e">
        <f>VLOOKUP($A488,'[2]Team lists'!$A$2:$L$800,9,FALSE)</f>
        <v>#N/A</v>
      </c>
      <c r="K488" s="43" t="e">
        <f>VLOOKUP($A488,'[2]Team lists'!$A$2:$L$800,10,FALSE)</f>
        <v>#N/A</v>
      </c>
      <c r="L488" s="43" t="e">
        <f>VLOOKUP($A488,'[2]Team lists'!$A$2:$L$800,11,FALSE)</f>
        <v>#N/A</v>
      </c>
    </row>
    <row r="489" spans="2:13">
      <c r="B489" s="43" t="e">
        <f>VLOOKUP($A489,'[2]Team lists'!$A$2:$L$800,2,FALSE)</f>
        <v>#N/A</v>
      </c>
      <c r="C489" s="43" t="e">
        <f>VLOOKUP($A489,'[2]Team lists'!$A$2:$L$800,3,FALSE)</f>
        <v>#N/A</v>
      </c>
      <c r="D489" s="43" t="e">
        <f>VLOOKUP($A489,'[2]Team lists'!$A$2:$L$800,4,FALSE)</f>
        <v>#N/A</v>
      </c>
      <c r="E489" s="43" t="e">
        <f>VLOOKUP($A489,'[2]Team lists'!$A$2:$L$800,5,FALSE)</f>
        <v>#N/A</v>
      </c>
      <c r="F489" s="43" t="e">
        <f>VLOOKUP($A489,'[2]Team lists'!$A$2:$L$800,6,FALSE)</f>
        <v>#N/A</v>
      </c>
      <c r="G489" s="43" t="e">
        <f>VLOOKUP($A489,'[2]Team lists'!$A$2:$L$800,7,FALSE)</f>
        <v>#N/A</v>
      </c>
      <c r="H489" s="43" t="e">
        <f>VLOOKUP($A489,'[2]Team lists'!$A$2:$L$800,8,FALSE)</f>
        <v>#N/A</v>
      </c>
      <c r="I489" s="43" t="e">
        <f>VLOOKUP($A489,'[2]Team lists'!$A$2:$L$800,9,FALSE)</f>
        <v>#N/A</v>
      </c>
      <c r="J489" s="43" t="e">
        <f>VLOOKUP($A489,'[2]Team lists'!$A$2:$L$800,9,FALSE)</f>
        <v>#N/A</v>
      </c>
      <c r="K489" s="43" t="e">
        <f>VLOOKUP($A489,'[2]Team lists'!$A$2:$L$800,10,FALSE)</f>
        <v>#N/A</v>
      </c>
      <c r="L489" s="43" t="e">
        <f>VLOOKUP($A489,'[2]Team lists'!$A$2:$L$800,11,FALSE)</f>
        <v>#N/A</v>
      </c>
    </row>
    <row r="490" spans="2:13">
      <c r="B490" s="43" t="e">
        <f>VLOOKUP($A490,'[2]Team lists'!$A$2:$L$800,2,FALSE)</f>
        <v>#N/A</v>
      </c>
      <c r="C490" s="43" t="e">
        <f>VLOOKUP($A490,'[2]Team lists'!$A$2:$L$800,3,FALSE)</f>
        <v>#N/A</v>
      </c>
      <c r="D490" s="43" t="e">
        <f>VLOOKUP($A490,'[2]Team lists'!$A$2:$L$800,4,FALSE)</f>
        <v>#N/A</v>
      </c>
      <c r="E490" s="43" t="e">
        <f>VLOOKUP($A490,'[2]Team lists'!$A$2:$L$800,5,FALSE)</f>
        <v>#N/A</v>
      </c>
      <c r="F490" s="43" t="e">
        <f>VLOOKUP($A490,'[2]Team lists'!$A$2:$L$800,6,FALSE)</f>
        <v>#N/A</v>
      </c>
      <c r="G490" s="43" t="e">
        <f>VLOOKUP($A490,'[2]Team lists'!$A$2:$L$800,7,FALSE)</f>
        <v>#N/A</v>
      </c>
      <c r="H490" s="43" t="e">
        <f>VLOOKUP($A490,'[2]Team lists'!$A$2:$L$800,8,FALSE)</f>
        <v>#N/A</v>
      </c>
      <c r="I490" s="43" t="e">
        <f>VLOOKUP($A490,'[2]Team lists'!$A$2:$L$800,9,FALSE)</f>
        <v>#N/A</v>
      </c>
      <c r="J490" s="43" t="e">
        <f>VLOOKUP($A490,'[2]Team lists'!$A$2:$L$800,9,FALSE)</f>
        <v>#N/A</v>
      </c>
      <c r="K490" s="43" t="e">
        <f>VLOOKUP($A490,'[2]Team lists'!$A$2:$L$800,10,FALSE)</f>
        <v>#N/A</v>
      </c>
      <c r="L490" s="43" t="e">
        <f>VLOOKUP($A490,'[2]Team lists'!$A$2:$L$800,11,FALSE)</f>
        <v>#N/A</v>
      </c>
    </row>
    <row r="491" spans="2:13">
      <c r="B491" s="43" t="e">
        <f>VLOOKUP($A491,'[2]Team lists'!$A$2:$L$800,2,FALSE)</f>
        <v>#N/A</v>
      </c>
      <c r="C491" s="43" t="e">
        <f>VLOOKUP($A491,'[2]Team lists'!$A$2:$L$800,3,FALSE)</f>
        <v>#N/A</v>
      </c>
      <c r="D491" s="43" t="e">
        <f>VLOOKUP($A491,'[2]Team lists'!$A$2:$L$800,4,FALSE)</f>
        <v>#N/A</v>
      </c>
      <c r="E491" s="43" t="e">
        <f>VLOOKUP($A491,'[2]Team lists'!$A$2:$L$800,5,FALSE)</f>
        <v>#N/A</v>
      </c>
      <c r="F491" s="43" t="e">
        <f>VLOOKUP($A491,'[2]Team lists'!$A$2:$L$800,6,FALSE)</f>
        <v>#N/A</v>
      </c>
      <c r="G491" s="43" t="e">
        <f>VLOOKUP($A491,'[2]Team lists'!$A$2:$L$800,7,FALSE)</f>
        <v>#N/A</v>
      </c>
      <c r="H491" s="43" t="e">
        <f>VLOOKUP($A491,'[2]Team lists'!$A$2:$L$800,8,FALSE)</f>
        <v>#N/A</v>
      </c>
      <c r="I491" s="43" t="e">
        <f>VLOOKUP($A491,'[2]Team lists'!$A$2:$L$800,9,FALSE)</f>
        <v>#N/A</v>
      </c>
      <c r="J491" s="43" t="e">
        <f>VLOOKUP($A491,'[2]Team lists'!$A$2:$L$800,9,FALSE)</f>
        <v>#N/A</v>
      </c>
      <c r="K491" s="43" t="e">
        <f>VLOOKUP($A491,'[2]Team lists'!$A$2:$L$800,10,FALSE)</f>
        <v>#N/A</v>
      </c>
      <c r="L491" s="43" t="e">
        <f>VLOOKUP($A491,'[2]Team lists'!$A$2:$L$800,11,FALSE)</f>
        <v>#N/A</v>
      </c>
    </row>
    <row r="492" spans="2:13">
      <c r="B492" s="43" t="e">
        <f>VLOOKUP($A492,'[2]Team lists'!$A$2:$L$800,2,FALSE)</f>
        <v>#N/A</v>
      </c>
      <c r="C492" s="43" t="e">
        <f>VLOOKUP($A492,'[2]Team lists'!$A$2:$L$800,3,FALSE)</f>
        <v>#N/A</v>
      </c>
      <c r="D492" s="43" t="e">
        <f>VLOOKUP($A492,'[2]Team lists'!$A$2:$L$800,4,FALSE)</f>
        <v>#N/A</v>
      </c>
      <c r="E492" s="43" t="e">
        <f>VLOOKUP($A492,'[2]Team lists'!$A$2:$L$800,5,FALSE)</f>
        <v>#N/A</v>
      </c>
      <c r="F492" s="43" t="e">
        <f>VLOOKUP($A492,'[2]Team lists'!$A$2:$L$800,6,FALSE)</f>
        <v>#N/A</v>
      </c>
      <c r="G492" s="43" t="e">
        <f>VLOOKUP($A492,'[2]Team lists'!$A$2:$L$800,7,FALSE)</f>
        <v>#N/A</v>
      </c>
      <c r="H492" s="43" t="e">
        <f>VLOOKUP($A492,'[2]Team lists'!$A$2:$L$800,8,FALSE)</f>
        <v>#N/A</v>
      </c>
      <c r="I492" s="43" t="e">
        <f>VLOOKUP($A492,'[2]Team lists'!$A$2:$L$800,9,FALSE)</f>
        <v>#N/A</v>
      </c>
      <c r="J492" s="43" t="e">
        <f>VLOOKUP($A492,'[2]Team lists'!$A$2:$L$800,9,FALSE)</f>
        <v>#N/A</v>
      </c>
      <c r="K492" s="43" t="e">
        <f>VLOOKUP($A492,'[2]Team lists'!$A$2:$L$800,10,FALSE)</f>
        <v>#N/A</v>
      </c>
      <c r="L492" s="43" t="e">
        <f>VLOOKUP($A492,'[2]Team lists'!$A$2:$L$800,11,FALSE)</f>
        <v>#N/A</v>
      </c>
    </row>
    <row r="493" spans="2:13">
      <c r="B493" s="43" t="e">
        <f>VLOOKUP($A493,'[2]Team lists'!$A$2:$L$800,2,FALSE)</f>
        <v>#N/A</v>
      </c>
      <c r="C493" s="43" t="e">
        <f>VLOOKUP($A493,'[2]Team lists'!$A$2:$L$800,3,FALSE)</f>
        <v>#N/A</v>
      </c>
      <c r="D493" s="43" t="e">
        <f>VLOOKUP($A493,'[2]Team lists'!$A$2:$L$800,4,FALSE)</f>
        <v>#N/A</v>
      </c>
      <c r="E493" s="43" t="e">
        <f>VLOOKUP($A493,'[2]Team lists'!$A$2:$L$800,5,FALSE)</f>
        <v>#N/A</v>
      </c>
      <c r="F493" s="43" t="e">
        <f>VLOOKUP($A493,'[2]Team lists'!$A$2:$L$800,6,FALSE)</f>
        <v>#N/A</v>
      </c>
      <c r="G493" s="43" t="e">
        <f>VLOOKUP($A493,'[2]Team lists'!$A$2:$L$800,7,FALSE)</f>
        <v>#N/A</v>
      </c>
      <c r="H493" s="43" t="e">
        <f>VLOOKUP($A493,'[2]Team lists'!$A$2:$L$800,8,FALSE)</f>
        <v>#N/A</v>
      </c>
      <c r="I493" s="43" t="e">
        <f>VLOOKUP($A493,'[2]Team lists'!$A$2:$L$800,9,FALSE)</f>
        <v>#N/A</v>
      </c>
      <c r="J493" s="43" t="e">
        <f>VLOOKUP($A493,'[2]Team lists'!$A$2:$L$800,9,FALSE)</f>
        <v>#N/A</v>
      </c>
      <c r="K493" s="43" t="e">
        <f>VLOOKUP($A493,'[2]Team lists'!$A$2:$L$800,10,FALSE)</f>
        <v>#N/A</v>
      </c>
      <c r="L493" s="43" t="e">
        <f>VLOOKUP($A493,'[2]Team lists'!$A$2:$L$800,11,FALSE)</f>
        <v>#N/A</v>
      </c>
    </row>
    <row r="494" spans="2:13">
      <c r="B494" s="43" t="e">
        <f>VLOOKUP($A494,'[2]Team lists'!$A$2:$L$800,2,FALSE)</f>
        <v>#N/A</v>
      </c>
      <c r="C494" s="43" t="e">
        <f>VLOOKUP($A494,'[2]Team lists'!$A$2:$L$800,3,FALSE)</f>
        <v>#N/A</v>
      </c>
      <c r="D494" s="43" t="e">
        <f>VLOOKUP($A494,'[2]Team lists'!$A$2:$L$800,4,FALSE)</f>
        <v>#N/A</v>
      </c>
      <c r="E494" s="43" t="e">
        <f>VLOOKUP($A494,'[2]Team lists'!$A$2:$L$800,5,FALSE)</f>
        <v>#N/A</v>
      </c>
      <c r="F494" s="43" t="e">
        <f>VLOOKUP($A494,'[2]Team lists'!$A$2:$L$800,6,FALSE)</f>
        <v>#N/A</v>
      </c>
      <c r="G494" s="43" t="e">
        <f>VLOOKUP($A494,'[2]Team lists'!$A$2:$L$800,7,FALSE)</f>
        <v>#N/A</v>
      </c>
      <c r="H494" s="43" t="e">
        <f>VLOOKUP($A494,'[2]Team lists'!$A$2:$L$800,8,FALSE)</f>
        <v>#N/A</v>
      </c>
      <c r="I494" s="43" t="e">
        <f>VLOOKUP($A494,'[2]Team lists'!$A$2:$L$800,9,FALSE)</f>
        <v>#N/A</v>
      </c>
      <c r="J494" s="43" t="e">
        <f>VLOOKUP($A494,'[2]Team lists'!$A$2:$L$800,9,FALSE)</f>
        <v>#N/A</v>
      </c>
      <c r="K494" s="43" t="e">
        <f>VLOOKUP($A494,'[2]Team lists'!$A$2:$L$800,10,FALSE)</f>
        <v>#N/A</v>
      </c>
      <c r="L494" s="43" t="e">
        <f>VLOOKUP($A494,'[2]Team lists'!$A$2:$L$800,11,FALSE)</f>
        <v>#N/A</v>
      </c>
    </row>
    <row r="495" spans="2:13" ht="18" thickBot="1">
      <c r="B495" s="45" t="s">
        <v>3210</v>
      </c>
      <c r="C495" s="46"/>
      <c r="D495" s="47"/>
      <c r="E495" s="48" t="e">
        <f t="shared" ref="E495:L495" si="30">SUM(E484:E494)</f>
        <v>#N/A</v>
      </c>
      <c r="F495" s="49" t="e">
        <f t="shared" si="30"/>
        <v>#N/A</v>
      </c>
      <c r="G495" s="49" t="e">
        <f t="shared" si="30"/>
        <v>#N/A</v>
      </c>
      <c r="H495" s="49" t="e">
        <f t="shared" si="30"/>
        <v>#N/A</v>
      </c>
      <c r="I495" s="49" t="e">
        <f t="shared" si="30"/>
        <v>#N/A</v>
      </c>
      <c r="J495" s="49" t="e">
        <f t="shared" si="30"/>
        <v>#N/A</v>
      </c>
      <c r="K495" s="49" t="e">
        <f t="shared" si="30"/>
        <v>#N/A</v>
      </c>
      <c r="L495" s="50" t="e">
        <f t="shared" si="30"/>
        <v>#N/A</v>
      </c>
    </row>
    <row r="496" spans="2:13" ht="18.600000000000001" thickTop="1" thickBot="1"/>
    <row r="497" spans="2:13" ht="18" thickTop="1">
      <c r="B497" s="23" t="s">
        <v>3204</v>
      </c>
      <c r="C497" s="24" t="s">
        <v>3205</v>
      </c>
      <c r="D497" s="25"/>
      <c r="E497" s="25"/>
      <c r="F497" s="53"/>
      <c r="G497" s="28" t="s">
        <v>3206</v>
      </c>
      <c r="H497" s="54"/>
      <c r="I497" s="54"/>
      <c r="J497" s="54"/>
      <c r="K497" s="28" t="s">
        <v>3207</v>
      </c>
      <c r="L497" s="29"/>
      <c r="M497" s="22" t="str">
        <f>G497</f>
        <v>Manager:</v>
      </c>
    </row>
    <row r="498" spans="2:13" ht="18" thickBot="1">
      <c r="B498" s="30">
        <v>32</v>
      </c>
      <c r="C498" s="57"/>
      <c r="D498" s="31"/>
      <c r="E498" s="31"/>
      <c r="F498" s="33"/>
      <c r="G498" s="55"/>
      <c r="H498" s="55"/>
      <c r="I498" s="55"/>
      <c r="J498" s="55"/>
      <c r="K498" s="34" t="e">
        <f>SUM(F511:L511)</f>
        <v>#N/A</v>
      </c>
      <c r="L498" s="35"/>
      <c r="M498" s="22">
        <f>G498</f>
        <v>0</v>
      </c>
    </row>
    <row r="499" spans="2:13" ht="18.600000000000001" thickTop="1">
      <c r="B499" s="58" t="s">
        <v>913</v>
      </c>
      <c r="C499" s="59" t="s">
        <v>912</v>
      </c>
      <c r="D499" s="60" t="s">
        <v>911</v>
      </c>
      <c r="E499" s="61" t="s">
        <v>3209</v>
      </c>
      <c r="F499" s="62" t="s">
        <v>3162</v>
      </c>
      <c r="G499" s="62" t="s">
        <v>3163</v>
      </c>
      <c r="H499" s="62" t="s">
        <v>3164</v>
      </c>
      <c r="I499" s="62" t="s">
        <v>3165</v>
      </c>
      <c r="J499" s="62" t="s">
        <v>3166</v>
      </c>
      <c r="K499" s="62" t="s">
        <v>3167</v>
      </c>
      <c r="L499" s="63" t="s">
        <v>3168</v>
      </c>
    </row>
    <row r="500" spans="2:13">
      <c r="B500" s="43" t="e">
        <f>VLOOKUP($A500,'[2]Team lists'!$A$2:$L$800,2,FALSE)</f>
        <v>#N/A</v>
      </c>
      <c r="C500" s="43" t="e">
        <f>VLOOKUP($A500,'[2]Team lists'!$A$2:$L$800,3,FALSE)</f>
        <v>#N/A</v>
      </c>
      <c r="D500" s="43" t="e">
        <f>VLOOKUP($A500,'[2]Team lists'!$A$2:$L$800,4,FALSE)</f>
        <v>#N/A</v>
      </c>
      <c r="E500" s="43" t="e">
        <f>VLOOKUP($A500,'[2]Team lists'!$A$2:$L$800,5,FALSE)</f>
        <v>#N/A</v>
      </c>
      <c r="F500" s="43" t="e">
        <f>VLOOKUP($A500,'[2]Team lists'!$A$2:$L$800,6,FALSE)</f>
        <v>#N/A</v>
      </c>
      <c r="G500" s="43" t="e">
        <f>VLOOKUP($A500,'[2]Team lists'!$A$2:$L$800,7,FALSE)</f>
        <v>#N/A</v>
      </c>
      <c r="H500" s="43" t="e">
        <f>VLOOKUP($A500,'[2]Team lists'!$A$2:$L$800,8,FALSE)</f>
        <v>#N/A</v>
      </c>
      <c r="I500" s="43" t="e">
        <f>VLOOKUP($A500,'[2]Team lists'!$A$2:$L$800,9,FALSE)</f>
        <v>#N/A</v>
      </c>
      <c r="J500" s="43" t="e">
        <f>VLOOKUP($A500,'[2]Team lists'!$A$2:$L$800,9,FALSE)</f>
        <v>#N/A</v>
      </c>
      <c r="K500" s="43" t="e">
        <f>VLOOKUP($A500,'[2]Team lists'!$A$2:$L$800,10,FALSE)</f>
        <v>#N/A</v>
      </c>
      <c r="L500" s="43" t="e">
        <f>VLOOKUP($A500,'[2]Team lists'!$A$2:$L$800,11,FALSE)</f>
        <v>#N/A</v>
      </c>
    </row>
    <row r="501" spans="2:13">
      <c r="B501" s="43" t="e">
        <f>VLOOKUP($A501,'[2]Team lists'!$A$2:$L$800,2,FALSE)</f>
        <v>#N/A</v>
      </c>
      <c r="C501" s="43" t="e">
        <f>VLOOKUP($A501,'[2]Team lists'!$A$2:$L$800,3,FALSE)</f>
        <v>#N/A</v>
      </c>
      <c r="D501" s="43" t="e">
        <f>VLOOKUP($A501,'[2]Team lists'!$A$2:$L$800,4,FALSE)</f>
        <v>#N/A</v>
      </c>
      <c r="E501" s="43" t="e">
        <f>VLOOKUP($A501,'[2]Team lists'!$A$2:$L$800,5,FALSE)</f>
        <v>#N/A</v>
      </c>
      <c r="F501" s="43" t="e">
        <f>VLOOKUP($A501,'[2]Team lists'!$A$2:$L$800,6,FALSE)</f>
        <v>#N/A</v>
      </c>
      <c r="G501" s="43" t="e">
        <f>VLOOKUP($A501,'[2]Team lists'!$A$2:$L$800,7,FALSE)</f>
        <v>#N/A</v>
      </c>
      <c r="H501" s="43" t="e">
        <f>VLOOKUP($A501,'[2]Team lists'!$A$2:$L$800,8,FALSE)</f>
        <v>#N/A</v>
      </c>
      <c r="I501" s="43" t="e">
        <f>VLOOKUP($A501,'[2]Team lists'!$A$2:$L$800,9,FALSE)</f>
        <v>#N/A</v>
      </c>
      <c r="J501" s="43" t="e">
        <f>VLOOKUP($A501,'[2]Team lists'!$A$2:$L$800,9,FALSE)</f>
        <v>#N/A</v>
      </c>
      <c r="K501" s="43" t="e">
        <f>VLOOKUP($A501,'[2]Team lists'!$A$2:$L$800,10,FALSE)</f>
        <v>#N/A</v>
      </c>
      <c r="L501" s="43" t="e">
        <f>VLOOKUP($A501,'[2]Team lists'!$A$2:$L$800,11,FALSE)</f>
        <v>#N/A</v>
      </c>
    </row>
    <row r="502" spans="2:13">
      <c r="B502" s="43" t="e">
        <f>VLOOKUP($A502,'[2]Team lists'!$A$2:$L$800,2,FALSE)</f>
        <v>#N/A</v>
      </c>
      <c r="C502" s="43" t="e">
        <f>VLOOKUP($A502,'[2]Team lists'!$A$2:$L$800,3,FALSE)</f>
        <v>#N/A</v>
      </c>
      <c r="D502" s="43" t="e">
        <f>VLOOKUP($A502,'[2]Team lists'!$A$2:$L$800,4,FALSE)</f>
        <v>#N/A</v>
      </c>
      <c r="E502" s="43" t="e">
        <f>VLOOKUP($A502,'[2]Team lists'!$A$2:$L$800,5,FALSE)</f>
        <v>#N/A</v>
      </c>
      <c r="F502" s="43" t="e">
        <f>VLOOKUP($A502,'[2]Team lists'!$A$2:$L$800,6,FALSE)</f>
        <v>#N/A</v>
      </c>
      <c r="G502" s="43" t="e">
        <f>VLOOKUP($A502,'[2]Team lists'!$A$2:$L$800,7,FALSE)</f>
        <v>#N/A</v>
      </c>
      <c r="H502" s="43" t="e">
        <f>VLOOKUP($A502,'[2]Team lists'!$A$2:$L$800,8,FALSE)</f>
        <v>#N/A</v>
      </c>
      <c r="I502" s="43" t="e">
        <f>VLOOKUP($A502,'[2]Team lists'!$A$2:$L$800,9,FALSE)</f>
        <v>#N/A</v>
      </c>
      <c r="J502" s="43" t="e">
        <f>VLOOKUP($A502,'[2]Team lists'!$A$2:$L$800,9,FALSE)</f>
        <v>#N/A</v>
      </c>
      <c r="K502" s="43" t="e">
        <f>VLOOKUP($A502,'[2]Team lists'!$A$2:$L$800,10,FALSE)</f>
        <v>#N/A</v>
      </c>
      <c r="L502" s="43" t="e">
        <f>VLOOKUP($A502,'[2]Team lists'!$A$2:$L$800,11,FALSE)</f>
        <v>#N/A</v>
      </c>
    </row>
    <row r="503" spans="2:13">
      <c r="B503" s="43" t="e">
        <f>VLOOKUP($A503,'[2]Team lists'!$A$2:$L$800,2,FALSE)</f>
        <v>#N/A</v>
      </c>
      <c r="C503" s="43" t="e">
        <f>VLOOKUP($A503,'[2]Team lists'!$A$2:$L$800,3,FALSE)</f>
        <v>#N/A</v>
      </c>
      <c r="D503" s="43" t="e">
        <f>VLOOKUP($A503,'[2]Team lists'!$A$2:$L$800,4,FALSE)</f>
        <v>#N/A</v>
      </c>
      <c r="E503" s="43" t="e">
        <f>VLOOKUP($A503,'[2]Team lists'!$A$2:$L$800,5,FALSE)</f>
        <v>#N/A</v>
      </c>
      <c r="F503" s="43" t="e">
        <f>VLOOKUP($A503,'[2]Team lists'!$A$2:$L$800,6,FALSE)</f>
        <v>#N/A</v>
      </c>
      <c r="G503" s="43" t="e">
        <f>VLOOKUP($A503,'[2]Team lists'!$A$2:$L$800,7,FALSE)</f>
        <v>#N/A</v>
      </c>
      <c r="H503" s="43" t="e">
        <f>VLOOKUP($A503,'[2]Team lists'!$A$2:$L$800,8,FALSE)</f>
        <v>#N/A</v>
      </c>
      <c r="I503" s="43" t="e">
        <f>VLOOKUP($A503,'[2]Team lists'!$A$2:$L$800,9,FALSE)</f>
        <v>#N/A</v>
      </c>
      <c r="J503" s="43" t="e">
        <f>VLOOKUP($A503,'[2]Team lists'!$A$2:$L$800,9,FALSE)</f>
        <v>#N/A</v>
      </c>
      <c r="K503" s="43" t="e">
        <f>VLOOKUP($A503,'[2]Team lists'!$A$2:$L$800,10,FALSE)</f>
        <v>#N/A</v>
      </c>
      <c r="L503" s="43" t="e">
        <f>VLOOKUP($A503,'[2]Team lists'!$A$2:$L$800,11,FALSE)</f>
        <v>#N/A</v>
      </c>
    </row>
    <row r="504" spans="2:13">
      <c r="B504" s="43" t="e">
        <f>VLOOKUP($A504,'[2]Team lists'!$A$2:$L$800,2,FALSE)</f>
        <v>#N/A</v>
      </c>
      <c r="C504" s="43" t="e">
        <f>VLOOKUP($A504,'[2]Team lists'!$A$2:$L$800,3,FALSE)</f>
        <v>#N/A</v>
      </c>
      <c r="D504" s="43" t="e">
        <f>VLOOKUP($A504,'[2]Team lists'!$A$2:$L$800,4,FALSE)</f>
        <v>#N/A</v>
      </c>
      <c r="E504" s="43" t="e">
        <f>VLOOKUP($A504,'[2]Team lists'!$A$2:$L$800,5,FALSE)</f>
        <v>#N/A</v>
      </c>
      <c r="F504" s="43" t="e">
        <f>VLOOKUP($A504,'[2]Team lists'!$A$2:$L$800,6,FALSE)</f>
        <v>#N/A</v>
      </c>
      <c r="G504" s="43" t="e">
        <f>VLOOKUP($A504,'[2]Team lists'!$A$2:$L$800,7,FALSE)</f>
        <v>#N/A</v>
      </c>
      <c r="H504" s="43" t="e">
        <f>VLOOKUP($A504,'[2]Team lists'!$A$2:$L$800,8,FALSE)</f>
        <v>#N/A</v>
      </c>
      <c r="I504" s="43" t="e">
        <f>VLOOKUP($A504,'[2]Team lists'!$A$2:$L$800,9,FALSE)</f>
        <v>#N/A</v>
      </c>
      <c r="J504" s="43" t="e">
        <f>VLOOKUP($A504,'[2]Team lists'!$A$2:$L$800,9,FALSE)</f>
        <v>#N/A</v>
      </c>
      <c r="K504" s="43" t="e">
        <f>VLOOKUP($A504,'[2]Team lists'!$A$2:$L$800,10,FALSE)</f>
        <v>#N/A</v>
      </c>
      <c r="L504" s="43" t="e">
        <f>VLOOKUP($A504,'[2]Team lists'!$A$2:$L$800,11,FALSE)</f>
        <v>#N/A</v>
      </c>
    </row>
    <row r="505" spans="2:13">
      <c r="B505" s="43" t="e">
        <f>VLOOKUP($A505,'[2]Team lists'!$A$2:$L$800,2,FALSE)</f>
        <v>#N/A</v>
      </c>
      <c r="C505" s="43" t="e">
        <f>VLOOKUP($A505,'[2]Team lists'!$A$2:$L$800,3,FALSE)</f>
        <v>#N/A</v>
      </c>
      <c r="D505" s="43" t="e">
        <f>VLOOKUP($A505,'[2]Team lists'!$A$2:$L$800,4,FALSE)</f>
        <v>#N/A</v>
      </c>
      <c r="E505" s="43" t="e">
        <f>VLOOKUP($A505,'[2]Team lists'!$A$2:$L$800,5,FALSE)</f>
        <v>#N/A</v>
      </c>
      <c r="F505" s="43" t="e">
        <f>VLOOKUP($A505,'[2]Team lists'!$A$2:$L$800,6,FALSE)</f>
        <v>#N/A</v>
      </c>
      <c r="G505" s="43" t="e">
        <f>VLOOKUP($A505,'[2]Team lists'!$A$2:$L$800,7,FALSE)</f>
        <v>#N/A</v>
      </c>
      <c r="H505" s="43" t="e">
        <f>VLOOKUP($A505,'[2]Team lists'!$A$2:$L$800,8,FALSE)</f>
        <v>#N/A</v>
      </c>
      <c r="I505" s="43" t="e">
        <f>VLOOKUP($A505,'[2]Team lists'!$A$2:$L$800,9,FALSE)</f>
        <v>#N/A</v>
      </c>
      <c r="J505" s="43" t="e">
        <f>VLOOKUP($A505,'[2]Team lists'!$A$2:$L$800,9,FALSE)</f>
        <v>#N/A</v>
      </c>
      <c r="K505" s="43" t="e">
        <f>VLOOKUP($A505,'[2]Team lists'!$A$2:$L$800,10,FALSE)</f>
        <v>#N/A</v>
      </c>
      <c r="L505" s="43" t="e">
        <f>VLOOKUP($A505,'[2]Team lists'!$A$2:$L$800,11,FALSE)</f>
        <v>#N/A</v>
      </c>
    </row>
    <row r="506" spans="2:13">
      <c r="B506" s="43" t="e">
        <f>VLOOKUP($A506,'[2]Team lists'!$A$2:$L$800,2,FALSE)</f>
        <v>#N/A</v>
      </c>
      <c r="C506" s="43" t="e">
        <f>VLOOKUP($A506,'[2]Team lists'!$A$2:$L$800,3,FALSE)</f>
        <v>#N/A</v>
      </c>
      <c r="D506" s="43" t="e">
        <f>VLOOKUP($A506,'[2]Team lists'!$A$2:$L$800,4,FALSE)</f>
        <v>#N/A</v>
      </c>
      <c r="E506" s="43" t="e">
        <f>VLOOKUP($A506,'[2]Team lists'!$A$2:$L$800,5,FALSE)</f>
        <v>#N/A</v>
      </c>
      <c r="F506" s="43" t="e">
        <f>VLOOKUP($A506,'[2]Team lists'!$A$2:$L$800,6,FALSE)</f>
        <v>#N/A</v>
      </c>
      <c r="G506" s="43" t="e">
        <f>VLOOKUP($A506,'[2]Team lists'!$A$2:$L$800,7,FALSE)</f>
        <v>#N/A</v>
      </c>
      <c r="H506" s="43" t="e">
        <f>VLOOKUP($A506,'[2]Team lists'!$A$2:$L$800,8,FALSE)</f>
        <v>#N/A</v>
      </c>
      <c r="I506" s="43" t="e">
        <f>VLOOKUP($A506,'[2]Team lists'!$A$2:$L$800,9,FALSE)</f>
        <v>#N/A</v>
      </c>
      <c r="J506" s="43" t="e">
        <f>VLOOKUP($A506,'[2]Team lists'!$A$2:$L$800,9,FALSE)</f>
        <v>#N/A</v>
      </c>
      <c r="K506" s="43" t="e">
        <f>VLOOKUP($A506,'[2]Team lists'!$A$2:$L$800,10,FALSE)</f>
        <v>#N/A</v>
      </c>
      <c r="L506" s="43" t="e">
        <f>VLOOKUP($A506,'[2]Team lists'!$A$2:$L$800,11,FALSE)</f>
        <v>#N/A</v>
      </c>
    </row>
    <row r="507" spans="2:13">
      <c r="B507" s="43" t="e">
        <f>VLOOKUP($A507,'[2]Team lists'!$A$2:$L$800,2,FALSE)</f>
        <v>#N/A</v>
      </c>
      <c r="C507" s="43" t="e">
        <f>VLOOKUP($A507,'[2]Team lists'!$A$2:$L$800,3,FALSE)</f>
        <v>#N/A</v>
      </c>
      <c r="D507" s="43" t="e">
        <f>VLOOKUP($A507,'[2]Team lists'!$A$2:$L$800,4,FALSE)</f>
        <v>#N/A</v>
      </c>
      <c r="E507" s="43" t="e">
        <f>VLOOKUP($A507,'[2]Team lists'!$A$2:$L$800,5,FALSE)</f>
        <v>#N/A</v>
      </c>
      <c r="F507" s="43" t="e">
        <f>VLOOKUP($A507,'[2]Team lists'!$A$2:$L$800,6,FALSE)</f>
        <v>#N/A</v>
      </c>
      <c r="G507" s="43" t="e">
        <f>VLOOKUP($A507,'[2]Team lists'!$A$2:$L$800,7,FALSE)</f>
        <v>#N/A</v>
      </c>
      <c r="H507" s="43" t="e">
        <f>VLOOKUP($A507,'[2]Team lists'!$A$2:$L$800,8,FALSE)</f>
        <v>#N/A</v>
      </c>
      <c r="I507" s="43" t="e">
        <f>VLOOKUP($A507,'[2]Team lists'!$A$2:$L$800,9,FALSE)</f>
        <v>#N/A</v>
      </c>
      <c r="J507" s="43" t="e">
        <f>VLOOKUP($A507,'[2]Team lists'!$A$2:$L$800,9,FALSE)</f>
        <v>#N/A</v>
      </c>
      <c r="K507" s="43" t="e">
        <f>VLOOKUP($A507,'[2]Team lists'!$A$2:$L$800,10,FALSE)</f>
        <v>#N/A</v>
      </c>
      <c r="L507" s="43" t="e">
        <f>VLOOKUP($A507,'[2]Team lists'!$A$2:$L$800,11,FALSE)</f>
        <v>#N/A</v>
      </c>
    </row>
    <row r="508" spans="2:13">
      <c r="B508" s="43" t="e">
        <f>VLOOKUP($A508,'[2]Team lists'!$A$2:$L$800,2,FALSE)</f>
        <v>#N/A</v>
      </c>
      <c r="C508" s="43" t="e">
        <f>VLOOKUP($A508,'[2]Team lists'!$A$2:$L$800,3,FALSE)</f>
        <v>#N/A</v>
      </c>
      <c r="D508" s="43" t="e">
        <f>VLOOKUP($A508,'[2]Team lists'!$A$2:$L$800,4,FALSE)</f>
        <v>#N/A</v>
      </c>
      <c r="E508" s="43" t="e">
        <f>VLOOKUP($A508,'[2]Team lists'!$A$2:$L$800,5,FALSE)</f>
        <v>#N/A</v>
      </c>
      <c r="F508" s="43" t="e">
        <f>VLOOKUP($A508,'[2]Team lists'!$A$2:$L$800,6,FALSE)</f>
        <v>#N/A</v>
      </c>
      <c r="G508" s="43" t="e">
        <f>VLOOKUP($A508,'[2]Team lists'!$A$2:$L$800,7,FALSE)</f>
        <v>#N/A</v>
      </c>
      <c r="H508" s="43" t="e">
        <f>VLOOKUP($A508,'[2]Team lists'!$A$2:$L$800,8,FALSE)</f>
        <v>#N/A</v>
      </c>
      <c r="I508" s="43" t="e">
        <f>VLOOKUP($A508,'[2]Team lists'!$A$2:$L$800,9,FALSE)</f>
        <v>#N/A</v>
      </c>
      <c r="J508" s="43" t="e">
        <f>VLOOKUP($A508,'[2]Team lists'!$A$2:$L$800,9,FALSE)</f>
        <v>#N/A</v>
      </c>
      <c r="K508" s="43" t="e">
        <f>VLOOKUP($A508,'[2]Team lists'!$A$2:$L$800,10,FALSE)</f>
        <v>#N/A</v>
      </c>
      <c r="L508" s="43" t="e">
        <f>VLOOKUP($A508,'[2]Team lists'!$A$2:$L$800,11,FALSE)</f>
        <v>#N/A</v>
      </c>
    </row>
    <row r="509" spans="2:13">
      <c r="B509" s="43" t="e">
        <f>VLOOKUP($A509,'[2]Team lists'!$A$2:$L$800,2,FALSE)</f>
        <v>#N/A</v>
      </c>
      <c r="C509" s="43" t="e">
        <f>VLOOKUP($A509,'[2]Team lists'!$A$2:$L$800,3,FALSE)</f>
        <v>#N/A</v>
      </c>
      <c r="D509" s="43" t="e">
        <f>VLOOKUP($A509,'[2]Team lists'!$A$2:$L$800,4,FALSE)</f>
        <v>#N/A</v>
      </c>
      <c r="E509" s="43" t="e">
        <f>VLOOKUP($A509,'[2]Team lists'!$A$2:$L$800,5,FALSE)</f>
        <v>#N/A</v>
      </c>
      <c r="F509" s="43" t="e">
        <f>VLOOKUP($A509,'[2]Team lists'!$A$2:$L$800,6,FALSE)</f>
        <v>#N/A</v>
      </c>
      <c r="G509" s="43" t="e">
        <f>VLOOKUP($A509,'[2]Team lists'!$A$2:$L$800,7,FALSE)</f>
        <v>#N/A</v>
      </c>
      <c r="H509" s="43" t="e">
        <f>VLOOKUP($A509,'[2]Team lists'!$A$2:$L$800,8,FALSE)</f>
        <v>#N/A</v>
      </c>
      <c r="I509" s="43" t="e">
        <f>VLOOKUP($A509,'[2]Team lists'!$A$2:$L$800,9,FALSE)</f>
        <v>#N/A</v>
      </c>
      <c r="J509" s="43" t="e">
        <f>VLOOKUP($A509,'[2]Team lists'!$A$2:$L$800,9,FALSE)</f>
        <v>#N/A</v>
      </c>
      <c r="K509" s="43" t="e">
        <f>VLOOKUP($A509,'[2]Team lists'!$A$2:$L$800,10,FALSE)</f>
        <v>#N/A</v>
      </c>
      <c r="L509" s="43" t="e">
        <f>VLOOKUP($A509,'[2]Team lists'!$A$2:$L$800,11,FALSE)</f>
        <v>#N/A</v>
      </c>
    </row>
    <row r="510" spans="2:13">
      <c r="B510" s="43" t="e">
        <f>VLOOKUP($A510,'[2]Team lists'!$A$2:$L$800,2,FALSE)</f>
        <v>#N/A</v>
      </c>
      <c r="C510" s="43" t="e">
        <f>VLOOKUP($A510,'[2]Team lists'!$A$2:$L$800,3,FALSE)</f>
        <v>#N/A</v>
      </c>
      <c r="D510" s="43" t="e">
        <f>VLOOKUP($A510,'[2]Team lists'!$A$2:$L$800,4,FALSE)</f>
        <v>#N/A</v>
      </c>
      <c r="E510" s="43" t="e">
        <f>VLOOKUP($A510,'[2]Team lists'!$A$2:$L$800,5,FALSE)</f>
        <v>#N/A</v>
      </c>
      <c r="F510" s="43" t="e">
        <f>VLOOKUP($A510,'[2]Team lists'!$A$2:$L$800,6,FALSE)</f>
        <v>#N/A</v>
      </c>
      <c r="G510" s="43" t="e">
        <f>VLOOKUP($A510,'[2]Team lists'!$A$2:$L$800,7,FALSE)</f>
        <v>#N/A</v>
      </c>
      <c r="H510" s="43" t="e">
        <f>VLOOKUP($A510,'[2]Team lists'!$A$2:$L$800,8,FALSE)</f>
        <v>#N/A</v>
      </c>
      <c r="I510" s="43" t="e">
        <f>VLOOKUP($A510,'[2]Team lists'!$A$2:$L$800,9,FALSE)</f>
        <v>#N/A</v>
      </c>
      <c r="J510" s="43" t="e">
        <f>VLOOKUP($A510,'[2]Team lists'!$A$2:$L$800,9,FALSE)</f>
        <v>#N/A</v>
      </c>
      <c r="K510" s="43" t="e">
        <f>VLOOKUP($A510,'[2]Team lists'!$A$2:$L$800,10,FALSE)</f>
        <v>#N/A</v>
      </c>
      <c r="L510" s="43" t="e">
        <f>VLOOKUP($A510,'[2]Team lists'!$A$2:$L$800,11,FALSE)</f>
        <v>#N/A</v>
      </c>
    </row>
    <row r="511" spans="2:13" ht="18" thickBot="1">
      <c r="B511" s="45" t="s">
        <v>3210</v>
      </c>
      <c r="C511" s="46"/>
      <c r="D511" s="47"/>
      <c r="E511" s="48" t="e">
        <f t="shared" ref="E511:L511" si="31">SUM(E500:E510)</f>
        <v>#N/A</v>
      </c>
      <c r="F511" s="49" t="e">
        <f t="shared" si="31"/>
        <v>#N/A</v>
      </c>
      <c r="G511" s="49" t="e">
        <f t="shared" si="31"/>
        <v>#N/A</v>
      </c>
      <c r="H511" s="49" t="e">
        <f t="shared" si="31"/>
        <v>#N/A</v>
      </c>
      <c r="I511" s="49" t="e">
        <f t="shared" si="31"/>
        <v>#N/A</v>
      </c>
      <c r="J511" s="49" t="e">
        <f t="shared" si="31"/>
        <v>#N/A</v>
      </c>
      <c r="K511" s="49" t="e">
        <f t="shared" si="31"/>
        <v>#N/A</v>
      </c>
      <c r="L511" s="50" t="e">
        <f t="shared" si="31"/>
        <v>#N/A</v>
      </c>
    </row>
    <row r="512" spans="2:13" ht="18.600000000000001" thickTop="1" thickBot="1"/>
    <row r="513" spans="2:13" ht="18" thickTop="1">
      <c r="B513" s="23" t="s">
        <v>3204</v>
      </c>
      <c r="C513" s="24" t="s">
        <v>3205</v>
      </c>
      <c r="D513" s="25"/>
      <c r="E513" s="25"/>
      <c r="F513" s="53"/>
      <c r="G513" s="28" t="s">
        <v>3206</v>
      </c>
      <c r="H513" s="54"/>
      <c r="I513" s="54"/>
      <c r="J513" s="54"/>
      <c r="K513" s="28" t="s">
        <v>3207</v>
      </c>
      <c r="L513" s="29"/>
      <c r="M513" s="22" t="str">
        <f>G513</f>
        <v>Manager:</v>
      </c>
    </row>
    <row r="514" spans="2:13" ht="18" thickBot="1">
      <c r="B514" s="30">
        <v>33</v>
      </c>
      <c r="C514" s="57"/>
      <c r="D514" s="31"/>
      <c r="E514" s="31"/>
      <c r="F514" s="33"/>
      <c r="G514" s="55"/>
      <c r="H514" s="55"/>
      <c r="I514" s="55"/>
      <c r="J514" s="55"/>
      <c r="K514" s="34" t="e">
        <f>SUM(F527:L527)</f>
        <v>#N/A</v>
      </c>
      <c r="L514" s="35"/>
      <c r="M514" s="22">
        <f>G514</f>
        <v>0</v>
      </c>
    </row>
    <row r="515" spans="2:13" ht="18.600000000000001" thickTop="1">
      <c r="B515" s="58" t="s">
        <v>913</v>
      </c>
      <c r="C515" s="59" t="s">
        <v>912</v>
      </c>
      <c r="D515" s="60" t="s">
        <v>911</v>
      </c>
      <c r="E515" s="61" t="s">
        <v>3209</v>
      </c>
      <c r="F515" s="62" t="s">
        <v>3162</v>
      </c>
      <c r="G515" s="62" t="s">
        <v>3163</v>
      </c>
      <c r="H515" s="62" t="s">
        <v>3164</v>
      </c>
      <c r="I515" s="62" t="s">
        <v>3165</v>
      </c>
      <c r="J515" s="62" t="s">
        <v>3166</v>
      </c>
      <c r="K515" s="62" t="s">
        <v>3167</v>
      </c>
      <c r="L515" s="63" t="s">
        <v>3168</v>
      </c>
    </row>
    <row r="516" spans="2:13">
      <c r="B516" s="43" t="e">
        <f>VLOOKUP($A516,'[2]Team lists'!$A$2:$L$800,2,FALSE)</f>
        <v>#N/A</v>
      </c>
      <c r="C516" s="43" t="e">
        <f>VLOOKUP($A516,'[2]Team lists'!$A$2:$L$800,3,FALSE)</f>
        <v>#N/A</v>
      </c>
      <c r="D516" s="43" t="e">
        <f>VLOOKUP($A516,'[2]Team lists'!$A$2:$L$800,4,FALSE)</f>
        <v>#N/A</v>
      </c>
      <c r="E516" s="43" t="e">
        <f>VLOOKUP($A516,'[2]Team lists'!$A$2:$L$800,5,FALSE)</f>
        <v>#N/A</v>
      </c>
      <c r="F516" s="43" t="e">
        <f>VLOOKUP($A516,'[2]Team lists'!$A$2:$L$800,6,FALSE)</f>
        <v>#N/A</v>
      </c>
      <c r="G516" s="43" t="e">
        <f>VLOOKUP($A516,'[2]Team lists'!$A$2:$L$800,7,FALSE)</f>
        <v>#N/A</v>
      </c>
      <c r="H516" s="43" t="e">
        <f>VLOOKUP($A516,'[2]Team lists'!$A$2:$L$800,8,FALSE)</f>
        <v>#N/A</v>
      </c>
      <c r="I516" s="43" t="e">
        <f>VLOOKUP($A516,'[2]Team lists'!$A$2:$L$800,9,FALSE)</f>
        <v>#N/A</v>
      </c>
      <c r="J516" s="43" t="e">
        <f>VLOOKUP($A516,'[2]Team lists'!$A$2:$L$800,9,FALSE)</f>
        <v>#N/A</v>
      </c>
      <c r="K516" s="43" t="e">
        <f>VLOOKUP($A516,'[2]Team lists'!$A$2:$L$800,10,FALSE)</f>
        <v>#N/A</v>
      </c>
      <c r="L516" s="43" t="e">
        <f>VLOOKUP($A516,'[2]Team lists'!$A$2:$L$800,11,FALSE)</f>
        <v>#N/A</v>
      </c>
    </row>
    <row r="517" spans="2:13">
      <c r="B517" s="43" t="e">
        <f>VLOOKUP($A517,'[2]Team lists'!$A$2:$L$800,2,FALSE)</f>
        <v>#N/A</v>
      </c>
      <c r="C517" s="43" t="e">
        <f>VLOOKUP($A517,'[2]Team lists'!$A$2:$L$800,3,FALSE)</f>
        <v>#N/A</v>
      </c>
      <c r="D517" s="43" t="e">
        <f>VLOOKUP($A517,'[2]Team lists'!$A$2:$L$800,4,FALSE)</f>
        <v>#N/A</v>
      </c>
      <c r="E517" s="43" t="e">
        <f>VLOOKUP($A517,'[2]Team lists'!$A$2:$L$800,5,FALSE)</f>
        <v>#N/A</v>
      </c>
      <c r="F517" s="43" t="e">
        <f>VLOOKUP($A517,'[2]Team lists'!$A$2:$L$800,6,FALSE)</f>
        <v>#N/A</v>
      </c>
      <c r="G517" s="43" t="e">
        <f>VLOOKUP($A517,'[2]Team lists'!$A$2:$L$800,7,FALSE)</f>
        <v>#N/A</v>
      </c>
      <c r="H517" s="43" t="e">
        <f>VLOOKUP($A517,'[2]Team lists'!$A$2:$L$800,8,FALSE)</f>
        <v>#N/A</v>
      </c>
      <c r="I517" s="43" t="e">
        <f>VLOOKUP($A517,'[2]Team lists'!$A$2:$L$800,9,FALSE)</f>
        <v>#N/A</v>
      </c>
      <c r="J517" s="43" t="e">
        <f>VLOOKUP($A517,'[2]Team lists'!$A$2:$L$800,9,FALSE)</f>
        <v>#N/A</v>
      </c>
      <c r="K517" s="43" t="e">
        <f>VLOOKUP($A517,'[2]Team lists'!$A$2:$L$800,10,FALSE)</f>
        <v>#N/A</v>
      </c>
      <c r="L517" s="43" t="e">
        <f>VLOOKUP($A517,'[2]Team lists'!$A$2:$L$800,11,FALSE)</f>
        <v>#N/A</v>
      </c>
    </row>
    <row r="518" spans="2:13">
      <c r="B518" s="43" t="e">
        <f>VLOOKUP($A518,'[2]Team lists'!$A$2:$L$800,2,FALSE)</f>
        <v>#N/A</v>
      </c>
      <c r="C518" s="43" t="e">
        <f>VLOOKUP($A518,'[2]Team lists'!$A$2:$L$800,3,FALSE)</f>
        <v>#N/A</v>
      </c>
      <c r="D518" s="43" t="e">
        <f>VLOOKUP($A518,'[2]Team lists'!$A$2:$L$800,4,FALSE)</f>
        <v>#N/A</v>
      </c>
      <c r="E518" s="43" t="e">
        <f>VLOOKUP($A518,'[2]Team lists'!$A$2:$L$800,5,FALSE)</f>
        <v>#N/A</v>
      </c>
      <c r="F518" s="43" t="e">
        <f>VLOOKUP($A518,'[2]Team lists'!$A$2:$L$800,6,FALSE)</f>
        <v>#N/A</v>
      </c>
      <c r="G518" s="43" t="e">
        <f>VLOOKUP($A518,'[2]Team lists'!$A$2:$L$800,7,FALSE)</f>
        <v>#N/A</v>
      </c>
      <c r="H518" s="43" t="e">
        <f>VLOOKUP($A518,'[2]Team lists'!$A$2:$L$800,8,FALSE)</f>
        <v>#N/A</v>
      </c>
      <c r="I518" s="43" t="e">
        <f>VLOOKUP($A518,'[2]Team lists'!$A$2:$L$800,9,FALSE)</f>
        <v>#N/A</v>
      </c>
      <c r="J518" s="43" t="e">
        <f>VLOOKUP($A518,'[2]Team lists'!$A$2:$L$800,9,FALSE)</f>
        <v>#N/A</v>
      </c>
      <c r="K518" s="43" t="e">
        <f>VLOOKUP($A518,'[2]Team lists'!$A$2:$L$800,10,FALSE)</f>
        <v>#N/A</v>
      </c>
      <c r="L518" s="43" t="e">
        <f>VLOOKUP($A518,'[2]Team lists'!$A$2:$L$800,11,FALSE)</f>
        <v>#N/A</v>
      </c>
    </row>
    <row r="519" spans="2:13">
      <c r="B519" s="43" t="e">
        <f>VLOOKUP($A519,'[2]Team lists'!$A$2:$L$800,2,FALSE)</f>
        <v>#N/A</v>
      </c>
      <c r="C519" s="43" t="e">
        <f>VLOOKUP($A519,'[2]Team lists'!$A$2:$L$800,3,FALSE)</f>
        <v>#N/A</v>
      </c>
      <c r="D519" s="43" t="e">
        <f>VLOOKUP($A519,'[2]Team lists'!$A$2:$L$800,4,FALSE)</f>
        <v>#N/A</v>
      </c>
      <c r="E519" s="43" t="e">
        <f>VLOOKUP($A519,'[2]Team lists'!$A$2:$L$800,5,FALSE)</f>
        <v>#N/A</v>
      </c>
      <c r="F519" s="43" t="e">
        <f>VLOOKUP($A519,'[2]Team lists'!$A$2:$L$800,6,FALSE)</f>
        <v>#N/A</v>
      </c>
      <c r="G519" s="43" t="e">
        <f>VLOOKUP($A519,'[2]Team lists'!$A$2:$L$800,7,FALSE)</f>
        <v>#N/A</v>
      </c>
      <c r="H519" s="43" t="e">
        <f>VLOOKUP($A519,'[2]Team lists'!$A$2:$L$800,8,FALSE)</f>
        <v>#N/A</v>
      </c>
      <c r="I519" s="43" t="e">
        <f>VLOOKUP($A519,'[2]Team lists'!$A$2:$L$800,9,FALSE)</f>
        <v>#N/A</v>
      </c>
      <c r="J519" s="43" t="e">
        <f>VLOOKUP($A519,'[2]Team lists'!$A$2:$L$800,9,FALSE)</f>
        <v>#N/A</v>
      </c>
      <c r="K519" s="43" t="e">
        <f>VLOOKUP($A519,'[2]Team lists'!$A$2:$L$800,10,FALSE)</f>
        <v>#N/A</v>
      </c>
      <c r="L519" s="43" t="e">
        <f>VLOOKUP($A519,'[2]Team lists'!$A$2:$L$800,11,FALSE)</f>
        <v>#N/A</v>
      </c>
    </row>
    <row r="520" spans="2:13">
      <c r="B520" s="43" t="e">
        <f>VLOOKUP($A520,'[2]Team lists'!$A$2:$L$800,2,FALSE)</f>
        <v>#N/A</v>
      </c>
      <c r="C520" s="43" t="e">
        <f>VLOOKUP($A520,'[2]Team lists'!$A$2:$L$800,3,FALSE)</f>
        <v>#N/A</v>
      </c>
      <c r="D520" s="43" t="e">
        <f>VLOOKUP($A520,'[2]Team lists'!$A$2:$L$800,4,FALSE)</f>
        <v>#N/A</v>
      </c>
      <c r="E520" s="43" t="e">
        <f>VLOOKUP($A520,'[2]Team lists'!$A$2:$L$800,5,FALSE)</f>
        <v>#N/A</v>
      </c>
      <c r="F520" s="43" t="e">
        <f>VLOOKUP($A520,'[2]Team lists'!$A$2:$L$800,6,FALSE)</f>
        <v>#N/A</v>
      </c>
      <c r="G520" s="43" t="e">
        <f>VLOOKUP($A520,'[2]Team lists'!$A$2:$L$800,7,FALSE)</f>
        <v>#N/A</v>
      </c>
      <c r="H520" s="43" t="e">
        <f>VLOOKUP($A520,'[2]Team lists'!$A$2:$L$800,8,FALSE)</f>
        <v>#N/A</v>
      </c>
      <c r="I520" s="43" t="e">
        <f>VLOOKUP($A520,'[2]Team lists'!$A$2:$L$800,9,FALSE)</f>
        <v>#N/A</v>
      </c>
      <c r="J520" s="43" t="e">
        <f>VLOOKUP($A520,'[2]Team lists'!$A$2:$L$800,9,FALSE)</f>
        <v>#N/A</v>
      </c>
      <c r="K520" s="43" t="e">
        <f>VLOOKUP($A520,'[2]Team lists'!$A$2:$L$800,10,FALSE)</f>
        <v>#N/A</v>
      </c>
      <c r="L520" s="43" t="e">
        <f>VLOOKUP($A520,'[2]Team lists'!$A$2:$L$800,11,FALSE)</f>
        <v>#N/A</v>
      </c>
    </row>
    <row r="521" spans="2:13">
      <c r="B521" s="43" t="e">
        <f>VLOOKUP($A521,'[2]Team lists'!$A$2:$L$800,2,FALSE)</f>
        <v>#N/A</v>
      </c>
      <c r="C521" s="43" t="e">
        <f>VLOOKUP($A521,'[2]Team lists'!$A$2:$L$800,3,FALSE)</f>
        <v>#N/A</v>
      </c>
      <c r="D521" s="43" t="e">
        <f>VLOOKUP($A521,'[2]Team lists'!$A$2:$L$800,4,FALSE)</f>
        <v>#N/A</v>
      </c>
      <c r="E521" s="43" t="e">
        <f>VLOOKUP($A521,'[2]Team lists'!$A$2:$L$800,5,FALSE)</f>
        <v>#N/A</v>
      </c>
      <c r="F521" s="43" t="e">
        <f>VLOOKUP($A521,'[2]Team lists'!$A$2:$L$800,6,FALSE)</f>
        <v>#N/A</v>
      </c>
      <c r="G521" s="43" t="e">
        <f>VLOOKUP($A521,'[2]Team lists'!$A$2:$L$800,7,FALSE)</f>
        <v>#N/A</v>
      </c>
      <c r="H521" s="43" t="e">
        <f>VLOOKUP($A521,'[2]Team lists'!$A$2:$L$800,8,FALSE)</f>
        <v>#N/A</v>
      </c>
      <c r="I521" s="43" t="e">
        <f>VLOOKUP($A521,'[2]Team lists'!$A$2:$L$800,9,FALSE)</f>
        <v>#N/A</v>
      </c>
      <c r="J521" s="43" t="e">
        <f>VLOOKUP($A521,'[2]Team lists'!$A$2:$L$800,9,FALSE)</f>
        <v>#N/A</v>
      </c>
      <c r="K521" s="43" t="e">
        <f>VLOOKUP($A521,'[2]Team lists'!$A$2:$L$800,10,FALSE)</f>
        <v>#N/A</v>
      </c>
      <c r="L521" s="43" t="e">
        <f>VLOOKUP($A521,'[2]Team lists'!$A$2:$L$800,11,FALSE)</f>
        <v>#N/A</v>
      </c>
    </row>
    <row r="522" spans="2:13">
      <c r="B522" s="43" t="e">
        <f>VLOOKUP($A522,'[2]Team lists'!$A$2:$L$800,2,FALSE)</f>
        <v>#N/A</v>
      </c>
      <c r="C522" s="43" t="e">
        <f>VLOOKUP($A522,'[2]Team lists'!$A$2:$L$800,3,FALSE)</f>
        <v>#N/A</v>
      </c>
      <c r="D522" s="43" t="e">
        <f>VLOOKUP($A522,'[2]Team lists'!$A$2:$L$800,4,FALSE)</f>
        <v>#N/A</v>
      </c>
      <c r="E522" s="43" t="e">
        <f>VLOOKUP($A522,'[2]Team lists'!$A$2:$L$800,5,FALSE)</f>
        <v>#N/A</v>
      </c>
      <c r="F522" s="43" t="e">
        <f>VLOOKUP($A522,'[2]Team lists'!$A$2:$L$800,6,FALSE)</f>
        <v>#N/A</v>
      </c>
      <c r="G522" s="43" t="e">
        <f>VLOOKUP($A522,'[2]Team lists'!$A$2:$L$800,7,FALSE)</f>
        <v>#N/A</v>
      </c>
      <c r="H522" s="43" t="e">
        <f>VLOOKUP($A522,'[2]Team lists'!$A$2:$L$800,8,FALSE)</f>
        <v>#N/A</v>
      </c>
      <c r="I522" s="43" t="e">
        <f>VLOOKUP($A522,'[2]Team lists'!$A$2:$L$800,9,FALSE)</f>
        <v>#N/A</v>
      </c>
      <c r="J522" s="43" t="e">
        <f>VLOOKUP($A522,'[2]Team lists'!$A$2:$L$800,9,FALSE)</f>
        <v>#N/A</v>
      </c>
      <c r="K522" s="43" t="e">
        <f>VLOOKUP($A522,'[2]Team lists'!$A$2:$L$800,10,FALSE)</f>
        <v>#N/A</v>
      </c>
      <c r="L522" s="43" t="e">
        <f>VLOOKUP($A522,'[2]Team lists'!$A$2:$L$800,11,FALSE)</f>
        <v>#N/A</v>
      </c>
    </row>
    <row r="523" spans="2:13">
      <c r="B523" s="43" t="e">
        <f>VLOOKUP($A523,'[2]Team lists'!$A$2:$L$800,2,FALSE)</f>
        <v>#N/A</v>
      </c>
      <c r="C523" s="43" t="e">
        <f>VLOOKUP($A523,'[2]Team lists'!$A$2:$L$800,3,FALSE)</f>
        <v>#N/A</v>
      </c>
      <c r="D523" s="43" t="e">
        <f>VLOOKUP($A523,'[2]Team lists'!$A$2:$L$800,4,FALSE)</f>
        <v>#N/A</v>
      </c>
      <c r="E523" s="43" t="e">
        <f>VLOOKUP($A523,'[2]Team lists'!$A$2:$L$800,5,FALSE)</f>
        <v>#N/A</v>
      </c>
      <c r="F523" s="43" t="e">
        <f>VLOOKUP($A523,'[2]Team lists'!$A$2:$L$800,6,FALSE)</f>
        <v>#N/A</v>
      </c>
      <c r="G523" s="43" t="e">
        <f>VLOOKUP($A523,'[2]Team lists'!$A$2:$L$800,7,FALSE)</f>
        <v>#N/A</v>
      </c>
      <c r="H523" s="43" t="e">
        <f>VLOOKUP($A523,'[2]Team lists'!$A$2:$L$800,8,FALSE)</f>
        <v>#N/A</v>
      </c>
      <c r="I523" s="43" t="e">
        <f>VLOOKUP($A523,'[2]Team lists'!$A$2:$L$800,9,FALSE)</f>
        <v>#N/A</v>
      </c>
      <c r="J523" s="43" t="e">
        <f>VLOOKUP($A523,'[2]Team lists'!$A$2:$L$800,9,FALSE)</f>
        <v>#N/A</v>
      </c>
      <c r="K523" s="43" t="e">
        <f>VLOOKUP($A523,'[2]Team lists'!$A$2:$L$800,10,FALSE)</f>
        <v>#N/A</v>
      </c>
      <c r="L523" s="43" t="e">
        <f>VLOOKUP($A523,'[2]Team lists'!$A$2:$L$800,11,FALSE)</f>
        <v>#N/A</v>
      </c>
    </row>
    <row r="524" spans="2:13">
      <c r="B524" s="43" t="e">
        <f>VLOOKUP($A524,'[2]Team lists'!$A$2:$L$800,2,FALSE)</f>
        <v>#N/A</v>
      </c>
      <c r="C524" s="43" t="e">
        <f>VLOOKUP($A524,'[2]Team lists'!$A$2:$L$800,3,FALSE)</f>
        <v>#N/A</v>
      </c>
      <c r="D524" s="43" t="e">
        <f>VLOOKUP($A524,'[2]Team lists'!$A$2:$L$800,4,FALSE)</f>
        <v>#N/A</v>
      </c>
      <c r="E524" s="43" t="e">
        <f>VLOOKUP($A524,'[2]Team lists'!$A$2:$L$800,5,FALSE)</f>
        <v>#N/A</v>
      </c>
      <c r="F524" s="43" t="e">
        <f>VLOOKUP($A524,'[2]Team lists'!$A$2:$L$800,6,FALSE)</f>
        <v>#N/A</v>
      </c>
      <c r="G524" s="43" t="e">
        <f>VLOOKUP($A524,'[2]Team lists'!$A$2:$L$800,7,FALSE)</f>
        <v>#N/A</v>
      </c>
      <c r="H524" s="43" t="e">
        <f>VLOOKUP($A524,'[2]Team lists'!$A$2:$L$800,8,FALSE)</f>
        <v>#N/A</v>
      </c>
      <c r="I524" s="43" t="e">
        <f>VLOOKUP($A524,'[2]Team lists'!$A$2:$L$800,9,FALSE)</f>
        <v>#N/A</v>
      </c>
      <c r="J524" s="43" t="e">
        <f>VLOOKUP($A524,'[2]Team lists'!$A$2:$L$800,9,FALSE)</f>
        <v>#N/A</v>
      </c>
      <c r="K524" s="43" t="e">
        <f>VLOOKUP($A524,'[2]Team lists'!$A$2:$L$800,10,FALSE)</f>
        <v>#N/A</v>
      </c>
      <c r="L524" s="43" t="e">
        <f>VLOOKUP($A524,'[2]Team lists'!$A$2:$L$800,11,FALSE)</f>
        <v>#N/A</v>
      </c>
    </row>
    <row r="525" spans="2:13">
      <c r="B525" s="43" t="e">
        <f>VLOOKUP($A525,'[2]Team lists'!$A$2:$L$800,2,FALSE)</f>
        <v>#N/A</v>
      </c>
      <c r="C525" s="43" t="e">
        <f>VLOOKUP($A525,'[2]Team lists'!$A$2:$L$800,3,FALSE)</f>
        <v>#N/A</v>
      </c>
      <c r="D525" s="43" t="e">
        <f>VLOOKUP($A525,'[2]Team lists'!$A$2:$L$800,4,FALSE)</f>
        <v>#N/A</v>
      </c>
      <c r="E525" s="43" t="e">
        <f>VLOOKUP($A525,'[2]Team lists'!$A$2:$L$800,5,FALSE)</f>
        <v>#N/A</v>
      </c>
      <c r="F525" s="43" t="e">
        <f>VLOOKUP($A525,'[2]Team lists'!$A$2:$L$800,6,FALSE)</f>
        <v>#N/A</v>
      </c>
      <c r="G525" s="43" t="e">
        <f>VLOOKUP($A525,'[2]Team lists'!$A$2:$L$800,7,FALSE)</f>
        <v>#N/A</v>
      </c>
      <c r="H525" s="43" t="e">
        <f>VLOOKUP($A525,'[2]Team lists'!$A$2:$L$800,8,FALSE)</f>
        <v>#N/A</v>
      </c>
      <c r="I525" s="43" t="e">
        <f>VLOOKUP($A525,'[2]Team lists'!$A$2:$L$800,9,FALSE)</f>
        <v>#N/A</v>
      </c>
      <c r="J525" s="43" t="e">
        <f>VLOOKUP($A525,'[2]Team lists'!$A$2:$L$800,9,FALSE)</f>
        <v>#N/A</v>
      </c>
      <c r="K525" s="43" t="e">
        <f>VLOOKUP($A525,'[2]Team lists'!$A$2:$L$800,10,FALSE)</f>
        <v>#N/A</v>
      </c>
      <c r="L525" s="43" t="e">
        <f>VLOOKUP($A525,'[2]Team lists'!$A$2:$L$800,11,FALSE)</f>
        <v>#N/A</v>
      </c>
    </row>
    <row r="526" spans="2:13">
      <c r="B526" s="43" t="e">
        <f>VLOOKUP($A526,'[2]Team lists'!$A$2:$L$800,2,FALSE)</f>
        <v>#N/A</v>
      </c>
      <c r="C526" s="43" t="e">
        <f>VLOOKUP($A526,'[2]Team lists'!$A$2:$L$800,3,FALSE)</f>
        <v>#N/A</v>
      </c>
      <c r="D526" s="43" t="e">
        <f>VLOOKUP($A526,'[2]Team lists'!$A$2:$L$800,4,FALSE)</f>
        <v>#N/A</v>
      </c>
      <c r="E526" s="43" t="e">
        <f>VLOOKUP($A526,'[2]Team lists'!$A$2:$L$800,5,FALSE)</f>
        <v>#N/A</v>
      </c>
      <c r="F526" s="43" t="e">
        <f>VLOOKUP($A526,'[2]Team lists'!$A$2:$L$800,6,FALSE)</f>
        <v>#N/A</v>
      </c>
      <c r="G526" s="43" t="e">
        <f>VLOOKUP($A526,'[2]Team lists'!$A$2:$L$800,7,FALSE)</f>
        <v>#N/A</v>
      </c>
      <c r="H526" s="43" t="e">
        <f>VLOOKUP($A526,'[2]Team lists'!$A$2:$L$800,8,FALSE)</f>
        <v>#N/A</v>
      </c>
      <c r="I526" s="43" t="e">
        <f>VLOOKUP($A526,'[2]Team lists'!$A$2:$L$800,9,FALSE)</f>
        <v>#N/A</v>
      </c>
      <c r="J526" s="43" t="e">
        <f>VLOOKUP($A526,'[2]Team lists'!$A$2:$L$800,9,FALSE)</f>
        <v>#N/A</v>
      </c>
      <c r="K526" s="43" t="e">
        <f>VLOOKUP($A526,'[2]Team lists'!$A$2:$L$800,10,FALSE)</f>
        <v>#N/A</v>
      </c>
      <c r="L526" s="43" t="e">
        <f>VLOOKUP($A526,'[2]Team lists'!$A$2:$L$800,11,FALSE)</f>
        <v>#N/A</v>
      </c>
    </row>
    <row r="527" spans="2:13" ht="18" thickBot="1">
      <c r="B527" s="45" t="s">
        <v>3210</v>
      </c>
      <c r="C527" s="46"/>
      <c r="D527" s="47"/>
      <c r="E527" s="48" t="e">
        <f t="shared" ref="E527:L527" si="32">SUM(E516:E526)</f>
        <v>#N/A</v>
      </c>
      <c r="F527" s="49" t="e">
        <f t="shared" si="32"/>
        <v>#N/A</v>
      </c>
      <c r="G527" s="49" t="e">
        <f t="shared" si="32"/>
        <v>#N/A</v>
      </c>
      <c r="H527" s="49" t="e">
        <f t="shared" si="32"/>
        <v>#N/A</v>
      </c>
      <c r="I527" s="49" t="e">
        <f t="shared" si="32"/>
        <v>#N/A</v>
      </c>
      <c r="J527" s="49" t="e">
        <f t="shared" si="32"/>
        <v>#N/A</v>
      </c>
      <c r="K527" s="49" t="e">
        <f t="shared" si="32"/>
        <v>#N/A</v>
      </c>
      <c r="L527" s="50" t="e">
        <f t="shared" si="32"/>
        <v>#N/A</v>
      </c>
    </row>
    <row r="528" spans="2:13" ht="18.600000000000001" thickTop="1" thickBot="1"/>
    <row r="529" spans="2:13" ht="18" thickTop="1">
      <c r="B529" s="23" t="s">
        <v>3204</v>
      </c>
      <c r="C529" s="24" t="s">
        <v>3205</v>
      </c>
      <c r="D529" s="25"/>
      <c r="E529" s="25"/>
      <c r="F529" s="53"/>
      <c r="G529" s="28" t="s">
        <v>3206</v>
      </c>
      <c r="H529" s="54"/>
      <c r="I529" s="54"/>
      <c r="J529" s="54"/>
      <c r="K529" s="28" t="s">
        <v>3207</v>
      </c>
      <c r="L529" s="29"/>
      <c r="M529" s="22" t="str">
        <f>G529</f>
        <v>Manager:</v>
      </c>
    </row>
    <row r="530" spans="2:13" ht="18" thickBot="1">
      <c r="B530" s="30">
        <v>34</v>
      </c>
      <c r="C530" s="57"/>
      <c r="D530" s="31"/>
      <c r="E530" s="31"/>
      <c r="F530" s="33"/>
      <c r="G530" s="55"/>
      <c r="H530" s="55"/>
      <c r="I530" s="55"/>
      <c r="J530" s="55"/>
      <c r="K530" s="34" t="e">
        <f>SUM(F543:L543)</f>
        <v>#N/A</v>
      </c>
      <c r="L530" s="35"/>
      <c r="M530" s="22">
        <f>G530</f>
        <v>0</v>
      </c>
    </row>
    <row r="531" spans="2:13" ht="18.600000000000001" thickTop="1">
      <c r="B531" s="58" t="s">
        <v>913</v>
      </c>
      <c r="C531" s="59" t="s">
        <v>912</v>
      </c>
      <c r="D531" s="60" t="s">
        <v>911</v>
      </c>
      <c r="E531" s="61" t="s">
        <v>3209</v>
      </c>
      <c r="F531" s="62" t="s">
        <v>3162</v>
      </c>
      <c r="G531" s="62" t="s">
        <v>3163</v>
      </c>
      <c r="H531" s="62" t="s">
        <v>3164</v>
      </c>
      <c r="I531" s="62" t="s">
        <v>3165</v>
      </c>
      <c r="J531" s="62" t="s">
        <v>3166</v>
      </c>
      <c r="K531" s="62" t="s">
        <v>3167</v>
      </c>
      <c r="L531" s="63" t="s">
        <v>3168</v>
      </c>
    </row>
    <row r="532" spans="2:13">
      <c r="B532" s="43" t="e">
        <f>VLOOKUP($A532,'[2]Team lists'!$A$2:$L$800,2,FALSE)</f>
        <v>#N/A</v>
      </c>
      <c r="C532" s="43" t="e">
        <f>VLOOKUP($A532,'[2]Team lists'!$A$2:$L$800,3,FALSE)</f>
        <v>#N/A</v>
      </c>
      <c r="D532" s="43" t="e">
        <f>VLOOKUP($A532,'[2]Team lists'!$A$2:$L$800,4,FALSE)</f>
        <v>#N/A</v>
      </c>
      <c r="E532" s="43" t="e">
        <f>VLOOKUP($A532,'[2]Team lists'!$A$2:$L$800,5,FALSE)</f>
        <v>#N/A</v>
      </c>
      <c r="F532" s="43" t="e">
        <f>VLOOKUP($A532,'[2]Team lists'!$A$2:$L$800,6,FALSE)</f>
        <v>#N/A</v>
      </c>
      <c r="G532" s="43" t="e">
        <f>VLOOKUP($A532,'[2]Team lists'!$A$2:$L$800,7,FALSE)</f>
        <v>#N/A</v>
      </c>
      <c r="H532" s="43" t="e">
        <f>VLOOKUP($A532,'[2]Team lists'!$A$2:$L$800,8,FALSE)</f>
        <v>#N/A</v>
      </c>
      <c r="I532" s="43" t="e">
        <f>VLOOKUP($A532,'[2]Team lists'!$A$2:$L$800,9,FALSE)</f>
        <v>#N/A</v>
      </c>
      <c r="J532" s="43" t="e">
        <f>VLOOKUP($A532,'[2]Team lists'!$A$2:$L$800,9,FALSE)</f>
        <v>#N/A</v>
      </c>
      <c r="K532" s="43" t="e">
        <f>VLOOKUP($A532,'[2]Team lists'!$A$2:$L$800,10,FALSE)</f>
        <v>#N/A</v>
      </c>
      <c r="L532" s="43" t="e">
        <f>VLOOKUP($A532,'[2]Team lists'!$A$2:$L$800,11,FALSE)</f>
        <v>#N/A</v>
      </c>
    </row>
    <row r="533" spans="2:13">
      <c r="B533" s="43" t="e">
        <f>VLOOKUP($A533,'[2]Team lists'!$A$2:$L$800,2,FALSE)</f>
        <v>#N/A</v>
      </c>
      <c r="C533" s="43" t="e">
        <f>VLOOKUP($A533,'[2]Team lists'!$A$2:$L$800,3,FALSE)</f>
        <v>#N/A</v>
      </c>
      <c r="D533" s="43" t="e">
        <f>VLOOKUP($A533,'[2]Team lists'!$A$2:$L$800,4,FALSE)</f>
        <v>#N/A</v>
      </c>
      <c r="E533" s="43" t="e">
        <f>VLOOKUP($A533,'[2]Team lists'!$A$2:$L$800,5,FALSE)</f>
        <v>#N/A</v>
      </c>
      <c r="F533" s="43" t="e">
        <f>VLOOKUP($A533,'[2]Team lists'!$A$2:$L$800,6,FALSE)</f>
        <v>#N/A</v>
      </c>
      <c r="G533" s="43" t="e">
        <f>VLOOKUP($A533,'[2]Team lists'!$A$2:$L$800,7,FALSE)</f>
        <v>#N/A</v>
      </c>
      <c r="H533" s="43" t="e">
        <f>VLOOKUP($A533,'[2]Team lists'!$A$2:$L$800,8,FALSE)</f>
        <v>#N/A</v>
      </c>
      <c r="I533" s="43" t="e">
        <f>VLOOKUP($A533,'[2]Team lists'!$A$2:$L$800,9,FALSE)</f>
        <v>#N/A</v>
      </c>
      <c r="J533" s="43" t="e">
        <f>VLOOKUP($A533,'[2]Team lists'!$A$2:$L$800,9,FALSE)</f>
        <v>#N/A</v>
      </c>
      <c r="K533" s="43" t="e">
        <f>VLOOKUP($A533,'[2]Team lists'!$A$2:$L$800,10,FALSE)</f>
        <v>#N/A</v>
      </c>
      <c r="L533" s="43" t="e">
        <f>VLOOKUP($A533,'[2]Team lists'!$A$2:$L$800,11,FALSE)</f>
        <v>#N/A</v>
      </c>
    </row>
    <row r="534" spans="2:13">
      <c r="B534" s="43" t="e">
        <f>VLOOKUP($A534,'[2]Team lists'!$A$2:$L$800,2,FALSE)</f>
        <v>#N/A</v>
      </c>
      <c r="C534" s="43" t="e">
        <f>VLOOKUP($A534,'[2]Team lists'!$A$2:$L$800,3,FALSE)</f>
        <v>#N/A</v>
      </c>
      <c r="D534" s="43" t="e">
        <f>VLOOKUP($A534,'[2]Team lists'!$A$2:$L$800,4,FALSE)</f>
        <v>#N/A</v>
      </c>
      <c r="E534" s="43" t="e">
        <f>VLOOKUP($A534,'[2]Team lists'!$A$2:$L$800,5,FALSE)</f>
        <v>#N/A</v>
      </c>
      <c r="F534" s="43" t="e">
        <f>VLOOKUP($A534,'[2]Team lists'!$A$2:$L$800,6,FALSE)</f>
        <v>#N/A</v>
      </c>
      <c r="G534" s="43" t="e">
        <f>VLOOKUP($A534,'[2]Team lists'!$A$2:$L$800,7,FALSE)</f>
        <v>#N/A</v>
      </c>
      <c r="H534" s="43" t="e">
        <f>VLOOKUP($A534,'[2]Team lists'!$A$2:$L$800,8,FALSE)</f>
        <v>#N/A</v>
      </c>
      <c r="I534" s="43" t="e">
        <f>VLOOKUP($A534,'[2]Team lists'!$A$2:$L$800,9,FALSE)</f>
        <v>#N/A</v>
      </c>
      <c r="J534" s="43" t="e">
        <f>VLOOKUP($A534,'[2]Team lists'!$A$2:$L$800,9,FALSE)</f>
        <v>#N/A</v>
      </c>
      <c r="K534" s="43" t="e">
        <f>VLOOKUP($A534,'[2]Team lists'!$A$2:$L$800,10,FALSE)</f>
        <v>#N/A</v>
      </c>
      <c r="L534" s="43" t="e">
        <f>VLOOKUP($A534,'[2]Team lists'!$A$2:$L$800,11,FALSE)</f>
        <v>#N/A</v>
      </c>
    </row>
    <row r="535" spans="2:13">
      <c r="B535" s="43" t="e">
        <f>VLOOKUP($A535,'[2]Team lists'!$A$2:$L$800,2,FALSE)</f>
        <v>#N/A</v>
      </c>
      <c r="C535" s="43" t="e">
        <f>VLOOKUP($A535,'[2]Team lists'!$A$2:$L$800,3,FALSE)</f>
        <v>#N/A</v>
      </c>
      <c r="D535" s="43" t="e">
        <f>VLOOKUP($A535,'[2]Team lists'!$A$2:$L$800,4,FALSE)</f>
        <v>#N/A</v>
      </c>
      <c r="E535" s="43" t="e">
        <f>VLOOKUP($A535,'[2]Team lists'!$A$2:$L$800,5,FALSE)</f>
        <v>#N/A</v>
      </c>
      <c r="F535" s="43" t="e">
        <f>VLOOKUP($A535,'[2]Team lists'!$A$2:$L$800,6,FALSE)</f>
        <v>#N/A</v>
      </c>
      <c r="G535" s="43" t="e">
        <f>VLOOKUP($A535,'[2]Team lists'!$A$2:$L$800,7,FALSE)</f>
        <v>#N/A</v>
      </c>
      <c r="H535" s="43" t="e">
        <f>VLOOKUP($A535,'[2]Team lists'!$A$2:$L$800,8,FALSE)</f>
        <v>#N/A</v>
      </c>
      <c r="I535" s="43" t="e">
        <f>VLOOKUP($A535,'[2]Team lists'!$A$2:$L$800,9,FALSE)</f>
        <v>#N/A</v>
      </c>
      <c r="J535" s="43" t="e">
        <f>VLOOKUP($A535,'[2]Team lists'!$A$2:$L$800,9,FALSE)</f>
        <v>#N/A</v>
      </c>
      <c r="K535" s="43" t="e">
        <f>VLOOKUP($A535,'[2]Team lists'!$A$2:$L$800,10,FALSE)</f>
        <v>#N/A</v>
      </c>
      <c r="L535" s="43" t="e">
        <f>VLOOKUP($A535,'[2]Team lists'!$A$2:$L$800,11,FALSE)</f>
        <v>#N/A</v>
      </c>
    </row>
    <row r="536" spans="2:13">
      <c r="B536" s="43" t="e">
        <f>VLOOKUP($A536,'[2]Team lists'!$A$2:$L$800,2,FALSE)</f>
        <v>#N/A</v>
      </c>
      <c r="C536" s="43" t="e">
        <f>VLOOKUP($A536,'[2]Team lists'!$A$2:$L$800,3,FALSE)</f>
        <v>#N/A</v>
      </c>
      <c r="D536" s="43" t="e">
        <f>VLOOKUP($A536,'[2]Team lists'!$A$2:$L$800,4,FALSE)</f>
        <v>#N/A</v>
      </c>
      <c r="E536" s="43" t="e">
        <f>VLOOKUP($A536,'[2]Team lists'!$A$2:$L$800,5,FALSE)</f>
        <v>#N/A</v>
      </c>
      <c r="F536" s="43" t="e">
        <f>VLOOKUP($A536,'[2]Team lists'!$A$2:$L$800,6,FALSE)</f>
        <v>#N/A</v>
      </c>
      <c r="G536" s="43" t="e">
        <f>VLOOKUP($A536,'[2]Team lists'!$A$2:$L$800,7,FALSE)</f>
        <v>#N/A</v>
      </c>
      <c r="H536" s="43" t="e">
        <f>VLOOKUP($A536,'[2]Team lists'!$A$2:$L$800,8,FALSE)</f>
        <v>#N/A</v>
      </c>
      <c r="I536" s="43" t="e">
        <f>VLOOKUP($A536,'[2]Team lists'!$A$2:$L$800,9,FALSE)</f>
        <v>#N/A</v>
      </c>
      <c r="J536" s="43" t="e">
        <f>VLOOKUP($A536,'[2]Team lists'!$A$2:$L$800,9,FALSE)</f>
        <v>#N/A</v>
      </c>
      <c r="K536" s="43" t="e">
        <f>VLOOKUP($A536,'[2]Team lists'!$A$2:$L$800,10,FALSE)</f>
        <v>#N/A</v>
      </c>
      <c r="L536" s="43" t="e">
        <f>VLOOKUP($A536,'[2]Team lists'!$A$2:$L$800,11,FALSE)</f>
        <v>#N/A</v>
      </c>
    </row>
    <row r="537" spans="2:13">
      <c r="B537" s="43" t="e">
        <f>VLOOKUP($A537,'[2]Team lists'!$A$2:$L$800,2,FALSE)</f>
        <v>#N/A</v>
      </c>
      <c r="C537" s="43" t="e">
        <f>VLOOKUP($A537,'[2]Team lists'!$A$2:$L$800,3,FALSE)</f>
        <v>#N/A</v>
      </c>
      <c r="D537" s="43" t="e">
        <f>VLOOKUP($A537,'[2]Team lists'!$A$2:$L$800,4,FALSE)</f>
        <v>#N/A</v>
      </c>
      <c r="E537" s="43" t="e">
        <f>VLOOKUP($A537,'[2]Team lists'!$A$2:$L$800,5,FALSE)</f>
        <v>#N/A</v>
      </c>
      <c r="F537" s="43" t="e">
        <f>VLOOKUP($A537,'[2]Team lists'!$A$2:$L$800,6,FALSE)</f>
        <v>#N/A</v>
      </c>
      <c r="G537" s="43" t="e">
        <f>VLOOKUP($A537,'[2]Team lists'!$A$2:$L$800,7,FALSE)</f>
        <v>#N/A</v>
      </c>
      <c r="H537" s="43" t="e">
        <f>VLOOKUP($A537,'[2]Team lists'!$A$2:$L$800,8,FALSE)</f>
        <v>#N/A</v>
      </c>
      <c r="I537" s="43" t="e">
        <f>VLOOKUP($A537,'[2]Team lists'!$A$2:$L$800,9,FALSE)</f>
        <v>#N/A</v>
      </c>
      <c r="J537" s="43" t="e">
        <f>VLOOKUP($A537,'[2]Team lists'!$A$2:$L$800,9,FALSE)</f>
        <v>#N/A</v>
      </c>
      <c r="K537" s="43" t="e">
        <f>VLOOKUP($A537,'[2]Team lists'!$A$2:$L$800,10,FALSE)</f>
        <v>#N/A</v>
      </c>
      <c r="L537" s="43" t="e">
        <f>VLOOKUP($A537,'[2]Team lists'!$A$2:$L$800,11,FALSE)</f>
        <v>#N/A</v>
      </c>
    </row>
    <row r="538" spans="2:13">
      <c r="B538" s="43" t="e">
        <f>VLOOKUP($A538,'[2]Team lists'!$A$2:$L$800,2,FALSE)</f>
        <v>#N/A</v>
      </c>
      <c r="C538" s="43" t="e">
        <f>VLOOKUP($A538,'[2]Team lists'!$A$2:$L$800,3,FALSE)</f>
        <v>#N/A</v>
      </c>
      <c r="D538" s="43" t="e">
        <f>VLOOKUP($A538,'[2]Team lists'!$A$2:$L$800,4,FALSE)</f>
        <v>#N/A</v>
      </c>
      <c r="E538" s="43" t="e">
        <f>VLOOKUP($A538,'[2]Team lists'!$A$2:$L$800,5,FALSE)</f>
        <v>#N/A</v>
      </c>
      <c r="F538" s="43" t="e">
        <f>VLOOKUP($A538,'[2]Team lists'!$A$2:$L$800,6,FALSE)</f>
        <v>#N/A</v>
      </c>
      <c r="G538" s="43" t="e">
        <f>VLOOKUP($A538,'[2]Team lists'!$A$2:$L$800,7,FALSE)</f>
        <v>#N/A</v>
      </c>
      <c r="H538" s="43" t="e">
        <f>VLOOKUP($A538,'[2]Team lists'!$A$2:$L$800,8,FALSE)</f>
        <v>#N/A</v>
      </c>
      <c r="I538" s="43" t="e">
        <f>VLOOKUP($A538,'[2]Team lists'!$A$2:$L$800,9,FALSE)</f>
        <v>#N/A</v>
      </c>
      <c r="J538" s="43" t="e">
        <f>VLOOKUP($A538,'[2]Team lists'!$A$2:$L$800,9,FALSE)</f>
        <v>#N/A</v>
      </c>
      <c r="K538" s="43" t="e">
        <f>VLOOKUP($A538,'[2]Team lists'!$A$2:$L$800,10,FALSE)</f>
        <v>#N/A</v>
      </c>
      <c r="L538" s="43" t="e">
        <f>VLOOKUP($A538,'[2]Team lists'!$A$2:$L$800,11,FALSE)</f>
        <v>#N/A</v>
      </c>
    </row>
    <row r="539" spans="2:13">
      <c r="B539" s="43" t="e">
        <f>VLOOKUP($A539,'[2]Team lists'!$A$2:$L$800,2,FALSE)</f>
        <v>#N/A</v>
      </c>
      <c r="C539" s="43" t="e">
        <f>VLOOKUP($A539,'[2]Team lists'!$A$2:$L$800,3,FALSE)</f>
        <v>#N/A</v>
      </c>
      <c r="D539" s="43" t="e">
        <f>VLOOKUP($A539,'[2]Team lists'!$A$2:$L$800,4,FALSE)</f>
        <v>#N/A</v>
      </c>
      <c r="E539" s="43" t="e">
        <f>VLOOKUP($A539,'[2]Team lists'!$A$2:$L$800,5,FALSE)</f>
        <v>#N/A</v>
      </c>
      <c r="F539" s="43" t="e">
        <f>VLOOKUP($A539,'[2]Team lists'!$A$2:$L$800,6,FALSE)</f>
        <v>#N/A</v>
      </c>
      <c r="G539" s="43" t="e">
        <f>VLOOKUP($A539,'[2]Team lists'!$A$2:$L$800,7,FALSE)</f>
        <v>#N/A</v>
      </c>
      <c r="H539" s="43" t="e">
        <f>VLOOKUP($A539,'[2]Team lists'!$A$2:$L$800,8,FALSE)</f>
        <v>#N/A</v>
      </c>
      <c r="I539" s="43" t="e">
        <f>VLOOKUP($A539,'[2]Team lists'!$A$2:$L$800,9,FALSE)</f>
        <v>#N/A</v>
      </c>
      <c r="J539" s="43" t="e">
        <f>VLOOKUP($A539,'[2]Team lists'!$A$2:$L$800,9,FALSE)</f>
        <v>#N/A</v>
      </c>
      <c r="K539" s="43" t="e">
        <f>VLOOKUP($A539,'[2]Team lists'!$A$2:$L$800,10,FALSE)</f>
        <v>#N/A</v>
      </c>
      <c r="L539" s="43" t="e">
        <f>VLOOKUP($A539,'[2]Team lists'!$A$2:$L$800,11,FALSE)</f>
        <v>#N/A</v>
      </c>
    </row>
    <row r="540" spans="2:13">
      <c r="B540" s="43" t="e">
        <f>VLOOKUP($A540,'[2]Team lists'!$A$2:$L$800,2,FALSE)</f>
        <v>#N/A</v>
      </c>
      <c r="C540" s="43" t="e">
        <f>VLOOKUP($A540,'[2]Team lists'!$A$2:$L$800,3,FALSE)</f>
        <v>#N/A</v>
      </c>
      <c r="D540" s="43" t="e">
        <f>VLOOKUP($A540,'[2]Team lists'!$A$2:$L$800,4,FALSE)</f>
        <v>#N/A</v>
      </c>
      <c r="E540" s="43" t="e">
        <f>VLOOKUP($A540,'[2]Team lists'!$A$2:$L$800,5,FALSE)</f>
        <v>#N/A</v>
      </c>
      <c r="F540" s="43" t="e">
        <f>VLOOKUP($A540,'[2]Team lists'!$A$2:$L$800,6,FALSE)</f>
        <v>#N/A</v>
      </c>
      <c r="G540" s="43" t="e">
        <f>VLOOKUP($A540,'[2]Team lists'!$A$2:$L$800,7,FALSE)</f>
        <v>#N/A</v>
      </c>
      <c r="H540" s="43" t="e">
        <f>VLOOKUP($A540,'[2]Team lists'!$A$2:$L$800,8,FALSE)</f>
        <v>#N/A</v>
      </c>
      <c r="I540" s="43" t="e">
        <f>VLOOKUP($A540,'[2]Team lists'!$A$2:$L$800,9,FALSE)</f>
        <v>#N/A</v>
      </c>
      <c r="J540" s="43" t="e">
        <f>VLOOKUP($A540,'[2]Team lists'!$A$2:$L$800,9,FALSE)</f>
        <v>#N/A</v>
      </c>
      <c r="K540" s="43" t="e">
        <f>VLOOKUP($A540,'[2]Team lists'!$A$2:$L$800,10,FALSE)</f>
        <v>#N/A</v>
      </c>
      <c r="L540" s="43" t="e">
        <f>VLOOKUP($A540,'[2]Team lists'!$A$2:$L$800,11,FALSE)</f>
        <v>#N/A</v>
      </c>
    </row>
    <row r="541" spans="2:13">
      <c r="B541" s="43" t="e">
        <f>VLOOKUP($A541,'[2]Team lists'!$A$2:$L$800,2,FALSE)</f>
        <v>#N/A</v>
      </c>
      <c r="C541" s="43" t="e">
        <f>VLOOKUP($A541,'[2]Team lists'!$A$2:$L$800,3,FALSE)</f>
        <v>#N/A</v>
      </c>
      <c r="D541" s="43" t="e">
        <f>VLOOKUP($A541,'[2]Team lists'!$A$2:$L$800,4,FALSE)</f>
        <v>#N/A</v>
      </c>
      <c r="E541" s="43" t="e">
        <f>VLOOKUP($A541,'[2]Team lists'!$A$2:$L$800,5,FALSE)</f>
        <v>#N/A</v>
      </c>
      <c r="F541" s="43" t="e">
        <f>VLOOKUP($A541,'[2]Team lists'!$A$2:$L$800,6,FALSE)</f>
        <v>#N/A</v>
      </c>
      <c r="G541" s="43" t="e">
        <f>VLOOKUP($A541,'[2]Team lists'!$A$2:$L$800,7,FALSE)</f>
        <v>#N/A</v>
      </c>
      <c r="H541" s="43" t="e">
        <f>VLOOKUP($A541,'[2]Team lists'!$A$2:$L$800,8,FALSE)</f>
        <v>#N/A</v>
      </c>
      <c r="I541" s="43" t="e">
        <f>VLOOKUP($A541,'[2]Team lists'!$A$2:$L$800,9,FALSE)</f>
        <v>#N/A</v>
      </c>
      <c r="J541" s="43" t="e">
        <f>VLOOKUP($A541,'[2]Team lists'!$A$2:$L$800,9,FALSE)</f>
        <v>#N/A</v>
      </c>
      <c r="K541" s="43" t="e">
        <f>VLOOKUP($A541,'[2]Team lists'!$A$2:$L$800,10,FALSE)</f>
        <v>#N/A</v>
      </c>
      <c r="L541" s="43" t="e">
        <f>VLOOKUP($A541,'[2]Team lists'!$A$2:$L$800,11,FALSE)</f>
        <v>#N/A</v>
      </c>
    </row>
    <row r="542" spans="2:13">
      <c r="B542" s="43" t="e">
        <f>VLOOKUP($A542,'[2]Team lists'!$A$2:$L$800,2,FALSE)</f>
        <v>#N/A</v>
      </c>
      <c r="C542" s="43" t="e">
        <f>VLOOKUP($A542,'[2]Team lists'!$A$2:$L$800,3,FALSE)</f>
        <v>#N/A</v>
      </c>
      <c r="D542" s="43" t="e">
        <f>VLOOKUP($A542,'[2]Team lists'!$A$2:$L$800,4,FALSE)</f>
        <v>#N/A</v>
      </c>
      <c r="E542" s="43" t="e">
        <f>VLOOKUP($A542,'[2]Team lists'!$A$2:$L$800,5,FALSE)</f>
        <v>#N/A</v>
      </c>
      <c r="F542" s="43" t="e">
        <f>VLOOKUP($A542,'[2]Team lists'!$A$2:$L$800,6,FALSE)</f>
        <v>#N/A</v>
      </c>
      <c r="G542" s="43" t="e">
        <f>VLOOKUP($A542,'[2]Team lists'!$A$2:$L$800,7,FALSE)</f>
        <v>#N/A</v>
      </c>
      <c r="H542" s="43" t="e">
        <f>VLOOKUP($A542,'[2]Team lists'!$A$2:$L$800,8,FALSE)</f>
        <v>#N/A</v>
      </c>
      <c r="I542" s="43" t="e">
        <f>VLOOKUP($A542,'[2]Team lists'!$A$2:$L$800,9,FALSE)</f>
        <v>#N/A</v>
      </c>
      <c r="J542" s="43" t="e">
        <f>VLOOKUP($A542,'[2]Team lists'!$A$2:$L$800,9,FALSE)</f>
        <v>#N/A</v>
      </c>
      <c r="K542" s="43" t="e">
        <f>VLOOKUP($A542,'[2]Team lists'!$A$2:$L$800,10,FALSE)</f>
        <v>#N/A</v>
      </c>
      <c r="L542" s="43" t="e">
        <f>VLOOKUP($A542,'[2]Team lists'!$A$2:$L$800,11,FALSE)</f>
        <v>#N/A</v>
      </c>
    </row>
    <row r="543" spans="2:13" ht="18" thickBot="1">
      <c r="B543" s="45" t="s">
        <v>3210</v>
      </c>
      <c r="C543" s="46"/>
      <c r="D543" s="47"/>
      <c r="E543" s="48" t="e">
        <f t="shared" ref="E543:L543" si="33">SUM(E532:E542)</f>
        <v>#N/A</v>
      </c>
      <c r="F543" s="49" t="e">
        <f t="shared" si="33"/>
        <v>#N/A</v>
      </c>
      <c r="G543" s="49" t="e">
        <f t="shared" si="33"/>
        <v>#N/A</v>
      </c>
      <c r="H543" s="49" t="e">
        <f t="shared" si="33"/>
        <v>#N/A</v>
      </c>
      <c r="I543" s="49" t="e">
        <f t="shared" si="33"/>
        <v>#N/A</v>
      </c>
      <c r="J543" s="49" t="e">
        <f t="shared" si="33"/>
        <v>#N/A</v>
      </c>
      <c r="K543" s="49" t="e">
        <f t="shared" si="33"/>
        <v>#N/A</v>
      </c>
      <c r="L543" s="50" t="e">
        <f t="shared" si="33"/>
        <v>#N/A</v>
      </c>
    </row>
    <row r="544" spans="2:13" ht="18.600000000000001" thickTop="1" thickBot="1"/>
    <row r="545" spans="2:13" ht="18" thickTop="1">
      <c r="B545" s="23" t="s">
        <v>3204</v>
      </c>
      <c r="C545" s="24" t="s">
        <v>3205</v>
      </c>
      <c r="D545" s="25"/>
      <c r="E545" s="25"/>
      <c r="F545" s="53"/>
      <c r="G545" s="28" t="s">
        <v>3206</v>
      </c>
      <c r="H545" s="54"/>
      <c r="I545" s="54"/>
      <c r="J545" s="54"/>
      <c r="K545" s="28" t="s">
        <v>3207</v>
      </c>
      <c r="L545" s="29"/>
      <c r="M545" s="22" t="str">
        <f>G545</f>
        <v>Manager:</v>
      </c>
    </row>
    <row r="546" spans="2:13" ht="18" thickBot="1">
      <c r="B546" s="30">
        <v>35</v>
      </c>
      <c r="C546" s="57"/>
      <c r="D546" s="31"/>
      <c r="E546" s="31"/>
      <c r="F546" s="33"/>
      <c r="G546" s="55"/>
      <c r="H546" s="55"/>
      <c r="I546" s="55"/>
      <c r="J546" s="55"/>
      <c r="K546" s="34" t="e">
        <f>SUM(F559:L559)</f>
        <v>#N/A</v>
      </c>
      <c r="L546" s="35"/>
      <c r="M546" s="22">
        <f>G546</f>
        <v>0</v>
      </c>
    </row>
    <row r="547" spans="2:13" ht="18.600000000000001" thickTop="1">
      <c r="B547" s="58" t="s">
        <v>913</v>
      </c>
      <c r="C547" s="59" t="s">
        <v>912</v>
      </c>
      <c r="D547" s="60" t="s">
        <v>911</v>
      </c>
      <c r="E547" s="61" t="s">
        <v>3209</v>
      </c>
      <c r="F547" s="62" t="s">
        <v>3162</v>
      </c>
      <c r="G547" s="62" t="s">
        <v>3163</v>
      </c>
      <c r="H547" s="62" t="s">
        <v>3164</v>
      </c>
      <c r="I547" s="62" t="s">
        <v>3165</v>
      </c>
      <c r="J547" s="62" t="s">
        <v>3166</v>
      </c>
      <c r="K547" s="62" t="s">
        <v>3167</v>
      </c>
      <c r="L547" s="63" t="s">
        <v>3168</v>
      </c>
    </row>
    <row r="548" spans="2:13">
      <c r="B548" s="43" t="e">
        <f>VLOOKUP($A548,'[2]Team lists'!$A$2:$L$800,2,FALSE)</f>
        <v>#N/A</v>
      </c>
      <c r="C548" s="43" t="e">
        <f>VLOOKUP($A548,'[2]Team lists'!$A$2:$L$800,3,FALSE)</f>
        <v>#N/A</v>
      </c>
      <c r="D548" s="43" t="e">
        <f>VLOOKUP($A548,'[2]Team lists'!$A$2:$L$800,4,FALSE)</f>
        <v>#N/A</v>
      </c>
      <c r="E548" s="43" t="e">
        <f>VLOOKUP($A548,'[2]Team lists'!$A$2:$L$800,5,FALSE)</f>
        <v>#N/A</v>
      </c>
      <c r="F548" s="43" t="e">
        <f>VLOOKUP($A548,'[2]Team lists'!$A$2:$L$800,6,FALSE)</f>
        <v>#N/A</v>
      </c>
      <c r="G548" s="43" t="e">
        <f>VLOOKUP($A548,'[2]Team lists'!$A$2:$L$800,7,FALSE)</f>
        <v>#N/A</v>
      </c>
      <c r="H548" s="43" t="e">
        <f>VLOOKUP($A548,'[2]Team lists'!$A$2:$L$800,8,FALSE)</f>
        <v>#N/A</v>
      </c>
      <c r="I548" s="43" t="e">
        <f>VLOOKUP($A548,'[2]Team lists'!$A$2:$L$800,9,FALSE)</f>
        <v>#N/A</v>
      </c>
      <c r="J548" s="43" t="e">
        <f>VLOOKUP($A548,'[2]Team lists'!$A$2:$L$800,9,FALSE)</f>
        <v>#N/A</v>
      </c>
      <c r="K548" s="43" t="e">
        <f>VLOOKUP($A548,'[2]Team lists'!$A$2:$L$800,10,FALSE)</f>
        <v>#N/A</v>
      </c>
      <c r="L548" s="43" t="e">
        <f>VLOOKUP($A548,'[2]Team lists'!$A$2:$L$800,11,FALSE)</f>
        <v>#N/A</v>
      </c>
    </row>
    <row r="549" spans="2:13">
      <c r="B549" s="43" t="e">
        <f>VLOOKUP($A549,'[2]Team lists'!$A$2:$L$800,2,FALSE)</f>
        <v>#N/A</v>
      </c>
      <c r="C549" s="43" t="e">
        <f>VLOOKUP($A549,'[2]Team lists'!$A$2:$L$800,3,FALSE)</f>
        <v>#N/A</v>
      </c>
      <c r="D549" s="43" t="e">
        <f>VLOOKUP($A549,'[2]Team lists'!$A$2:$L$800,4,FALSE)</f>
        <v>#N/A</v>
      </c>
      <c r="E549" s="43" t="e">
        <f>VLOOKUP($A549,'[2]Team lists'!$A$2:$L$800,5,FALSE)</f>
        <v>#N/A</v>
      </c>
      <c r="F549" s="43" t="e">
        <f>VLOOKUP($A549,'[2]Team lists'!$A$2:$L$800,6,FALSE)</f>
        <v>#N/A</v>
      </c>
      <c r="G549" s="43" t="e">
        <f>VLOOKUP($A549,'[2]Team lists'!$A$2:$L$800,7,FALSE)</f>
        <v>#N/A</v>
      </c>
      <c r="H549" s="43" t="e">
        <f>VLOOKUP($A549,'[2]Team lists'!$A$2:$L$800,8,FALSE)</f>
        <v>#N/A</v>
      </c>
      <c r="I549" s="43" t="e">
        <f>VLOOKUP($A549,'[2]Team lists'!$A$2:$L$800,9,FALSE)</f>
        <v>#N/A</v>
      </c>
      <c r="J549" s="43" t="e">
        <f>VLOOKUP($A549,'[2]Team lists'!$A$2:$L$800,9,FALSE)</f>
        <v>#N/A</v>
      </c>
      <c r="K549" s="43" t="e">
        <f>VLOOKUP($A549,'[2]Team lists'!$A$2:$L$800,10,FALSE)</f>
        <v>#N/A</v>
      </c>
      <c r="L549" s="43" t="e">
        <f>VLOOKUP($A549,'[2]Team lists'!$A$2:$L$800,11,FALSE)</f>
        <v>#N/A</v>
      </c>
    </row>
    <row r="550" spans="2:13">
      <c r="B550" s="43" t="e">
        <f>VLOOKUP($A550,'[2]Team lists'!$A$2:$L$800,2,FALSE)</f>
        <v>#N/A</v>
      </c>
      <c r="C550" s="43" t="e">
        <f>VLOOKUP($A550,'[2]Team lists'!$A$2:$L$800,3,FALSE)</f>
        <v>#N/A</v>
      </c>
      <c r="D550" s="43" t="e">
        <f>VLOOKUP($A550,'[2]Team lists'!$A$2:$L$800,4,FALSE)</f>
        <v>#N/A</v>
      </c>
      <c r="E550" s="43" t="e">
        <f>VLOOKUP($A550,'[2]Team lists'!$A$2:$L$800,5,FALSE)</f>
        <v>#N/A</v>
      </c>
      <c r="F550" s="43" t="e">
        <f>VLOOKUP($A550,'[2]Team lists'!$A$2:$L$800,6,FALSE)</f>
        <v>#N/A</v>
      </c>
      <c r="G550" s="43" t="e">
        <f>VLOOKUP($A550,'[2]Team lists'!$A$2:$L$800,7,FALSE)</f>
        <v>#N/A</v>
      </c>
      <c r="H550" s="43" t="e">
        <f>VLOOKUP($A550,'[2]Team lists'!$A$2:$L$800,8,FALSE)</f>
        <v>#N/A</v>
      </c>
      <c r="I550" s="43" t="e">
        <f>VLOOKUP($A550,'[2]Team lists'!$A$2:$L$800,9,FALSE)</f>
        <v>#N/A</v>
      </c>
      <c r="J550" s="43" t="e">
        <f>VLOOKUP($A550,'[2]Team lists'!$A$2:$L$800,9,FALSE)</f>
        <v>#N/A</v>
      </c>
      <c r="K550" s="43" t="e">
        <f>VLOOKUP($A550,'[2]Team lists'!$A$2:$L$800,10,FALSE)</f>
        <v>#N/A</v>
      </c>
      <c r="L550" s="43" t="e">
        <f>VLOOKUP($A550,'[2]Team lists'!$A$2:$L$800,11,FALSE)</f>
        <v>#N/A</v>
      </c>
    </row>
    <row r="551" spans="2:13">
      <c r="B551" s="43" t="e">
        <f>VLOOKUP($A551,'[2]Team lists'!$A$2:$L$800,2,FALSE)</f>
        <v>#N/A</v>
      </c>
      <c r="C551" s="43" t="e">
        <f>VLOOKUP($A551,'[2]Team lists'!$A$2:$L$800,3,FALSE)</f>
        <v>#N/A</v>
      </c>
      <c r="D551" s="43" t="e">
        <f>VLOOKUP($A551,'[2]Team lists'!$A$2:$L$800,4,FALSE)</f>
        <v>#N/A</v>
      </c>
      <c r="E551" s="43" t="e">
        <f>VLOOKUP($A551,'[2]Team lists'!$A$2:$L$800,5,FALSE)</f>
        <v>#N/A</v>
      </c>
      <c r="F551" s="43" t="e">
        <f>VLOOKUP($A551,'[2]Team lists'!$A$2:$L$800,6,FALSE)</f>
        <v>#N/A</v>
      </c>
      <c r="G551" s="43" t="e">
        <f>VLOOKUP($A551,'[2]Team lists'!$A$2:$L$800,7,FALSE)</f>
        <v>#N/A</v>
      </c>
      <c r="H551" s="43" t="e">
        <f>VLOOKUP($A551,'[2]Team lists'!$A$2:$L$800,8,FALSE)</f>
        <v>#N/A</v>
      </c>
      <c r="I551" s="43" t="e">
        <f>VLOOKUP($A551,'[2]Team lists'!$A$2:$L$800,9,FALSE)</f>
        <v>#N/A</v>
      </c>
      <c r="J551" s="43" t="e">
        <f>VLOOKUP($A551,'[2]Team lists'!$A$2:$L$800,9,FALSE)</f>
        <v>#N/A</v>
      </c>
      <c r="K551" s="43" t="e">
        <f>VLOOKUP($A551,'[2]Team lists'!$A$2:$L$800,10,FALSE)</f>
        <v>#N/A</v>
      </c>
      <c r="L551" s="43" t="e">
        <f>VLOOKUP($A551,'[2]Team lists'!$A$2:$L$800,11,FALSE)</f>
        <v>#N/A</v>
      </c>
    </row>
    <row r="552" spans="2:13">
      <c r="B552" s="43" t="e">
        <f>VLOOKUP($A552,'[2]Team lists'!$A$2:$L$800,2,FALSE)</f>
        <v>#N/A</v>
      </c>
      <c r="C552" s="43" t="e">
        <f>VLOOKUP($A552,'[2]Team lists'!$A$2:$L$800,3,FALSE)</f>
        <v>#N/A</v>
      </c>
      <c r="D552" s="43" t="e">
        <f>VLOOKUP($A552,'[2]Team lists'!$A$2:$L$800,4,FALSE)</f>
        <v>#N/A</v>
      </c>
      <c r="E552" s="43" t="e">
        <f>VLOOKUP($A552,'[2]Team lists'!$A$2:$L$800,5,FALSE)</f>
        <v>#N/A</v>
      </c>
      <c r="F552" s="43" t="e">
        <f>VLOOKUP($A552,'[2]Team lists'!$A$2:$L$800,6,FALSE)</f>
        <v>#N/A</v>
      </c>
      <c r="G552" s="43" t="e">
        <f>VLOOKUP($A552,'[2]Team lists'!$A$2:$L$800,7,FALSE)</f>
        <v>#N/A</v>
      </c>
      <c r="H552" s="43" t="e">
        <f>VLOOKUP($A552,'[2]Team lists'!$A$2:$L$800,8,FALSE)</f>
        <v>#N/A</v>
      </c>
      <c r="I552" s="43" t="e">
        <f>VLOOKUP($A552,'[2]Team lists'!$A$2:$L$800,9,FALSE)</f>
        <v>#N/A</v>
      </c>
      <c r="J552" s="43" t="e">
        <f>VLOOKUP($A552,'[2]Team lists'!$A$2:$L$800,9,FALSE)</f>
        <v>#N/A</v>
      </c>
      <c r="K552" s="43" t="e">
        <f>VLOOKUP($A552,'[2]Team lists'!$A$2:$L$800,10,FALSE)</f>
        <v>#N/A</v>
      </c>
      <c r="L552" s="43" t="e">
        <f>VLOOKUP($A552,'[2]Team lists'!$A$2:$L$800,11,FALSE)</f>
        <v>#N/A</v>
      </c>
    </row>
    <row r="553" spans="2:13">
      <c r="B553" s="43" t="e">
        <f>VLOOKUP($A553,'[2]Team lists'!$A$2:$L$800,2,FALSE)</f>
        <v>#N/A</v>
      </c>
      <c r="C553" s="43" t="e">
        <f>VLOOKUP($A553,'[2]Team lists'!$A$2:$L$800,3,FALSE)</f>
        <v>#N/A</v>
      </c>
      <c r="D553" s="43" t="e">
        <f>VLOOKUP($A553,'[2]Team lists'!$A$2:$L$800,4,FALSE)</f>
        <v>#N/A</v>
      </c>
      <c r="E553" s="43" t="e">
        <f>VLOOKUP($A553,'[2]Team lists'!$A$2:$L$800,5,FALSE)</f>
        <v>#N/A</v>
      </c>
      <c r="F553" s="43" t="e">
        <f>VLOOKUP($A553,'[2]Team lists'!$A$2:$L$800,6,FALSE)</f>
        <v>#N/A</v>
      </c>
      <c r="G553" s="43" t="e">
        <f>VLOOKUP($A553,'[2]Team lists'!$A$2:$L$800,7,FALSE)</f>
        <v>#N/A</v>
      </c>
      <c r="H553" s="43" t="e">
        <f>VLOOKUP($A553,'[2]Team lists'!$A$2:$L$800,8,FALSE)</f>
        <v>#N/A</v>
      </c>
      <c r="I553" s="43" t="e">
        <f>VLOOKUP($A553,'[2]Team lists'!$A$2:$L$800,9,FALSE)</f>
        <v>#N/A</v>
      </c>
      <c r="J553" s="43" t="e">
        <f>VLOOKUP($A553,'[2]Team lists'!$A$2:$L$800,9,FALSE)</f>
        <v>#N/A</v>
      </c>
      <c r="K553" s="43" t="e">
        <f>VLOOKUP($A553,'[2]Team lists'!$A$2:$L$800,10,FALSE)</f>
        <v>#N/A</v>
      </c>
      <c r="L553" s="43" t="e">
        <f>VLOOKUP($A553,'[2]Team lists'!$A$2:$L$800,11,FALSE)</f>
        <v>#N/A</v>
      </c>
    </row>
    <row r="554" spans="2:13">
      <c r="B554" s="43" t="e">
        <f>VLOOKUP($A554,'[2]Team lists'!$A$2:$L$800,2,FALSE)</f>
        <v>#N/A</v>
      </c>
      <c r="C554" s="43" t="e">
        <f>VLOOKUP($A554,'[2]Team lists'!$A$2:$L$800,3,FALSE)</f>
        <v>#N/A</v>
      </c>
      <c r="D554" s="43" t="e">
        <f>VLOOKUP($A554,'[2]Team lists'!$A$2:$L$800,4,FALSE)</f>
        <v>#N/A</v>
      </c>
      <c r="E554" s="43" t="e">
        <f>VLOOKUP($A554,'[2]Team lists'!$A$2:$L$800,5,FALSE)</f>
        <v>#N/A</v>
      </c>
      <c r="F554" s="43" t="e">
        <f>VLOOKUP($A554,'[2]Team lists'!$A$2:$L$800,6,FALSE)</f>
        <v>#N/A</v>
      </c>
      <c r="G554" s="43" t="e">
        <f>VLOOKUP($A554,'[2]Team lists'!$A$2:$L$800,7,FALSE)</f>
        <v>#N/A</v>
      </c>
      <c r="H554" s="43" t="e">
        <f>VLOOKUP($A554,'[2]Team lists'!$A$2:$L$800,8,FALSE)</f>
        <v>#N/A</v>
      </c>
      <c r="I554" s="43" t="e">
        <f>VLOOKUP($A554,'[2]Team lists'!$A$2:$L$800,9,FALSE)</f>
        <v>#N/A</v>
      </c>
      <c r="J554" s="43" t="e">
        <f>VLOOKUP($A554,'[2]Team lists'!$A$2:$L$800,9,FALSE)</f>
        <v>#N/A</v>
      </c>
      <c r="K554" s="43" t="e">
        <f>VLOOKUP($A554,'[2]Team lists'!$A$2:$L$800,10,FALSE)</f>
        <v>#N/A</v>
      </c>
      <c r="L554" s="43" t="e">
        <f>VLOOKUP($A554,'[2]Team lists'!$A$2:$L$800,11,FALSE)</f>
        <v>#N/A</v>
      </c>
    </row>
    <row r="555" spans="2:13">
      <c r="B555" s="43" t="e">
        <f>VLOOKUP($A555,'[2]Team lists'!$A$2:$L$800,2,FALSE)</f>
        <v>#N/A</v>
      </c>
      <c r="C555" s="43" t="e">
        <f>VLOOKUP($A555,'[2]Team lists'!$A$2:$L$800,3,FALSE)</f>
        <v>#N/A</v>
      </c>
      <c r="D555" s="43" t="e">
        <f>VLOOKUP($A555,'[2]Team lists'!$A$2:$L$800,4,FALSE)</f>
        <v>#N/A</v>
      </c>
      <c r="E555" s="43" t="e">
        <f>VLOOKUP($A555,'[2]Team lists'!$A$2:$L$800,5,FALSE)</f>
        <v>#N/A</v>
      </c>
      <c r="F555" s="43" t="e">
        <f>VLOOKUP($A555,'[2]Team lists'!$A$2:$L$800,6,FALSE)</f>
        <v>#N/A</v>
      </c>
      <c r="G555" s="43" t="e">
        <f>VLOOKUP($A555,'[2]Team lists'!$A$2:$L$800,7,FALSE)</f>
        <v>#N/A</v>
      </c>
      <c r="H555" s="43" t="e">
        <f>VLOOKUP($A555,'[2]Team lists'!$A$2:$L$800,8,FALSE)</f>
        <v>#N/A</v>
      </c>
      <c r="I555" s="43" t="e">
        <f>VLOOKUP($A555,'[2]Team lists'!$A$2:$L$800,9,FALSE)</f>
        <v>#N/A</v>
      </c>
      <c r="J555" s="43" t="e">
        <f>VLOOKUP($A555,'[2]Team lists'!$A$2:$L$800,9,FALSE)</f>
        <v>#N/A</v>
      </c>
      <c r="K555" s="43" t="e">
        <f>VLOOKUP($A555,'[2]Team lists'!$A$2:$L$800,10,FALSE)</f>
        <v>#N/A</v>
      </c>
      <c r="L555" s="43" t="e">
        <f>VLOOKUP($A555,'[2]Team lists'!$A$2:$L$800,11,FALSE)</f>
        <v>#N/A</v>
      </c>
    </row>
    <row r="556" spans="2:13">
      <c r="B556" s="43" t="e">
        <f>VLOOKUP($A556,'[2]Team lists'!$A$2:$L$800,2,FALSE)</f>
        <v>#N/A</v>
      </c>
      <c r="C556" s="43" t="e">
        <f>VLOOKUP($A556,'[2]Team lists'!$A$2:$L$800,3,FALSE)</f>
        <v>#N/A</v>
      </c>
      <c r="D556" s="43" t="e">
        <f>VLOOKUP($A556,'[2]Team lists'!$A$2:$L$800,4,FALSE)</f>
        <v>#N/A</v>
      </c>
      <c r="E556" s="43" t="e">
        <f>VLOOKUP($A556,'[2]Team lists'!$A$2:$L$800,5,FALSE)</f>
        <v>#N/A</v>
      </c>
      <c r="F556" s="43" t="e">
        <f>VLOOKUP($A556,'[2]Team lists'!$A$2:$L$800,6,FALSE)</f>
        <v>#N/A</v>
      </c>
      <c r="G556" s="43" t="e">
        <f>VLOOKUP($A556,'[2]Team lists'!$A$2:$L$800,7,FALSE)</f>
        <v>#N/A</v>
      </c>
      <c r="H556" s="43" t="e">
        <f>VLOOKUP($A556,'[2]Team lists'!$A$2:$L$800,8,FALSE)</f>
        <v>#N/A</v>
      </c>
      <c r="I556" s="43" t="e">
        <f>VLOOKUP($A556,'[2]Team lists'!$A$2:$L$800,9,FALSE)</f>
        <v>#N/A</v>
      </c>
      <c r="J556" s="43" t="e">
        <f>VLOOKUP($A556,'[2]Team lists'!$A$2:$L$800,9,FALSE)</f>
        <v>#N/A</v>
      </c>
      <c r="K556" s="43" t="e">
        <f>VLOOKUP($A556,'[2]Team lists'!$A$2:$L$800,10,FALSE)</f>
        <v>#N/A</v>
      </c>
      <c r="L556" s="43" t="e">
        <f>VLOOKUP($A556,'[2]Team lists'!$A$2:$L$800,11,FALSE)</f>
        <v>#N/A</v>
      </c>
    </row>
    <row r="557" spans="2:13">
      <c r="B557" s="43" t="e">
        <f>VLOOKUP($A557,'[2]Team lists'!$A$2:$L$800,2,FALSE)</f>
        <v>#N/A</v>
      </c>
      <c r="C557" s="43" t="e">
        <f>VLOOKUP($A557,'[2]Team lists'!$A$2:$L$800,3,FALSE)</f>
        <v>#N/A</v>
      </c>
      <c r="D557" s="43" t="e">
        <f>VLOOKUP($A557,'[2]Team lists'!$A$2:$L$800,4,FALSE)</f>
        <v>#N/A</v>
      </c>
      <c r="E557" s="43" t="e">
        <f>VLOOKUP($A557,'[2]Team lists'!$A$2:$L$800,5,FALSE)</f>
        <v>#N/A</v>
      </c>
      <c r="F557" s="43" t="e">
        <f>VLOOKUP($A557,'[2]Team lists'!$A$2:$L$800,6,FALSE)</f>
        <v>#N/A</v>
      </c>
      <c r="G557" s="43" t="e">
        <f>VLOOKUP($A557,'[2]Team lists'!$A$2:$L$800,7,FALSE)</f>
        <v>#N/A</v>
      </c>
      <c r="H557" s="43" t="e">
        <f>VLOOKUP($A557,'[2]Team lists'!$A$2:$L$800,8,FALSE)</f>
        <v>#N/A</v>
      </c>
      <c r="I557" s="43" t="e">
        <f>VLOOKUP($A557,'[2]Team lists'!$A$2:$L$800,9,FALSE)</f>
        <v>#N/A</v>
      </c>
      <c r="J557" s="43" t="e">
        <f>VLOOKUP($A557,'[2]Team lists'!$A$2:$L$800,9,FALSE)</f>
        <v>#N/A</v>
      </c>
      <c r="K557" s="43" t="e">
        <f>VLOOKUP($A557,'[2]Team lists'!$A$2:$L$800,10,FALSE)</f>
        <v>#N/A</v>
      </c>
      <c r="L557" s="43" t="e">
        <f>VLOOKUP($A557,'[2]Team lists'!$A$2:$L$800,11,FALSE)</f>
        <v>#N/A</v>
      </c>
    </row>
    <row r="558" spans="2:13">
      <c r="B558" s="43" t="e">
        <f>VLOOKUP($A558,'[2]Team lists'!$A$2:$L$800,2,FALSE)</f>
        <v>#N/A</v>
      </c>
      <c r="C558" s="43" t="e">
        <f>VLOOKUP($A558,'[2]Team lists'!$A$2:$L$800,3,FALSE)</f>
        <v>#N/A</v>
      </c>
      <c r="D558" s="43" t="e">
        <f>VLOOKUP($A558,'[2]Team lists'!$A$2:$L$800,4,FALSE)</f>
        <v>#N/A</v>
      </c>
      <c r="E558" s="43" t="e">
        <f>VLOOKUP($A558,'[2]Team lists'!$A$2:$L$800,5,FALSE)</f>
        <v>#N/A</v>
      </c>
      <c r="F558" s="43" t="e">
        <f>VLOOKUP($A558,'[2]Team lists'!$A$2:$L$800,6,FALSE)</f>
        <v>#N/A</v>
      </c>
      <c r="G558" s="43" t="e">
        <f>VLOOKUP($A558,'[2]Team lists'!$A$2:$L$800,7,FALSE)</f>
        <v>#N/A</v>
      </c>
      <c r="H558" s="43" t="e">
        <f>VLOOKUP($A558,'[2]Team lists'!$A$2:$L$800,8,FALSE)</f>
        <v>#N/A</v>
      </c>
      <c r="I558" s="43" t="e">
        <f>VLOOKUP($A558,'[2]Team lists'!$A$2:$L$800,9,FALSE)</f>
        <v>#N/A</v>
      </c>
      <c r="J558" s="43" t="e">
        <f>VLOOKUP($A558,'[2]Team lists'!$A$2:$L$800,9,FALSE)</f>
        <v>#N/A</v>
      </c>
      <c r="K558" s="43" t="e">
        <f>VLOOKUP($A558,'[2]Team lists'!$A$2:$L$800,10,FALSE)</f>
        <v>#N/A</v>
      </c>
      <c r="L558" s="43" t="e">
        <f>VLOOKUP($A558,'[2]Team lists'!$A$2:$L$800,11,FALSE)</f>
        <v>#N/A</v>
      </c>
    </row>
    <row r="559" spans="2:13" ht="18" thickBot="1">
      <c r="B559" s="45" t="s">
        <v>3210</v>
      </c>
      <c r="C559" s="46"/>
      <c r="D559" s="47"/>
      <c r="E559" s="48" t="e">
        <f t="shared" ref="E559:L559" si="34">SUM(E548:E558)</f>
        <v>#N/A</v>
      </c>
      <c r="F559" s="49" t="e">
        <f t="shared" si="34"/>
        <v>#N/A</v>
      </c>
      <c r="G559" s="49" t="e">
        <f t="shared" si="34"/>
        <v>#N/A</v>
      </c>
      <c r="H559" s="49" t="e">
        <f t="shared" si="34"/>
        <v>#N/A</v>
      </c>
      <c r="I559" s="49" t="e">
        <f t="shared" si="34"/>
        <v>#N/A</v>
      </c>
      <c r="J559" s="49" t="e">
        <f t="shared" si="34"/>
        <v>#N/A</v>
      </c>
      <c r="K559" s="49" t="e">
        <f t="shared" si="34"/>
        <v>#N/A</v>
      </c>
      <c r="L559" s="50" t="e">
        <f t="shared" si="34"/>
        <v>#N/A</v>
      </c>
    </row>
    <row r="560" spans="2:13" ht="18.600000000000001" thickTop="1" thickBot="1"/>
    <row r="561" spans="2:13" ht="18" thickTop="1">
      <c r="B561" s="23" t="s">
        <v>3204</v>
      </c>
      <c r="C561" s="24" t="s">
        <v>3205</v>
      </c>
      <c r="D561" s="25"/>
      <c r="E561" s="25"/>
      <c r="F561" s="53"/>
      <c r="G561" s="28" t="s">
        <v>3206</v>
      </c>
      <c r="H561" s="54"/>
      <c r="I561" s="54"/>
      <c r="J561" s="54"/>
      <c r="K561" s="28" t="s">
        <v>3207</v>
      </c>
      <c r="L561" s="29"/>
      <c r="M561" s="22" t="str">
        <f>G561</f>
        <v>Manager:</v>
      </c>
    </row>
    <row r="562" spans="2:13" ht="18" thickBot="1">
      <c r="B562" s="30">
        <v>36</v>
      </c>
      <c r="C562" s="57"/>
      <c r="D562" s="31"/>
      <c r="E562" s="31"/>
      <c r="F562" s="33"/>
      <c r="G562" s="55"/>
      <c r="H562" s="55"/>
      <c r="I562" s="55"/>
      <c r="J562" s="55"/>
      <c r="K562" s="34" t="e">
        <f>SUM(F575:L575)</f>
        <v>#N/A</v>
      </c>
      <c r="L562" s="35"/>
      <c r="M562" s="22">
        <f>G562</f>
        <v>0</v>
      </c>
    </row>
    <row r="563" spans="2:13" ht="18.600000000000001" thickTop="1">
      <c r="B563" s="58" t="s">
        <v>913</v>
      </c>
      <c r="C563" s="59" t="s">
        <v>912</v>
      </c>
      <c r="D563" s="60" t="s">
        <v>911</v>
      </c>
      <c r="E563" s="61" t="s">
        <v>3209</v>
      </c>
      <c r="F563" s="62" t="s">
        <v>3162</v>
      </c>
      <c r="G563" s="62" t="s">
        <v>3163</v>
      </c>
      <c r="H563" s="62" t="s">
        <v>3164</v>
      </c>
      <c r="I563" s="62" t="s">
        <v>3165</v>
      </c>
      <c r="J563" s="62" t="s">
        <v>3166</v>
      </c>
      <c r="K563" s="62" t="s">
        <v>3167</v>
      </c>
      <c r="L563" s="63" t="s">
        <v>3168</v>
      </c>
    </row>
    <row r="564" spans="2:13">
      <c r="B564" s="43" t="e">
        <f>VLOOKUP($A564,'[2]Team lists'!$A$2:$L$800,2,FALSE)</f>
        <v>#N/A</v>
      </c>
      <c r="C564" s="43" t="e">
        <f>VLOOKUP($A564,'[2]Team lists'!$A$2:$L$800,3,FALSE)</f>
        <v>#N/A</v>
      </c>
      <c r="D564" s="43" t="e">
        <f>VLOOKUP($A564,'[2]Team lists'!$A$2:$L$800,4,FALSE)</f>
        <v>#N/A</v>
      </c>
      <c r="E564" s="43" t="e">
        <f>VLOOKUP($A564,'[2]Team lists'!$A$2:$L$800,5,FALSE)</f>
        <v>#N/A</v>
      </c>
      <c r="F564" s="43" t="e">
        <f>VLOOKUP($A564,'[2]Team lists'!$A$2:$L$800,6,FALSE)</f>
        <v>#N/A</v>
      </c>
      <c r="G564" s="43" t="e">
        <f>VLOOKUP($A564,'[2]Team lists'!$A$2:$L$800,7,FALSE)</f>
        <v>#N/A</v>
      </c>
      <c r="H564" s="43" t="e">
        <f>VLOOKUP($A564,'[2]Team lists'!$A$2:$L$800,8,FALSE)</f>
        <v>#N/A</v>
      </c>
      <c r="I564" s="43" t="e">
        <f>VLOOKUP($A564,'[2]Team lists'!$A$2:$L$800,9,FALSE)</f>
        <v>#N/A</v>
      </c>
      <c r="J564" s="43" t="e">
        <f>VLOOKUP($A564,'[2]Team lists'!$A$2:$L$800,9,FALSE)</f>
        <v>#N/A</v>
      </c>
      <c r="K564" s="43" t="e">
        <f>VLOOKUP($A564,'[2]Team lists'!$A$2:$L$800,10,FALSE)</f>
        <v>#N/A</v>
      </c>
      <c r="L564" s="43" t="e">
        <f>VLOOKUP($A564,'[2]Team lists'!$A$2:$L$800,11,FALSE)</f>
        <v>#N/A</v>
      </c>
    </row>
    <row r="565" spans="2:13">
      <c r="B565" s="43" t="e">
        <f>VLOOKUP($A565,'[2]Team lists'!$A$2:$L$800,2,FALSE)</f>
        <v>#N/A</v>
      </c>
      <c r="C565" s="43" t="e">
        <f>VLOOKUP($A565,'[2]Team lists'!$A$2:$L$800,3,FALSE)</f>
        <v>#N/A</v>
      </c>
      <c r="D565" s="43" t="e">
        <f>VLOOKUP($A565,'[2]Team lists'!$A$2:$L$800,4,FALSE)</f>
        <v>#N/A</v>
      </c>
      <c r="E565" s="43" t="e">
        <f>VLOOKUP($A565,'[2]Team lists'!$A$2:$L$800,5,FALSE)</f>
        <v>#N/A</v>
      </c>
      <c r="F565" s="43" t="e">
        <f>VLOOKUP($A565,'[2]Team lists'!$A$2:$L$800,6,FALSE)</f>
        <v>#N/A</v>
      </c>
      <c r="G565" s="43" t="e">
        <f>VLOOKUP($A565,'[2]Team lists'!$A$2:$L$800,7,FALSE)</f>
        <v>#N/A</v>
      </c>
      <c r="H565" s="43" t="e">
        <f>VLOOKUP($A565,'[2]Team lists'!$A$2:$L$800,8,FALSE)</f>
        <v>#N/A</v>
      </c>
      <c r="I565" s="43" t="e">
        <f>VLOOKUP($A565,'[2]Team lists'!$A$2:$L$800,9,FALSE)</f>
        <v>#N/A</v>
      </c>
      <c r="J565" s="43" t="e">
        <f>VLOOKUP($A565,'[2]Team lists'!$A$2:$L$800,9,FALSE)</f>
        <v>#N/A</v>
      </c>
      <c r="K565" s="43" t="e">
        <f>VLOOKUP($A565,'[2]Team lists'!$A$2:$L$800,10,FALSE)</f>
        <v>#N/A</v>
      </c>
      <c r="L565" s="43" t="e">
        <f>VLOOKUP($A565,'[2]Team lists'!$A$2:$L$800,11,FALSE)</f>
        <v>#N/A</v>
      </c>
    </row>
    <row r="566" spans="2:13">
      <c r="B566" s="43" t="e">
        <f>VLOOKUP($A566,'[2]Team lists'!$A$2:$L$800,2,FALSE)</f>
        <v>#N/A</v>
      </c>
      <c r="C566" s="43" t="e">
        <f>VLOOKUP($A566,'[2]Team lists'!$A$2:$L$800,3,FALSE)</f>
        <v>#N/A</v>
      </c>
      <c r="D566" s="43" t="e">
        <f>VLOOKUP($A566,'[2]Team lists'!$A$2:$L$800,4,FALSE)</f>
        <v>#N/A</v>
      </c>
      <c r="E566" s="43" t="e">
        <f>VLOOKUP($A566,'[2]Team lists'!$A$2:$L$800,5,FALSE)</f>
        <v>#N/A</v>
      </c>
      <c r="F566" s="43" t="e">
        <f>VLOOKUP($A566,'[2]Team lists'!$A$2:$L$800,6,FALSE)</f>
        <v>#N/A</v>
      </c>
      <c r="G566" s="43" t="e">
        <f>VLOOKUP($A566,'[2]Team lists'!$A$2:$L$800,7,FALSE)</f>
        <v>#N/A</v>
      </c>
      <c r="H566" s="43" t="e">
        <f>VLOOKUP($A566,'[2]Team lists'!$A$2:$L$800,8,FALSE)</f>
        <v>#N/A</v>
      </c>
      <c r="I566" s="43" t="e">
        <f>VLOOKUP($A566,'[2]Team lists'!$A$2:$L$800,9,FALSE)</f>
        <v>#N/A</v>
      </c>
      <c r="J566" s="43" t="e">
        <f>VLOOKUP($A566,'[2]Team lists'!$A$2:$L$800,9,FALSE)</f>
        <v>#N/A</v>
      </c>
      <c r="K566" s="43" t="e">
        <f>VLOOKUP($A566,'[2]Team lists'!$A$2:$L$800,10,FALSE)</f>
        <v>#N/A</v>
      </c>
      <c r="L566" s="43" t="e">
        <f>VLOOKUP($A566,'[2]Team lists'!$A$2:$L$800,11,FALSE)</f>
        <v>#N/A</v>
      </c>
    </row>
    <row r="567" spans="2:13">
      <c r="B567" s="43" t="e">
        <f>VLOOKUP($A567,'[2]Team lists'!$A$2:$L$800,2,FALSE)</f>
        <v>#N/A</v>
      </c>
      <c r="C567" s="43" t="e">
        <f>VLOOKUP($A567,'[2]Team lists'!$A$2:$L$800,3,FALSE)</f>
        <v>#N/A</v>
      </c>
      <c r="D567" s="43" t="e">
        <f>VLOOKUP($A567,'[2]Team lists'!$A$2:$L$800,4,FALSE)</f>
        <v>#N/A</v>
      </c>
      <c r="E567" s="43" t="e">
        <f>VLOOKUP($A567,'[2]Team lists'!$A$2:$L$800,5,FALSE)</f>
        <v>#N/A</v>
      </c>
      <c r="F567" s="43" t="e">
        <f>VLOOKUP($A567,'[2]Team lists'!$A$2:$L$800,6,FALSE)</f>
        <v>#N/A</v>
      </c>
      <c r="G567" s="43" t="e">
        <f>VLOOKUP($A567,'[2]Team lists'!$A$2:$L$800,7,FALSE)</f>
        <v>#N/A</v>
      </c>
      <c r="H567" s="43" t="e">
        <f>VLOOKUP($A567,'[2]Team lists'!$A$2:$L$800,8,FALSE)</f>
        <v>#N/A</v>
      </c>
      <c r="I567" s="43" t="e">
        <f>VLOOKUP($A567,'[2]Team lists'!$A$2:$L$800,9,FALSE)</f>
        <v>#N/A</v>
      </c>
      <c r="J567" s="43" t="e">
        <f>VLOOKUP($A567,'[2]Team lists'!$A$2:$L$800,9,FALSE)</f>
        <v>#N/A</v>
      </c>
      <c r="K567" s="43" t="e">
        <f>VLOOKUP($A567,'[2]Team lists'!$A$2:$L$800,10,FALSE)</f>
        <v>#N/A</v>
      </c>
      <c r="L567" s="43" t="e">
        <f>VLOOKUP($A567,'[2]Team lists'!$A$2:$L$800,11,FALSE)</f>
        <v>#N/A</v>
      </c>
    </row>
    <row r="568" spans="2:13">
      <c r="B568" s="43" t="e">
        <f>VLOOKUP($A568,'[2]Team lists'!$A$2:$L$800,2,FALSE)</f>
        <v>#N/A</v>
      </c>
      <c r="C568" s="43" t="e">
        <f>VLOOKUP($A568,'[2]Team lists'!$A$2:$L$800,3,FALSE)</f>
        <v>#N/A</v>
      </c>
      <c r="D568" s="43" t="e">
        <f>VLOOKUP($A568,'[2]Team lists'!$A$2:$L$800,4,FALSE)</f>
        <v>#N/A</v>
      </c>
      <c r="E568" s="43" t="e">
        <f>VLOOKUP($A568,'[2]Team lists'!$A$2:$L$800,5,FALSE)</f>
        <v>#N/A</v>
      </c>
      <c r="F568" s="43" t="e">
        <f>VLOOKUP($A568,'[2]Team lists'!$A$2:$L$800,6,FALSE)</f>
        <v>#N/A</v>
      </c>
      <c r="G568" s="43" t="e">
        <f>VLOOKUP($A568,'[2]Team lists'!$A$2:$L$800,7,FALSE)</f>
        <v>#N/A</v>
      </c>
      <c r="H568" s="43" t="e">
        <f>VLOOKUP($A568,'[2]Team lists'!$A$2:$L$800,8,FALSE)</f>
        <v>#N/A</v>
      </c>
      <c r="I568" s="43" t="e">
        <f>VLOOKUP($A568,'[2]Team lists'!$A$2:$L$800,9,FALSE)</f>
        <v>#N/A</v>
      </c>
      <c r="J568" s="43" t="e">
        <f>VLOOKUP($A568,'[2]Team lists'!$A$2:$L$800,9,FALSE)</f>
        <v>#N/A</v>
      </c>
      <c r="K568" s="43" t="e">
        <f>VLOOKUP($A568,'[2]Team lists'!$A$2:$L$800,10,FALSE)</f>
        <v>#N/A</v>
      </c>
      <c r="L568" s="43" t="e">
        <f>VLOOKUP($A568,'[2]Team lists'!$A$2:$L$800,11,FALSE)</f>
        <v>#N/A</v>
      </c>
    </row>
    <row r="569" spans="2:13">
      <c r="B569" s="43" t="e">
        <f>VLOOKUP($A569,'[2]Team lists'!$A$2:$L$800,2,FALSE)</f>
        <v>#N/A</v>
      </c>
      <c r="C569" s="43" t="e">
        <f>VLOOKUP($A569,'[2]Team lists'!$A$2:$L$800,3,FALSE)</f>
        <v>#N/A</v>
      </c>
      <c r="D569" s="43" t="e">
        <f>VLOOKUP($A569,'[2]Team lists'!$A$2:$L$800,4,FALSE)</f>
        <v>#N/A</v>
      </c>
      <c r="E569" s="43" t="e">
        <f>VLOOKUP($A569,'[2]Team lists'!$A$2:$L$800,5,FALSE)</f>
        <v>#N/A</v>
      </c>
      <c r="F569" s="43" t="e">
        <f>VLOOKUP($A569,'[2]Team lists'!$A$2:$L$800,6,FALSE)</f>
        <v>#N/A</v>
      </c>
      <c r="G569" s="43" t="e">
        <f>VLOOKUP($A569,'[2]Team lists'!$A$2:$L$800,7,FALSE)</f>
        <v>#N/A</v>
      </c>
      <c r="H569" s="43" t="e">
        <f>VLOOKUP($A569,'[2]Team lists'!$A$2:$L$800,8,FALSE)</f>
        <v>#N/A</v>
      </c>
      <c r="I569" s="43" t="e">
        <f>VLOOKUP($A569,'[2]Team lists'!$A$2:$L$800,9,FALSE)</f>
        <v>#N/A</v>
      </c>
      <c r="J569" s="43" t="e">
        <f>VLOOKUP($A569,'[2]Team lists'!$A$2:$L$800,9,FALSE)</f>
        <v>#N/A</v>
      </c>
      <c r="K569" s="43" t="e">
        <f>VLOOKUP($A569,'[2]Team lists'!$A$2:$L$800,10,FALSE)</f>
        <v>#N/A</v>
      </c>
      <c r="L569" s="43" t="e">
        <f>VLOOKUP($A569,'[2]Team lists'!$A$2:$L$800,11,FALSE)</f>
        <v>#N/A</v>
      </c>
    </row>
    <row r="570" spans="2:13">
      <c r="B570" s="43" t="e">
        <f>VLOOKUP($A570,'[2]Team lists'!$A$2:$L$800,2,FALSE)</f>
        <v>#N/A</v>
      </c>
      <c r="C570" s="43" t="e">
        <f>VLOOKUP($A570,'[2]Team lists'!$A$2:$L$800,3,FALSE)</f>
        <v>#N/A</v>
      </c>
      <c r="D570" s="43" t="e">
        <f>VLOOKUP($A570,'[2]Team lists'!$A$2:$L$800,4,FALSE)</f>
        <v>#N/A</v>
      </c>
      <c r="E570" s="43" t="e">
        <f>VLOOKUP($A570,'[2]Team lists'!$A$2:$L$800,5,FALSE)</f>
        <v>#N/A</v>
      </c>
      <c r="F570" s="43" t="e">
        <f>VLOOKUP($A570,'[2]Team lists'!$A$2:$L$800,6,FALSE)</f>
        <v>#N/A</v>
      </c>
      <c r="G570" s="43" t="e">
        <f>VLOOKUP($A570,'[2]Team lists'!$A$2:$L$800,7,FALSE)</f>
        <v>#N/A</v>
      </c>
      <c r="H570" s="43" t="e">
        <f>VLOOKUP($A570,'[2]Team lists'!$A$2:$L$800,8,FALSE)</f>
        <v>#N/A</v>
      </c>
      <c r="I570" s="43" t="e">
        <f>VLOOKUP($A570,'[2]Team lists'!$A$2:$L$800,9,FALSE)</f>
        <v>#N/A</v>
      </c>
      <c r="J570" s="43" t="e">
        <f>VLOOKUP($A570,'[2]Team lists'!$A$2:$L$800,9,FALSE)</f>
        <v>#N/A</v>
      </c>
      <c r="K570" s="43" t="e">
        <f>VLOOKUP($A570,'[2]Team lists'!$A$2:$L$800,10,FALSE)</f>
        <v>#N/A</v>
      </c>
      <c r="L570" s="43" t="e">
        <f>VLOOKUP($A570,'[2]Team lists'!$A$2:$L$800,11,FALSE)</f>
        <v>#N/A</v>
      </c>
    </row>
    <row r="571" spans="2:13">
      <c r="B571" s="43" t="e">
        <f>VLOOKUP($A571,'[2]Team lists'!$A$2:$L$800,2,FALSE)</f>
        <v>#N/A</v>
      </c>
      <c r="C571" s="43" t="e">
        <f>VLOOKUP($A571,'[2]Team lists'!$A$2:$L$800,3,FALSE)</f>
        <v>#N/A</v>
      </c>
      <c r="D571" s="43" t="e">
        <f>VLOOKUP($A571,'[2]Team lists'!$A$2:$L$800,4,FALSE)</f>
        <v>#N/A</v>
      </c>
      <c r="E571" s="43" t="e">
        <f>VLOOKUP($A571,'[2]Team lists'!$A$2:$L$800,5,FALSE)</f>
        <v>#N/A</v>
      </c>
      <c r="F571" s="43" t="e">
        <f>VLOOKUP($A571,'[2]Team lists'!$A$2:$L$800,6,FALSE)</f>
        <v>#N/A</v>
      </c>
      <c r="G571" s="43" t="e">
        <f>VLOOKUP($A571,'[2]Team lists'!$A$2:$L$800,7,FALSE)</f>
        <v>#N/A</v>
      </c>
      <c r="H571" s="43" t="e">
        <f>VLOOKUP($A571,'[2]Team lists'!$A$2:$L$800,8,FALSE)</f>
        <v>#N/A</v>
      </c>
      <c r="I571" s="43" t="e">
        <f>VLOOKUP($A571,'[2]Team lists'!$A$2:$L$800,9,FALSE)</f>
        <v>#N/A</v>
      </c>
      <c r="J571" s="43" t="e">
        <f>VLOOKUP($A571,'[2]Team lists'!$A$2:$L$800,9,FALSE)</f>
        <v>#N/A</v>
      </c>
      <c r="K571" s="43" t="e">
        <f>VLOOKUP($A571,'[2]Team lists'!$A$2:$L$800,10,FALSE)</f>
        <v>#N/A</v>
      </c>
      <c r="L571" s="43" t="e">
        <f>VLOOKUP($A571,'[2]Team lists'!$A$2:$L$800,11,FALSE)</f>
        <v>#N/A</v>
      </c>
    </row>
    <row r="572" spans="2:13">
      <c r="B572" s="43" t="e">
        <f>VLOOKUP($A572,'[2]Team lists'!$A$2:$L$800,2,FALSE)</f>
        <v>#N/A</v>
      </c>
      <c r="C572" s="43" t="e">
        <f>VLOOKUP($A572,'[2]Team lists'!$A$2:$L$800,3,FALSE)</f>
        <v>#N/A</v>
      </c>
      <c r="D572" s="43" t="e">
        <f>VLOOKUP($A572,'[2]Team lists'!$A$2:$L$800,4,FALSE)</f>
        <v>#N/A</v>
      </c>
      <c r="E572" s="43" t="e">
        <f>VLOOKUP($A572,'[2]Team lists'!$A$2:$L$800,5,FALSE)</f>
        <v>#N/A</v>
      </c>
      <c r="F572" s="43" t="e">
        <f>VLOOKUP($A572,'[2]Team lists'!$A$2:$L$800,6,FALSE)</f>
        <v>#N/A</v>
      </c>
      <c r="G572" s="43" t="e">
        <f>VLOOKUP($A572,'[2]Team lists'!$A$2:$L$800,7,FALSE)</f>
        <v>#N/A</v>
      </c>
      <c r="H572" s="43" t="e">
        <f>VLOOKUP($A572,'[2]Team lists'!$A$2:$L$800,8,FALSE)</f>
        <v>#N/A</v>
      </c>
      <c r="I572" s="43" t="e">
        <f>VLOOKUP($A572,'[2]Team lists'!$A$2:$L$800,9,FALSE)</f>
        <v>#N/A</v>
      </c>
      <c r="J572" s="43" t="e">
        <f>VLOOKUP($A572,'[2]Team lists'!$A$2:$L$800,9,FALSE)</f>
        <v>#N/A</v>
      </c>
      <c r="K572" s="43" t="e">
        <f>VLOOKUP($A572,'[2]Team lists'!$A$2:$L$800,10,FALSE)</f>
        <v>#N/A</v>
      </c>
      <c r="L572" s="43" t="e">
        <f>VLOOKUP($A572,'[2]Team lists'!$A$2:$L$800,11,FALSE)</f>
        <v>#N/A</v>
      </c>
    </row>
    <row r="573" spans="2:13">
      <c r="B573" s="43" t="e">
        <f>VLOOKUP($A573,'[2]Team lists'!$A$2:$L$800,2,FALSE)</f>
        <v>#N/A</v>
      </c>
      <c r="C573" s="43" t="e">
        <f>VLOOKUP($A573,'[2]Team lists'!$A$2:$L$800,3,FALSE)</f>
        <v>#N/A</v>
      </c>
      <c r="D573" s="43" t="e">
        <f>VLOOKUP($A573,'[2]Team lists'!$A$2:$L$800,4,FALSE)</f>
        <v>#N/A</v>
      </c>
      <c r="E573" s="43" t="e">
        <f>VLOOKUP($A573,'[2]Team lists'!$A$2:$L$800,5,FALSE)</f>
        <v>#N/A</v>
      </c>
      <c r="F573" s="43" t="e">
        <f>VLOOKUP($A573,'[2]Team lists'!$A$2:$L$800,6,FALSE)</f>
        <v>#N/A</v>
      </c>
      <c r="G573" s="43" t="e">
        <f>VLOOKUP($A573,'[2]Team lists'!$A$2:$L$800,7,FALSE)</f>
        <v>#N/A</v>
      </c>
      <c r="H573" s="43" t="e">
        <f>VLOOKUP($A573,'[2]Team lists'!$A$2:$L$800,8,FALSE)</f>
        <v>#N/A</v>
      </c>
      <c r="I573" s="43" t="e">
        <f>VLOOKUP($A573,'[2]Team lists'!$A$2:$L$800,9,FALSE)</f>
        <v>#N/A</v>
      </c>
      <c r="J573" s="43" t="e">
        <f>VLOOKUP($A573,'[2]Team lists'!$A$2:$L$800,9,FALSE)</f>
        <v>#N/A</v>
      </c>
      <c r="K573" s="43" t="e">
        <f>VLOOKUP($A573,'[2]Team lists'!$A$2:$L$800,10,FALSE)</f>
        <v>#N/A</v>
      </c>
      <c r="L573" s="43" t="e">
        <f>VLOOKUP($A573,'[2]Team lists'!$A$2:$L$800,11,FALSE)</f>
        <v>#N/A</v>
      </c>
    </row>
    <row r="574" spans="2:13">
      <c r="B574" s="43" t="e">
        <f>VLOOKUP($A574,'[2]Team lists'!$A$2:$L$800,2,FALSE)</f>
        <v>#N/A</v>
      </c>
      <c r="C574" s="43" t="e">
        <f>VLOOKUP($A574,'[2]Team lists'!$A$2:$L$800,3,FALSE)</f>
        <v>#N/A</v>
      </c>
      <c r="D574" s="43" t="e">
        <f>VLOOKUP($A574,'[2]Team lists'!$A$2:$L$800,4,FALSE)</f>
        <v>#N/A</v>
      </c>
      <c r="E574" s="43" t="e">
        <f>VLOOKUP($A574,'[2]Team lists'!$A$2:$L$800,5,FALSE)</f>
        <v>#N/A</v>
      </c>
      <c r="F574" s="43" t="e">
        <f>VLOOKUP($A574,'[2]Team lists'!$A$2:$L$800,6,FALSE)</f>
        <v>#N/A</v>
      </c>
      <c r="G574" s="43" t="e">
        <f>VLOOKUP($A574,'[2]Team lists'!$A$2:$L$800,7,FALSE)</f>
        <v>#N/A</v>
      </c>
      <c r="H574" s="43" t="e">
        <f>VLOOKUP($A574,'[2]Team lists'!$A$2:$L$800,8,FALSE)</f>
        <v>#N/A</v>
      </c>
      <c r="I574" s="43" t="e">
        <f>VLOOKUP($A574,'[2]Team lists'!$A$2:$L$800,9,FALSE)</f>
        <v>#N/A</v>
      </c>
      <c r="J574" s="43" t="e">
        <f>VLOOKUP($A574,'[2]Team lists'!$A$2:$L$800,9,FALSE)</f>
        <v>#N/A</v>
      </c>
      <c r="K574" s="43" t="e">
        <f>VLOOKUP($A574,'[2]Team lists'!$A$2:$L$800,10,FALSE)</f>
        <v>#N/A</v>
      </c>
      <c r="L574" s="43" t="e">
        <f>VLOOKUP($A574,'[2]Team lists'!$A$2:$L$800,11,FALSE)</f>
        <v>#N/A</v>
      </c>
    </row>
    <row r="575" spans="2:13" ht="18" thickBot="1">
      <c r="B575" s="45" t="s">
        <v>3210</v>
      </c>
      <c r="C575" s="46"/>
      <c r="D575" s="47"/>
      <c r="E575" s="48" t="e">
        <f t="shared" ref="E575:L575" si="35">SUM(E564:E574)</f>
        <v>#N/A</v>
      </c>
      <c r="F575" s="49" t="e">
        <f t="shared" si="35"/>
        <v>#N/A</v>
      </c>
      <c r="G575" s="49" t="e">
        <f t="shared" si="35"/>
        <v>#N/A</v>
      </c>
      <c r="H575" s="49" t="e">
        <f t="shared" si="35"/>
        <v>#N/A</v>
      </c>
      <c r="I575" s="49" t="e">
        <f t="shared" si="35"/>
        <v>#N/A</v>
      </c>
      <c r="J575" s="49" t="e">
        <f t="shared" si="35"/>
        <v>#N/A</v>
      </c>
      <c r="K575" s="49" t="e">
        <f t="shared" si="35"/>
        <v>#N/A</v>
      </c>
      <c r="L575" s="50" t="e">
        <f t="shared" si="35"/>
        <v>#N/A</v>
      </c>
    </row>
    <row r="576" spans="2:13" ht="18.600000000000001" thickTop="1" thickBot="1"/>
    <row r="577" spans="2:13" ht="18" thickTop="1">
      <c r="B577" s="23" t="s">
        <v>3204</v>
      </c>
      <c r="C577" s="24" t="s">
        <v>3205</v>
      </c>
      <c r="D577" s="25"/>
      <c r="E577" s="25"/>
      <c r="F577" s="53"/>
      <c r="G577" s="28" t="s">
        <v>3206</v>
      </c>
      <c r="H577" s="54"/>
      <c r="I577" s="54"/>
      <c r="J577" s="54"/>
      <c r="K577" s="28" t="s">
        <v>3207</v>
      </c>
      <c r="L577" s="29"/>
      <c r="M577" s="22" t="str">
        <f>G577</f>
        <v>Manager:</v>
      </c>
    </row>
    <row r="578" spans="2:13" ht="18" thickBot="1">
      <c r="B578" s="30">
        <v>37</v>
      </c>
      <c r="C578" s="57"/>
      <c r="D578" s="31"/>
      <c r="E578" s="31"/>
      <c r="F578" s="33"/>
      <c r="G578" s="55"/>
      <c r="H578" s="55"/>
      <c r="I578" s="55"/>
      <c r="J578" s="55"/>
      <c r="K578" s="34" t="e">
        <f>SUM(F591:L591)</f>
        <v>#N/A</v>
      </c>
      <c r="L578" s="35"/>
      <c r="M578" s="22">
        <f>G578</f>
        <v>0</v>
      </c>
    </row>
    <row r="579" spans="2:13" ht="18.600000000000001" thickTop="1">
      <c r="B579" s="58" t="s">
        <v>913</v>
      </c>
      <c r="C579" s="59" t="s">
        <v>912</v>
      </c>
      <c r="D579" s="60" t="s">
        <v>911</v>
      </c>
      <c r="E579" s="61" t="s">
        <v>3209</v>
      </c>
      <c r="F579" s="62" t="s">
        <v>3162</v>
      </c>
      <c r="G579" s="62" t="s">
        <v>3163</v>
      </c>
      <c r="H579" s="62" t="s">
        <v>3164</v>
      </c>
      <c r="I579" s="62" t="s">
        <v>3165</v>
      </c>
      <c r="J579" s="62" t="s">
        <v>3166</v>
      </c>
      <c r="K579" s="62" t="s">
        <v>3167</v>
      </c>
      <c r="L579" s="63" t="s">
        <v>3168</v>
      </c>
    </row>
    <row r="580" spans="2:13">
      <c r="B580" s="43" t="e">
        <f>VLOOKUP($A580,'[2]Team lists'!$A$2:$L$800,2,FALSE)</f>
        <v>#N/A</v>
      </c>
      <c r="C580" s="43" t="e">
        <f>VLOOKUP($A580,'[2]Team lists'!$A$2:$L$800,3,FALSE)</f>
        <v>#N/A</v>
      </c>
      <c r="D580" s="43" t="e">
        <f>VLOOKUP($A580,'[2]Team lists'!$A$2:$L$800,4,FALSE)</f>
        <v>#N/A</v>
      </c>
      <c r="E580" s="43" t="e">
        <f>VLOOKUP($A580,'[2]Team lists'!$A$2:$L$800,5,FALSE)</f>
        <v>#N/A</v>
      </c>
      <c r="F580" s="43" t="e">
        <f>VLOOKUP($A580,'[2]Team lists'!$A$2:$L$800,6,FALSE)</f>
        <v>#N/A</v>
      </c>
      <c r="G580" s="43" t="e">
        <f>VLOOKUP($A580,'[2]Team lists'!$A$2:$L$800,7,FALSE)</f>
        <v>#N/A</v>
      </c>
      <c r="H580" s="43" t="e">
        <f>VLOOKUP($A580,'[2]Team lists'!$A$2:$L$800,8,FALSE)</f>
        <v>#N/A</v>
      </c>
      <c r="I580" s="43" t="e">
        <f>VLOOKUP($A580,'[2]Team lists'!$A$2:$L$800,9,FALSE)</f>
        <v>#N/A</v>
      </c>
      <c r="J580" s="43" t="e">
        <f>VLOOKUP($A580,'[2]Team lists'!$A$2:$L$800,9,FALSE)</f>
        <v>#N/A</v>
      </c>
      <c r="K580" s="43" t="e">
        <f>VLOOKUP($A580,'[2]Team lists'!$A$2:$L$800,10,FALSE)</f>
        <v>#N/A</v>
      </c>
      <c r="L580" s="43" t="e">
        <f>VLOOKUP($A580,'[2]Team lists'!$A$2:$L$800,11,FALSE)</f>
        <v>#N/A</v>
      </c>
    </row>
    <row r="581" spans="2:13">
      <c r="B581" s="43" t="e">
        <f>VLOOKUP($A581,'[2]Team lists'!$A$2:$L$800,2,FALSE)</f>
        <v>#N/A</v>
      </c>
      <c r="C581" s="43" t="e">
        <f>VLOOKUP($A581,'[2]Team lists'!$A$2:$L$800,3,FALSE)</f>
        <v>#N/A</v>
      </c>
      <c r="D581" s="43" t="e">
        <f>VLOOKUP($A581,'[2]Team lists'!$A$2:$L$800,4,FALSE)</f>
        <v>#N/A</v>
      </c>
      <c r="E581" s="43" t="e">
        <f>VLOOKUP($A581,'[2]Team lists'!$A$2:$L$800,5,FALSE)</f>
        <v>#N/A</v>
      </c>
      <c r="F581" s="43" t="e">
        <f>VLOOKUP($A581,'[2]Team lists'!$A$2:$L$800,6,FALSE)</f>
        <v>#N/A</v>
      </c>
      <c r="G581" s="43" t="e">
        <f>VLOOKUP($A581,'[2]Team lists'!$A$2:$L$800,7,FALSE)</f>
        <v>#N/A</v>
      </c>
      <c r="H581" s="43" t="e">
        <f>VLOOKUP($A581,'[2]Team lists'!$A$2:$L$800,8,FALSE)</f>
        <v>#N/A</v>
      </c>
      <c r="I581" s="43" t="e">
        <f>VLOOKUP($A581,'[2]Team lists'!$A$2:$L$800,9,FALSE)</f>
        <v>#N/A</v>
      </c>
      <c r="J581" s="43" t="e">
        <f>VLOOKUP($A581,'[2]Team lists'!$A$2:$L$800,9,FALSE)</f>
        <v>#N/A</v>
      </c>
      <c r="K581" s="43" t="e">
        <f>VLOOKUP($A581,'[2]Team lists'!$A$2:$L$800,10,FALSE)</f>
        <v>#N/A</v>
      </c>
      <c r="L581" s="43" t="e">
        <f>VLOOKUP($A581,'[2]Team lists'!$A$2:$L$800,11,FALSE)</f>
        <v>#N/A</v>
      </c>
    </row>
    <row r="582" spans="2:13">
      <c r="B582" s="43" t="e">
        <f>VLOOKUP($A582,'[2]Team lists'!$A$2:$L$800,2,FALSE)</f>
        <v>#N/A</v>
      </c>
      <c r="C582" s="43" t="e">
        <f>VLOOKUP($A582,'[2]Team lists'!$A$2:$L$800,3,FALSE)</f>
        <v>#N/A</v>
      </c>
      <c r="D582" s="43" t="e">
        <f>VLOOKUP($A582,'[2]Team lists'!$A$2:$L$800,4,FALSE)</f>
        <v>#N/A</v>
      </c>
      <c r="E582" s="43" t="e">
        <f>VLOOKUP($A582,'[2]Team lists'!$A$2:$L$800,5,FALSE)</f>
        <v>#N/A</v>
      </c>
      <c r="F582" s="43" t="e">
        <f>VLOOKUP($A582,'[2]Team lists'!$A$2:$L$800,6,FALSE)</f>
        <v>#N/A</v>
      </c>
      <c r="G582" s="43" t="e">
        <f>VLOOKUP($A582,'[2]Team lists'!$A$2:$L$800,7,FALSE)</f>
        <v>#N/A</v>
      </c>
      <c r="H582" s="43" t="e">
        <f>VLOOKUP($A582,'[2]Team lists'!$A$2:$L$800,8,FALSE)</f>
        <v>#N/A</v>
      </c>
      <c r="I582" s="43" t="e">
        <f>VLOOKUP($A582,'[2]Team lists'!$A$2:$L$800,9,FALSE)</f>
        <v>#N/A</v>
      </c>
      <c r="J582" s="43" t="e">
        <f>VLOOKUP($A582,'[2]Team lists'!$A$2:$L$800,9,FALSE)</f>
        <v>#N/A</v>
      </c>
      <c r="K582" s="43" t="e">
        <f>VLOOKUP($A582,'[2]Team lists'!$A$2:$L$800,10,FALSE)</f>
        <v>#N/A</v>
      </c>
      <c r="L582" s="43" t="e">
        <f>VLOOKUP($A582,'[2]Team lists'!$A$2:$L$800,11,FALSE)</f>
        <v>#N/A</v>
      </c>
    </row>
    <row r="583" spans="2:13">
      <c r="B583" s="43" t="e">
        <f>VLOOKUP($A583,'[2]Team lists'!$A$2:$L$800,2,FALSE)</f>
        <v>#N/A</v>
      </c>
      <c r="C583" s="43" t="e">
        <f>VLOOKUP($A583,'[2]Team lists'!$A$2:$L$800,3,FALSE)</f>
        <v>#N/A</v>
      </c>
      <c r="D583" s="43" t="e">
        <f>VLOOKUP($A583,'[2]Team lists'!$A$2:$L$800,4,FALSE)</f>
        <v>#N/A</v>
      </c>
      <c r="E583" s="43" t="e">
        <f>VLOOKUP($A583,'[2]Team lists'!$A$2:$L$800,5,FALSE)</f>
        <v>#N/A</v>
      </c>
      <c r="F583" s="43" t="e">
        <f>VLOOKUP($A583,'[2]Team lists'!$A$2:$L$800,6,FALSE)</f>
        <v>#N/A</v>
      </c>
      <c r="G583" s="43" t="e">
        <f>VLOOKUP($A583,'[2]Team lists'!$A$2:$L$800,7,FALSE)</f>
        <v>#N/A</v>
      </c>
      <c r="H583" s="43" t="e">
        <f>VLOOKUP($A583,'[2]Team lists'!$A$2:$L$800,8,FALSE)</f>
        <v>#N/A</v>
      </c>
      <c r="I583" s="43" t="e">
        <f>VLOOKUP($A583,'[2]Team lists'!$A$2:$L$800,9,FALSE)</f>
        <v>#N/A</v>
      </c>
      <c r="J583" s="43" t="e">
        <f>VLOOKUP($A583,'[2]Team lists'!$A$2:$L$800,9,FALSE)</f>
        <v>#N/A</v>
      </c>
      <c r="K583" s="43" t="e">
        <f>VLOOKUP($A583,'[2]Team lists'!$A$2:$L$800,10,FALSE)</f>
        <v>#N/A</v>
      </c>
      <c r="L583" s="43" t="e">
        <f>VLOOKUP($A583,'[2]Team lists'!$A$2:$L$800,11,FALSE)</f>
        <v>#N/A</v>
      </c>
    </row>
    <row r="584" spans="2:13">
      <c r="B584" s="43" t="e">
        <f>VLOOKUP($A584,'[2]Team lists'!$A$2:$L$800,2,FALSE)</f>
        <v>#N/A</v>
      </c>
      <c r="C584" s="43" t="e">
        <f>VLOOKUP($A584,'[2]Team lists'!$A$2:$L$800,3,FALSE)</f>
        <v>#N/A</v>
      </c>
      <c r="D584" s="43" t="e">
        <f>VLOOKUP($A584,'[2]Team lists'!$A$2:$L$800,4,FALSE)</f>
        <v>#N/A</v>
      </c>
      <c r="E584" s="43" t="e">
        <f>VLOOKUP($A584,'[2]Team lists'!$A$2:$L$800,5,FALSE)</f>
        <v>#N/A</v>
      </c>
      <c r="F584" s="43" t="e">
        <f>VLOOKUP($A584,'[2]Team lists'!$A$2:$L$800,6,FALSE)</f>
        <v>#N/A</v>
      </c>
      <c r="G584" s="43" t="e">
        <f>VLOOKUP($A584,'[2]Team lists'!$A$2:$L$800,7,FALSE)</f>
        <v>#N/A</v>
      </c>
      <c r="H584" s="43" t="e">
        <f>VLOOKUP($A584,'[2]Team lists'!$A$2:$L$800,8,FALSE)</f>
        <v>#N/A</v>
      </c>
      <c r="I584" s="43" t="e">
        <f>VLOOKUP($A584,'[2]Team lists'!$A$2:$L$800,9,FALSE)</f>
        <v>#N/A</v>
      </c>
      <c r="J584" s="43" t="e">
        <f>VLOOKUP($A584,'[2]Team lists'!$A$2:$L$800,9,FALSE)</f>
        <v>#N/A</v>
      </c>
      <c r="K584" s="43" t="e">
        <f>VLOOKUP($A584,'[2]Team lists'!$A$2:$L$800,10,FALSE)</f>
        <v>#N/A</v>
      </c>
      <c r="L584" s="43" t="e">
        <f>VLOOKUP($A584,'[2]Team lists'!$A$2:$L$800,11,FALSE)</f>
        <v>#N/A</v>
      </c>
    </row>
    <row r="585" spans="2:13">
      <c r="B585" s="43" t="e">
        <f>VLOOKUP($A585,'[2]Team lists'!$A$2:$L$800,2,FALSE)</f>
        <v>#N/A</v>
      </c>
      <c r="C585" s="43" t="e">
        <f>VLOOKUP($A585,'[2]Team lists'!$A$2:$L$800,3,FALSE)</f>
        <v>#N/A</v>
      </c>
      <c r="D585" s="43" t="e">
        <f>VLOOKUP($A585,'[2]Team lists'!$A$2:$L$800,4,FALSE)</f>
        <v>#N/A</v>
      </c>
      <c r="E585" s="43" t="e">
        <f>VLOOKUP($A585,'[2]Team lists'!$A$2:$L$800,5,FALSE)</f>
        <v>#N/A</v>
      </c>
      <c r="F585" s="43" t="e">
        <f>VLOOKUP($A585,'[2]Team lists'!$A$2:$L$800,6,FALSE)</f>
        <v>#N/A</v>
      </c>
      <c r="G585" s="43" t="e">
        <f>VLOOKUP($A585,'[2]Team lists'!$A$2:$L$800,7,FALSE)</f>
        <v>#N/A</v>
      </c>
      <c r="H585" s="43" t="e">
        <f>VLOOKUP($A585,'[2]Team lists'!$A$2:$L$800,8,FALSE)</f>
        <v>#N/A</v>
      </c>
      <c r="I585" s="43" t="e">
        <f>VLOOKUP($A585,'[2]Team lists'!$A$2:$L$800,9,FALSE)</f>
        <v>#N/A</v>
      </c>
      <c r="J585" s="43" t="e">
        <f>VLOOKUP($A585,'[2]Team lists'!$A$2:$L$800,9,FALSE)</f>
        <v>#N/A</v>
      </c>
      <c r="K585" s="43" t="e">
        <f>VLOOKUP($A585,'[2]Team lists'!$A$2:$L$800,10,FALSE)</f>
        <v>#N/A</v>
      </c>
      <c r="L585" s="43" t="e">
        <f>VLOOKUP($A585,'[2]Team lists'!$A$2:$L$800,11,FALSE)</f>
        <v>#N/A</v>
      </c>
    </row>
    <row r="586" spans="2:13">
      <c r="B586" s="43" t="e">
        <f>VLOOKUP($A586,'[2]Team lists'!$A$2:$L$800,2,FALSE)</f>
        <v>#N/A</v>
      </c>
      <c r="C586" s="43" t="e">
        <f>VLOOKUP($A586,'[2]Team lists'!$A$2:$L$800,3,FALSE)</f>
        <v>#N/A</v>
      </c>
      <c r="D586" s="43" t="e">
        <f>VLOOKUP($A586,'[2]Team lists'!$A$2:$L$800,4,FALSE)</f>
        <v>#N/A</v>
      </c>
      <c r="E586" s="43" t="e">
        <f>VLOOKUP($A586,'[2]Team lists'!$A$2:$L$800,5,FALSE)</f>
        <v>#N/A</v>
      </c>
      <c r="F586" s="43" t="e">
        <f>VLOOKUP($A586,'[2]Team lists'!$A$2:$L$800,6,FALSE)</f>
        <v>#N/A</v>
      </c>
      <c r="G586" s="43" t="e">
        <f>VLOOKUP($A586,'[2]Team lists'!$A$2:$L$800,7,FALSE)</f>
        <v>#N/A</v>
      </c>
      <c r="H586" s="43" t="e">
        <f>VLOOKUP($A586,'[2]Team lists'!$A$2:$L$800,8,FALSE)</f>
        <v>#N/A</v>
      </c>
      <c r="I586" s="43" t="e">
        <f>VLOOKUP($A586,'[2]Team lists'!$A$2:$L$800,9,FALSE)</f>
        <v>#N/A</v>
      </c>
      <c r="J586" s="43" t="e">
        <f>VLOOKUP($A586,'[2]Team lists'!$A$2:$L$800,9,FALSE)</f>
        <v>#N/A</v>
      </c>
      <c r="K586" s="43" t="e">
        <f>VLOOKUP($A586,'[2]Team lists'!$A$2:$L$800,10,FALSE)</f>
        <v>#N/A</v>
      </c>
      <c r="L586" s="43" t="e">
        <f>VLOOKUP($A586,'[2]Team lists'!$A$2:$L$800,11,FALSE)</f>
        <v>#N/A</v>
      </c>
    </row>
    <row r="587" spans="2:13">
      <c r="B587" s="43" t="e">
        <f>VLOOKUP($A587,'[2]Team lists'!$A$2:$L$800,2,FALSE)</f>
        <v>#N/A</v>
      </c>
      <c r="C587" s="43" t="e">
        <f>VLOOKUP($A587,'[2]Team lists'!$A$2:$L$800,3,FALSE)</f>
        <v>#N/A</v>
      </c>
      <c r="D587" s="43" t="e">
        <f>VLOOKUP($A587,'[2]Team lists'!$A$2:$L$800,4,FALSE)</f>
        <v>#N/A</v>
      </c>
      <c r="E587" s="43" t="e">
        <f>VLOOKUP($A587,'[2]Team lists'!$A$2:$L$800,5,FALSE)</f>
        <v>#N/A</v>
      </c>
      <c r="F587" s="43" t="e">
        <f>VLOOKUP($A587,'[2]Team lists'!$A$2:$L$800,6,FALSE)</f>
        <v>#N/A</v>
      </c>
      <c r="G587" s="43" t="e">
        <f>VLOOKUP($A587,'[2]Team lists'!$A$2:$L$800,7,FALSE)</f>
        <v>#N/A</v>
      </c>
      <c r="H587" s="43" t="e">
        <f>VLOOKUP($A587,'[2]Team lists'!$A$2:$L$800,8,FALSE)</f>
        <v>#N/A</v>
      </c>
      <c r="I587" s="43" t="e">
        <f>VLOOKUP($A587,'[2]Team lists'!$A$2:$L$800,9,FALSE)</f>
        <v>#N/A</v>
      </c>
      <c r="J587" s="43" t="e">
        <f>VLOOKUP($A587,'[2]Team lists'!$A$2:$L$800,9,FALSE)</f>
        <v>#N/A</v>
      </c>
      <c r="K587" s="43" t="e">
        <f>VLOOKUP($A587,'[2]Team lists'!$A$2:$L$800,10,FALSE)</f>
        <v>#N/A</v>
      </c>
      <c r="L587" s="43" t="e">
        <f>VLOOKUP($A587,'[2]Team lists'!$A$2:$L$800,11,FALSE)</f>
        <v>#N/A</v>
      </c>
    </row>
    <row r="588" spans="2:13">
      <c r="B588" s="43" t="e">
        <f>VLOOKUP($A588,'[2]Team lists'!$A$2:$L$800,2,FALSE)</f>
        <v>#N/A</v>
      </c>
      <c r="C588" s="43" t="e">
        <f>VLOOKUP($A588,'[2]Team lists'!$A$2:$L$800,3,FALSE)</f>
        <v>#N/A</v>
      </c>
      <c r="D588" s="43" t="e">
        <f>VLOOKUP($A588,'[2]Team lists'!$A$2:$L$800,4,FALSE)</f>
        <v>#N/A</v>
      </c>
      <c r="E588" s="43" t="e">
        <f>VLOOKUP($A588,'[2]Team lists'!$A$2:$L$800,5,FALSE)</f>
        <v>#N/A</v>
      </c>
      <c r="F588" s="43" t="e">
        <f>VLOOKUP($A588,'[2]Team lists'!$A$2:$L$800,6,FALSE)</f>
        <v>#N/A</v>
      </c>
      <c r="G588" s="43" t="e">
        <f>VLOOKUP($A588,'[2]Team lists'!$A$2:$L$800,7,FALSE)</f>
        <v>#N/A</v>
      </c>
      <c r="H588" s="43" t="e">
        <f>VLOOKUP($A588,'[2]Team lists'!$A$2:$L$800,8,FALSE)</f>
        <v>#N/A</v>
      </c>
      <c r="I588" s="43" t="e">
        <f>VLOOKUP($A588,'[2]Team lists'!$A$2:$L$800,9,FALSE)</f>
        <v>#N/A</v>
      </c>
      <c r="J588" s="43" t="e">
        <f>VLOOKUP($A588,'[2]Team lists'!$A$2:$L$800,9,FALSE)</f>
        <v>#N/A</v>
      </c>
      <c r="K588" s="43" t="e">
        <f>VLOOKUP($A588,'[2]Team lists'!$A$2:$L$800,10,FALSE)</f>
        <v>#N/A</v>
      </c>
      <c r="L588" s="43" t="e">
        <f>VLOOKUP($A588,'[2]Team lists'!$A$2:$L$800,11,FALSE)</f>
        <v>#N/A</v>
      </c>
    </row>
    <row r="589" spans="2:13">
      <c r="B589" s="43" t="e">
        <f>VLOOKUP($A589,'[2]Team lists'!$A$2:$L$800,2,FALSE)</f>
        <v>#N/A</v>
      </c>
      <c r="C589" s="43" t="e">
        <f>VLOOKUP($A589,'[2]Team lists'!$A$2:$L$800,3,FALSE)</f>
        <v>#N/A</v>
      </c>
      <c r="D589" s="43" t="e">
        <f>VLOOKUP($A589,'[2]Team lists'!$A$2:$L$800,4,FALSE)</f>
        <v>#N/A</v>
      </c>
      <c r="E589" s="43" t="e">
        <f>VLOOKUP($A589,'[2]Team lists'!$A$2:$L$800,5,FALSE)</f>
        <v>#N/A</v>
      </c>
      <c r="F589" s="43" t="e">
        <f>VLOOKUP($A589,'[2]Team lists'!$A$2:$L$800,6,FALSE)</f>
        <v>#N/A</v>
      </c>
      <c r="G589" s="43" t="e">
        <f>VLOOKUP($A589,'[2]Team lists'!$A$2:$L$800,7,FALSE)</f>
        <v>#N/A</v>
      </c>
      <c r="H589" s="43" t="e">
        <f>VLOOKUP($A589,'[2]Team lists'!$A$2:$L$800,8,FALSE)</f>
        <v>#N/A</v>
      </c>
      <c r="I589" s="43" t="e">
        <f>VLOOKUP($A589,'[2]Team lists'!$A$2:$L$800,9,FALSE)</f>
        <v>#N/A</v>
      </c>
      <c r="J589" s="43" t="e">
        <f>VLOOKUP($A589,'[2]Team lists'!$A$2:$L$800,9,FALSE)</f>
        <v>#N/A</v>
      </c>
      <c r="K589" s="43" t="e">
        <f>VLOOKUP($A589,'[2]Team lists'!$A$2:$L$800,10,FALSE)</f>
        <v>#N/A</v>
      </c>
      <c r="L589" s="43" t="e">
        <f>VLOOKUP($A589,'[2]Team lists'!$A$2:$L$800,11,FALSE)</f>
        <v>#N/A</v>
      </c>
    </row>
    <row r="590" spans="2:13">
      <c r="B590" s="43" t="e">
        <f>VLOOKUP($A590,'[2]Team lists'!$A$2:$L$800,2,FALSE)</f>
        <v>#N/A</v>
      </c>
      <c r="C590" s="43" t="e">
        <f>VLOOKUP($A590,'[2]Team lists'!$A$2:$L$800,3,FALSE)</f>
        <v>#N/A</v>
      </c>
      <c r="D590" s="43" t="e">
        <f>VLOOKUP($A590,'[2]Team lists'!$A$2:$L$800,4,FALSE)</f>
        <v>#N/A</v>
      </c>
      <c r="E590" s="43" t="e">
        <f>VLOOKUP($A590,'[2]Team lists'!$A$2:$L$800,5,FALSE)</f>
        <v>#N/A</v>
      </c>
      <c r="F590" s="43" t="e">
        <f>VLOOKUP($A590,'[2]Team lists'!$A$2:$L$800,6,FALSE)</f>
        <v>#N/A</v>
      </c>
      <c r="G590" s="43" t="e">
        <f>VLOOKUP($A590,'[2]Team lists'!$A$2:$L$800,7,FALSE)</f>
        <v>#N/A</v>
      </c>
      <c r="H590" s="43" t="e">
        <f>VLOOKUP($A590,'[2]Team lists'!$A$2:$L$800,8,FALSE)</f>
        <v>#N/A</v>
      </c>
      <c r="I590" s="43" t="e">
        <f>VLOOKUP($A590,'[2]Team lists'!$A$2:$L$800,9,FALSE)</f>
        <v>#N/A</v>
      </c>
      <c r="J590" s="43" t="e">
        <f>VLOOKUP($A590,'[2]Team lists'!$A$2:$L$800,9,FALSE)</f>
        <v>#N/A</v>
      </c>
      <c r="K590" s="43" t="e">
        <f>VLOOKUP($A590,'[2]Team lists'!$A$2:$L$800,10,FALSE)</f>
        <v>#N/A</v>
      </c>
      <c r="L590" s="43" t="e">
        <f>VLOOKUP($A590,'[2]Team lists'!$A$2:$L$800,11,FALSE)</f>
        <v>#N/A</v>
      </c>
    </row>
    <row r="591" spans="2:13" ht="18" thickBot="1">
      <c r="B591" s="45" t="s">
        <v>3210</v>
      </c>
      <c r="C591" s="46"/>
      <c r="D591" s="47"/>
      <c r="E591" s="48" t="e">
        <f t="shared" ref="E591:L591" si="36">SUM(E580:E590)</f>
        <v>#N/A</v>
      </c>
      <c r="F591" s="49" t="e">
        <f t="shared" si="36"/>
        <v>#N/A</v>
      </c>
      <c r="G591" s="49" t="e">
        <f t="shared" si="36"/>
        <v>#N/A</v>
      </c>
      <c r="H591" s="49" t="e">
        <f t="shared" si="36"/>
        <v>#N/A</v>
      </c>
      <c r="I591" s="49" t="e">
        <f t="shared" si="36"/>
        <v>#N/A</v>
      </c>
      <c r="J591" s="49" t="e">
        <f t="shared" si="36"/>
        <v>#N/A</v>
      </c>
      <c r="K591" s="49" t="e">
        <f t="shared" si="36"/>
        <v>#N/A</v>
      </c>
      <c r="L591" s="50" t="e">
        <f t="shared" si="36"/>
        <v>#N/A</v>
      </c>
    </row>
    <row r="592" spans="2:13" ht="18.600000000000001" thickTop="1" thickBot="1"/>
    <row r="593" spans="2:13" ht="18" thickTop="1">
      <c r="B593" s="23" t="s">
        <v>3204</v>
      </c>
      <c r="C593" s="24" t="s">
        <v>3205</v>
      </c>
      <c r="D593" s="25"/>
      <c r="E593" s="25"/>
      <c r="F593" s="53"/>
      <c r="G593" s="28" t="s">
        <v>3206</v>
      </c>
      <c r="H593" s="54"/>
      <c r="I593" s="54"/>
      <c r="J593" s="54"/>
      <c r="K593" s="28" t="s">
        <v>3207</v>
      </c>
      <c r="L593" s="29"/>
      <c r="M593" s="22" t="str">
        <f>G593</f>
        <v>Manager:</v>
      </c>
    </row>
    <row r="594" spans="2:13" ht="18" thickBot="1">
      <c r="B594" s="30">
        <v>38</v>
      </c>
      <c r="C594" s="57"/>
      <c r="D594" s="31"/>
      <c r="E594" s="31"/>
      <c r="F594" s="33"/>
      <c r="G594" s="55"/>
      <c r="H594" s="55"/>
      <c r="I594" s="55"/>
      <c r="J594" s="55"/>
      <c r="K594" s="34" t="e">
        <f>SUM(F607:L607)</f>
        <v>#N/A</v>
      </c>
      <c r="L594" s="35"/>
      <c r="M594" s="22">
        <f>G594</f>
        <v>0</v>
      </c>
    </row>
    <row r="595" spans="2:13" ht="18.600000000000001" thickTop="1">
      <c r="B595" s="58" t="s">
        <v>913</v>
      </c>
      <c r="C595" s="59" t="s">
        <v>912</v>
      </c>
      <c r="D595" s="60" t="s">
        <v>911</v>
      </c>
      <c r="E595" s="61" t="s">
        <v>3209</v>
      </c>
      <c r="F595" s="62" t="s">
        <v>3162</v>
      </c>
      <c r="G595" s="62" t="s">
        <v>3163</v>
      </c>
      <c r="H595" s="62" t="s">
        <v>3164</v>
      </c>
      <c r="I595" s="62" t="s">
        <v>3165</v>
      </c>
      <c r="J595" s="62" t="s">
        <v>3166</v>
      </c>
      <c r="K595" s="62" t="s">
        <v>3167</v>
      </c>
      <c r="L595" s="63" t="s">
        <v>3168</v>
      </c>
    </row>
    <row r="596" spans="2:13">
      <c r="B596" s="43" t="e">
        <f>VLOOKUP($A596,'[2]Team lists'!$A$2:$L$800,2,FALSE)</f>
        <v>#N/A</v>
      </c>
      <c r="C596" s="43" t="e">
        <f>VLOOKUP($A596,'[2]Team lists'!$A$2:$L$800,3,FALSE)</f>
        <v>#N/A</v>
      </c>
      <c r="D596" s="43" t="e">
        <f>VLOOKUP($A596,'[2]Team lists'!$A$2:$L$800,4,FALSE)</f>
        <v>#N/A</v>
      </c>
      <c r="E596" s="43" t="e">
        <f>VLOOKUP($A596,'[2]Team lists'!$A$2:$L$800,5,FALSE)</f>
        <v>#N/A</v>
      </c>
      <c r="F596" s="43" t="e">
        <f>VLOOKUP($A596,'[2]Team lists'!$A$2:$L$800,6,FALSE)</f>
        <v>#N/A</v>
      </c>
      <c r="G596" s="43" t="e">
        <f>VLOOKUP($A596,'[2]Team lists'!$A$2:$L$800,7,FALSE)</f>
        <v>#N/A</v>
      </c>
      <c r="H596" s="43" t="e">
        <f>VLOOKUP($A596,'[2]Team lists'!$A$2:$L$800,8,FALSE)</f>
        <v>#N/A</v>
      </c>
      <c r="I596" s="43" t="e">
        <f>VLOOKUP($A596,'[2]Team lists'!$A$2:$L$800,9,FALSE)</f>
        <v>#N/A</v>
      </c>
      <c r="J596" s="43" t="e">
        <f>VLOOKUP($A596,'[2]Team lists'!$A$2:$L$800,9,FALSE)</f>
        <v>#N/A</v>
      </c>
      <c r="K596" s="43" t="e">
        <f>VLOOKUP($A596,'[2]Team lists'!$A$2:$L$800,10,FALSE)</f>
        <v>#N/A</v>
      </c>
      <c r="L596" s="43" t="e">
        <f>VLOOKUP($A596,'[2]Team lists'!$A$2:$L$800,11,FALSE)</f>
        <v>#N/A</v>
      </c>
    </row>
    <row r="597" spans="2:13">
      <c r="B597" s="43" t="e">
        <f>VLOOKUP($A597,'[2]Team lists'!$A$2:$L$800,2,FALSE)</f>
        <v>#N/A</v>
      </c>
      <c r="C597" s="43" t="e">
        <f>VLOOKUP($A597,'[2]Team lists'!$A$2:$L$800,3,FALSE)</f>
        <v>#N/A</v>
      </c>
      <c r="D597" s="43" t="e">
        <f>VLOOKUP($A597,'[2]Team lists'!$A$2:$L$800,4,FALSE)</f>
        <v>#N/A</v>
      </c>
      <c r="E597" s="43" t="e">
        <f>VLOOKUP($A597,'[2]Team lists'!$A$2:$L$800,5,FALSE)</f>
        <v>#N/A</v>
      </c>
      <c r="F597" s="43" t="e">
        <f>VLOOKUP($A597,'[2]Team lists'!$A$2:$L$800,6,FALSE)</f>
        <v>#N/A</v>
      </c>
      <c r="G597" s="43" t="e">
        <f>VLOOKUP($A597,'[2]Team lists'!$A$2:$L$800,7,FALSE)</f>
        <v>#N/A</v>
      </c>
      <c r="H597" s="43" t="e">
        <f>VLOOKUP($A597,'[2]Team lists'!$A$2:$L$800,8,FALSE)</f>
        <v>#N/A</v>
      </c>
      <c r="I597" s="43" t="e">
        <f>VLOOKUP($A597,'[2]Team lists'!$A$2:$L$800,9,FALSE)</f>
        <v>#N/A</v>
      </c>
      <c r="J597" s="43" t="e">
        <f>VLOOKUP($A597,'[2]Team lists'!$A$2:$L$800,9,FALSE)</f>
        <v>#N/A</v>
      </c>
      <c r="K597" s="43" t="e">
        <f>VLOOKUP($A597,'[2]Team lists'!$A$2:$L$800,10,FALSE)</f>
        <v>#N/A</v>
      </c>
      <c r="L597" s="43" t="e">
        <f>VLOOKUP($A597,'[2]Team lists'!$A$2:$L$800,11,FALSE)</f>
        <v>#N/A</v>
      </c>
    </row>
    <row r="598" spans="2:13">
      <c r="B598" s="43" t="e">
        <f>VLOOKUP($A598,'[2]Team lists'!$A$2:$L$800,2,FALSE)</f>
        <v>#N/A</v>
      </c>
      <c r="C598" s="43" t="e">
        <f>VLOOKUP($A598,'[2]Team lists'!$A$2:$L$800,3,FALSE)</f>
        <v>#N/A</v>
      </c>
      <c r="D598" s="43" t="e">
        <f>VLOOKUP($A598,'[2]Team lists'!$A$2:$L$800,4,FALSE)</f>
        <v>#N/A</v>
      </c>
      <c r="E598" s="43" t="e">
        <f>VLOOKUP($A598,'[2]Team lists'!$A$2:$L$800,5,FALSE)</f>
        <v>#N/A</v>
      </c>
      <c r="F598" s="43" t="e">
        <f>VLOOKUP($A598,'[2]Team lists'!$A$2:$L$800,6,FALSE)</f>
        <v>#N/A</v>
      </c>
      <c r="G598" s="43" t="e">
        <f>VLOOKUP($A598,'[2]Team lists'!$A$2:$L$800,7,FALSE)</f>
        <v>#N/A</v>
      </c>
      <c r="H598" s="43" t="e">
        <f>VLOOKUP($A598,'[2]Team lists'!$A$2:$L$800,8,FALSE)</f>
        <v>#N/A</v>
      </c>
      <c r="I598" s="43" t="e">
        <f>VLOOKUP($A598,'[2]Team lists'!$A$2:$L$800,9,FALSE)</f>
        <v>#N/A</v>
      </c>
      <c r="J598" s="43" t="e">
        <f>VLOOKUP($A598,'[2]Team lists'!$A$2:$L$800,9,FALSE)</f>
        <v>#N/A</v>
      </c>
      <c r="K598" s="43" t="e">
        <f>VLOOKUP($A598,'[2]Team lists'!$A$2:$L$800,10,FALSE)</f>
        <v>#N/A</v>
      </c>
      <c r="L598" s="43" t="e">
        <f>VLOOKUP($A598,'[2]Team lists'!$A$2:$L$800,11,FALSE)</f>
        <v>#N/A</v>
      </c>
    </row>
    <row r="599" spans="2:13">
      <c r="B599" s="43" t="e">
        <f>VLOOKUP($A599,'[2]Team lists'!$A$2:$L$800,2,FALSE)</f>
        <v>#N/A</v>
      </c>
      <c r="C599" s="43" t="e">
        <f>VLOOKUP($A599,'[2]Team lists'!$A$2:$L$800,3,FALSE)</f>
        <v>#N/A</v>
      </c>
      <c r="D599" s="43" t="e">
        <f>VLOOKUP($A599,'[2]Team lists'!$A$2:$L$800,4,FALSE)</f>
        <v>#N/A</v>
      </c>
      <c r="E599" s="43" t="e">
        <f>VLOOKUP($A599,'[2]Team lists'!$A$2:$L$800,5,FALSE)</f>
        <v>#N/A</v>
      </c>
      <c r="F599" s="43" t="e">
        <f>VLOOKUP($A599,'[2]Team lists'!$A$2:$L$800,6,FALSE)</f>
        <v>#N/A</v>
      </c>
      <c r="G599" s="43" t="e">
        <f>VLOOKUP($A599,'[2]Team lists'!$A$2:$L$800,7,FALSE)</f>
        <v>#N/A</v>
      </c>
      <c r="H599" s="43" t="e">
        <f>VLOOKUP($A599,'[2]Team lists'!$A$2:$L$800,8,FALSE)</f>
        <v>#N/A</v>
      </c>
      <c r="I599" s="43" t="e">
        <f>VLOOKUP($A599,'[2]Team lists'!$A$2:$L$800,9,FALSE)</f>
        <v>#N/A</v>
      </c>
      <c r="J599" s="43" t="e">
        <f>VLOOKUP($A599,'[2]Team lists'!$A$2:$L$800,9,FALSE)</f>
        <v>#N/A</v>
      </c>
      <c r="K599" s="43" t="e">
        <f>VLOOKUP($A599,'[2]Team lists'!$A$2:$L$800,10,FALSE)</f>
        <v>#N/A</v>
      </c>
      <c r="L599" s="43" t="e">
        <f>VLOOKUP($A599,'[2]Team lists'!$A$2:$L$800,11,FALSE)</f>
        <v>#N/A</v>
      </c>
    </row>
    <row r="600" spans="2:13">
      <c r="B600" s="43" t="e">
        <f>VLOOKUP($A600,'[2]Team lists'!$A$2:$L$800,2,FALSE)</f>
        <v>#N/A</v>
      </c>
      <c r="C600" s="43" t="e">
        <f>VLOOKUP($A600,'[2]Team lists'!$A$2:$L$800,3,FALSE)</f>
        <v>#N/A</v>
      </c>
      <c r="D600" s="43" t="e">
        <f>VLOOKUP($A600,'[2]Team lists'!$A$2:$L$800,4,FALSE)</f>
        <v>#N/A</v>
      </c>
      <c r="E600" s="43" t="e">
        <f>VLOOKUP($A600,'[2]Team lists'!$A$2:$L$800,5,FALSE)</f>
        <v>#N/A</v>
      </c>
      <c r="F600" s="43" t="e">
        <f>VLOOKUP($A600,'[2]Team lists'!$A$2:$L$800,6,FALSE)</f>
        <v>#N/A</v>
      </c>
      <c r="G600" s="43" t="e">
        <f>VLOOKUP($A600,'[2]Team lists'!$A$2:$L$800,7,FALSE)</f>
        <v>#N/A</v>
      </c>
      <c r="H600" s="43" t="e">
        <f>VLOOKUP($A600,'[2]Team lists'!$A$2:$L$800,8,FALSE)</f>
        <v>#N/A</v>
      </c>
      <c r="I600" s="43" t="e">
        <f>VLOOKUP($A600,'[2]Team lists'!$A$2:$L$800,9,FALSE)</f>
        <v>#N/A</v>
      </c>
      <c r="J600" s="43" t="e">
        <f>VLOOKUP($A600,'[2]Team lists'!$A$2:$L$800,9,FALSE)</f>
        <v>#N/A</v>
      </c>
      <c r="K600" s="43" t="e">
        <f>VLOOKUP($A600,'[2]Team lists'!$A$2:$L$800,10,FALSE)</f>
        <v>#N/A</v>
      </c>
      <c r="L600" s="43" t="e">
        <f>VLOOKUP($A600,'[2]Team lists'!$A$2:$L$800,11,FALSE)</f>
        <v>#N/A</v>
      </c>
    </row>
    <row r="601" spans="2:13">
      <c r="B601" s="43" t="e">
        <f>VLOOKUP($A601,'[2]Team lists'!$A$2:$L$800,2,FALSE)</f>
        <v>#N/A</v>
      </c>
      <c r="C601" s="43" t="e">
        <f>VLOOKUP($A601,'[2]Team lists'!$A$2:$L$800,3,FALSE)</f>
        <v>#N/A</v>
      </c>
      <c r="D601" s="43" t="e">
        <f>VLOOKUP($A601,'[2]Team lists'!$A$2:$L$800,4,FALSE)</f>
        <v>#N/A</v>
      </c>
      <c r="E601" s="43" t="e">
        <f>VLOOKUP($A601,'[2]Team lists'!$A$2:$L$800,5,FALSE)</f>
        <v>#N/A</v>
      </c>
      <c r="F601" s="43" t="e">
        <f>VLOOKUP($A601,'[2]Team lists'!$A$2:$L$800,6,FALSE)</f>
        <v>#N/A</v>
      </c>
      <c r="G601" s="43" t="e">
        <f>VLOOKUP($A601,'[2]Team lists'!$A$2:$L$800,7,FALSE)</f>
        <v>#N/A</v>
      </c>
      <c r="H601" s="43" t="e">
        <f>VLOOKUP($A601,'[2]Team lists'!$A$2:$L$800,8,FALSE)</f>
        <v>#N/A</v>
      </c>
      <c r="I601" s="43" t="e">
        <f>VLOOKUP($A601,'[2]Team lists'!$A$2:$L$800,9,FALSE)</f>
        <v>#N/A</v>
      </c>
      <c r="J601" s="43" t="e">
        <f>VLOOKUP($A601,'[2]Team lists'!$A$2:$L$800,9,FALSE)</f>
        <v>#N/A</v>
      </c>
      <c r="K601" s="43" t="e">
        <f>VLOOKUP($A601,'[2]Team lists'!$A$2:$L$800,10,FALSE)</f>
        <v>#N/A</v>
      </c>
      <c r="L601" s="43" t="e">
        <f>VLOOKUP($A601,'[2]Team lists'!$A$2:$L$800,11,FALSE)</f>
        <v>#N/A</v>
      </c>
    </row>
    <row r="602" spans="2:13">
      <c r="B602" s="43" t="e">
        <f>VLOOKUP($A602,'[2]Team lists'!$A$2:$L$800,2,FALSE)</f>
        <v>#N/A</v>
      </c>
      <c r="C602" s="43" t="e">
        <f>VLOOKUP($A602,'[2]Team lists'!$A$2:$L$800,3,FALSE)</f>
        <v>#N/A</v>
      </c>
      <c r="D602" s="43" t="e">
        <f>VLOOKUP($A602,'[2]Team lists'!$A$2:$L$800,4,FALSE)</f>
        <v>#N/A</v>
      </c>
      <c r="E602" s="43" t="e">
        <f>VLOOKUP($A602,'[2]Team lists'!$A$2:$L$800,5,FALSE)</f>
        <v>#N/A</v>
      </c>
      <c r="F602" s="43" t="e">
        <f>VLOOKUP($A602,'[2]Team lists'!$A$2:$L$800,6,FALSE)</f>
        <v>#N/A</v>
      </c>
      <c r="G602" s="43" t="e">
        <f>VLOOKUP($A602,'[2]Team lists'!$A$2:$L$800,7,FALSE)</f>
        <v>#N/A</v>
      </c>
      <c r="H602" s="43" t="e">
        <f>VLOOKUP($A602,'[2]Team lists'!$A$2:$L$800,8,FALSE)</f>
        <v>#N/A</v>
      </c>
      <c r="I602" s="43" t="e">
        <f>VLOOKUP($A602,'[2]Team lists'!$A$2:$L$800,9,FALSE)</f>
        <v>#N/A</v>
      </c>
      <c r="J602" s="43" t="e">
        <f>VLOOKUP($A602,'[2]Team lists'!$A$2:$L$800,9,FALSE)</f>
        <v>#N/A</v>
      </c>
      <c r="K602" s="43" t="e">
        <f>VLOOKUP($A602,'[2]Team lists'!$A$2:$L$800,10,FALSE)</f>
        <v>#N/A</v>
      </c>
      <c r="L602" s="43" t="e">
        <f>VLOOKUP($A602,'[2]Team lists'!$A$2:$L$800,11,FALSE)</f>
        <v>#N/A</v>
      </c>
    </row>
    <row r="603" spans="2:13">
      <c r="B603" s="43" t="e">
        <f>VLOOKUP($A603,'[2]Team lists'!$A$2:$L$800,2,FALSE)</f>
        <v>#N/A</v>
      </c>
      <c r="C603" s="43" t="e">
        <f>VLOOKUP($A603,'[2]Team lists'!$A$2:$L$800,3,FALSE)</f>
        <v>#N/A</v>
      </c>
      <c r="D603" s="43" t="e">
        <f>VLOOKUP($A603,'[2]Team lists'!$A$2:$L$800,4,FALSE)</f>
        <v>#N/A</v>
      </c>
      <c r="E603" s="43" t="e">
        <f>VLOOKUP($A603,'[2]Team lists'!$A$2:$L$800,5,FALSE)</f>
        <v>#N/A</v>
      </c>
      <c r="F603" s="43" t="e">
        <f>VLOOKUP($A603,'[2]Team lists'!$A$2:$L$800,6,FALSE)</f>
        <v>#N/A</v>
      </c>
      <c r="G603" s="43" t="e">
        <f>VLOOKUP($A603,'[2]Team lists'!$A$2:$L$800,7,FALSE)</f>
        <v>#N/A</v>
      </c>
      <c r="H603" s="43" t="e">
        <f>VLOOKUP($A603,'[2]Team lists'!$A$2:$L$800,8,FALSE)</f>
        <v>#N/A</v>
      </c>
      <c r="I603" s="43" t="e">
        <f>VLOOKUP($A603,'[2]Team lists'!$A$2:$L$800,9,FALSE)</f>
        <v>#N/A</v>
      </c>
      <c r="J603" s="43" t="e">
        <f>VLOOKUP($A603,'[2]Team lists'!$A$2:$L$800,9,FALSE)</f>
        <v>#N/A</v>
      </c>
      <c r="K603" s="43" t="e">
        <f>VLOOKUP($A603,'[2]Team lists'!$A$2:$L$800,10,FALSE)</f>
        <v>#N/A</v>
      </c>
      <c r="L603" s="43" t="e">
        <f>VLOOKUP($A603,'[2]Team lists'!$A$2:$L$800,11,FALSE)</f>
        <v>#N/A</v>
      </c>
    </row>
    <row r="604" spans="2:13">
      <c r="B604" s="43" t="e">
        <f>VLOOKUP($A604,'[2]Team lists'!$A$2:$L$800,2,FALSE)</f>
        <v>#N/A</v>
      </c>
      <c r="C604" s="43" t="e">
        <f>VLOOKUP($A604,'[2]Team lists'!$A$2:$L$800,3,FALSE)</f>
        <v>#N/A</v>
      </c>
      <c r="D604" s="43" t="e">
        <f>VLOOKUP($A604,'[2]Team lists'!$A$2:$L$800,4,FALSE)</f>
        <v>#N/A</v>
      </c>
      <c r="E604" s="43" t="e">
        <f>VLOOKUP($A604,'[2]Team lists'!$A$2:$L$800,5,FALSE)</f>
        <v>#N/A</v>
      </c>
      <c r="F604" s="43" t="e">
        <f>VLOOKUP($A604,'[2]Team lists'!$A$2:$L$800,6,FALSE)</f>
        <v>#N/A</v>
      </c>
      <c r="G604" s="43" t="e">
        <f>VLOOKUP($A604,'[2]Team lists'!$A$2:$L$800,7,FALSE)</f>
        <v>#N/A</v>
      </c>
      <c r="H604" s="43" t="e">
        <f>VLOOKUP($A604,'[2]Team lists'!$A$2:$L$800,8,FALSE)</f>
        <v>#N/A</v>
      </c>
      <c r="I604" s="43" t="e">
        <f>VLOOKUP($A604,'[2]Team lists'!$A$2:$L$800,9,FALSE)</f>
        <v>#N/A</v>
      </c>
      <c r="J604" s="43" t="e">
        <f>VLOOKUP($A604,'[2]Team lists'!$A$2:$L$800,9,FALSE)</f>
        <v>#N/A</v>
      </c>
      <c r="K604" s="43" t="e">
        <f>VLOOKUP($A604,'[2]Team lists'!$A$2:$L$800,10,FALSE)</f>
        <v>#N/A</v>
      </c>
      <c r="L604" s="43" t="e">
        <f>VLOOKUP($A604,'[2]Team lists'!$A$2:$L$800,11,FALSE)</f>
        <v>#N/A</v>
      </c>
    </row>
    <row r="605" spans="2:13">
      <c r="B605" s="43" t="e">
        <f>VLOOKUP($A605,'[2]Team lists'!$A$2:$L$800,2,FALSE)</f>
        <v>#N/A</v>
      </c>
      <c r="C605" s="43" t="e">
        <f>VLOOKUP($A605,'[2]Team lists'!$A$2:$L$800,3,FALSE)</f>
        <v>#N/A</v>
      </c>
      <c r="D605" s="43" t="e">
        <f>VLOOKUP($A605,'[2]Team lists'!$A$2:$L$800,4,FALSE)</f>
        <v>#N/A</v>
      </c>
      <c r="E605" s="43" t="e">
        <f>VLOOKUP($A605,'[2]Team lists'!$A$2:$L$800,5,FALSE)</f>
        <v>#N/A</v>
      </c>
      <c r="F605" s="43" t="e">
        <f>VLOOKUP($A605,'[2]Team lists'!$A$2:$L$800,6,FALSE)</f>
        <v>#N/A</v>
      </c>
      <c r="G605" s="43" t="e">
        <f>VLOOKUP($A605,'[2]Team lists'!$A$2:$L$800,7,FALSE)</f>
        <v>#N/A</v>
      </c>
      <c r="H605" s="43" t="e">
        <f>VLOOKUP($A605,'[2]Team lists'!$A$2:$L$800,8,FALSE)</f>
        <v>#N/A</v>
      </c>
      <c r="I605" s="43" t="e">
        <f>VLOOKUP($A605,'[2]Team lists'!$A$2:$L$800,9,FALSE)</f>
        <v>#N/A</v>
      </c>
      <c r="J605" s="43" t="e">
        <f>VLOOKUP($A605,'[2]Team lists'!$A$2:$L$800,9,FALSE)</f>
        <v>#N/A</v>
      </c>
      <c r="K605" s="43" t="e">
        <f>VLOOKUP($A605,'[2]Team lists'!$A$2:$L$800,10,FALSE)</f>
        <v>#N/A</v>
      </c>
      <c r="L605" s="43" t="e">
        <f>VLOOKUP($A605,'[2]Team lists'!$A$2:$L$800,11,FALSE)</f>
        <v>#N/A</v>
      </c>
    </row>
    <row r="606" spans="2:13">
      <c r="B606" s="43" t="e">
        <f>VLOOKUP($A606,'[2]Team lists'!$A$2:$L$800,2,FALSE)</f>
        <v>#N/A</v>
      </c>
      <c r="C606" s="43" t="e">
        <f>VLOOKUP($A606,'[2]Team lists'!$A$2:$L$800,3,FALSE)</f>
        <v>#N/A</v>
      </c>
      <c r="D606" s="43" t="e">
        <f>VLOOKUP($A606,'[2]Team lists'!$A$2:$L$800,4,FALSE)</f>
        <v>#N/A</v>
      </c>
      <c r="E606" s="43" t="e">
        <f>VLOOKUP($A606,'[2]Team lists'!$A$2:$L$800,5,FALSE)</f>
        <v>#N/A</v>
      </c>
      <c r="F606" s="43" t="e">
        <f>VLOOKUP($A606,'[2]Team lists'!$A$2:$L$800,6,FALSE)</f>
        <v>#N/A</v>
      </c>
      <c r="G606" s="43" t="e">
        <f>VLOOKUP($A606,'[2]Team lists'!$A$2:$L$800,7,FALSE)</f>
        <v>#N/A</v>
      </c>
      <c r="H606" s="43" t="e">
        <f>VLOOKUP($A606,'[2]Team lists'!$A$2:$L$800,8,FALSE)</f>
        <v>#N/A</v>
      </c>
      <c r="I606" s="43" t="e">
        <f>VLOOKUP($A606,'[2]Team lists'!$A$2:$L$800,9,FALSE)</f>
        <v>#N/A</v>
      </c>
      <c r="J606" s="43" t="e">
        <f>VLOOKUP($A606,'[2]Team lists'!$A$2:$L$800,9,FALSE)</f>
        <v>#N/A</v>
      </c>
      <c r="K606" s="43" t="e">
        <f>VLOOKUP($A606,'[2]Team lists'!$A$2:$L$800,10,FALSE)</f>
        <v>#N/A</v>
      </c>
      <c r="L606" s="43" t="e">
        <f>VLOOKUP($A606,'[2]Team lists'!$A$2:$L$800,11,FALSE)</f>
        <v>#N/A</v>
      </c>
    </row>
    <row r="607" spans="2:13" ht="18" thickBot="1">
      <c r="B607" s="45" t="s">
        <v>3210</v>
      </c>
      <c r="C607" s="46"/>
      <c r="D607" s="47"/>
      <c r="E607" s="48" t="e">
        <f t="shared" ref="E607:L607" si="37">SUM(E596:E606)</f>
        <v>#N/A</v>
      </c>
      <c r="F607" s="49" t="e">
        <f t="shared" si="37"/>
        <v>#N/A</v>
      </c>
      <c r="G607" s="49" t="e">
        <f t="shared" si="37"/>
        <v>#N/A</v>
      </c>
      <c r="H607" s="49" t="e">
        <f t="shared" si="37"/>
        <v>#N/A</v>
      </c>
      <c r="I607" s="49" t="e">
        <f t="shared" si="37"/>
        <v>#N/A</v>
      </c>
      <c r="J607" s="49" t="e">
        <f t="shared" si="37"/>
        <v>#N/A</v>
      </c>
      <c r="K607" s="49" t="e">
        <f t="shared" si="37"/>
        <v>#N/A</v>
      </c>
      <c r="L607" s="50" t="e">
        <f t="shared" si="37"/>
        <v>#N/A</v>
      </c>
    </row>
    <row r="608" spans="2:13" ht="18.600000000000001" thickTop="1" thickBot="1"/>
    <row r="609" spans="2:13" ht="18" thickTop="1">
      <c r="B609" s="23" t="s">
        <v>3204</v>
      </c>
      <c r="C609" s="24" t="s">
        <v>3205</v>
      </c>
      <c r="D609" s="25"/>
      <c r="E609" s="25"/>
      <c r="F609" s="53"/>
      <c r="G609" s="28" t="s">
        <v>3206</v>
      </c>
      <c r="H609" s="54"/>
      <c r="I609" s="54"/>
      <c r="J609" s="54"/>
      <c r="K609" s="28" t="s">
        <v>3207</v>
      </c>
      <c r="L609" s="29"/>
      <c r="M609" s="22" t="str">
        <f>G609</f>
        <v>Manager:</v>
      </c>
    </row>
    <row r="610" spans="2:13" ht="18" thickBot="1">
      <c r="B610" s="30">
        <v>39</v>
      </c>
      <c r="C610" s="57"/>
      <c r="D610" s="31"/>
      <c r="E610" s="31"/>
      <c r="F610" s="33"/>
      <c r="G610" s="55"/>
      <c r="H610" s="55"/>
      <c r="I610" s="55"/>
      <c r="J610" s="55"/>
      <c r="K610" s="34" t="e">
        <f>SUM(F623:L623)</f>
        <v>#N/A</v>
      </c>
      <c r="L610" s="35"/>
      <c r="M610" s="22">
        <f>G610</f>
        <v>0</v>
      </c>
    </row>
    <row r="611" spans="2:13" ht="18.600000000000001" thickTop="1">
      <c r="B611" s="58" t="s">
        <v>913</v>
      </c>
      <c r="C611" s="59" t="s">
        <v>912</v>
      </c>
      <c r="D611" s="60" t="s">
        <v>911</v>
      </c>
      <c r="E611" s="61" t="s">
        <v>3209</v>
      </c>
      <c r="F611" s="62" t="s">
        <v>3162</v>
      </c>
      <c r="G611" s="62" t="s">
        <v>3163</v>
      </c>
      <c r="H611" s="62" t="s">
        <v>3164</v>
      </c>
      <c r="I611" s="62" t="s">
        <v>3165</v>
      </c>
      <c r="J611" s="62" t="s">
        <v>3166</v>
      </c>
      <c r="K611" s="62" t="s">
        <v>3167</v>
      </c>
      <c r="L611" s="63" t="s">
        <v>3168</v>
      </c>
    </row>
    <row r="612" spans="2:13">
      <c r="B612" s="43" t="e">
        <f>VLOOKUP($A612,'[2]Team lists'!$A$2:$L$800,2,FALSE)</f>
        <v>#N/A</v>
      </c>
      <c r="C612" s="43" t="e">
        <f>VLOOKUP($A612,'[2]Team lists'!$A$2:$L$800,3,FALSE)</f>
        <v>#N/A</v>
      </c>
      <c r="D612" s="43" t="e">
        <f>VLOOKUP($A612,'[2]Team lists'!$A$2:$L$800,4,FALSE)</f>
        <v>#N/A</v>
      </c>
      <c r="E612" s="43" t="e">
        <f>VLOOKUP($A612,'[2]Team lists'!$A$2:$L$800,5,FALSE)</f>
        <v>#N/A</v>
      </c>
      <c r="F612" s="43" t="e">
        <f>VLOOKUP($A612,'[2]Team lists'!$A$2:$L$800,6,FALSE)</f>
        <v>#N/A</v>
      </c>
      <c r="G612" s="43" t="e">
        <f>VLOOKUP($A612,'[2]Team lists'!$A$2:$L$800,7,FALSE)</f>
        <v>#N/A</v>
      </c>
      <c r="H612" s="43" t="e">
        <f>VLOOKUP($A612,'[2]Team lists'!$A$2:$L$800,8,FALSE)</f>
        <v>#N/A</v>
      </c>
      <c r="I612" s="43" t="e">
        <f>VLOOKUP($A612,'[2]Team lists'!$A$2:$L$800,9,FALSE)</f>
        <v>#N/A</v>
      </c>
      <c r="J612" s="43" t="e">
        <f>VLOOKUP($A612,'[2]Team lists'!$A$2:$L$800,9,FALSE)</f>
        <v>#N/A</v>
      </c>
      <c r="K612" s="43" t="e">
        <f>VLOOKUP($A612,'[2]Team lists'!$A$2:$L$800,10,FALSE)</f>
        <v>#N/A</v>
      </c>
      <c r="L612" s="43" t="e">
        <f>VLOOKUP($A612,'[2]Team lists'!$A$2:$L$800,11,FALSE)</f>
        <v>#N/A</v>
      </c>
    </row>
    <row r="613" spans="2:13">
      <c r="B613" s="43" t="e">
        <f>VLOOKUP($A613,'[2]Team lists'!$A$2:$L$800,2,FALSE)</f>
        <v>#N/A</v>
      </c>
      <c r="C613" s="43" t="e">
        <f>VLOOKUP($A613,'[2]Team lists'!$A$2:$L$800,3,FALSE)</f>
        <v>#N/A</v>
      </c>
      <c r="D613" s="43" t="e">
        <f>VLOOKUP($A613,'[2]Team lists'!$A$2:$L$800,4,FALSE)</f>
        <v>#N/A</v>
      </c>
      <c r="E613" s="43" t="e">
        <f>VLOOKUP($A613,'[2]Team lists'!$A$2:$L$800,5,FALSE)</f>
        <v>#N/A</v>
      </c>
      <c r="F613" s="43" t="e">
        <f>VLOOKUP($A613,'[2]Team lists'!$A$2:$L$800,6,FALSE)</f>
        <v>#N/A</v>
      </c>
      <c r="G613" s="43" t="e">
        <f>VLOOKUP($A613,'[2]Team lists'!$A$2:$L$800,7,FALSE)</f>
        <v>#N/A</v>
      </c>
      <c r="H613" s="43" t="e">
        <f>VLOOKUP($A613,'[2]Team lists'!$A$2:$L$800,8,FALSE)</f>
        <v>#N/A</v>
      </c>
      <c r="I613" s="43" t="e">
        <f>VLOOKUP($A613,'[2]Team lists'!$A$2:$L$800,9,FALSE)</f>
        <v>#N/A</v>
      </c>
      <c r="J613" s="43" t="e">
        <f>VLOOKUP($A613,'[2]Team lists'!$A$2:$L$800,9,FALSE)</f>
        <v>#N/A</v>
      </c>
      <c r="K613" s="43" t="e">
        <f>VLOOKUP($A613,'[2]Team lists'!$A$2:$L$800,10,FALSE)</f>
        <v>#N/A</v>
      </c>
      <c r="L613" s="43" t="e">
        <f>VLOOKUP($A613,'[2]Team lists'!$A$2:$L$800,11,FALSE)</f>
        <v>#N/A</v>
      </c>
    </row>
    <row r="614" spans="2:13">
      <c r="B614" s="43" t="e">
        <f>VLOOKUP($A614,'[2]Team lists'!$A$2:$L$800,2,FALSE)</f>
        <v>#N/A</v>
      </c>
      <c r="C614" s="43" t="e">
        <f>VLOOKUP($A614,'[2]Team lists'!$A$2:$L$800,3,FALSE)</f>
        <v>#N/A</v>
      </c>
      <c r="D614" s="43" t="e">
        <f>VLOOKUP($A614,'[2]Team lists'!$A$2:$L$800,4,FALSE)</f>
        <v>#N/A</v>
      </c>
      <c r="E614" s="43" t="e">
        <f>VLOOKUP($A614,'[2]Team lists'!$A$2:$L$800,5,FALSE)</f>
        <v>#N/A</v>
      </c>
      <c r="F614" s="43" t="e">
        <f>VLOOKUP($A614,'[2]Team lists'!$A$2:$L$800,6,FALSE)</f>
        <v>#N/A</v>
      </c>
      <c r="G614" s="43" t="e">
        <f>VLOOKUP($A614,'[2]Team lists'!$A$2:$L$800,7,FALSE)</f>
        <v>#N/A</v>
      </c>
      <c r="H614" s="43" t="e">
        <f>VLOOKUP($A614,'[2]Team lists'!$A$2:$L$800,8,FALSE)</f>
        <v>#N/A</v>
      </c>
      <c r="I614" s="43" t="e">
        <f>VLOOKUP($A614,'[2]Team lists'!$A$2:$L$800,9,FALSE)</f>
        <v>#N/A</v>
      </c>
      <c r="J614" s="43" t="e">
        <f>VLOOKUP($A614,'[2]Team lists'!$A$2:$L$800,9,FALSE)</f>
        <v>#N/A</v>
      </c>
      <c r="K614" s="43" t="e">
        <f>VLOOKUP($A614,'[2]Team lists'!$A$2:$L$800,10,FALSE)</f>
        <v>#N/A</v>
      </c>
      <c r="L614" s="43" t="e">
        <f>VLOOKUP($A614,'[2]Team lists'!$A$2:$L$800,11,FALSE)</f>
        <v>#N/A</v>
      </c>
    </row>
    <row r="615" spans="2:13">
      <c r="B615" s="43" t="e">
        <f>VLOOKUP($A615,'[2]Team lists'!$A$2:$L$800,2,FALSE)</f>
        <v>#N/A</v>
      </c>
      <c r="C615" s="43" t="e">
        <f>VLOOKUP($A615,'[2]Team lists'!$A$2:$L$800,3,FALSE)</f>
        <v>#N/A</v>
      </c>
      <c r="D615" s="43" t="e">
        <f>VLOOKUP($A615,'[2]Team lists'!$A$2:$L$800,4,FALSE)</f>
        <v>#N/A</v>
      </c>
      <c r="E615" s="43" t="e">
        <f>VLOOKUP($A615,'[2]Team lists'!$A$2:$L$800,5,FALSE)</f>
        <v>#N/A</v>
      </c>
      <c r="F615" s="43" t="e">
        <f>VLOOKUP($A615,'[2]Team lists'!$A$2:$L$800,6,FALSE)</f>
        <v>#N/A</v>
      </c>
      <c r="G615" s="43" t="e">
        <f>VLOOKUP($A615,'[2]Team lists'!$A$2:$L$800,7,FALSE)</f>
        <v>#N/A</v>
      </c>
      <c r="H615" s="43" t="e">
        <f>VLOOKUP($A615,'[2]Team lists'!$A$2:$L$800,8,FALSE)</f>
        <v>#N/A</v>
      </c>
      <c r="I615" s="43" t="e">
        <f>VLOOKUP($A615,'[2]Team lists'!$A$2:$L$800,9,FALSE)</f>
        <v>#N/A</v>
      </c>
      <c r="J615" s="43" t="e">
        <f>VLOOKUP($A615,'[2]Team lists'!$A$2:$L$800,9,FALSE)</f>
        <v>#N/A</v>
      </c>
      <c r="K615" s="43" t="e">
        <f>VLOOKUP($A615,'[2]Team lists'!$A$2:$L$800,10,FALSE)</f>
        <v>#N/A</v>
      </c>
      <c r="L615" s="43" t="e">
        <f>VLOOKUP($A615,'[2]Team lists'!$A$2:$L$800,11,FALSE)</f>
        <v>#N/A</v>
      </c>
    </row>
    <row r="616" spans="2:13">
      <c r="B616" s="43" t="e">
        <f>VLOOKUP($A616,'[2]Team lists'!$A$2:$L$800,2,FALSE)</f>
        <v>#N/A</v>
      </c>
      <c r="C616" s="43" t="e">
        <f>VLOOKUP($A616,'[2]Team lists'!$A$2:$L$800,3,FALSE)</f>
        <v>#N/A</v>
      </c>
      <c r="D616" s="43" t="e">
        <f>VLOOKUP($A616,'[2]Team lists'!$A$2:$L$800,4,FALSE)</f>
        <v>#N/A</v>
      </c>
      <c r="E616" s="43" t="e">
        <f>VLOOKUP($A616,'[2]Team lists'!$A$2:$L$800,5,FALSE)</f>
        <v>#N/A</v>
      </c>
      <c r="F616" s="43" t="e">
        <f>VLOOKUP($A616,'[2]Team lists'!$A$2:$L$800,6,FALSE)</f>
        <v>#N/A</v>
      </c>
      <c r="G616" s="43" t="e">
        <f>VLOOKUP($A616,'[2]Team lists'!$A$2:$L$800,7,FALSE)</f>
        <v>#N/A</v>
      </c>
      <c r="H616" s="43" t="e">
        <f>VLOOKUP($A616,'[2]Team lists'!$A$2:$L$800,8,FALSE)</f>
        <v>#N/A</v>
      </c>
      <c r="I616" s="43" t="e">
        <f>VLOOKUP($A616,'[2]Team lists'!$A$2:$L$800,9,FALSE)</f>
        <v>#N/A</v>
      </c>
      <c r="J616" s="43" t="e">
        <f>VLOOKUP($A616,'[2]Team lists'!$A$2:$L$800,9,FALSE)</f>
        <v>#N/A</v>
      </c>
      <c r="K616" s="43" t="e">
        <f>VLOOKUP($A616,'[2]Team lists'!$A$2:$L$800,10,FALSE)</f>
        <v>#N/A</v>
      </c>
      <c r="L616" s="43" t="e">
        <f>VLOOKUP($A616,'[2]Team lists'!$A$2:$L$800,11,FALSE)</f>
        <v>#N/A</v>
      </c>
    </row>
    <row r="617" spans="2:13">
      <c r="B617" s="43" t="e">
        <f>VLOOKUP($A617,'[2]Team lists'!$A$2:$L$800,2,FALSE)</f>
        <v>#N/A</v>
      </c>
      <c r="C617" s="43" t="e">
        <f>VLOOKUP($A617,'[2]Team lists'!$A$2:$L$800,3,FALSE)</f>
        <v>#N/A</v>
      </c>
      <c r="D617" s="43" t="e">
        <f>VLOOKUP($A617,'[2]Team lists'!$A$2:$L$800,4,FALSE)</f>
        <v>#N/A</v>
      </c>
      <c r="E617" s="43" t="e">
        <f>VLOOKUP($A617,'[2]Team lists'!$A$2:$L$800,5,FALSE)</f>
        <v>#N/A</v>
      </c>
      <c r="F617" s="43" t="e">
        <f>VLOOKUP($A617,'[2]Team lists'!$A$2:$L$800,6,FALSE)</f>
        <v>#N/A</v>
      </c>
      <c r="G617" s="43" t="e">
        <f>VLOOKUP($A617,'[2]Team lists'!$A$2:$L$800,7,FALSE)</f>
        <v>#N/A</v>
      </c>
      <c r="H617" s="43" t="e">
        <f>VLOOKUP($A617,'[2]Team lists'!$A$2:$L$800,8,FALSE)</f>
        <v>#N/A</v>
      </c>
      <c r="I617" s="43" t="e">
        <f>VLOOKUP($A617,'[2]Team lists'!$A$2:$L$800,9,FALSE)</f>
        <v>#N/A</v>
      </c>
      <c r="J617" s="43" t="e">
        <f>VLOOKUP($A617,'[2]Team lists'!$A$2:$L$800,9,FALSE)</f>
        <v>#N/A</v>
      </c>
      <c r="K617" s="43" t="e">
        <f>VLOOKUP($A617,'[2]Team lists'!$A$2:$L$800,10,FALSE)</f>
        <v>#N/A</v>
      </c>
      <c r="L617" s="43" t="e">
        <f>VLOOKUP($A617,'[2]Team lists'!$A$2:$L$800,11,FALSE)</f>
        <v>#N/A</v>
      </c>
    </row>
    <row r="618" spans="2:13">
      <c r="B618" s="43" t="e">
        <f>VLOOKUP($A618,'[2]Team lists'!$A$2:$L$800,2,FALSE)</f>
        <v>#N/A</v>
      </c>
      <c r="C618" s="43" t="e">
        <f>VLOOKUP($A618,'[2]Team lists'!$A$2:$L$800,3,FALSE)</f>
        <v>#N/A</v>
      </c>
      <c r="D618" s="43" t="e">
        <f>VLOOKUP($A618,'[2]Team lists'!$A$2:$L$800,4,FALSE)</f>
        <v>#N/A</v>
      </c>
      <c r="E618" s="43" t="e">
        <f>VLOOKUP($A618,'[2]Team lists'!$A$2:$L$800,5,FALSE)</f>
        <v>#N/A</v>
      </c>
      <c r="F618" s="43" t="e">
        <f>VLOOKUP($A618,'[2]Team lists'!$A$2:$L$800,6,FALSE)</f>
        <v>#N/A</v>
      </c>
      <c r="G618" s="43" t="e">
        <f>VLOOKUP($A618,'[2]Team lists'!$A$2:$L$800,7,FALSE)</f>
        <v>#N/A</v>
      </c>
      <c r="H618" s="43" t="e">
        <f>VLOOKUP($A618,'[2]Team lists'!$A$2:$L$800,8,FALSE)</f>
        <v>#N/A</v>
      </c>
      <c r="I618" s="43" t="e">
        <f>VLOOKUP($A618,'[2]Team lists'!$A$2:$L$800,9,FALSE)</f>
        <v>#N/A</v>
      </c>
      <c r="J618" s="43" t="e">
        <f>VLOOKUP($A618,'[2]Team lists'!$A$2:$L$800,9,FALSE)</f>
        <v>#N/A</v>
      </c>
      <c r="K618" s="43" t="e">
        <f>VLOOKUP($A618,'[2]Team lists'!$A$2:$L$800,10,FALSE)</f>
        <v>#N/A</v>
      </c>
      <c r="L618" s="43" t="e">
        <f>VLOOKUP($A618,'[2]Team lists'!$A$2:$L$800,11,FALSE)</f>
        <v>#N/A</v>
      </c>
    </row>
    <row r="619" spans="2:13">
      <c r="B619" s="43" t="e">
        <f>VLOOKUP($A619,'[2]Team lists'!$A$2:$L$800,2,FALSE)</f>
        <v>#N/A</v>
      </c>
      <c r="C619" s="43" t="e">
        <f>VLOOKUP($A619,'[2]Team lists'!$A$2:$L$800,3,FALSE)</f>
        <v>#N/A</v>
      </c>
      <c r="D619" s="43" t="e">
        <f>VLOOKUP($A619,'[2]Team lists'!$A$2:$L$800,4,FALSE)</f>
        <v>#N/A</v>
      </c>
      <c r="E619" s="43" t="e">
        <f>VLOOKUP($A619,'[2]Team lists'!$A$2:$L$800,5,FALSE)</f>
        <v>#N/A</v>
      </c>
      <c r="F619" s="43" t="e">
        <f>VLOOKUP($A619,'[2]Team lists'!$A$2:$L$800,6,FALSE)</f>
        <v>#N/A</v>
      </c>
      <c r="G619" s="43" t="e">
        <f>VLOOKUP($A619,'[2]Team lists'!$A$2:$L$800,7,FALSE)</f>
        <v>#N/A</v>
      </c>
      <c r="H619" s="43" t="e">
        <f>VLOOKUP($A619,'[2]Team lists'!$A$2:$L$800,8,FALSE)</f>
        <v>#N/A</v>
      </c>
      <c r="I619" s="43" t="e">
        <f>VLOOKUP($A619,'[2]Team lists'!$A$2:$L$800,9,FALSE)</f>
        <v>#N/A</v>
      </c>
      <c r="J619" s="43" t="e">
        <f>VLOOKUP($A619,'[2]Team lists'!$A$2:$L$800,9,FALSE)</f>
        <v>#N/A</v>
      </c>
      <c r="K619" s="43" t="e">
        <f>VLOOKUP($A619,'[2]Team lists'!$A$2:$L$800,10,FALSE)</f>
        <v>#N/A</v>
      </c>
      <c r="L619" s="43" t="e">
        <f>VLOOKUP($A619,'[2]Team lists'!$A$2:$L$800,11,FALSE)</f>
        <v>#N/A</v>
      </c>
    </row>
    <row r="620" spans="2:13">
      <c r="B620" s="43" t="e">
        <f>VLOOKUP($A620,'[2]Team lists'!$A$2:$L$800,2,FALSE)</f>
        <v>#N/A</v>
      </c>
      <c r="C620" s="43" t="e">
        <f>VLOOKUP($A620,'[2]Team lists'!$A$2:$L$800,3,FALSE)</f>
        <v>#N/A</v>
      </c>
      <c r="D620" s="43" t="e">
        <f>VLOOKUP($A620,'[2]Team lists'!$A$2:$L$800,4,FALSE)</f>
        <v>#N/A</v>
      </c>
      <c r="E620" s="43" t="e">
        <f>VLOOKUP($A620,'[2]Team lists'!$A$2:$L$800,5,FALSE)</f>
        <v>#N/A</v>
      </c>
      <c r="F620" s="43" t="e">
        <f>VLOOKUP($A620,'[2]Team lists'!$A$2:$L$800,6,FALSE)</f>
        <v>#N/A</v>
      </c>
      <c r="G620" s="43" t="e">
        <f>VLOOKUP($A620,'[2]Team lists'!$A$2:$L$800,7,FALSE)</f>
        <v>#N/A</v>
      </c>
      <c r="H620" s="43" t="e">
        <f>VLOOKUP($A620,'[2]Team lists'!$A$2:$L$800,8,FALSE)</f>
        <v>#N/A</v>
      </c>
      <c r="I620" s="43" t="e">
        <f>VLOOKUP($A620,'[2]Team lists'!$A$2:$L$800,9,FALSE)</f>
        <v>#N/A</v>
      </c>
      <c r="J620" s="43" t="e">
        <f>VLOOKUP($A620,'[2]Team lists'!$A$2:$L$800,9,FALSE)</f>
        <v>#N/A</v>
      </c>
      <c r="K620" s="43" t="e">
        <f>VLOOKUP($A620,'[2]Team lists'!$A$2:$L$800,10,FALSE)</f>
        <v>#N/A</v>
      </c>
      <c r="L620" s="43" t="e">
        <f>VLOOKUP($A620,'[2]Team lists'!$A$2:$L$800,11,FALSE)</f>
        <v>#N/A</v>
      </c>
    </row>
    <row r="621" spans="2:13">
      <c r="B621" s="43" t="e">
        <f>VLOOKUP($A621,'[2]Team lists'!$A$2:$L$800,2,FALSE)</f>
        <v>#N/A</v>
      </c>
      <c r="C621" s="43" t="e">
        <f>VLOOKUP($A621,'[2]Team lists'!$A$2:$L$800,3,FALSE)</f>
        <v>#N/A</v>
      </c>
      <c r="D621" s="43" t="e">
        <f>VLOOKUP($A621,'[2]Team lists'!$A$2:$L$800,4,FALSE)</f>
        <v>#N/A</v>
      </c>
      <c r="E621" s="43" t="e">
        <f>VLOOKUP($A621,'[2]Team lists'!$A$2:$L$800,5,FALSE)</f>
        <v>#N/A</v>
      </c>
      <c r="F621" s="43" t="e">
        <f>VLOOKUP($A621,'[2]Team lists'!$A$2:$L$800,6,FALSE)</f>
        <v>#N/A</v>
      </c>
      <c r="G621" s="43" t="e">
        <f>VLOOKUP($A621,'[2]Team lists'!$A$2:$L$800,7,FALSE)</f>
        <v>#N/A</v>
      </c>
      <c r="H621" s="43" t="e">
        <f>VLOOKUP($A621,'[2]Team lists'!$A$2:$L$800,8,FALSE)</f>
        <v>#N/A</v>
      </c>
      <c r="I621" s="43" t="e">
        <f>VLOOKUP($A621,'[2]Team lists'!$A$2:$L$800,9,FALSE)</f>
        <v>#N/A</v>
      </c>
      <c r="J621" s="43" t="e">
        <f>VLOOKUP($A621,'[2]Team lists'!$A$2:$L$800,9,FALSE)</f>
        <v>#N/A</v>
      </c>
      <c r="K621" s="43" t="e">
        <f>VLOOKUP($A621,'[2]Team lists'!$A$2:$L$800,10,FALSE)</f>
        <v>#N/A</v>
      </c>
      <c r="L621" s="43" t="e">
        <f>VLOOKUP($A621,'[2]Team lists'!$A$2:$L$800,11,FALSE)</f>
        <v>#N/A</v>
      </c>
    </row>
    <row r="622" spans="2:13">
      <c r="B622" s="43" t="e">
        <f>VLOOKUP($A622,'[2]Team lists'!$A$2:$L$800,2,FALSE)</f>
        <v>#N/A</v>
      </c>
      <c r="C622" s="43" t="e">
        <f>VLOOKUP($A622,'[2]Team lists'!$A$2:$L$800,3,FALSE)</f>
        <v>#N/A</v>
      </c>
      <c r="D622" s="43" t="e">
        <f>VLOOKUP($A622,'[2]Team lists'!$A$2:$L$800,4,FALSE)</f>
        <v>#N/A</v>
      </c>
      <c r="E622" s="43" t="e">
        <f>VLOOKUP($A622,'[2]Team lists'!$A$2:$L$800,5,FALSE)</f>
        <v>#N/A</v>
      </c>
      <c r="F622" s="43" t="e">
        <f>VLOOKUP($A622,'[2]Team lists'!$A$2:$L$800,6,FALSE)</f>
        <v>#N/A</v>
      </c>
      <c r="G622" s="43" t="e">
        <f>VLOOKUP($A622,'[2]Team lists'!$A$2:$L$800,7,FALSE)</f>
        <v>#N/A</v>
      </c>
      <c r="H622" s="43" t="e">
        <f>VLOOKUP($A622,'[2]Team lists'!$A$2:$L$800,8,FALSE)</f>
        <v>#N/A</v>
      </c>
      <c r="I622" s="43" t="e">
        <f>VLOOKUP($A622,'[2]Team lists'!$A$2:$L$800,9,FALSE)</f>
        <v>#N/A</v>
      </c>
      <c r="J622" s="43" t="e">
        <f>VLOOKUP($A622,'[2]Team lists'!$A$2:$L$800,9,FALSE)</f>
        <v>#N/A</v>
      </c>
      <c r="K622" s="43" t="e">
        <f>VLOOKUP($A622,'[2]Team lists'!$A$2:$L$800,10,FALSE)</f>
        <v>#N/A</v>
      </c>
      <c r="L622" s="43" t="e">
        <f>VLOOKUP($A622,'[2]Team lists'!$A$2:$L$800,11,FALSE)</f>
        <v>#N/A</v>
      </c>
    </row>
    <row r="623" spans="2:13" ht="18" thickBot="1">
      <c r="B623" s="45" t="s">
        <v>3210</v>
      </c>
      <c r="C623" s="46"/>
      <c r="D623" s="47"/>
      <c r="E623" s="48" t="e">
        <f t="shared" ref="E623:L623" si="38">SUM(E612:E622)</f>
        <v>#N/A</v>
      </c>
      <c r="F623" s="49" t="e">
        <f t="shared" si="38"/>
        <v>#N/A</v>
      </c>
      <c r="G623" s="49" t="e">
        <f t="shared" si="38"/>
        <v>#N/A</v>
      </c>
      <c r="H623" s="49" t="e">
        <f t="shared" si="38"/>
        <v>#N/A</v>
      </c>
      <c r="I623" s="49" t="e">
        <f t="shared" si="38"/>
        <v>#N/A</v>
      </c>
      <c r="J623" s="49" t="e">
        <f t="shared" si="38"/>
        <v>#N/A</v>
      </c>
      <c r="K623" s="49" t="e">
        <f t="shared" si="38"/>
        <v>#N/A</v>
      </c>
      <c r="L623" s="50" t="e">
        <f t="shared" si="38"/>
        <v>#N/A</v>
      </c>
    </row>
    <row r="624" spans="2:13" ht="18.600000000000001" thickTop="1" thickBot="1"/>
    <row r="625" spans="2:13" ht="18" thickTop="1">
      <c r="B625" s="23" t="s">
        <v>3204</v>
      </c>
      <c r="C625" s="24" t="s">
        <v>3205</v>
      </c>
      <c r="D625" s="25"/>
      <c r="E625" s="25"/>
      <c r="F625" s="53"/>
      <c r="G625" s="28" t="s">
        <v>3206</v>
      </c>
      <c r="H625" s="54"/>
      <c r="I625" s="54"/>
      <c r="J625" s="54"/>
      <c r="K625" s="28" t="s">
        <v>3207</v>
      </c>
      <c r="L625" s="29"/>
      <c r="M625" s="22" t="str">
        <f>G625</f>
        <v>Manager:</v>
      </c>
    </row>
    <row r="626" spans="2:13" ht="18" thickBot="1">
      <c r="B626" s="30">
        <v>40</v>
      </c>
      <c r="C626" s="57"/>
      <c r="D626" s="31"/>
      <c r="E626" s="31"/>
      <c r="F626" s="33"/>
      <c r="G626" s="55"/>
      <c r="H626" s="55"/>
      <c r="I626" s="55"/>
      <c r="J626" s="55"/>
      <c r="K626" s="34" t="e">
        <f>SUM(F639:L639)</f>
        <v>#N/A</v>
      </c>
      <c r="L626" s="35"/>
      <c r="M626" s="22">
        <f>G626</f>
        <v>0</v>
      </c>
    </row>
    <row r="627" spans="2:13" ht="18.600000000000001" thickTop="1">
      <c r="B627" s="58" t="s">
        <v>913</v>
      </c>
      <c r="C627" s="59" t="s">
        <v>912</v>
      </c>
      <c r="D627" s="60" t="s">
        <v>911</v>
      </c>
      <c r="E627" s="61" t="s">
        <v>3209</v>
      </c>
      <c r="F627" s="62" t="s">
        <v>3162</v>
      </c>
      <c r="G627" s="62" t="s">
        <v>3163</v>
      </c>
      <c r="H627" s="62" t="s">
        <v>3164</v>
      </c>
      <c r="I627" s="62" t="s">
        <v>3165</v>
      </c>
      <c r="J627" s="62" t="s">
        <v>3166</v>
      </c>
      <c r="K627" s="62" t="s">
        <v>3167</v>
      </c>
      <c r="L627" s="63" t="s">
        <v>3168</v>
      </c>
    </row>
    <row r="628" spans="2:13">
      <c r="B628" s="43" t="e">
        <f>VLOOKUP($A628,'[2]Team lists'!$A$2:$L$800,2,FALSE)</f>
        <v>#N/A</v>
      </c>
      <c r="C628" s="43" t="e">
        <f>VLOOKUP($A628,'[2]Team lists'!$A$2:$L$800,3,FALSE)</f>
        <v>#N/A</v>
      </c>
      <c r="D628" s="43" t="e">
        <f>VLOOKUP($A628,'[2]Team lists'!$A$2:$L$800,4,FALSE)</f>
        <v>#N/A</v>
      </c>
      <c r="E628" s="43" t="e">
        <f>VLOOKUP($A628,'[2]Team lists'!$A$2:$L$800,5,FALSE)</f>
        <v>#N/A</v>
      </c>
      <c r="F628" s="43" t="e">
        <f>VLOOKUP($A628,'[2]Team lists'!$A$2:$L$800,6,FALSE)</f>
        <v>#N/A</v>
      </c>
      <c r="G628" s="43" t="e">
        <f>VLOOKUP($A628,'[2]Team lists'!$A$2:$L$800,7,FALSE)</f>
        <v>#N/A</v>
      </c>
      <c r="H628" s="43" t="e">
        <f>VLOOKUP($A628,'[2]Team lists'!$A$2:$L$800,8,FALSE)</f>
        <v>#N/A</v>
      </c>
      <c r="I628" s="43" t="e">
        <f>VLOOKUP($A628,'[2]Team lists'!$A$2:$L$800,9,FALSE)</f>
        <v>#N/A</v>
      </c>
      <c r="J628" s="43" t="e">
        <f>VLOOKUP($A628,'[2]Team lists'!$A$2:$L$800,9,FALSE)</f>
        <v>#N/A</v>
      </c>
      <c r="K628" s="43" t="e">
        <f>VLOOKUP($A628,'[2]Team lists'!$A$2:$L$800,10,FALSE)</f>
        <v>#N/A</v>
      </c>
      <c r="L628" s="43" t="e">
        <f>VLOOKUP($A628,'[2]Team lists'!$A$2:$L$800,11,FALSE)</f>
        <v>#N/A</v>
      </c>
    </row>
    <row r="629" spans="2:13">
      <c r="B629" s="43" t="e">
        <f>VLOOKUP($A629,'[2]Team lists'!$A$2:$L$800,2,FALSE)</f>
        <v>#N/A</v>
      </c>
      <c r="C629" s="43" t="e">
        <f>VLOOKUP($A629,'[2]Team lists'!$A$2:$L$800,3,FALSE)</f>
        <v>#N/A</v>
      </c>
      <c r="D629" s="43" t="e">
        <f>VLOOKUP($A629,'[2]Team lists'!$A$2:$L$800,4,FALSE)</f>
        <v>#N/A</v>
      </c>
      <c r="E629" s="43" t="e">
        <f>VLOOKUP($A629,'[2]Team lists'!$A$2:$L$800,5,FALSE)</f>
        <v>#N/A</v>
      </c>
      <c r="F629" s="43" t="e">
        <f>VLOOKUP($A629,'[2]Team lists'!$A$2:$L$800,6,FALSE)</f>
        <v>#N/A</v>
      </c>
      <c r="G629" s="43" t="e">
        <f>VLOOKUP($A629,'[2]Team lists'!$A$2:$L$800,7,FALSE)</f>
        <v>#N/A</v>
      </c>
      <c r="H629" s="43" t="e">
        <f>VLOOKUP($A629,'[2]Team lists'!$A$2:$L$800,8,FALSE)</f>
        <v>#N/A</v>
      </c>
      <c r="I629" s="43" t="e">
        <f>VLOOKUP($A629,'[2]Team lists'!$A$2:$L$800,9,FALSE)</f>
        <v>#N/A</v>
      </c>
      <c r="J629" s="43" t="e">
        <f>VLOOKUP($A629,'[2]Team lists'!$A$2:$L$800,9,FALSE)</f>
        <v>#N/A</v>
      </c>
      <c r="K629" s="43" t="e">
        <f>VLOOKUP($A629,'[2]Team lists'!$A$2:$L$800,10,FALSE)</f>
        <v>#N/A</v>
      </c>
      <c r="L629" s="43" t="e">
        <f>VLOOKUP($A629,'[2]Team lists'!$A$2:$L$800,11,FALSE)</f>
        <v>#N/A</v>
      </c>
    </row>
    <row r="630" spans="2:13">
      <c r="B630" s="43" t="e">
        <f>VLOOKUP($A630,'[2]Team lists'!$A$2:$L$800,2,FALSE)</f>
        <v>#N/A</v>
      </c>
      <c r="C630" s="43" t="e">
        <f>VLOOKUP($A630,'[2]Team lists'!$A$2:$L$800,3,FALSE)</f>
        <v>#N/A</v>
      </c>
      <c r="D630" s="43" t="e">
        <f>VLOOKUP($A630,'[2]Team lists'!$A$2:$L$800,4,FALSE)</f>
        <v>#N/A</v>
      </c>
      <c r="E630" s="43" t="e">
        <f>VLOOKUP($A630,'[2]Team lists'!$A$2:$L$800,5,FALSE)</f>
        <v>#N/A</v>
      </c>
      <c r="F630" s="43" t="e">
        <f>VLOOKUP($A630,'[2]Team lists'!$A$2:$L$800,6,FALSE)</f>
        <v>#N/A</v>
      </c>
      <c r="G630" s="43" t="e">
        <f>VLOOKUP($A630,'[2]Team lists'!$A$2:$L$800,7,FALSE)</f>
        <v>#N/A</v>
      </c>
      <c r="H630" s="43" t="e">
        <f>VLOOKUP($A630,'[2]Team lists'!$A$2:$L$800,8,FALSE)</f>
        <v>#N/A</v>
      </c>
      <c r="I630" s="43" t="e">
        <f>VLOOKUP($A630,'[2]Team lists'!$A$2:$L$800,9,FALSE)</f>
        <v>#N/A</v>
      </c>
      <c r="J630" s="43" t="e">
        <f>VLOOKUP($A630,'[2]Team lists'!$A$2:$L$800,9,FALSE)</f>
        <v>#N/A</v>
      </c>
      <c r="K630" s="43" t="e">
        <f>VLOOKUP($A630,'[2]Team lists'!$A$2:$L$800,10,FALSE)</f>
        <v>#N/A</v>
      </c>
      <c r="L630" s="43" t="e">
        <f>VLOOKUP($A630,'[2]Team lists'!$A$2:$L$800,11,FALSE)</f>
        <v>#N/A</v>
      </c>
    </row>
    <row r="631" spans="2:13">
      <c r="B631" s="43" t="e">
        <f>VLOOKUP($A631,'[2]Team lists'!$A$2:$L$800,2,FALSE)</f>
        <v>#N/A</v>
      </c>
      <c r="C631" s="43" t="e">
        <f>VLOOKUP($A631,'[2]Team lists'!$A$2:$L$800,3,FALSE)</f>
        <v>#N/A</v>
      </c>
      <c r="D631" s="43" t="e">
        <f>VLOOKUP($A631,'[2]Team lists'!$A$2:$L$800,4,FALSE)</f>
        <v>#N/A</v>
      </c>
      <c r="E631" s="43" t="e">
        <f>VLOOKUP($A631,'[2]Team lists'!$A$2:$L$800,5,FALSE)</f>
        <v>#N/A</v>
      </c>
      <c r="F631" s="43" t="e">
        <f>VLOOKUP($A631,'[2]Team lists'!$A$2:$L$800,6,FALSE)</f>
        <v>#N/A</v>
      </c>
      <c r="G631" s="43" t="e">
        <f>VLOOKUP($A631,'[2]Team lists'!$A$2:$L$800,7,FALSE)</f>
        <v>#N/A</v>
      </c>
      <c r="H631" s="43" t="e">
        <f>VLOOKUP($A631,'[2]Team lists'!$A$2:$L$800,8,FALSE)</f>
        <v>#N/A</v>
      </c>
      <c r="I631" s="43" t="e">
        <f>VLOOKUP($A631,'[2]Team lists'!$A$2:$L$800,9,FALSE)</f>
        <v>#N/A</v>
      </c>
      <c r="J631" s="43" t="e">
        <f>VLOOKUP($A631,'[2]Team lists'!$A$2:$L$800,9,FALSE)</f>
        <v>#N/A</v>
      </c>
      <c r="K631" s="43" t="e">
        <f>VLOOKUP($A631,'[2]Team lists'!$A$2:$L$800,10,FALSE)</f>
        <v>#N/A</v>
      </c>
      <c r="L631" s="43" t="e">
        <f>VLOOKUP($A631,'[2]Team lists'!$A$2:$L$800,11,FALSE)</f>
        <v>#N/A</v>
      </c>
    </row>
    <row r="632" spans="2:13">
      <c r="B632" s="43" t="e">
        <f>VLOOKUP($A632,'[2]Team lists'!$A$2:$L$800,2,FALSE)</f>
        <v>#N/A</v>
      </c>
      <c r="C632" s="43" t="e">
        <f>VLOOKUP($A632,'[2]Team lists'!$A$2:$L$800,3,FALSE)</f>
        <v>#N/A</v>
      </c>
      <c r="D632" s="43" t="e">
        <f>VLOOKUP($A632,'[2]Team lists'!$A$2:$L$800,4,FALSE)</f>
        <v>#N/A</v>
      </c>
      <c r="E632" s="43" t="e">
        <f>VLOOKUP($A632,'[2]Team lists'!$A$2:$L$800,5,FALSE)</f>
        <v>#N/A</v>
      </c>
      <c r="F632" s="43" t="e">
        <f>VLOOKUP($A632,'[2]Team lists'!$A$2:$L$800,6,FALSE)</f>
        <v>#N/A</v>
      </c>
      <c r="G632" s="43" t="e">
        <f>VLOOKUP($A632,'[2]Team lists'!$A$2:$L$800,7,FALSE)</f>
        <v>#N/A</v>
      </c>
      <c r="H632" s="43" t="e">
        <f>VLOOKUP($A632,'[2]Team lists'!$A$2:$L$800,8,FALSE)</f>
        <v>#N/A</v>
      </c>
      <c r="I632" s="43" t="e">
        <f>VLOOKUP($A632,'[2]Team lists'!$A$2:$L$800,9,FALSE)</f>
        <v>#N/A</v>
      </c>
      <c r="J632" s="43" t="e">
        <f>VLOOKUP($A632,'[2]Team lists'!$A$2:$L$800,9,FALSE)</f>
        <v>#N/A</v>
      </c>
      <c r="K632" s="43" t="e">
        <f>VLOOKUP($A632,'[2]Team lists'!$A$2:$L$800,10,FALSE)</f>
        <v>#N/A</v>
      </c>
      <c r="L632" s="43" t="e">
        <f>VLOOKUP($A632,'[2]Team lists'!$A$2:$L$800,11,FALSE)</f>
        <v>#N/A</v>
      </c>
    </row>
    <row r="633" spans="2:13">
      <c r="B633" s="43" t="e">
        <f>VLOOKUP($A633,'[2]Team lists'!$A$2:$L$800,2,FALSE)</f>
        <v>#N/A</v>
      </c>
      <c r="C633" s="43" t="e">
        <f>VLOOKUP($A633,'[2]Team lists'!$A$2:$L$800,3,FALSE)</f>
        <v>#N/A</v>
      </c>
      <c r="D633" s="43" t="e">
        <f>VLOOKUP($A633,'[2]Team lists'!$A$2:$L$800,4,FALSE)</f>
        <v>#N/A</v>
      </c>
      <c r="E633" s="43" t="e">
        <f>VLOOKUP($A633,'[2]Team lists'!$A$2:$L$800,5,FALSE)</f>
        <v>#N/A</v>
      </c>
      <c r="F633" s="43" t="e">
        <f>VLOOKUP($A633,'[2]Team lists'!$A$2:$L$800,6,FALSE)</f>
        <v>#N/A</v>
      </c>
      <c r="G633" s="43" t="e">
        <f>VLOOKUP($A633,'[2]Team lists'!$A$2:$L$800,7,FALSE)</f>
        <v>#N/A</v>
      </c>
      <c r="H633" s="43" t="e">
        <f>VLOOKUP($A633,'[2]Team lists'!$A$2:$L$800,8,FALSE)</f>
        <v>#N/A</v>
      </c>
      <c r="I633" s="43" t="e">
        <f>VLOOKUP($A633,'[2]Team lists'!$A$2:$L$800,9,FALSE)</f>
        <v>#N/A</v>
      </c>
      <c r="J633" s="43" t="e">
        <f>VLOOKUP($A633,'[2]Team lists'!$A$2:$L$800,9,FALSE)</f>
        <v>#N/A</v>
      </c>
      <c r="K633" s="43" t="e">
        <f>VLOOKUP($A633,'[2]Team lists'!$A$2:$L$800,10,FALSE)</f>
        <v>#N/A</v>
      </c>
      <c r="L633" s="43" t="e">
        <f>VLOOKUP($A633,'[2]Team lists'!$A$2:$L$800,11,FALSE)</f>
        <v>#N/A</v>
      </c>
    </row>
    <row r="634" spans="2:13">
      <c r="B634" s="43" t="e">
        <f>VLOOKUP($A634,'[2]Team lists'!$A$2:$L$800,2,FALSE)</f>
        <v>#N/A</v>
      </c>
      <c r="C634" s="43" t="e">
        <f>VLOOKUP($A634,'[2]Team lists'!$A$2:$L$800,3,FALSE)</f>
        <v>#N/A</v>
      </c>
      <c r="D634" s="43" t="e">
        <f>VLOOKUP($A634,'[2]Team lists'!$A$2:$L$800,4,FALSE)</f>
        <v>#N/A</v>
      </c>
      <c r="E634" s="43" t="e">
        <f>VLOOKUP($A634,'[2]Team lists'!$A$2:$L$800,5,FALSE)</f>
        <v>#N/A</v>
      </c>
      <c r="F634" s="43" t="e">
        <f>VLOOKUP($A634,'[2]Team lists'!$A$2:$L$800,6,FALSE)</f>
        <v>#N/A</v>
      </c>
      <c r="G634" s="43" t="e">
        <f>VLOOKUP($A634,'[2]Team lists'!$A$2:$L$800,7,FALSE)</f>
        <v>#N/A</v>
      </c>
      <c r="H634" s="43" t="e">
        <f>VLOOKUP($A634,'[2]Team lists'!$A$2:$L$800,8,FALSE)</f>
        <v>#N/A</v>
      </c>
      <c r="I634" s="43" t="e">
        <f>VLOOKUP($A634,'[2]Team lists'!$A$2:$L$800,9,FALSE)</f>
        <v>#N/A</v>
      </c>
      <c r="J634" s="43" t="e">
        <f>VLOOKUP($A634,'[2]Team lists'!$A$2:$L$800,9,FALSE)</f>
        <v>#N/A</v>
      </c>
      <c r="K634" s="43" t="e">
        <f>VLOOKUP($A634,'[2]Team lists'!$A$2:$L$800,10,FALSE)</f>
        <v>#N/A</v>
      </c>
      <c r="L634" s="43" t="e">
        <f>VLOOKUP($A634,'[2]Team lists'!$A$2:$L$800,11,FALSE)</f>
        <v>#N/A</v>
      </c>
    </row>
    <row r="635" spans="2:13">
      <c r="B635" s="43" t="e">
        <f>VLOOKUP($A635,'[2]Team lists'!$A$2:$L$800,2,FALSE)</f>
        <v>#N/A</v>
      </c>
      <c r="C635" s="43" t="e">
        <f>VLOOKUP($A635,'[2]Team lists'!$A$2:$L$800,3,FALSE)</f>
        <v>#N/A</v>
      </c>
      <c r="D635" s="43" t="e">
        <f>VLOOKUP($A635,'[2]Team lists'!$A$2:$L$800,4,FALSE)</f>
        <v>#N/A</v>
      </c>
      <c r="E635" s="43" t="e">
        <f>VLOOKUP($A635,'[2]Team lists'!$A$2:$L$800,5,FALSE)</f>
        <v>#N/A</v>
      </c>
      <c r="F635" s="43" t="e">
        <f>VLOOKUP($A635,'[2]Team lists'!$A$2:$L$800,6,FALSE)</f>
        <v>#N/A</v>
      </c>
      <c r="G635" s="43" t="e">
        <f>VLOOKUP($A635,'[2]Team lists'!$A$2:$L$800,7,FALSE)</f>
        <v>#N/A</v>
      </c>
      <c r="H635" s="43" t="e">
        <f>VLOOKUP($A635,'[2]Team lists'!$A$2:$L$800,8,FALSE)</f>
        <v>#N/A</v>
      </c>
      <c r="I635" s="43" t="e">
        <f>VLOOKUP($A635,'[2]Team lists'!$A$2:$L$800,9,FALSE)</f>
        <v>#N/A</v>
      </c>
      <c r="J635" s="43" t="e">
        <f>VLOOKUP($A635,'[2]Team lists'!$A$2:$L$800,9,FALSE)</f>
        <v>#N/A</v>
      </c>
      <c r="K635" s="43" t="e">
        <f>VLOOKUP($A635,'[2]Team lists'!$A$2:$L$800,10,FALSE)</f>
        <v>#N/A</v>
      </c>
      <c r="L635" s="43" t="e">
        <f>VLOOKUP($A635,'[2]Team lists'!$A$2:$L$800,11,FALSE)</f>
        <v>#N/A</v>
      </c>
    </row>
    <row r="636" spans="2:13">
      <c r="B636" s="43" t="e">
        <f>VLOOKUP($A636,'[2]Team lists'!$A$2:$L$800,2,FALSE)</f>
        <v>#N/A</v>
      </c>
      <c r="C636" s="43" t="e">
        <f>VLOOKUP($A636,'[2]Team lists'!$A$2:$L$800,3,FALSE)</f>
        <v>#N/A</v>
      </c>
      <c r="D636" s="43" t="e">
        <f>VLOOKUP($A636,'[2]Team lists'!$A$2:$L$800,4,FALSE)</f>
        <v>#N/A</v>
      </c>
      <c r="E636" s="43" t="e">
        <f>VLOOKUP($A636,'[2]Team lists'!$A$2:$L$800,5,FALSE)</f>
        <v>#N/A</v>
      </c>
      <c r="F636" s="43" t="e">
        <f>VLOOKUP($A636,'[2]Team lists'!$A$2:$L$800,6,FALSE)</f>
        <v>#N/A</v>
      </c>
      <c r="G636" s="43" t="e">
        <f>VLOOKUP($A636,'[2]Team lists'!$A$2:$L$800,7,FALSE)</f>
        <v>#N/A</v>
      </c>
      <c r="H636" s="43" t="e">
        <f>VLOOKUP($A636,'[2]Team lists'!$A$2:$L$800,8,FALSE)</f>
        <v>#N/A</v>
      </c>
      <c r="I636" s="43" t="e">
        <f>VLOOKUP($A636,'[2]Team lists'!$A$2:$L$800,9,FALSE)</f>
        <v>#N/A</v>
      </c>
      <c r="J636" s="43" t="e">
        <f>VLOOKUP($A636,'[2]Team lists'!$A$2:$L$800,9,FALSE)</f>
        <v>#N/A</v>
      </c>
      <c r="K636" s="43" t="e">
        <f>VLOOKUP($A636,'[2]Team lists'!$A$2:$L$800,10,FALSE)</f>
        <v>#N/A</v>
      </c>
      <c r="L636" s="43" t="e">
        <f>VLOOKUP($A636,'[2]Team lists'!$A$2:$L$800,11,FALSE)</f>
        <v>#N/A</v>
      </c>
    </row>
    <row r="637" spans="2:13">
      <c r="B637" s="43" t="e">
        <f>VLOOKUP($A637,'[2]Team lists'!$A$2:$L$800,2,FALSE)</f>
        <v>#N/A</v>
      </c>
      <c r="C637" s="43" t="e">
        <f>VLOOKUP($A637,'[2]Team lists'!$A$2:$L$800,3,FALSE)</f>
        <v>#N/A</v>
      </c>
      <c r="D637" s="43" t="e">
        <f>VLOOKUP($A637,'[2]Team lists'!$A$2:$L$800,4,FALSE)</f>
        <v>#N/A</v>
      </c>
      <c r="E637" s="43" t="e">
        <f>VLOOKUP($A637,'[2]Team lists'!$A$2:$L$800,5,FALSE)</f>
        <v>#N/A</v>
      </c>
      <c r="F637" s="43" t="e">
        <f>VLOOKUP($A637,'[2]Team lists'!$A$2:$L$800,6,FALSE)</f>
        <v>#N/A</v>
      </c>
      <c r="G637" s="43" t="e">
        <f>VLOOKUP($A637,'[2]Team lists'!$A$2:$L$800,7,FALSE)</f>
        <v>#N/A</v>
      </c>
      <c r="H637" s="43" t="e">
        <f>VLOOKUP($A637,'[2]Team lists'!$A$2:$L$800,8,FALSE)</f>
        <v>#N/A</v>
      </c>
      <c r="I637" s="43" t="e">
        <f>VLOOKUP($A637,'[2]Team lists'!$A$2:$L$800,9,FALSE)</f>
        <v>#N/A</v>
      </c>
      <c r="J637" s="43" t="e">
        <f>VLOOKUP($A637,'[2]Team lists'!$A$2:$L$800,9,FALSE)</f>
        <v>#N/A</v>
      </c>
      <c r="K637" s="43" t="e">
        <f>VLOOKUP($A637,'[2]Team lists'!$A$2:$L$800,10,FALSE)</f>
        <v>#N/A</v>
      </c>
      <c r="L637" s="43" t="e">
        <f>VLOOKUP($A637,'[2]Team lists'!$A$2:$L$800,11,FALSE)</f>
        <v>#N/A</v>
      </c>
    </row>
    <row r="638" spans="2:13">
      <c r="B638" s="43" t="e">
        <f>VLOOKUP($A638,'[2]Team lists'!$A$2:$L$800,2,FALSE)</f>
        <v>#N/A</v>
      </c>
      <c r="C638" s="43" t="e">
        <f>VLOOKUP($A638,'[2]Team lists'!$A$2:$L$800,3,FALSE)</f>
        <v>#N/A</v>
      </c>
      <c r="D638" s="43" t="e">
        <f>VLOOKUP($A638,'[2]Team lists'!$A$2:$L$800,4,FALSE)</f>
        <v>#N/A</v>
      </c>
      <c r="E638" s="43" t="e">
        <f>VLOOKUP($A638,'[2]Team lists'!$A$2:$L$800,5,FALSE)</f>
        <v>#N/A</v>
      </c>
      <c r="F638" s="43" t="e">
        <f>VLOOKUP($A638,'[2]Team lists'!$A$2:$L$800,6,FALSE)</f>
        <v>#N/A</v>
      </c>
      <c r="G638" s="43" t="e">
        <f>VLOOKUP($A638,'[2]Team lists'!$A$2:$L$800,7,FALSE)</f>
        <v>#N/A</v>
      </c>
      <c r="H638" s="43" t="e">
        <f>VLOOKUP($A638,'[2]Team lists'!$A$2:$L$800,8,FALSE)</f>
        <v>#N/A</v>
      </c>
      <c r="I638" s="43" t="e">
        <f>VLOOKUP($A638,'[2]Team lists'!$A$2:$L$800,9,FALSE)</f>
        <v>#N/A</v>
      </c>
      <c r="J638" s="43" t="e">
        <f>VLOOKUP($A638,'[2]Team lists'!$A$2:$L$800,9,FALSE)</f>
        <v>#N/A</v>
      </c>
      <c r="K638" s="43" t="e">
        <f>VLOOKUP($A638,'[2]Team lists'!$A$2:$L$800,10,FALSE)</f>
        <v>#N/A</v>
      </c>
      <c r="L638" s="43" t="e">
        <f>VLOOKUP($A638,'[2]Team lists'!$A$2:$L$800,11,FALSE)</f>
        <v>#N/A</v>
      </c>
    </row>
    <row r="639" spans="2:13" ht="18" thickBot="1">
      <c r="B639" s="45" t="s">
        <v>3210</v>
      </c>
      <c r="C639" s="46"/>
      <c r="D639" s="47"/>
      <c r="E639" s="48" t="e">
        <f t="shared" ref="E639:L639" si="39">SUM(E628:E638)</f>
        <v>#N/A</v>
      </c>
      <c r="F639" s="49" t="e">
        <f t="shared" si="39"/>
        <v>#N/A</v>
      </c>
      <c r="G639" s="49" t="e">
        <f t="shared" si="39"/>
        <v>#N/A</v>
      </c>
      <c r="H639" s="49" t="e">
        <f t="shared" si="39"/>
        <v>#N/A</v>
      </c>
      <c r="I639" s="49" t="e">
        <f t="shared" si="39"/>
        <v>#N/A</v>
      </c>
      <c r="J639" s="49" t="e">
        <f t="shared" si="39"/>
        <v>#N/A</v>
      </c>
      <c r="K639" s="49" t="e">
        <f t="shared" si="39"/>
        <v>#N/A</v>
      </c>
      <c r="L639" s="50" t="e">
        <f t="shared" si="39"/>
        <v>#N/A</v>
      </c>
    </row>
    <row r="640" spans="2:13" ht="18.600000000000001" thickTop="1" thickBot="1"/>
    <row r="641" spans="2:13" ht="18" thickTop="1">
      <c r="B641" s="23" t="s">
        <v>3204</v>
      </c>
      <c r="C641" s="24" t="s">
        <v>3205</v>
      </c>
      <c r="D641" s="25"/>
      <c r="E641" s="25"/>
      <c r="F641" s="53"/>
      <c r="G641" s="28" t="s">
        <v>3206</v>
      </c>
      <c r="H641" s="54"/>
      <c r="I641" s="54"/>
      <c r="J641" s="54"/>
      <c r="K641" s="28" t="s">
        <v>3207</v>
      </c>
      <c r="L641" s="29"/>
      <c r="M641" s="22" t="str">
        <f>G641</f>
        <v>Manager:</v>
      </c>
    </row>
    <row r="642" spans="2:13" ht="18" thickBot="1">
      <c r="B642" s="30">
        <v>41</v>
      </c>
      <c r="C642" s="57"/>
      <c r="D642" s="31"/>
      <c r="E642" s="31"/>
      <c r="F642" s="33"/>
      <c r="G642" s="55"/>
      <c r="H642" s="55"/>
      <c r="I642" s="55"/>
      <c r="J642" s="55"/>
      <c r="K642" s="34" t="e">
        <f>SUM(F655:L655)</f>
        <v>#N/A</v>
      </c>
      <c r="L642" s="35"/>
      <c r="M642" s="22">
        <f>G642</f>
        <v>0</v>
      </c>
    </row>
    <row r="643" spans="2:13" ht="18.600000000000001" thickTop="1">
      <c r="B643" s="58" t="s">
        <v>913</v>
      </c>
      <c r="C643" s="59" t="s">
        <v>912</v>
      </c>
      <c r="D643" s="60" t="s">
        <v>911</v>
      </c>
      <c r="E643" s="61" t="s">
        <v>3209</v>
      </c>
      <c r="F643" s="62" t="s">
        <v>3162</v>
      </c>
      <c r="G643" s="62"/>
      <c r="H643" s="62" t="s">
        <v>3164</v>
      </c>
      <c r="I643" s="62" t="s">
        <v>3165</v>
      </c>
      <c r="J643" s="62" t="s">
        <v>3166</v>
      </c>
      <c r="K643" s="62" t="s">
        <v>3167</v>
      </c>
      <c r="L643" s="63" t="s">
        <v>3168</v>
      </c>
    </row>
    <row r="644" spans="2:13">
      <c r="B644" s="43" t="e">
        <f>VLOOKUP($A644,'[2]Team lists'!$A$2:$L$800,2,FALSE)</f>
        <v>#N/A</v>
      </c>
      <c r="C644" s="43" t="e">
        <f>VLOOKUP($A644,'[2]Team lists'!$A$2:$L$800,3,FALSE)</f>
        <v>#N/A</v>
      </c>
      <c r="D644" s="43" t="e">
        <f>VLOOKUP($A644,'[2]Team lists'!$A$2:$L$800,4,FALSE)</f>
        <v>#N/A</v>
      </c>
      <c r="E644" s="43" t="e">
        <f>VLOOKUP($A644,'[2]Team lists'!$A$2:$L$800,5,FALSE)</f>
        <v>#N/A</v>
      </c>
      <c r="F644" s="43" t="e">
        <f>VLOOKUP($A644,'[2]Team lists'!$A$2:$L$800,6,FALSE)</f>
        <v>#N/A</v>
      </c>
      <c r="G644" s="43" t="e">
        <f>VLOOKUP($A644,'[2]Team lists'!$A$2:$L$800,7,FALSE)</f>
        <v>#N/A</v>
      </c>
      <c r="H644" s="43" t="e">
        <f>VLOOKUP($A644,'[2]Team lists'!$A$2:$L$800,8,FALSE)</f>
        <v>#N/A</v>
      </c>
      <c r="I644" s="43" t="e">
        <f>VLOOKUP($A644,'[2]Team lists'!$A$2:$L$800,9,FALSE)</f>
        <v>#N/A</v>
      </c>
      <c r="J644" s="43" t="e">
        <f>VLOOKUP($A644,'[2]Team lists'!$A$2:$L$800,9,FALSE)</f>
        <v>#N/A</v>
      </c>
      <c r="K644" s="43" t="e">
        <f>VLOOKUP($A644,'[2]Team lists'!$A$2:$L$800,10,FALSE)</f>
        <v>#N/A</v>
      </c>
      <c r="L644" s="43" t="e">
        <f>VLOOKUP($A644,'[2]Team lists'!$A$2:$L$800,11,FALSE)</f>
        <v>#N/A</v>
      </c>
    </row>
    <row r="645" spans="2:13">
      <c r="B645" s="43" t="e">
        <f>VLOOKUP($A645,'[2]Team lists'!$A$2:$L$800,2,FALSE)</f>
        <v>#N/A</v>
      </c>
      <c r="C645" s="43" t="e">
        <f>VLOOKUP($A645,'[2]Team lists'!$A$2:$L$800,3,FALSE)</f>
        <v>#N/A</v>
      </c>
      <c r="D645" s="43" t="e">
        <f>VLOOKUP($A645,'[2]Team lists'!$A$2:$L$800,4,FALSE)</f>
        <v>#N/A</v>
      </c>
      <c r="E645" s="43" t="e">
        <f>VLOOKUP($A645,'[2]Team lists'!$A$2:$L$800,5,FALSE)</f>
        <v>#N/A</v>
      </c>
      <c r="F645" s="43" t="e">
        <f>VLOOKUP($A645,'[2]Team lists'!$A$2:$L$800,6,FALSE)</f>
        <v>#N/A</v>
      </c>
      <c r="G645" s="43" t="e">
        <f>VLOOKUP($A645,'[2]Team lists'!$A$2:$L$800,7,FALSE)</f>
        <v>#N/A</v>
      </c>
      <c r="H645" s="43" t="e">
        <f>VLOOKUP($A645,'[2]Team lists'!$A$2:$L$800,8,FALSE)</f>
        <v>#N/A</v>
      </c>
      <c r="I645" s="43" t="e">
        <f>VLOOKUP($A645,'[2]Team lists'!$A$2:$L$800,9,FALSE)</f>
        <v>#N/A</v>
      </c>
      <c r="J645" s="43" t="e">
        <f>VLOOKUP($A645,'[2]Team lists'!$A$2:$L$800,9,FALSE)</f>
        <v>#N/A</v>
      </c>
      <c r="K645" s="43" t="e">
        <f>VLOOKUP($A645,'[2]Team lists'!$A$2:$L$800,10,FALSE)</f>
        <v>#N/A</v>
      </c>
      <c r="L645" s="43" t="e">
        <f>VLOOKUP($A645,'[2]Team lists'!$A$2:$L$800,11,FALSE)</f>
        <v>#N/A</v>
      </c>
    </row>
    <row r="646" spans="2:13">
      <c r="B646" s="43" t="e">
        <f>VLOOKUP($A646,'[2]Team lists'!$A$2:$L$800,2,FALSE)</f>
        <v>#N/A</v>
      </c>
      <c r="C646" s="43" t="e">
        <f>VLOOKUP($A646,'[2]Team lists'!$A$2:$L$800,3,FALSE)</f>
        <v>#N/A</v>
      </c>
      <c r="D646" s="43" t="e">
        <f>VLOOKUP($A646,'[2]Team lists'!$A$2:$L$800,4,FALSE)</f>
        <v>#N/A</v>
      </c>
      <c r="E646" s="43" t="e">
        <f>VLOOKUP($A646,'[2]Team lists'!$A$2:$L$800,5,FALSE)</f>
        <v>#N/A</v>
      </c>
      <c r="F646" s="43" t="e">
        <f>VLOOKUP($A646,'[2]Team lists'!$A$2:$L$800,6,FALSE)</f>
        <v>#N/A</v>
      </c>
      <c r="G646" s="43" t="e">
        <f>VLOOKUP($A646,'[2]Team lists'!$A$2:$L$800,7,FALSE)</f>
        <v>#N/A</v>
      </c>
      <c r="H646" s="43" t="e">
        <f>VLOOKUP($A646,'[2]Team lists'!$A$2:$L$800,8,FALSE)</f>
        <v>#N/A</v>
      </c>
      <c r="I646" s="43" t="e">
        <f>VLOOKUP($A646,'[2]Team lists'!$A$2:$L$800,9,FALSE)</f>
        <v>#N/A</v>
      </c>
      <c r="J646" s="43" t="e">
        <f>VLOOKUP($A646,'[2]Team lists'!$A$2:$L$800,9,FALSE)</f>
        <v>#N/A</v>
      </c>
      <c r="K646" s="43" t="e">
        <f>VLOOKUP($A646,'[2]Team lists'!$A$2:$L$800,10,FALSE)</f>
        <v>#N/A</v>
      </c>
      <c r="L646" s="43" t="e">
        <f>VLOOKUP($A646,'[2]Team lists'!$A$2:$L$800,11,FALSE)</f>
        <v>#N/A</v>
      </c>
    </row>
    <row r="647" spans="2:13">
      <c r="B647" s="43" t="e">
        <f>VLOOKUP($A647,'[2]Team lists'!$A$2:$L$800,2,FALSE)</f>
        <v>#N/A</v>
      </c>
      <c r="C647" s="43" t="e">
        <f>VLOOKUP($A647,'[2]Team lists'!$A$2:$L$800,3,FALSE)</f>
        <v>#N/A</v>
      </c>
      <c r="D647" s="43" t="e">
        <f>VLOOKUP($A647,'[2]Team lists'!$A$2:$L$800,4,FALSE)</f>
        <v>#N/A</v>
      </c>
      <c r="E647" s="43" t="e">
        <f>VLOOKUP($A647,'[2]Team lists'!$A$2:$L$800,5,FALSE)</f>
        <v>#N/A</v>
      </c>
      <c r="F647" s="43" t="e">
        <f>VLOOKUP($A647,'[2]Team lists'!$A$2:$L$800,6,FALSE)</f>
        <v>#N/A</v>
      </c>
      <c r="G647" s="43" t="e">
        <f>VLOOKUP($A647,'[2]Team lists'!$A$2:$L$800,7,FALSE)</f>
        <v>#N/A</v>
      </c>
      <c r="H647" s="43" t="e">
        <f>VLOOKUP($A647,'[2]Team lists'!$A$2:$L$800,8,FALSE)</f>
        <v>#N/A</v>
      </c>
      <c r="I647" s="43" t="e">
        <f>VLOOKUP($A647,'[2]Team lists'!$A$2:$L$800,9,FALSE)</f>
        <v>#N/A</v>
      </c>
      <c r="J647" s="43" t="e">
        <f>VLOOKUP($A647,'[2]Team lists'!$A$2:$L$800,9,FALSE)</f>
        <v>#N/A</v>
      </c>
      <c r="K647" s="43" t="e">
        <f>VLOOKUP($A647,'[2]Team lists'!$A$2:$L$800,10,FALSE)</f>
        <v>#N/A</v>
      </c>
      <c r="L647" s="43" t="e">
        <f>VLOOKUP($A647,'[2]Team lists'!$A$2:$L$800,11,FALSE)</f>
        <v>#N/A</v>
      </c>
    </row>
    <row r="648" spans="2:13">
      <c r="B648" s="43" t="e">
        <f>VLOOKUP($A648,'[2]Team lists'!$A$2:$L$800,2,FALSE)</f>
        <v>#N/A</v>
      </c>
      <c r="C648" s="43" t="e">
        <f>VLOOKUP($A648,'[2]Team lists'!$A$2:$L$800,3,FALSE)</f>
        <v>#N/A</v>
      </c>
      <c r="D648" s="43" t="e">
        <f>VLOOKUP($A648,'[2]Team lists'!$A$2:$L$800,4,FALSE)</f>
        <v>#N/A</v>
      </c>
      <c r="E648" s="43" t="e">
        <f>VLOOKUP($A648,'[2]Team lists'!$A$2:$L$800,5,FALSE)</f>
        <v>#N/A</v>
      </c>
      <c r="F648" s="43" t="e">
        <f>VLOOKUP($A648,'[2]Team lists'!$A$2:$L$800,6,FALSE)</f>
        <v>#N/A</v>
      </c>
      <c r="G648" s="43" t="e">
        <f>VLOOKUP($A648,'[2]Team lists'!$A$2:$L$800,7,FALSE)</f>
        <v>#N/A</v>
      </c>
      <c r="H648" s="43" t="e">
        <f>VLOOKUP($A648,'[2]Team lists'!$A$2:$L$800,8,FALSE)</f>
        <v>#N/A</v>
      </c>
      <c r="I648" s="43" t="e">
        <f>VLOOKUP($A648,'[2]Team lists'!$A$2:$L$800,9,FALSE)</f>
        <v>#N/A</v>
      </c>
      <c r="J648" s="43" t="e">
        <f>VLOOKUP($A648,'[2]Team lists'!$A$2:$L$800,9,FALSE)</f>
        <v>#N/A</v>
      </c>
      <c r="K648" s="43" t="e">
        <f>VLOOKUP($A648,'[2]Team lists'!$A$2:$L$800,10,FALSE)</f>
        <v>#N/A</v>
      </c>
      <c r="L648" s="43" t="e">
        <f>VLOOKUP($A648,'[2]Team lists'!$A$2:$L$800,11,FALSE)</f>
        <v>#N/A</v>
      </c>
    </row>
    <row r="649" spans="2:13">
      <c r="B649" s="43" t="e">
        <f>VLOOKUP($A649,'[2]Team lists'!$A$2:$L$800,2,FALSE)</f>
        <v>#N/A</v>
      </c>
      <c r="C649" s="43" t="e">
        <f>VLOOKUP($A649,'[2]Team lists'!$A$2:$L$800,3,FALSE)</f>
        <v>#N/A</v>
      </c>
      <c r="D649" s="43" t="e">
        <f>VLOOKUP($A649,'[2]Team lists'!$A$2:$L$800,4,FALSE)</f>
        <v>#N/A</v>
      </c>
      <c r="E649" s="43" t="e">
        <f>VLOOKUP($A649,'[2]Team lists'!$A$2:$L$800,5,FALSE)</f>
        <v>#N/A</v>
      </c>
      <c r="F649" s="43" t="e">
        <f>VLOOKUP($A649,'[2]Team lists'!$A$2:$L$800,6,FALSE)</f>
        <v>#N/A</v>
      </c>
      <c r="G649" s="43" t="e">
        <f>VLOOKUP($A649,'[2]Team lists'!$A$2:$L$800,7,FALSE)</f>
        <v>#N/A</v>
      </c>
      <c r="H649" s="43" t="e">
        <f>VLOOKUP($A649,'[2]Team lists'!$A$2:$L$800,8,FALSE)</f>
        <v>#N/A</v>
      </c>
      <c r="I649" s="43" t="e">
        <f>VLOOKUP($A649,'[2]Team lists'!$A$2:$L$800,9,FALSE)</f>
        <v>#N/A</v>
      </c>
      <c r="J649" s="43" t="e">
        <f>VLOOKUP($A649,'[2]Team lists'!$A$2:$L$800,9,FALSE)</f>
        <v>#N/A</v>
      </c>
      <c r="K649" s="43" t="e">
        <f>VLOOKUP($A649,'[2]Team lists'!$A$2:$L$800,10,FALSE)</f>
        <v>#N/A</v>
      </c>
      <c r="L649" s="43" t="e">
        <f>VLOOKUP($A649,'[2]Team lists'!$A$2:$L$800,11,FALSE)</f>
        <v>#N/A</v>
      </c>
    </row>
    <row r="650" spans="2:13">
      <c r="B650" s="43" t="e">
        <f>VLOOKUP($A650,'[2]Team lists'!$A$2:$L$800,2,FALSE)</f>
        <v>#N/A</v>
      </c>
      <c r="C650" s="43" t="e">
        <f>VLOOKUP($A650,'[2]Team lists'!$A$2:$L$800,3,FALSE)</f>
        <v>#N/A</v>
      </c>
      <c r="D650" s="43" t="e">
        <f>VLOOKUP($A650,'[2]Team lists'!$A$2:$L$800,4,FALSE)</f>
        <v>#N/A</v>
      </c>
      <c r="E650" s="43" t="e">
        <f>VLOOKUP($A650,'[2]Team lists'!$A$2:$L$800,5,FALSE)</f>
        <v>#N/A</v>
      </c>
      <c r="F650" s="43" t="e">
        <f>VLOOKUP($A650,'[2]Team lists'!$A$2:$L$800,6,FALSE)</f>
        <v>#N/A</v>
      </c>
      <c r="G650" s="43" t="e">
        <f>VLOOKUP($A650,'[2]Team lists'!$A$2:$L$800,7,FALSE)</f>
        <v>#N/A</v>
      </c>
      <c r="H650" s="43" t="e">
        <f>VLOOKUP($A650,'[2]Team lists'!$A$2:$L$800,8,FALSE)</f>
        <v>#N/A</v>
      </c>
      <c r="I650" s="43" t="e">
        <f>VLOOKUP($A650,'[2]Team lists'!$A$2:$L$800,9,FALSE)</f>
        <v>#N/A</v>
      </c>
      <c r="J650" s="43" t="e">
        <f>VLOOKUP($A650,'[2]Team lists'!$A$2:$L$800,9,FALSE)</f>
        <v>#N/A</v>
      </c>
      <c r="K650" s="43" t="e">
        <f>VLOOKUP($A650,'[2]Team lists'!$A$2:$L$800,10,FALSE)</f>
        <v>#N/A</v>
      </c>
      <c r="L650" s="43" t="e">
        <f>VLOOKUP($A650,'[2]Team lists'!$A$2:$L$800,11,FALSE)</f>
        <v>#N/A</v>
      </c>
    </row>
    <row r="651" spans="2:13">
      <c r="B651" s="43" t="e">
        <f>VLOOKUP($A651,'[2]Team lists'!$A$2:$L$800,2,FALSE)</f>
        <v>#N/A</v>
      </c>
      <c r="C651" s="43" t="e">
        <f>VLOOKUP($A651,'[2]Team lists'!$A$2:$L$800,3,FALSE)</f>
        <v>#N/A</v>
      </c>
      <c r="D651" s="43" t="e">
        <f>VLOOKUP($A651,'[2]Team lists'!$A$2:$L$800,4,FALSE)</f>
        <v>#N/A</v>
      </c>
      <c r="E651" s="43" t="e">
        <f>VLOOKUP($A651,'[2]Team lists'!$A$2:$L$800,5,FALSE)</f>
        <v>#N/A</v>
      </c>
      <c r="F651" s="43" t="e">
        <f>VLOOKUP($A651,'[2]Team lists'!$A$2:$L$800,6,FALSE)</f>
        <v>#N/A</v>
      </c>
      <c r="G651" s="43" t="e">
        <f>VLOOKUP($A651,'[2]Team lists'!$A$2:$L$800,7,FALSE)</f>
        <v>#N/A</v>
      </c>
      <c r="H651" s="43" t="e">
        <f>VLOOKUP($A651,'[2]Team lists'!$A$2:$L$800,8,FALSE)</f>
        <v>#N/A</v>
      </c>
      <c r="I651" s="43" t="e">
        <f>VLOOKUP($A651,'[2]Team lists'!$A$2:$L$800,9,FALSE)</f>
        <v>#N/A</v>
      </c>
      <c r="J651" s="43" t="e">
        <f>VLOOKUP($A651,'[2]Team lists'!$A$2:$L$800,9,FALSE)</f>
        <v>#N/A</v>
      </c>
      <c r="K651" s="43" t="e">
        <f>VLOOKUP($A651,'[2]Team lists'!$A$2:$L$800,10,FALSE)</f>
        <v>#N/A</v>
      </c>
      <c r="L651" s="43" t="e">
        <f>VLOOKUP($A651,'[2]Team lists'!$A$2:$L$800,11,FALSE)</f>
        <v>#N/A</v>
      </c>
    </row>
    <row r="652" spans="2:13">
      <c r="B652" s="43" t="e">
        <f>VLOOKUP($A652,'[2]Team lists'!$A$2:$L$800,2,FALSE)</f>
        <v>#N/A</v>
      </c>
      <c r="C652" s="43" t="e">
        <f>VLOOKUP($A652,'[2]Team lists'!$A$2:$L$800,3,FALSE)</f>
        <v>#N/A</v>
      </c>
      <c r="D652" s="43" t="e">
        <f>VLOOKUP($A652,'[2]Team lists'!$A$2:$L$800,4,FALSE)</f>
        <v>#N/A</v>
      </c>
      <c r="E652" s="43" t="e">
        <f>VLOOKUP($A652,'[2]Team lists'!$A$2:$L$800,5,FALSE)</f>
        <v>#N/A</v>
      </c>
      <c r="F652" s="43" t="e">
        <f>VLOOKUP($A652,'[2]Team lists'!$A$2:$L$800,6,FALSE)</f>
        <v>#N/A</v>
      </c>
      <c r="G652" s="43" t="e">
        <f>VLOOKUP($A652,'[2]Team lists'!$A$2:$L$800,7,FALSE)</f>
        <v>#N/A</v>
      </c>
      <c r="H652" s="43" t="e">
        <f>VLOOKUP($A652,'[2]Team lists'!$A$2:$L$800,8,FALSE)</f>
        <v>#N/A</v>
      </c>
      <c r="I652" s="43" t="e">
        <f>VLOOKUP($A652,'[2]Team lists'!$A$2:$L$800,9,FALSE)</f>
        <v>#N/A</v>
      </c>
      <c r="J652" s="43" t="e">
        <f>VLOOKUP($A652,'[2]Team lists'!$A$2:$L$800,9,FALSE)</f>
        <v>#N/A</v>
      </c>
      <c r="K652" s="43" t="e">
        <f>VLOOKUP($A652,'[2]Team lists'!$A$2:$L$800,10,FALSE)</f>
        <v>#N/A</v>
      </c>
      <c r="L652" s="43" t="e">
        <f>VLOOKUP($A652,'[2]Team lists'!$A$2:$L$800,11,FALSE)</f>
        <v>#N/A</v>
      </c>
    </row>
    <row r="653" spans="2:13">
      <c r="B653" s="43" t="e">
        <f>VLOOKUP($A653,'[2]Team lists'!$A$2:$L$800,2,FALSE)</f>
        <v>#N/A</v>
      </c>
      <c r="C653" s="43" t="e">
        <f>VLOOKUP($A653,'[2]Team lists'!$A$2:$L$800,3,FALSE)</f>
        <v>#N/A</v>
      </c>
      <c r="D653" s="43" t="e">
        <f>VLOOKUP($A653,'[2]Team lists'!$A$2:$L$800,4,FALSE)</f>
        <v>#N/A</v>
      </c>
      <c r="E653" s="43" t="e">
        <f>VLOOKUP($A653,'[2]Team lists'!$A$2:$L$800,5,FALSE)</f>
        <v>#N/A</v>
      </c>
      <c r="F653" s="43" t="e">
        <f>VLOOKUP($A653,'[2]Team lists'!$A$2:$L$800,6,FALSE)</f>
        <v>#N/A</v>
      </c>
      <c r="G653" s="43" t="e">
        <f>VLOOKUP($A653,'[2]Team lists'!$A$2:$L$800,7,FALSE)</f>
        <v>#N/A</v>
      </c>
      <c r="H653" s="43" t="e">
        <f>VLOOKUP($A653,'[2]Team lists'!$A$2:$L$800,8,FALSE)</f>
        <v>#N/A</v>
      </c>
      <c r="I653" s="43" t="e">
        <f>VLOOKUP($A653,'[2]Team lists'!$A$2:$L$800,9,FALSE)</f>
        <v>#N/A</v>
      </c>
      <c r="J653" s="43" t="e">
        <f>VLOOKUP($A653,'[2]Team lists'!$A$2:$L$800,9,FALSE)</f>
        <v>#N/A</v>
      </c>
      <c r="K653" s="43" t="e">
        <f>VLOOKUP($A653,'[2]Team lists'!$A$2:$L$800,10,FALSE)</f>
        <v>#N/A</v>
      </c>
      <c r="L653" s="43" t="e">
        <f>VLOOKUP($A653,'[2]Team lists'!$A$2:$L$800,11,FALSE)</f>
        <v>#N/A</v>
      </c>
    </row>
    <row r="654" spans="2:13">
      <c r="B654" s="43" t="e">
        <f>VLOOKUP($A654,'[2]Team lists'!$A$2:$L$800,2,FALSE)</f>
        <v>#N/A</v>
      </c>
      <c r="C654" s="43" t="e">
        <f>VLOOKUP($A654,'[2]Team lists'!$A$2:$L$800,3,FALSE)</f>
        <v>#N/A</v>
      </c>
      <c r="D654" s="43" t="e">
        <f>VLOOKUP($A654,'[2]Team lists'!$A$2:$L$800,4,FALSE)</f>
        <v>#N/A</v>
      </c>
      <c r="E654" s="43" t="e">
        <f>VLOOKUP($A654,'[2]Team lists'!$A$2:$L$800,5,FALSE)</f>
        <v>#N/A</v>
      </c>
      <c r="F654" s="43" t="e">
        <f>VLOOKUP($A654,'[2]Team lists'!$A$2:$L$800,6,FALSE)</f>
        <v>#N/A</v>
      </c>
      <c r="G654" s="43" t="e">
        <f>VLOOKUP($A654,'[2]Team lists'!$A$2:$L$800,7,FALSE)</f>
        <v>#N/A</v>
      </c>
      <c r="H654" s="43" t="e">
        <f>VLOOKUP($A654,'[2]Team lists'!$A$2:$L$800,8,FALSE)</f>
        <v>#N/A</v>
      </c>
      <c r="I654" s="43" t="e">
        <f>VLOOKUP($A654,'[2]Team lists'!$A$2:$L$800,9,FALSE)</f>
        <v>#N/A</v>
      </c>
      <c r="J654" s="43" t="e">
        <f>VLOOKUP($A654,'[2]Team lists'!$A$2:$L$800,9,FALSE)</f>
        <v>#N/A</v>
      </c>
      <c r="K654" s="43" t="e">
        <f>VLOOKUP($A654,'[2]Team lists'!$A$2:$L$800,10,FALSE)</f>
        <v>#N/A</v>
      </c>
      <c r="L654" s="43" t="e">
        <f>VLOOKUP($A654,'[2]Team lists'!$A$2:$L$800,11,FALSE)</f>
        <v>#N/A</v>
      </c>
    </row>
    <row r="655" spans="2:13" ht="18" thickBot="1">
      <c r="B655" s="45" t="s">
        <v>3210</v>
      </c>
      <c r="C655" s="46"/>
      <c r="D655" s="47"/>
      <c r="E655" s="48" t="e">
        <f t="shared" ref="E655:L655" si="40">SUM(E644:E654)</f>
        <v>#N/A</v>
      </c>
      <c r="F655" s="49" t="e">
        <f t="shared" si="40"/>
        <v>#N/A</v>
      </c>
      <c r="G655" s="49" t="e">
        <f t="shared" si="40"/>
        <v>#N/A</v>
      </c>
      <c r="H655" s="49" t="e">
        <f t="shared" si="40"/>
        <v>#N/A</v>
      </c>
      <c r="I655" s="49" t="e">
        <f t="shared" si="40"/>
        <v>#N/A</v>
      </c>
      <c r="J655" s="49" t="e">
        <f t="shared" si="40"/>
        <v>#N/A</v>
      </c>
      <c r="K655" s="49" t="e">
        <f t="shared" si="40"/>
        <v>#N/A</v>
      </c>
      <c r="L655" s="50" t="e">
        <f t="shared" si="40"/>
        <v>#N/A</v>
      </c>
    </row>
    <row r="656" spans="2:13" ht="18.600000000000001" thickTop="1" thickBot="1"/>
    <row r="657" spans="2:13" ht="18" thickTop="1">
      <c r="B657" s="23" t="s">
        <v>3204</v>
      </c>
      <c r="C657" s="24" t="s">
        <v>3205</v>
      </c>
      <c r="D657" s="25"/>
      <c r="E657" s="25"/>
      <c r="F657" s="53"/>
      <c r="G657" s="28" t="s">
        <v>3206</v>
      </c>
      <c r="H657" s="54"/>
      <c r="I657" s="54"/>
      <c r="J657" s="54"/>
      <c r="K657" s="28" t="s">
        <v>3207</v>
      </c>
      <c r="L657" s="29"/>
      <c r="M657" s="22" t="str">
        <f>G657</f>
        <v>Manager:</v>
      </c>
    </row>
    <row r="658" spans="2:13" ht="18" thickBot="1">
      <c r="B658" s="30">
        <v>42</v>
      </c>
      <c r="C658" s="57"/>
      <c r="D658" s="31"/>
      <c r="E658" s="31"/>
      <c r="F658" s="33"/>
      <c r="G658" s="55"/>
      <c r="H658" s="55"/>
      <c r="I658" s="55"/>
      <c r="J658" s="55"/>
      <c r="K658" s="34" t="e">
        <f>SUM(F671:L671)</f>
        <v>#N/A</v>
      </c>
      <c r="L658" s="35"/>
      <c r="M658" s="22">
        <f>G658</f>
        <v>0</v>
      </c>
    </row>
    <row r="659" spans="2:13" ht="18.600000000000001" thickTop="1">
      <c r="B659" s="58" t="s">
        <v>913</v>
      </c>
      <c r="C659" s="59" t="s">
        <v>912</v>
      </c>
      <c r="D659" s="60" t="s">
        <v>911</v>
      </c>
      <c r="E659" s="61" t="s">
        <v>3209</v>
      </c>
      <c r="F659" s="62" t="s">
        <v>3162</v>
      </c>
      <c r="G659" s="62" t="s">
        <v>3163</v>
      </c>
      <c r="H659" s="62" t="s">
        <v>3164</v>
      </c>
      <c r="I659" s="62" t="s">
        <v>3165</v>
      </c>
      <c r="J659" s="62" t="s">
        <v>3166</v>
      </c>
      <c r="K659" s="62" t="s">
        <v>3167</v>
      </c>
      <c r="L659" s="63" t="s">
        <v>3168</v>
      </c>
    </row>
    <row r="660" spans="2:13">
      <c r="B660" s="43" t="e">
        <f>VLOOKUP($A660,'[2]Team lists'!$A$2:$L$800,2,FALSE)</f>
        <v>#N/A</v>
      </c>
      <c r="C660" s="43" t="e">
        <f>VLOOKUP($A660,'[2]Team lists'!$A$2:$L$800,3,FALSE)</f>
        <v>#N/A</v>
      </c>
      <c r="D660" s="43" t="e">
        <f>VLOOKUP($A660,'[2]Team lists'!$A$2:$L$800,4,FALSE)</f>
        <v>#N/A</v>
      </c>
      <c r="E660" s="43" t="e">
        <f>VLOOKUP($A660,'[2]Team lists'!$A$2:$L$800,5,FALSE)</f>
        <v>#N/A</v>
      </c>
      <c r="F660" s="43" t="e">
        <f>VLOOKUP($A660,'[2]Team lists'!$A$2:$L$800,6,FALSE)</f>
        <v>#N/A</v>
      </c>
      <c r="G660" s="43" t="e">
        <f>VLOOKUP($A660,'[2]Team lists'!$A$2:$L$800,7,FALSE)</f>
        <v>#N/A</v>
      </c>
      <c r="H660" s="43" t="e">
        <f>VLOOKUP($A660,'[2]Team lists'!$A$2:$L$800,8,FALSE)</f>
        <v>#N/A</v>
      </c>
      <c r="I660" s="43" t="e">
        <f>VLOOKUP($A660,'[2]Team lists'!$A$2:$L$800,9,FALSE)</f>
        <v>#N/A</v>
      </c>
      <c r="J660" s="43" t="e">
        <f>VLOOKUP($A660,'[2]Team lists'!$A$2:$L$800,9,FALSE)</f>
        <v>#N/A</v>
      </c>
      <c r="K660" s="43" t="e">
        <f>VLOOKUP($A660,'[2]Team lists'!$A$2:$L$800,10,FALSE)</f>
        <v>#N/A</v>
      </c>
      <c r="L660" s="43" t="e">
        <f>VLOOKUP($A660,'[2]Team lists'!$A$2:$L$800,11,FALSE)</f>
        <v>#N/A</v>
      </c>
    </row>
    <row r="661" spans="2:13">
      <c r="B661" s="43" t="e">
        <f>VLOOKUP($A661,'[2]Team lists'!$A$2:$L$800,2,FALSE)</f>
        <v>#N/A</v>
      </c>
      <c r="C661" s="43" t="e">
        <f>VLOOKUP($A661,'[2]Team lists'!$A$2:$L$800,3,FALSE)</f>
        <v>#N/A</v>
      </c>
      <c r="D661" s="43" t="e">
        <f>VLOOKUP($A661,'[2]Team lists'!$A$2:$L$800,4,FALSE)</f>
        <v>#N/A</v>
      </c>
      <c r="E661" s="43" t="e">
        <f>VLOOKUP($A661,'[2]Team lists'!$A$2:$L$800,5,FALSE)</f>
        <v>#N/A</v>
      </c>
      <c r="F661" s="43" t="e">
        <f>VLOOKUP($A661,'[2]Team lists'!$A$2:$L$800,6,FALSE)</f>
        <v>#N/A</v>
      </c>
      <c r="G661" s="43" t="e">
        <f>VLOOKUP($A661,'[2]Team lists'!$A$2:$L$800,7,FALSE)</f>
        <v>#N/A</v>
      </c>
      <c r="H661" s="43" t="e">
        <f>VLOOKUP($A661,'[2]Team lists'!$A$2:$L$800,8,FALSE)</f>
        <v>#N/A</v>
      </c>
      <c r="I661" s="43" t="e">
        <f>VLOOKUP($A661,'[2]Team lists'!$A$2:$L$800,9,FALSE)</f>
        <v>#N/A</v>
      </c>
      <c r="J661" s="43" t="e">
        <f>VLOOKUP($A661,'[2]Team lists'!$A$2:$L$800,9,FALSE)</f>
        <v>#N/A</v>
      </c>
      <c r="K661" s="43" t="e">
        <f>VLOOKUP($A661,'[2]Team lists'!$A$2:$L$800,10,FALSE)</f>
        <v>#N/A</v>
      </c>
      <c r="L661" s="43" t="e">
        <f>VLOOKUP($A661,'[2]Team lists'!$A$2:$L$800,11,FALSE)</f>
        <v>#N/A</v>
      </c>
    </row>
    <row r="662" spans="2:13">
      <c r="B662" s="43" t="e">
        <f>VLOOKUP($A662,'[2]Team lists'!$A$2:$L$800,2,FALSE)</f>
        <v>#N/A</v>
      </c>
      <c r="C662" s="43" t="e">
        <f>VLOOKUP($A662,'[2]Team lists'!$A$2:$L$800,3,FALSE)</f>
        <v>#N/A</v>
      </c>
      <c r="D662" s="43" t="e">
        <f>VLOOKUP($A662,'[2]Team lists'!$A$2:$L$800,4,FALSE)</f>
        <v>#N/A</v>
      </c>
      <c r="E662" s="43" t="e">
        <f>VLOOKUP($A662,'[2]Team lists'!$A$2:$L$800,5,FALSE)</f>
        <v>#N/A</v>
      </c>
      <c r="F662" s="43" t="e">
        <f>VLOOKUP($A662,'[2]Team lists'!$A$2:$L$800,6,FALSE)</f>
        <v>#N/A</v>
      </c>
      <c r="G662" s="43" t="e">
        <f>VLOOKUP($A662,'[2]Team lists'!$A$2:$L$800,7,FALSE)</f>
        <v>#N/A</v>
      </c>
      <c r="H662" s="43" t="e">
        <f>VLOOKUP($A662,'[2]Team lists'!$A$2:$L$800,8,FALSE)</f>
        <v>#N/A</v>
      </c>
      <c r="I662" s="43" t="e">
        <f>VLOOKUP($A662,'[2]Team lists'!$A$2:$L$800,9,FALSE)</f>
        <v>#N/A</v>
      </c>
      <c r="J662" s="43" t="e">
        <f>VLOOKUP($A662,'[2]Team lists'!$A$2:$L$800,9,FALSE)</f>
        <v>#N/A</v>
      </c>
      <c r="K662" s="43" t="e">
        <f>VLOOKUP($A662,'[2]Team lists'!$A$2:$L$800,10,FALSE)</f>
        <v>#N/A</v>
      </c>
      <c r="L662" s="43" t="e">
        <f>VLOOKUP($A662,'[2]Team lists'!$A$2:$L$800,11,FALSE)</f>
        <v>#N/A</v>
      </c>
    </row>
    <row r="663" spans="2:13">
      <c r="B663" s="43" t="e">
        <f>VLOOKUP($A663,'[2]Team lists'!$A$2:$L$800,2,FALSE)</f>
        <v>#N/A</v>
      </c>
      <c r="C663" s="43" t="e">
        <f>VLOOKUP($A663,'[2]Team lists'!$A$2:$L$800,3,FALSE)</f>
        <v>#N/A</v>
      </c>
      <c r="D663" s="43" t="e">
        <f>VLOOKUP($A663,'[2]Team lists'!$A$2:$L$800,4,FALSE)</f>
        <v>#N/A</v>
      </c>
      <c r="E663" s="43" t="e">
        <f>VLOOKUP($A663,'[2]Team lists'!$A$2:$L$800,5,FALSE)</f>
        <v>#N/A</v>
      </c>
      <c r="F663" s="43" t="e">
        <f>VLOOKUP($A663,'[2]Team lists'!$A$2:$L$800,6,FALSE)</f>
        <v>#N/A</v>
      </c>
      <c r="G663" s="43" t="e">
        <f>VLOOKUP($A663,'[2]Team lists'!$A$2:$L$800,7,FALSE)</f>
        <v>#N/A</v>
      </c>
      <c r="H663" s="43" t="e">
        <f>VLOOKUP($A663,'[2]Team lists'!$A$2:$L$800,8,FALSE)</f>
        <v>#N/A</v>
      </c>
      <c r="I663" s="43" t="e">
        <f>VLOOKUP($A663,'[2]Team lists'!$A$2:$L$800,9,FALSE)</f>
        <v>#N/A</v>
      </c>
      <c r="J663" s="43" t="e">
        <f>VLOOKUP($A663,'[2]Team lists'!$A$2:$L$800,9,FALSE)</f>
        <v>#N/A</v>
      </c>
      <c r="K663" s="43" t="e">
        <f>VLOOKUP($A663,'[2]Team lists'!$A$2:$L$800,10,FALSE)</f>
        <v>#N/A</v>
      </c>
      <c r="L663" s="43" t="e">
        <f>VLOOKUP($A663,'[2]Team lists'!$A$2:$L$800,11,FALSE)</f>
        <v>#N/A</v>
      </c>
    </row>
    <row r="664" spans="2:13">
      <c r="B664" s="43" t="e">
        <f>VLOOKUP($A664,'[2]Team lists'!$A$2:$L$800,2,FALSE)</f>
        <v>#N/A</v>
      </c>
      <c r="C664" s="43" t="e">
        <f>VLOOKUP($A664,'[2]Team lists'!$A$2:$L$800,3,FALSE)</f>
        <v>#N/A</v>
      </c>
      <c r="D664" s="43" t="e">
        <f>VLOOKUP($A664,'[2]Team lists'!$A$2:$L$800,4,FALSE)</f>
        <v>#N/A</v>
      </c>
      <c r="E664" s="43" t="e">
        <f>VLOOKUP($A664,'[2]Team lists'!$A$2:$L$800,5,FALSE)</f>
        <v>#N/A</v>
      </c>
      <c r="F664" s="43" t="e">
        <f>VLOOKUP($A664,'[2]Team lists'!$A$2:$L$800,6,FALSE)</f>
        <v>#N/A</v>
      </c>
      <c r="G664" s="43" t="e">
        <f>VLOOKUP($A664,'[2]Team lists'!$A$2:$L$800,7,FALSE)</f>
        <v>#N/A</v>
      </c>
      <c r="H664" s="43" t="e">
        <f>VLOOKUP($A664,'[2]Team lists'!$A$2:$L$800,8,FALSE)</f>
        <v>#N/A</v>
      </c>
      <c r="I664" s="43" t="e">
        <f>VLOOKUP($A664,'[2]Team lists'!$A$2:$L$800,9,FALSE)</f>
        <v>#N/A</v>
      </c>
      <c r="J664" s="43" t="e">
        <f>VLOOKUP($A664,'[2]Team lists'!$A$2:$L$800,9,FALSE)</f>
        <v>#N/A</v>
      </c>
      <c r="K664" s="43" t="e">
        <f>VLOOKUP($A664,'[2]Team lists'!$A$2:$L$800,10,FALSE)</f>
        <v>#N/A</v>
      </c>
      <c r="L664" s="43" t="e">
        <f>VLOOKUP($A664,'[2]Team lists'!$A$2:$L$800,11,FALSE)</f>
        <v>#N/A</v>
      </c>
    </row>
    <row r="665" spans="2:13">
      <c r="B665" s="43" t="e">
        <f>VLOOKUP($A665,'[2]Team lists'!$A$2:$L$800,2,FALSE)</f>
        <v>#N/A</v>
      </c>
      <c r="C665" s="43" t="e">
        <f>VLOOKUP($A665,'[2]Team lists'!$A$2:$L$800,3,FALSE)</f>
        <v>#N/A</v>
      </c>
      <c r="D665" s="43" t="e">
        <f>VLOOKUP($A665,'[2]Team lists'!$A$2:$L$800,4,FALSE)</f>
        <v>#N/A</v>
      </c>
      <c r="E665" s="43" t="e">
        <f>VLOOKUP($A665,'[2]Team lists'!$A$2:$L$800,5,FALSE)</f>
        <v>#N/A</v>
      </c>
      <c r="F665" s="43" t="e">
        <f>VLOOKUP($A665,'[2]Team lists'!$A$2:$L$800,6,FALSE)</f>
        <v>#N/A</v>
      </c>
      <c r="G665" s="43" t="e">
        <f>VLOOKUP($A665,'[2]Team lists'!$A$2:$L$800,7,FALSE)</f>
        <v>#N/A</v>
      </c>
      <c r="H665" s="43" t="e">
        <f>VLOOKUP($A665,'[2]Team lists'!$A$2:$L$800,8,FALSE)</f>
        <v>#N/A</v>
      </c>
      <c r="I665" s="43" t="e">
        <f>VLOOKUP($A665,'[2]Team lists'!$A$2:$L$800,9,FALSE)</f>
        <v>#N/A</v>
      </c>
      <c r="J665" s="43" t="e">
        <f>VLOOKUP($A665,'[2]Team lists'!$A$2:$L$800,9,FALSE)</f>
        <v>#N/A</v>
      </c>
      <c r="K665" s="43" t="e">
        <f>VLOOKUP($A665,'[2]Team lists'!$A$2:$L$800,10,FALSE)</f>
        <v>#N/A</v>
      </c>
      <c r="L665" s="43" t="e">
        <f>VLOOKUP($A665,'[2]Team lists'!$A$2:$L$800,11,FALSE)</f>
        <v>#N/A</v>
      </c>
    </row>
    <row r="666" spans="2:13">
      <c r="B666" s="43" t="e">
        <f>VLOOKUP($A666,'[2]Team lists'!$A$2:$L$800,2,FALSE)</f>
        <v>#N/A</v>
      </c>
      <c r="C666" s="43" t="e">
        <f>VLOOKUP($A666,'[2]Team lists'!$A$2:$L$800,3,FALSE)</f>
        <v>#N/A</v>
      </c>
      <c r="D666" s="43" t="e">
        <f>VLOOKUP($A666,'[2]Team lists'!$A$2:$L$800,4,FALSE)</f>
        <v>#N/A</v>
      </c>
      <c r="E666" s="43" t="e">
        <f>VLOOKUP($A666,'[2]Team lists'!$A$2:$L$800,5,FALSE)</f>
        <v>#N/A</v>
      </c>
      <c r="F666" s="43" t="e">
        <f>VLOOKUP($A666,'[2]Team lists'!$A$2:$L$800,6,FALSE)</f>
        <v>#N/A</v>
      </c>
      <c r="G666" s="43" t="e">
        <f>VLOOKUP($A666,'[2]Team lists'!$A$2:$L$800,7,FALSE)</f>
        <v>#N/A</v>
      </c>
      <c r="H666" s="43" t="e">
        <f>VLOOKUP($A666,'[2]Team lists'!$A$2:$L$800,8,FALSE)</f>
        <v>#N/A</v>
      </c>
      <c r="I666" s="43" t="e">
        <f>VLOOKUP($A666,'[2]Team lists'!$A$2:$L$800,9,FALSE)</f>
        <v>#N/A</v>
      </c>
      <c r="J666" s="43" t="e">
        <f>VLOOKUP($A666,'[2]Team lists'!$A$2:$L$800,9,FALSE)</f>
        <v>#N/A</v>
      </c>
      <c r="K666" s="43" t="e">
        <f>VLOOKUP($A666,'[2]Team lists'!$A$2:$L$800,10,FALSE)</f>
        <v>#N/A</v>
      </c>
      <c r="L666" s="43" t="e">
        <f>VLOOKUP($A666,'[2]Team lists'!$A$2:$L$800,11,FALSE)</f>
        <v>#N/A</v>
      </c>
    </row>
    <row r="667" spans="2:13">
      <c r="B667" s="43" t="e">
        <f>VLOOKUP($A667,'[2]Team lists'!$A$2:$L$800,2,FALSE)</f>
        <v>#N/A</v>
      </c>
      <c r="C667" s="43" t="e">
        <f>VLOOKUP($A667,'[2]Team lists'!$A$2:$L$800,3,FALSE)</f>
        <v>#N/A</v>
      </c>
      <c r="D667" s="43" t="e">
        <f>VLOOKUP($A667,'[2]Team lists'!$A$2:$L$800,4,FALSE)</f>
        <v>#N/A</v>
      </c>
      <c r="E667" s="43" t="e">
        <f>VLOOKUP($A667,'[2]Team lists'!$A$2:$L$800,5,FALSE)</f>
        <v>#N/A</v>
      </c>
      <c r="F667" s="43" t="e">
        <f>VLOOKUP($A667,'[2]Team lists'!$A$2:$L$800,6,FALSE)</f>
        <v>#N/A</v>
      </c>
      <c r="G667" s="43" t="e">
        <f>VLOOKUP($A667,'[2]Team lists'!$A$2:$L$800,7,FALSE)</f>
        <v>#N/A</v>
      </c>
      <c r="H667" s="43" t="e">
        <f>VLOOKUP($A667,'[2]Team lists'!$A$2:$L$800,8,FALSE)</f>
        <v>#N/A</v>
      </c>
      <c r="I667" s="43" t="e">
        <f>VLOOKUP($A667,'[2]Team lists'!$A$2:$L$800,9,FALSE)</f>
        <v>#N/A</v>
      </c>
      <c r="J667" s="43" t="e">
        <f>VLOOKUP($A667,'[2]Team lists'!$A$2:$L$800,9,FALSE)</f>
        <v>#N/A</v>
      </c>
      <c r="K667" s="43" t="e">
        <f>VLOOKUP($A667,'[2]Team lists'!$A$2:$L$800,10,FALSE)</f>
        <v>#N/A</v>
      </c>
      <c r="L667" s="43" t="e">
        <f>VLOOKUP($A667,'[2]Team lists'!$A$2:$L$800,11,FALSE)</f>
        <v>#N/A</v>
      </c>
    </row>
    <row r="668" spans="2:13">
      <c r="B668" s="43" t="e">
        <f>VLOOKUP($A668,'[2]Team lists'!$A$2:$L$800,2,FALSE)</f>
        <v>#N/A</v>
      </c>
      <c r="C668" s="43" t="e">
        <f>VLOOKUP($A668,'[2]Team lists'!$A$2:$L$800,3,FALSE)</f>
        <v>#N/A</v>
      </c>
      <c r="D668" s="43" t="e">
        <f>VLOOKUP($A668,'[2]Team lists'!$A$2:$L$800,4,FALSE)</f>
        <v>#N/A</v>
      </c>
      <c r="E668" s="43" t="e">
        <f>VLOOKUP($A668,'[2]Team lists'!$A$2:$L$800,5,FALSE)</f>
        <v>#N/A</v>
      </c>
      <c r="F668" s="43" t="e">
        <f>VLOOKUP($A668,'[2]Team lists'!$A$2:$L$800,6,FALSE)</f>
        <v>#N/A</v>
      </c>
      <c r="G668" s="43" t="e">
        <f>VLOOKUP($A668,'[2]Team lists'!$A$2:$L$800,7,FALSE)</f>
        <v>#N/A</v>
      </c>
      <c r="H668" s="43" t="e">
        <f>VLOOKUP($A668,'[2]Team lists'!$A$2:$L$800,8,FALSE)</f>
        <v>#N/A</v>
      </c>
      <c r="I668" s="43" t="e">
        <f>VLOOKUP($A668,'[2]Team lists'!$A$2:$L$800,9,FALSE)</f>
        <v>#N/A</v>
      </c>
      <c r="J668" s="43" t="e">
        <f>VLOOKUP($A668,'[2]Team lists'!$A$2:$L$800,9,FALSE)</f>
        <v>#N/A</v>
      </c>
      <c r="K668" s="43" t="e">
        <f>VLOOKUP($A668,'[2]Team lists'!$A$2:$L$800,10,FALSE)</f>
        <v>#N/A</v>
      </c>
      <c r="L668" s="43" t="e">
        <f>VLOOKUP($A668,'[2]Team lists'!$A$2:$L$800,11,FALSE)</f>
        <v>#N/A</v>
      </c>
    </row>
    <row r="669" spans="2:13">
      <c r="B669" s="43" t="e">
        <f>VLOOKUP($A669,'[2]Team lists'!$A$2:$L$800,2,FALSE)</f>
        <v>#N/A</v>
      </c>
      <c r="C669" s="43" t="e">
        <f>VLOOKUP($A669,'[2]Team lists'!$A$2:$L$800,3,FALSE)</f>
        <v>#N/A</v>
      </c>
      <c r="D669" s="43" t="e">
        <f>VLOOKUP($A669,'[2]Team lists'!$A$2:$L$800,4,FALSE)</f>
        <v>#N/A</v>
      </c>
      <c r="E669" s="43" t="e">
        <f>VLOOKUP($A669,'[2]Team lists'!$A$2:$L$800,5,FALSE)</f>
        <v>#N/A</v>
      </c>
      <c r="F669" s="43" t="e">
        <f>VLOOKUP($A669,'[2]Team lists'!$A$2:$L$800,6,FALSE)</f>
        <v>#N/A</v>
      </c>
      <c r="G669" s="43" t="e">
        <f>VLOOKUP($A669,'[2]Team lists'!$A$2:$L$800,7,FALSE)</f>
        <v>#N/A</v>
      </c>
      <c r="H669" s="43" t="e">
        <f>VLOOKUP($A669,'[2]Team lists'!$A$2:$L$800,8,FALSE)</f>
        <v>#N/A</v>
      </c>
      <c r="I669" s="43" t="e">
        <f>VLOOKUP($A669,'[2]Team lists'!$A$2:$L$800,9,FALSE)</f>
        <v>#N/A</v>
      </c>
      <c r="J669" s="43" t="e">
        <f>VLOOKUP($A669,'[2]Team lists'!$A$2:$L$800,9,FALSE)</f>
        <v>#N/A</v>
      </c>
      <c r="K669" s="43" t="e">
        <f>VLOOKUP($A669,'[2]Team lists'!$A$2:$L$800,10,FALSE)</f>
        <v>#N/A</v>
      </c>
      <c r="L669" s="43" t="e">
        <f>VLOOKUP($A669,'[2]Team lists'!$A$2:$L$800,11,FALSE)</f>
        <v>#N/A</v>
      </c>
    </row>
    <row r="670" spans="2:13">
      <c r="B670" s="43" t="e">
        <f>VLOOKUP($A670,'[2]Team lists'!$A$2:$L$800,2,FALSE)</f>
        <v>#N/A</v>
      </c>
      <c r="C670" s="43" t="e">
        <f>VLOOKUP($A670,'[2]Team lists'!$A$2:$L$800,3,FALSE)</f>
        <v>#N/A</v>
      </c>
      <c r="D670" s="43" t="e">
        <f>VLOOKUP($A670,'[2]Team lists'!$A$2:$L$800,4,FALSE)</f>
        <v>#N/A</v>
      </c>
      <c r="E670" s="43" t="e">
        <f>VLOOKUP($A670,'[2]Team lists'!$A$2:$L$800,5,FALSE)</f>
        <v>#N/A</v>
      </c>
      <c r="F670" s="43" t="e">
        <f>VLOOKUP($A670,'[2]Team lists'!$A$2:$L$800,6,FALSE)</f>
        <v>#N/A</v>
      </c>
      <c r="G670" s="43" t="e">
        <f>VLOOKUP($A670,'[2]Team lists'!$A$2:$L$800,7,FALSE)</f>
        <v>#N/A</v>
      </c>
      <c r="H670" s="43" t="e">
        <f>VLOOKUP($A670,'[2]Team lists'!$A$2:$L$800,8,FALSE)</f>
        <v>#N/A</v>
      </c>
      <c r="I670" s="43" t="e">
        <f>VLOOKUP($A670,'[2]Team lists'!$A$2:$L$800,9,FALSE)</f>
        <v>#N/A</v>
      </c>
      <c r="J670" s="43" t="e">
        <f>VLOOKUP($A670,'[2]Team lists'!$A$2:$L$800,9,FALSE)</f>
        <v>#N/A</v>
      </c>
      <c r="K670" s="43" t="e">
        <f>VLOOKUP($A670,'[2]Team lists'!$A$2:$L$800,10,FALSE)</f>
        <v>#N/A</v>
      </c>
      <c r="L670" s="43" t="e">
        <f>VLOOKUP($A670,'[2]Team lists'!$A$2:$L$800,11,FALSE)</f>
        <v>#N/A</v>
      </c>
    </row>
    <row r="671" spans="2:13" ht="18" thickBot="1">
      <c r="B671" s="45" t="s">
        <v>3210</v>
      </c>
      <c r="C671" s="46"/>
      <c r="D671" s="47"/>
      <c r="E671" s="48" t="e">
        <f t="shared" ref="E671:L671" si="41">SUM(E660:E670)</f>
        <v>#N/A</v>
      </c>
      <c r="F671" s="49" t="e">
        <f t="shared" si="41"/>
        <v>#N/A</v>
      </c>
      <c r="G671" s="49" t="e">
        <f t="shared" si="41"/>
        <v>#N/A</v>
      </c>
      <c r="H671" s="49" t="e">
        <f t="shared" si="41"/>
        <v>#N/A</v>
      </c>
      <c r="I671" s="49" t="e">
        <f t="shared" si="41"/>
        <v>#N/A</v>
      </c>
      <c r="J671" s="49" t="e">
        <f t="shared" si="41"/>
        <v>#N/A</v>
      </c>
      <c r="K671" s="49" t="e">
        <f t="shared" si="41"/>
        <v>#N/A</v>
      </c>
      <c r="L671" s="50" t="e">
        <f t="shared" si="41"/>
        <v>#N/A</v>
      </c>
    </row>
    <row r="672" spans="2:13" ht="18.600000000000001" thickTop="1" thickBot="1"/>
    <row r="673" spans="2:13" ht="18" thickTop="1">
      <c r="B673" s="23" t="s">
        <v>3204</v>
      </c>
      <c r="C673" s="24" t="s">
        <v>3205</v>
      </c>
      <c r="D673" s="25"/>
      <c r="E673" s="25"/>
      <c r="F673" s="53"/>
      <c r="G673" s="28" t="s">
        <v>3206</v>
      </c>
      <c r="H673" s="54"/>
      <c r="I673" s="54"/>
      <c r="J673" s="54"/>
      <c r="K673" s="28" t="s">
        <v>3207</v>
      </c>
      <c r="L673" s="29"/>
      <c r="M673" s="22" t="str">
        <f>G673</f>
        <v>Manager:</v>
      </c>
    </row>
    <row r="674" spans="2:13" ht="18" thickBot="1">
      <c r="B674" s="30">
        <v>43</v>
      </c>
      <c r="C674" s="57"/>
      <c r="D674" s="31"/>
      <c r="E674" s="31"/>
      <c r="F674" s="33"/>
      <c r="G674" s="55"/>
      <c r="H674" s="55"/>
      <c r="I674" s="55"/>
      <c r="J674" s="55"/>
      <c r="K674" s="34" t="e">
        <f>SUM(F687:L687)</f>
        <v>#N/A</v>
      </c>
      <c r="L674" s="35"/>
      <c r="M674" s="22">
        <f>G674</f>
        <v>0</v>
      </c>
    </row>
    <row r="675" spans="2:13" ht="18.600000000000001" thickTop="1">
      <c r="B675" s="58" t="s">
        <v>913</v>
      </c>
      <c r="C675" s="59" t="s">
        <v>912</v>
      </c>
      <c r="D675" s="60" t="s">
        <v>911</v>
      </c>
      <c r="E675" s="61" t="s">
        <v>3209</v>
      </c>
      <c r="F675" s="62" t="s">
        <v>3162</v>
      </c>
      <c r="G675" s="62" t="s">
        <v>3163</v>
      </c>
      <c r="H675" s="62" t="s">
        <v>3164</v>
      </c>
      <c r="I675" s="62" t="s">
        <v>3165</v>
      </c>
      <c r="J675" s="62" t="s">
        <v>3166</v>
      </c>
      <c r="K675" s="62" t="s">
        <v>3167</v>
      </c>
      <c r="L675" s="63" t="s">
        <v>3168</v>
      </c>
    </row>
    <row r="676" spans="2:13">
      <c r="B676" s="43" t="e">
        <f>VLOOKUP($A676,'[2]Team lists'!$A$2:$L$800,2,FALSE)</f>
        <v>#N/A</v>
      </c>
      <c r="C676" s="43" t="e">
        <f>VLOOKUP($A676,'[2]Team lists'!$A$2:$L$800,3,FALSE)</f>
        <v>#N/A</v>
      </c>
      <c r="D676" s="43" t="e">
        <f>VLOOKUP($A676,'[2]Team lists'!$A$2:$L$800,4,FALSE)</f>
        <v>#N/A</v>
      </c>
      <c r="E676" s="43" t="e">
        <f>VLOOKUP($A676,'[2]Team lists'!$A$2:$L$800,5,FALSE)</f>
        <v>#N/A</v>
      </c>
      <c r="F676" s="43" t="e">
        <f>VLOOKUP($A676,'[2]Team lists'!$A$2:$L$800,6,FALSE)</f>
        <v>#N/A</v>
      </c>
      <c r="G676" s="43" t="e">
        <f>VLOOKUP($A676,'[2]Team lists'!$A$2:$L$800,7,FALSE)</f>
        <v>#N/A</v>
      </c>
      <c r="H676" s="43" t="e">
        <f>VLOOKUP($A676,'[2]Team lists'!$A$2:$L$800,8,FALSE)</f>
        <v>#N/A</v>
      </c>
      <c r="I676" s="43" t="e">
        <f>VLOOKUP($A676,'[2]Team lists'!$A$2:$L$800,9,FALSE)</f>
        <v>#N/A</v>
      </c>
      <c r="J676" s="43" t="e">
        <f>VLOOKUP($A676,'[2]Team lists'!$A$2:$L$800,9,FALSE)</f>
        <v>#N/A</v>
      </c>
      <c r="K676" s="43" t="e">
        <f>VLOOKUP($A676,'[2]Team lists'!$A$2:$L$800,10,FALSE)</f>
        <v>#N/A</v>
      </c>
      <c r="L676" s="43" t="e">
        <f>VLOOKUP($A676,'[2]Team lists'!$A$2:$L$800,11,FALSE)</f>
        <v>#N/A</v>
      </c>
    </row>
    <row r="677" spans="2:13">
      <c r="B677" s="43" t="e">
        <f>VLOOKUP($A677,'[2]Team lists'!$A$2:$L$800,2,FALSE)</f>
        <v>#N/A</v>
      </c>
      <c r="C677" s="43" t="e">
        <f>VLOOKUP($A677,'[2]Team lists'!$A$2:$L$800,3,FALSE)</f>
        <v>#N/A</v>
      </c>
      <c r="D677" s="43" t="e">
        <f>VLOOKUP($A677,'[2]Team lists'!$A$2:$L$800,4,FALSE)</f>
        <v>#N/A</v>
      </c>
      <c r="E677" s="43" t="e">
        <f>VLOOKUP($A677,'[2]Team lists'!$A$2:$L$800,5,FALSE)</f>
        <v>#N/A</v>
      </c>
      <c r="F677" s="43" t="e">
        <f>VLOOKUP($A677,'[2]Team lists'!$A$2:$L$800,6,FALSE)</f>
        <v>#N/A</v>
      </c>
      <c r="G677" s="43" t="e">
        <f>VLOOKUP($A677,'[2]Team lists'!$A$2:$L$800,7,FALSE)</f>
        <v>#N/A</v>
      </c>
      <c r="H677" s="43" t="e">
        <f>VLOOKUP($A677,'[2]Team lists'!$A$2:$L$800,8,FALSE)</f>
        <v>#N/A</v>
      </c>
      <c r="I677" s="43" t="e">
        <f>VLOOKUP($A677,'[2]Team lists'!$A$2:$L$800,9,FALSE)</f>
        <v>#N/A</v>
      </c>
      <c r="J677" s="43" t="e">
        <f>VLOOKUP($A677,'[2]Team lists'!$A$2:$L$800,9,FALSE)</f>
        <v>#N/A</v>
      </c>
      <c r="K677" s="43" t="e">
        <f>VLOOKUP($A677,'[2]Team lists'!$A$2:$L$800,10,FALSE)</f>
        <v>#N/A</v>
      </c>
      <c r="L677" s="43" t="e">
        <f>VLOOKUP($A677,'[2]Team lists'!$A$2:$L$800,11,FALSE)</f>
        <v>#N/A</v>
      </c>
    </row>
    <row r="678" spans="2:13">
      <c r="B678" s="43" t="e">
        <f>VLOOKUP($A678,'[2]Team lists'!$A$2:$L$800,2,FALSE)</f>
        <v>#N/A</v>
      </c>
      <c r="C678" s="43" t="e">
        <f>VLOOKUP($A678,'[2]Team lists'!$A$2:$L$800,3,FALSE)</f>
        <v>#N/A</v>
      </c>
      <c r="D678" s="43" t="e">
        <f>VLOOKUP($A678,'[2]Team lists'!$A$2:$L$800,4,FALSE)</f>
        <v>#N/A</v>
      </c>
      <c r="E678" s="43" t="e">
        <f>VLOOKUP($A678,'[2]Team lists'!$A$2:$L$800,5,FALSE)</f>
        <v>#N/A</v>
      </c>
      <c r="F678" s="43" t="e">
        <f>VLOOKUP($A678,'[2]Team lists'!$A$2:$L$800,6,FALSE)</f>
        <v>#N/A</v>
      </c>
      <c r="G678" s="43" t="e">
        <f>VLOOKUP($A678,'[2]Team lists'!$A$2:$L$800,7,FALSE)</f>
        <v>#N/A</v>
      </c>
      <c r="H678" s="43" t="e">
        <f>VLOOKUP($A678,'[2]Team lists'!$A$2:$L$800,8,FALSE)</f>
        <v>#N/A</v>
      </c>
      <c r="I678" s="43" t="e">
        <f>VLOOKUP($A678,'[2]Team lists'!$A$2:$L$800,9,FALSE)</f>
        <v>#N/A</v>
      </c>
      <c r="J678" s="43" t="e">
        <f>VLOOKUP($A678,'[2]Team lists'!$A$2:$L$800,9,FALSE)</f>
        <v>#N/A</v>
      </c>
      <c r="K678" s="43" t="e">
        <f>VLOOKUP($A678,'[2]Team lists'!$A$2:$L$800,10,FALSE)</f>
        <v>#N/A</v>
      </c>
      <c r="L678" s="43" t="e">
        <f>VLOOKUP($A678,'[2]Team lists'!$A$2:$L$800,11,FALSE)</f>
        <v>#N/A</v>
      </c>
    </row>
    <row r="679" spans="2:13">
      <c r="B679" s="43" t="e">
        <f>VLOOKUP($A679,'[2]Team lists'!$A$2:$L$800,2,FALSE)</f>
        <v>#N/A</v>
      </c>
      <c r="C679" s="43" t="e">
        <f>VLOOKUP($A679,'[2]Team lists'!$A$2:$L$800,3,FALSE)</f>
        <v>#N/A</v>
      </c>
      <c r="D679" s="43" t="e">
        <f>VLOOKUP($A679,'[2]Team lists'!$A$2:$L$800,4,FALSE)</f>
        <v>#N/A</v>
      </c>
      <c r="E679" s="43" t="e">
        <f>VLOOKUP($A679,'[2]Team lists'!$A$2:$L$800,5,FALSE)</f>
        <v>#N/A</v>
      </c>
      <c r="F679" s="43" t="e">
        <f>VLOOKUP($A679,'[2]Team lists'!$A$2:$L$800,6,FALSE)</f>
        <v>#N/A</v>
      </c>
      <c r="G679" s="43" t="e">
        <f>VLOOKUP($A679,'[2]Team lists'!$A$2:$L$800,7,FALSE)</f>
        <v>#N/A</v>
      </c>
      <c r="H679" s="43" t="e">
        <f>VLOOKUP($A679,'[2]Team lists'!$A$2:$L$800,8,FALSE)</f>
        <v>#N/A</v>
      </c>
      <c r="I679" s="43" t="e">
        <f>VLOOKUP($A679,'[2]Team lists'!$A$2:$L$800,9,FALSE)</f>
        <v>#N/A</v>
      </c>
      <c r="J679" s="43" t="e">
        <f>VLOOKUP($A679,'[2]Team lists'!$A$2:$L$800,9,FALSE)</f>
        <v>#N/A</v>
      </c>
      <c r="K679" s="43" t="e">
        <f>VLOOKUP($A679,'[2]Team lists'!$A$2:$L$800,10,FALSE)</f>
        <v>#N/A</v>
      </c>
      <c r="L679" s="43" t="e">
        <f>VLOOKUP($A679,'[2]Team lists'!$A$2:$L$800,11,FALSE)</f>
        <v>#N/A</v>
      </c>
    </row>
    <row r="680" spans="2:13">
      <c r="B680" s="43" t="e">
        <f>VLOOKUP($A680,'[2]Team lists'!$A$2:$L$800,2,FALSE)</f>
        <v>#N/A</v>
      </c>
      <c r="C680" s="43" t="e">
        <f>VLOOKUP($A680,'[2]Team lists'!$A$2:$L$800,3,FALSE)</f>
        <v>#N/A</v>
      </c>
      <c r="D680" s="43" t="e">
        <f>VLOOKUP($A680,'[2]Team lists'!$A$2:$L$800,4,FALSE)</f>
        <v>#N/A</v>
      </c>
      <c r="E680" s="43" t="e">
        <f>VLOOKUP($A680,'[2]Team lists'!$A$2:$L$800,5,FALSE)</f>
        <v>#N/A</v>
      </c>
      <c r="F680" s="43" t="e">
        <f>VLOOKUP($A680,'[2]Team lists'!$A$2:$L$800,6,FALSE)</f>
        <v>#N/A</v>
      </c>
      <c r="G680" s="43" t="e">
        <f>VLOOKUP($A680,'[2]Team lists'!$A$2:$L$800,7,FALSE)</f>
        <v>#N/A</v>
      </c>
      <c r="H680" s="43" t="e">
        <f>VLOOKUP($A680,'[2]Team lists'!$A$2:$L$800,8,FALSE)</f>
        <v>#N/A</v>
      </c>
      <c r="I680" s="43" t="e">
        <f>VLOOKUP($A680,'[2]Team lists'!$A$2:$L$800,9,FALSE)</f>
        <v>#N/A</v>
      </c>
      <c r="J680" s="43" t="e">
        <f>VLOOKUP($A680,'[2]Team lists'!$A$2:$L$800,9,FALSE)</f>
        <v>#N/A</v>
      </c>
      <c r="K680" s="43" t="e">
        <f>VLOOKUP($A680,'[2]Team lists'!$A$2:$L$800,10,FALSE)</f>
        <v>#N/A</v>
      </c>
      <c r="L680" s="43" t="e">
        <f>VLOOKUP($A680,'[2]Team lists'!$A$2:$L$800,11,FALSE)</f>
        <v>#N/A</v>
      </c>
    </row>
    <row r="681" spans="2:13">
      <c r="B681" s="43" t="e">
        <f>VLOOKUP($A681,'[2]Team lists'!$A$2:$L$800,2,FALSE)</f>
        <v>#N/A</v>
      </c>
      <c r="C681" s="43" t="e">
        <f>VLOOKUP($A681,'[2]Team lists'!$A$2:$L$800,3,FALSE)</f>
        <v>#N/A</v>
      </c>
      <c r="D681" s="43" t="e">
        <f>VLOOKUP($A681,'[2]Team lists'!$A$2:$L$800,4,FALSE)</f>
        <v>#N/A</v>
      </c>
      <c r="E681" s="43" t="e">
        <f>VLOOKUP($A681,'[2]Team lists'!$A$2:$L$800,5,FALSE)</f>
        <v>#N/A</v>
      </c>
      <c r="F681" s="43" t="e">
        <f>VLOOKUP($A681,'[2]Team lists'!$A$2:$L$800,6,FALSE)</f>
        <v>#N/A</v>
      </c>
      <c r="G681" s="43" t="e">
        <f>VLOOKUP($A681,'[2]Team lists'!$A$2:$L$800,7,FALSE)</f>
        <v>#N/A</v>
      </c>
      <c r="H681" s="43" t="e">
        <f>VLOOKUP($A681,'[2]Team lists'!$A$2:$L$800,8,FALSE)</f>
        <v>#N/A</v>
      </c>
      <c r="I681" s="43" t="e">
        <f>VLOOKUP($A681,'[2]Team lists'!$A$2:$L$800,9,FALSE)</f>
        <v>#N/A</v>
      </c>
      <c r="J681" s="43" t="e">
        <f>VLOOKUP($A681,'[2]Team lists'!$A$2:$L$800,9,FALSE)</f>
        <v>#N/A</v>
      </c>
      <c r="K681" s="43" t="e">
        <f>VLOOKUP($A681,'[2]Team lists'!$A$2:$L$800,10,FALSE)</f>
        <v>#N/A</v>
      </c>
      <c r="L681" s="43" t="e">
        <f>VLOOKUP($A681,'[2]Team lists'!$A$2:$L$800,11,FALSE)</f>
        <v>#N/A</v>
      </c>
    </row>
    <row r="682" spans="2:13">
      <c r="B682" s="43" t="e">
        <f>VLOOKUP($A682,'[2]Team lists'!$A$2:$L$800,2,FALSE)</f>
        <v>#N/A</v>
      </c>
      <c r="C682" s="43" t="e">
        <f>VLOOKUP($A682,'[2]Team lists'!$A$2:$L$800,3,FALSE)</f>
        <v>#N/A</v>
      </c>
      <c r="D682" s="43" t="e">
        <f>VLOOKUP($A682,'[2]Team lists'!$A$2:$L$800,4,FALSE)</f>
        <v>#N/A</v>
      </c>
      <c r="E682" s="43" t="e">
        <f>VLOOKUP($A682,'[2]Team lists'!$A$2:$L$800,5,FALSE)</f>
        <v>#N/A</v>
      </c>
      <c r="F682" s="43" t="e">
        <f>VLOOKUP($A682,'[2]Team lists'!$A$2:$L$800,6,FALSE)</f>
        <v>#N/A</v>
      </c>
      <c r="G682" s="43" t="e">
        <f>VLOOKUP($A682,'[2]Team lists'!$A$2:$L$800,7,FALSE)</f>
        <v>#N/A</v>
      </c>
      <c r="H682" s="43" t="e">
        <f>VLOOKUP($A682,'[2]Team lists'!$A$2:$L$800,8,FALSE)</f>
        <v>#N/A</v>
      </c>
      <c r="I682" s="43" t="e">
        <f>VLOOKUP($A682,'[2]Team lists'!$A$2:$L$800,9,FALSE)</f>
        <v>#N/A</v>
      </c>
      <c r="J682" s="43" t="e">
        <f>VLOOKUP($A682,'[2]Team lists'!$A$2:$L$800,9,FALSE)</f>
        <v>#N/A</v>
      </c>
      <c r="K682" s="43" t="e">
        <f>VLOOKUP($A682,'[2]Team lists'!$A$2:$L$800,10,FALSE)</f>
        <v>#N/A</v>
      </c>
      <c r="L682" s="43" t="e">
        <f>VLOOKUP($A682,'[2]Team lists'!$A$2:$L$800,11,FALSE)</f>
        <v>#N/A</v>
      </c>
    </row>
    <row r="683" spans="2:13">
      <c r="B683" s="43" t="e">
        <f>VLOOKUP($A683,'[2]Team lists'!$A$2:$L$800,2,FALSE)</f>
        <v>#N/A</v>
      </c>
      <c r="C683" s="43" t="e">
        <f>VLOOKUP($A683,'[2]Team lists'!$A$2:$L$800,3,FALSE)</f>
        <v>#N/A</v>
      </c>
      <c r="D683" s="43" t="e">
        <f>VLOOKUP($A683,'[2]Team lists'!$A$2:$L$800,4,FALSE)</f>
        <v>#N/A</v>
      </c>
      <c r="E683" s="43" t="e">
        <f>VLOOKUP($A683,'[2]Team lists'!$A$2:$L$800,5,FALSE)</f>
        <v>#N/A</v>
      </c>
      <c r="F683" s="43" t="e">
        <f>VLOOKUP($A683,'[2]Team lists'!$A$2:$L$800,6,FALSE)</f>
        <v>#N/A</v>
      </c>
      <c r="G683" s="43" t="e">
        <f>VLOOKUP($A683,'[2]Team lists'!$A$2:$L$800,7,FALSE)</f>
        <v>#N/A</v>
      </c>
      <c r="H683" s="43" t="e">
        <f>VLOOKUP($A683,'[2]Team lists'!$A$2:$L$800,8,FALSE)</f>
        <v>#N/A</v>
      </c>
      <c r="I683" s="43" t="e">
        <f>VLOOKUP($A683,'[2]Team lists'!$A$2:$L$800,9,FALSE)</f>
        <v>#N/A</v>
      </c>
      <c r="J683" s="43" t="e">
        <f>VLOOKUP($A683,'[2]Team lists'!$A$2:$L$800,9,FALSE)</f>
        <v>#N/A</v>
      </c>
      <c r="K683" s="43" t="e">
        <f>VLOOKUP($A683,'[2]Team lists'!$A$2:$L$800,10,FALSE)</f>
        <v>#N/A</v>
      </c>
      <c r="L683" s="43" t="e">
        <f>VLOOKUP($A683,'[2]Team lists'!$A$2:$L$800,11,FALSE)</f>
        <v>#N/A</v>
      </c>
    </row>
    <row r="684" spans="2:13">
      <c r="B684" s="43" t="e">
        <f>VLOOKUP($A684,'[2]Team lists'!$A$2:$L$800,2,FALSE)</f>
        <v>#N/A</v>
      </c>
      <c r="C684" s="43" t="e">
        <f>VLOOKUP($A684,'[2]Team lists'!$A$2:$L$800,3,FALSE)</f>
        <v>#N/A</v>
      </c>
      <c r="D684" s="43" t="e">
        <f>VLOOKUP($A684,'[2]Team lists'!$A$2:$L$800,4,FALSE)</f>
        <v>#N/A</v>
      </c>
      <c r="E684" s="43" t="e">
        <f>VLOOKUP($A684,'[2]Team lists'!$A$2:$L$800,5,FALSE)</f>
        <v>#N/A</v>
      </c>
      <c r="F684" s="43" t="e">
        <f>VLOOKUP($A684,'[2]Team lists'!$A$2:$L$800,6,FALSE)</f>
        <v>#N/A</v>
      </c>
      <c r="G684" s="43" t="e">
        <f>VLOOKUP($A684,'[2]Team lists'!$A$2:$L$800,7,FALSE)</f>
        <v>#N/A</v>
      </c>
      <c r="H684" s="43" t="e">
        <f>VLOOKUP($A684,'[2]Team lists'!$A$2:$L$800,8,FALSE)</f>
        <v>#N/A</v>
      </c>
      <c r="I684" s="43" t="e">
        <f>VLOOKUP($A684,'[2]Team lists'!$A$2:$L$800,9,FALSE)</f>
        <v>#N/A</v>
      </c>
      <c r="J684" s="43" t="e">
        <f>VLOOKUP($A684,'[2]Team lists'!$A$2:$L$800,9,FALSE)</f>
        <v>#N/A</v>
      </c>
      <c r="K684" s="43" t="e">
        <f>VLOOKUP($A684,'[2]Team lists'!$A$2:$L$800,10,FALSE)</f>
        <v>#N/A</v>
      </c>
      <c r="L684" s="43" t="e">
        <f>VLOOKUP($A684,'[2]Team lists'!$A$2:$L$800,11,FALSE)</f>
        <v>#N/A</v>
      </c>
    </row>
    <row r="685" spans="2:13">
      <c r="B685" s="43" t="e">
        <f>VLOOKUP($A685,'[2]Team lists'!$A$2:$L$800,2,FALSE)</f>
        <v>#N/A</v>
      </c>
      <c r="C685" s="43" t="e">
        <f>VLOOKUP($A685,'[2]Team lists'!$A$2:$L$800,3,FALSE)</f>
        <v>#N/A</v>
      </c>
      <c r="D685" s="43" t="e">
        <f>VLOOKUP($A685,'[2]Team lists'!$A$2:$L$800,4,FALSE)</f>
        <v>#N/A</v>
      </c>
      <c r="E685" s="43" t="e">
        <f>VLOOKUP($A685,'[2]Team lists'!$A$2:$L$800,5,FALSE)</f>
        <v>#N/A</v>
      </c>
      <c r="F685" s="43" t="e">
        <f>VLOOKUP($A685,'[2]Team lists'!$A$2:$L$800,6,FALSE)</f>
        <v>#N/A</v>
      </c>
      <c r="G685" s="43" t="e">
        <f>VLOOKUP($A685,'[2]Team lists'!$A$2:$L$800,7,FALSE)</f>
        <v>#N/A</v>
      </c>
      <c r="H685" s="43" t="e">
        <f>VLOOKUP($A685,'[2]Team lists'!$A$2:$L$800,8,FALSE)</f>
        <v>#N/A</v>
      </c>
      <c r="I685" s="43" t="e">
        <f>VLOOKUP($A685,'[2]Team lists'!$A$2:$L$800,9,FALSE)</f>
        <v>#N/A</v>
      </c>
      <c r="J685" s="43" t="e">
        <f>VLOOKUP($A685,'[2]Team lists'!$A$2:$L$800,9,FALSE)</f>
        <v>#N/A</v>
      </c>
      <c r="K685" s="43" t="e">
        <f>VLOOKUP($A685,'[2]Team lists'!$A$2:$L$800,10,FALSE)</f>
        <v>#N/A</v>
      </c>
      <c r="L685" s="43" t="e">
        <f>VLOOKUP($A685,'[2]Team lists'!$A$2:$L$800,11,FALSE)</f>
        <v>#N/A</v>
      </c>
    </row>
    <row r="686" spans="2:13">
      <c r="B686" s="43" t="e">
        <f>VLOOKUP($A686,'[2]Team lists'!$A$2:$L$800,2,FALSE)</f>
        <v>#N/A</v>
      </c>
      <c r="C686" s="43" t="e">
        <f>VLOOKUP($A686,'[2]Team lists'!$A$2:$L$800,3,FALSE)</f>
        <v>#N/A</v>
      </c>
      <c r="D686" s="43" t="e">
        <f>VLOOKUP($A686,'[2]Team lists'!$A$2:$L$800,4,FALSE)</f>
        <v>#N/A</v>
      </c>
      <c r="E686" s="43" t="e">
        <f>VLOOKUP($A686,'[2]Team lists'!$A$2:$L$800,5,FALSE)</f>
        <v>#N/A</v>
      </c>
      <c r="F686" s="43" t="e">
        <f>VLOOKUP($A686,'[2]Team lists'!$A$2:$L$800,6,FALSE)</f>
        <v>#N/A</v>
      </c>
      <c r="G686" s="43" t="e">
        <f>VLOOKUP($A686,'[2]Team lists'!$A$2:$L$800,7,FALSE)</f>
        <v>#N/A</v>
      </c>
      <c r="H686" s="43" t="e">
        <f>VLOOKUP($A686,'[2]Team lists'!$A$2:$L$800,8,FALSE)</f>
        <v>#N/A</v>
      </c>
      <c r="I686" s="43" t="e">
        <f>VLOOKUP($A686,'[2]Team lists'!$A$2:$L$800,9,FALSE)</f>
        <v>#N/A</v>
      </c>
      <c r="J686" s="43" t="e">
        <f>VLOOKUP($A686,'[2]Team lists'!$A$2:$L$800,9,FALSE)</f>
        <v>#N/A</v>
      </c>
      <c r="K686" s="43" t="e">
        <f>VLOOKUP($A686,'[2]Team lists'!$A$2:$L$800,10,FALSE)</f>
        <v>#N/A</v>
      </c>
      <c r="L686" s="43" t="e">
        <f>VLOOKUP($A686,'[2]Team lists'!$A$2:$L$800,11,FALSE)</f>
        <v>#N/A</v>
      </c>
    </row>
    <row r="687" spans="2:13" ht="18" thickBot="1">
      <c r="B687" s="45" t="s">
        <v>3210</v>
      </c>
      <c r="C687" s="46"/>
      <c r="D687" s="47"/>
      <c r="E687" s="48" t="e">
        <f t="shared" ref="E687:L687" si="42">SUM(E676:E686)</f>
        <v>#N/A</v>
      </c>
      <c r="F687" s="49" t="e">
        <f t="shared" si="42"/>
        <v>#N/A</v>
      </c>
      <c r="G687" s="49" t="e">
        <f t="shared" si="42"/>
        <v>#N/A</v>
      </c>
      <c r="H687" s="49" t="e">
        <f t="shared" si="42"/>
        <v>#N/A</v>
      </c>
      <c r="I687" s="49" t="e">
        <f t="shared" si="42"/>
        <v>#N/A</v>
      </c>
      <c r="J687" s="49" t="e">
        <f t="shared" si="42"/>
        <v>#N/A</v>
      </c>
      <c r="K687" s="49" t="e">
        <f t="shared" si="42"/>
        <v>#N/A</v>
      </c>
      <c r="L687" s="50" t="e">
        <f t="shared" si="42"/>
        <v>#N/A</v>
      </c>
    </row>
    <row r="688" spans="2:13" ht="18.600000000000001" thickTop="1" thickBot="1"/>
    <row r="689" spans="2:13" ht="18" thickTop="1">
      <c r="B689" s="23" t="s">
        <v>3204</v>
      </c>
      <c r="C689" s="24" t="s">
        <v>3205</v>
      </c>
      <c r="D689" s="25"/>
      <c r="E689" s="25"/>
      <c r="F689" s="53"/>
      <c r="G689" s="28" t="s">
        <v>3206</v>
      </c>
      <c r="H689" s="54"/>
      <c r="I689" s="54"/>
      <c r="J689" s="54"/>
      <c r="K689" s="28" t="s">
        <v>3207</v>
      </c>
      <c r="L689" s="29"/>
      <c r="M689" s="22" t="str">
        <f>G689</f>
        <v>Manager:</v>
      </c>
    </row>
    <row r="690" spans="2:13" ht="18" thickBot="1">
      <c r="B690" s="30">
        <v>44</v>
      </c>
      <c r="C690" s="57"/>
      <c r="D690" s="31"/>
      <c r="E690" s="31"/>
      <c r="F690" s="33"/>
      <c r="G690" s="55"/>
      <c r="H690" s="55"/>
      <c r="I690" s="55"/>
      <c r="J690" s="55"/>
      <c r="K690" s="34" t="e">
        <f>SUM(F703:L703)</f>
        <v>#N/A</v>
      </c>
      <c r="L690" s="35"/>
      <c r="M690" s="22">
        <f>G690</f>
        <v>0</v>
      </c>
    </row>
    <row r="691" spans="2:13" ht="18.600000000000001" thickTop="1">
      <c r="B691" s="58" t="s">
        <v>913</v>
      </c>
      <c r="C691" s="59" t="s">
        <v>912</v>
      </c>
      <c r="D691" s="60" t="s">
        <v>911</v>
      </c>
      <c r="E691" s="61" t="s">
        <v>3209</v>
      </c>
      <c r="F691" s="62" t="s">
        <v>3162</v>
      </c>
      <c r="G691" s="62" t="s">
        <v>3163</v>
      </c>
      <c r="H691" s="62" t="s">
        <v>3164</v>
      </c>
      <c r="I691" s="62" t="s">
        <v>3165</v>
      </c>
      <c r="J691" s="62" t="s">
        <v>3166</v>
      </c>
      <c r="K691" s="62" t="s">
        <v>3167</v>
      </c>
      <c r="L691" s="63" t="s">
        <v>3168</v>
      </c>
    </row>
    <row r="692" spans="2:13">
      <c r="B692" s="43" t="e">
        <f>VLOOKUP($A692,'[2]Team lists'!$A$2:$L$800,2,FALSE)</f>
        <v>#N/A</v>
      </c>
      <c r="C692" s="43" t="e">
        <f>VLOOKUP($A692,'[2]Team lists'!$A$2:$L$800,3,FALSE)</f>
        <v>#N/A</v>
      </c>
      <c r="D692" s="43" t="e">
        <f>VLOOKUP($A692,'[2]Team lists'!$A$2:$L$800,4,FALSE)</f>
        <v>#N/A</v>
      </c>
      <c r="E692" s="43" t="e">
        <f>VLOOKUP($A692,'[2]Team lists'!$A$2:$L$800,5,FALSE)</f>
        <v>#N/A</v>
      </c>
      <c r="F692" s="43" t="e">
        <f>VLOOKUP($A692,'[2]Team lists'!$A$2:$L$800,6,FALSE)</f>
        <v>#N/A</v>
      </c>
      <c r="G692" s="43" t="e">
        <f>VLOOKUP($A692,'[2]Team lists'!$A$2:$L$800,7,FALSE)</f>
        <v>#N/A</v>
      </c>
      <c r="H692" s="43" t="e">
        <f>VLOOKUP($A692,'[2]Team lists'!$A$2:$L$800,8,FALSE)</f>
        <v>#N/A</v>
      </c>
      <c r="I692" s="43" t="e">
        <f>VLOOKUP($A692,'[2]Team lists'!$A$2:$L$800,9,FALSE)</f>
        <v>#N/A</v>
      </c>
      <c r="J692" s="43" t="e">
        <f>VLOOKUP($A692,'[2]Team lists'!$A$2:$L$800,9,FALSE)</f>
        <v>#N/A</v>
      </c>
      <c r="K692" s="43" t="e">
        <f>VLOOKUP($A692,'[2]Team lists'!$A$2:$L$800,10,FALSE)</f>
        <v>#N/A</v>
      </c>
      <c r="L692" s="43" t="e">
        <f>VLOOKUP($A692,'[2]Team lists'!$A$2:$L$800,11,FALSE)</f>
        <v>#N/A</v>
      </c>
    </row>
    <row r="693" spans="2:13">
      <c r="B693" s="43" t="e">
        <f>VLOOKUP($A693,'[2]Team lists'!$A$2:$L$800,2,FALSE)</f>
        <v>#N/A</v>
      </c>
      <c r="C693" s="43" t="e">
        <f>VLOOKUP($A693,'[2]Team lists'!$A$2:$L$800,3,FALSE)</f>
        <v>#N/A</v>
      </c>
      <c r="D693" s="43" t="e">
        <f>VLOOKUP($A693,'[2]Team lists'!$A$2:$L$800,4,FALSE)</f>
        <v>#N/A</v>
      </c>
      <c r="E693" s="43" t="e">
        <f>VLOOKUP($A693,'[2]Team lists'!$A$2:$L$800,5,FALSE)</f>
        <v>#N/A</v>
      </c>
      <c r="F693" s="43" t="e">
        <f>VLOOKUP($A693,'[2]Team lists'!$A$2:$L$800,6,FALSE)</f>
        <v>#N/A</v>
      </c>
      <c r="G693" s="43" t="e">
        <f>VLOOKUP($A693,'[2]Team lists'!$A$2:$L$800,7,FALSE)</f>
        <v>#N/A</v>
      </c>
      <c r="H693" s="43" t="e">
        <f>VLOOKUP($A693,'[2]Team lists'!$A$2:$L$800,8,FALSE)</f>
        <v>#N/A</v>
      </c>
      <c r="I693" s="43" t="e">
        <f>VLOOKUP($A693,'[2]Team lists'!$A$2:$L$800,9,FALSE)</f>
        <v>#N/A</v>
      </c>
      <c r="J693" s="43" t="e">
        <f>VLOOKUP($A693,'[2]Team lists'!$A$2:$L$800,9,FALSE)</f>
        <v>#N/A</v>
      </c>
      <c r="K693" s="43" t="e">
        <f>VLOOKUP($A693,'[2]Team lists'!$A$2:$L$800,10,FALSE)</f>
        <v>#N/A</v>
      </c>
      <c r="L693" s="43" t="e">
        <f>VLOOKUP($A693,'[2]Team lists'!$A$2:$L$800,11,FALSE)</f>
        <v>#N/A</v>
      </c>
    </row>
    <row r="694" spans="2:13">
      <c r="B694" s="43" t="e">
        <f>VLOOKUP($A694,'[2]Team lists'!$A$2:$L$800,2,FALSE)</f>
        <v>#N/A</v>
      </c>
      <c r="C694" s="43" t="e">
        <f>VLOOKUP($A694,'[2]Team lists'!$A$2:$L$800,3,FALSE)</f>
        <v>#N/A</v>
      </c>
      <c r="D694" s="43" t="e">
        <f>VLOOKUP($A694,'[2]Team lists'!$A$2:$L$800,4,FALSE)</f>
        <v>#N/A</v>
      </c>
      <c r="E694" s="43" t="e">
        <f>VLOOKUP($A694,'[2]Team lists'!$A$2:$L$800,5,FALSE)</f>
        <v>#N/A</v>
      </c>
      <c r="F694" s="43" t="e">
        <f>VLOOKUP($A694,'[2]Team lists'!$A$2:$L$800,6,FALSE)</f>
        <v>#N/A</v>
      </c>
      <c r="G694" s="43" t="e">
        <f>VLOOKUP($A694,'[2]Team lists'!$A$2:$L$800,7,FALSE)</f>
        <v>#N/A</v>
      </c>
      <c r="H694" s="43" t="e">
        <f>VLOOKUP($A694,'[2]Team lists'!$A$2:$L$800,8,FALSE)</f>
        <v>#N/A</v>
      </c>
      <c r="I694" s="43" t="e">
        <f>VLOOKUP($A694,'[2]Team lists'!$A$2:$L$800,9,FALSE)</f>
        <v>#N/A</v>
      </c>
      <c r="J694" s="43" t="e">
        <f>VLOOKUP($A694,'[2]Team lists'!$A$2:$L$800,9,FALSE)</f>
        <v>#N/A</v>
      </c>
      <c r="K694" s="43" t="e">
        <f>VLOOKUP($A694,'[2]Team lists'!$A$2:$L$800,10,FALSE)</f>
        <v>#N/A</v>
      </c>
      <c r="L694" s="43" t="e">
        <f>VLOOKUP($A694,'[2]Team lists'!$A$2:$L$800,11,FALSE)</f>
        <v>#N/A</v>
      </c>
    </row>
    <row r="695" spans="2:13">
      <c r="B695" s="43" t="e">
        <f>VLOOKUP($A695,'[2]Team lists'!$A$2:$L$800,2,FALSE)</f>
        <v>#N/A</v>
      </c>
      <c r="C695" s="43" t="e">
        <f>VLOOKUP($A695,'[2]Team lists'!$A$2:$L$800,3,FALSE)</f>
        <v>#N/A</v>
      </c>
      <c r="D695" s="43" t="e">
        <f>VLOOKUP($A695,'[2]Team lists'!$A$2:$L$800,4,FALSE)</f>
        <v>#N/A</v>
      </c>
      <c r="E695" s="43" t="e">
        <f>VLOOKUP($A695,'[2]Team lists'!$A$2:$L$800,5,FALSE)</f>
        <v>#N/A</v>
      </c>
      <c r="F695" s="43" t="e">
        <f>VLOOKUP($A695,'[2]Team lists'!$A$2:$L$800,6,FALSE)</f>
        <v>#N/A</v>
      </c>
      <c r="G695" s="43" t="e">
        <f>VLOOKUP($A695,'[2]Team lists'!$A$2:$L$800,7,FALSE)</f>
        <v>#N/A</v>
      </c>
      <c r="H695" s="43" t="e">
        <f>VLOOKUP($A695,'[2]Team lists'!$A$2:$L$800,8,FALSE)</f>
        <v>#N/A</v>
      </c>
      <c r="I695" s="43" t="e">
        <f>VLOOKUP($A695,'[2]Team lists'!$A$2:$L$800,9,FALSE)</f>
        <v>#N/A</v>
      </c>
      <c r="J695" s="43" t="e">
        <f>VLOOKUP($A695,'[2]Team lists'!$A$2:$L$800,9,FALSE)</f>
        <v>#N/A</v>
      </c>
      <c r="K695" s="43" t="e">
        <f>VLOOKUP($A695,'[2]Team lists'!$A$2:$L$800,10,FALSE)</f>
        <v>#N/A</v>
      </c>
      <c r="L695" s="43" t="e">
        <f>VLOOKUP($A695,'[2]Team lists'!$A$2:$L$800,11,FALSE)</f>
        <v>#N/A</v>
      </c>
    </row>
    <row r="696" spans="2:13">
      <c r="B696" s="43" t="e">
        <f>VLOOKUP($A696,'[2]Team lists'!$A$2:$L$800,2,FALSE)</f>
        <v>#N/A</v>
      </c>
      <c r="C696" s="43" t="e">
        <f>VLOOKUP($A696,'[2]Team lists'!$A$2:$L$800,3,FALSE)</f>
        <v>#N/A</v>
      </c>
      <c r="D696" s="43" t="e">
        <f>VLOOKUP($A696,'[2]Team lists'!$A$2:$L$800,4,FALSE)</f>
        <v>#N/A</v>
      </c>
      <c r="E696" s="43" t="e">
        <f>VLOOKUP($A696,'[2]Team lists'!$A$2:$L$800,5,FALSE)</f>
        <v>#N/A</v>
      </c>
      <c r="F696" s="43" t="e">
        <f>VLOOKUP($A696,'[2]Team lists'!$A$2:$L$800,6,FALSE)</f>
        <v>#N/A</v>
      </c>
      <c r="G696" s="43" t="e">
        <f>VLOOKUP($A696,'[2]Team lists'!$A$2:$L$800,7,FALSE)</f>
        <v>#N/A</v>
      </c>
      <c r="H696" s="43" t="e">
        <f>VLOOKUP($A696,'[2]Team lists'!$A$2:$L$800,8,FALSE)</f>
        <v>#N/A</v>
      </c>
      <c r="I696" s="43" t="e">
        <f>VLOOKUP($A696,'[2]Team lists'!$A$2:$L$800,9,FALSE)</f>
        <v>#N/A</v>
      </c>
      <c r="J696" s="43" t="e">
        <f>VLOOKUP($A696,'[2]Team lists'!$A$2:$L$800,9,FALSE)</f>
        <v>#N/A</v>
      </c>
      <c r="K696" s="43" t="e">
        <f>VLOOKUP($A696,'[2]Team lists'!$A$2:$L$800,10,FALSE)</f>
        <v>#N/A</v>
      </c>
      <c r="L696" s="43" t="e">
        <f>VLOOKUP($A696,'[2]Team lists'!$A$2:$L$800,11,FALSE)</f>
        <v>#N/A</v>
      </c>
    </row>
    <row r="697" spans="2:13">
      <c r="B697" s="43" t="e">
        <f>VLOOKUP($A697,'[2]Team lists'!$A$2:$L$800,2,FALSE)</f>
        <v>#N/A</v>
      </c>
      <c r="C697" s="43" t="e">
        <f>VLOOKUP($A697,'[2]Team lists'!$A$2:$L$800,3,FALSE)</f>
        <v>#N/A</v>
      </c>
      <c r="D697" s="43" t="e">
        <f>VLOOKUP($A697,'[2]Team lists'!$A$2:$L$800,4,FALSE)</f>
        <v>#N/A</v>
      </c>
      <c r="E697" s="43" t="e">
        <f>VLOOKUP($A697,'[2]Team lists'!$A$2:$L$800,5,FALSE)</f>
        <v>#N/A</v>
      </c>
      <c r="F697" s="43" t="e">
        <f>VLOOKUP($A697,'[2]Team lists'!$A$2:$L$800,6,FALSE)</f>
        <v>#N/A</v>
      </c>
      <c r="G697" s="43" t="e">
        <f>VLOOKUP($A697,'[2]Team lists'!$A$2:$L$800,7,FALSE)</f>
        <v>#N/A</v>
      </c>
      <c r="H697" s="43" t="e">
        <f>VLOOKUP($A697,'[2]Team lists'!$A$2:$L$800,8,FALSE)</f>
        <v>#N/A</v>
      </c>
      <c r="I697" s="43" t="e">
        <f>VLOOKUP($A697,'[2]Team lists'!$A$2:$L$800,9,FALSE)</f>
        <v>#N/A</v>
      </c>
      <c r="J697" s="43" t="e">
        <f>VLOOKUP($A697,'[2]Team lists'!$A$2:$L$800,9,FALSE)</f>
        <v>#N/A</v>
      </c>
      <c r="K697" s="43" t="e">
        <f>VLOOKUP($A697,'[2]Team lists'!$A$2:$L$800,10,FALSE)</f>
        <v>#N/A</v>
      </c>
      <c r="L697" s="43" t="e">
        <f>VLOOKUP($A697,'[2]Team lists'!$A$2:$L$800,11,FALSE)</f>
        <v>#N/A</v>
      </c>
    </row>
    <row r="698" spans="2:13">
      <c r="B698" s="43" t="e">
        <f>VLOOKUP($A698,'[2]Team lists'!$A$2:$L$800,2,FALSE)</f>
        <v>#N/A</v>
      </c>
      <c r="C698" s="43" t="e">
        <f>VLOOKUP($A698,'[2]Team lists'!$A$2:$L$800,3,FALSE)</f>
        <v>#N/A</v>
      </c>
      <c r="D698" s="43" t="e">
        <f>VLOOKUP($A698,'[2]Team lists'!$A$2:$L$800,4,FALSE)</f>
        <v>#N/A</v>
      </c>
      <c r="E698" s="43" t="e">
        <f>VLOOKUP($A698,'[2]Team lists'!$A$2:$L$800,5,FALSE)</f>
        <v>#N/A</v>
      </c>
      <c r="F698" s="43" t="e">
        <f>VLOOKUP($A698,'[2]Team lists'!$A$2:$L$800,6,FALSE)</f>
        <v>#N/A</v>
      </c>
      <c r="G698" s="43" t="e">
        <f>VLOOKUP($A698,'[2]Team lists'!$A$2:$L$800,7,FALSE)</f>
        <v>#N/A</v>
      </c>
      <c r="H698" s="43" t="e">
        <f>VLOOKUP($A698,'[2]Team lists'!$A$2:$L$800,8,FALSE)</f>
        <v>#N/A</v>
      </c>
      <c r="I698" s="43" t="e">
        <f>VLOOKUP($A698,'[2]Team lists'!$A$2:$L$800,9,FALSE)</f>
        <v>#N/A</v>
      </c>
      <c r="J698" s="43" t="e">
        <f>VLOOKUP($A698,'[2]Team lists'!$A$2:$L$800,9,FALSE)</f>
        <v>#N/A</v>
      </c>
      <c r="K698" s="43" t="e">
        <f>VLOOKUP($A698,'[2]Team lists'!$A$2:$L$800,10,FALSE)</f>
        <v>#N/A</v>
      </c>
      <c r="L698" s="43" t="e">
        <f>VLOOKUP($A698,'[2]Team lists'!$A$2:$L$800,11,FALSE)</f>
        <v>#N/A</v>
      </c>
    </row>
    <row r="699" spans="2:13">
      <c r="B699" s="43" t="e">
        <f>VLOOKUP($A699,'[2]Team lists'!$A$2:$L$800,2,FALSE)</f>
        <v>#N/A</v>
      </c>
      <c r="C699" s="43" t="e">
        <f>VLOOKUP($A699,'[2]Team lists'!$A$2:$L$800,3,FALSE)</f>
        <v>#N/A</v>
      </c>
      <c r="D699" s="43" t="e">
        <f>VLOOKUP($A699,'[2]Team lists'!$A$2:$L$800,4,FALSE)</f>
        <v>#N/A</v>
      </c>
      <c r="E699" s="43" t="e">
        <f>VLOOKUP($A699,'[2]Team lists'!$A$2:$L$800,5,FALSE)</f>
        <v>#N/A</v>
      </c>
      <c r="F699" s="43" t="e">
        <f>VLOOKUP($A699,'[2]Team lists'!$A$2:$L$800,6,FALSE)</f>
        <v>#N/A</v>
      </c>
      <c r="G699" s="43" t="e">
        <f>VLOOKUP($A699,'[2]Team lists'!$A$2:$L$800,7,FALSE)</f>
        <v>#N/A</v>
      </c>
      <c r="H699" s="43" t="e">
        <f>VLOOKUP($A699,'[2]Team lists'!$A$2:$L$800,8,FALSE)</f>
        <v>#N/A</v>
      </c>
      <c r="I699" s="43" t="e">
        <f>VLOOKUP($A699,'[2]Team lists'!$A$2:$L$800,9,FALSE)</f>
        <v>#N/A</v>
      </c>
      <c r="J699" s="43" t="e">
        <f>VLOOKUP($A699,'[2]Team lists'!$A$2:$L$800,9,FALSE)</f>
        <v>#N/A</v>
      </c>
      <c r="K699" s="43" t="e">
        <f>VLOOKUP($A699,'[2]Team lists'!$A$2:$L$800,10,FALSE)</f>
        <v>#N/A</v>
      </c>
      <c r="L699" s="43" t="e">
        <f>VLOOKUP($A699,'[2]Team lists'!$A$2:$L$800,11,FALSE)</f>
        <v>#N/A</v>
      </c>
    </row>
    <row r="700" spans="2:13">
      <c r="B700" s="43" t="e">
        <f>VLOOKUP($A700,'[2]Team lists'!$A$2:$L$800,2,FALSE)</f>
        <v>#N/A</v>
      </c>
      <c r="C700" s="43" t="e">
        <f>VLOOKUP($A700,'[2]Team lists'!$A$2:$L$800,3,FALSE)</f>
        <v>#N/A</v>
      </c>
      <c r="D700" s="43" t="e">
        <f>VLOOKUP($A700,'[2]Team lists'!$A$2:$L$800,4,FALSE)</f>
        <v>#N/A</v>
      </c>
      <c r="E700" s="43" t="e">
        <f>VLOOKUP($A700,'[2]Team lists'!$A$2:$L$800,5,FALSE)</f>
        <v>#N/A</v>
      </c>
      <c r="F700" s="43" t="e">
        <f>VLOOKUP($A700,'[2]Team lists'!$A$2:$L$800,6,FALSE)</f>
        <v>#N/A</v>
      </c>
      <c r="G700" s="43" t="e">
        <f>VLOOKUP($A700,'[2]Team lists'!$A$2:$L$800,7,FALSE)</f>
        <v>#N/A</v>
      </c>
      <c r="H700" s="43" t="e">
        <f>VLOOKUP($A700,'[2]Team lists'!$A$2:$L$800,8,FALSE)</f>
        <v>#N/A</v>
      </c>
      <c r="I700" s="43" t="e">
        <f>VLOOKUP($A700,'[2]Team lists'!$A$2:$L$800,9,FALSE)</f>
        <v>#N/A</v>
      </c>
      <c r="J700" s="43" t="e">
        <f>VLOOKUP($A700,'[2]Team lists'!$A$2:$L$800,9,FALSE)</f>
        <v>#N/A</v>
      </c>
      <c r="K700" s="43" t="e">
        <f>VLOOKUP($A700,'[2]Team lists'!$A$2:$L$800,10,FALSE)</f>
        <v>#N/A</v>
      </c>
      <c r="L700" s="43" t="e">
        <f>VLOOKUP($A700,'[2]Team lists'!$A$2:$L$800,11,FALSE)</f>
        <v>#N/A</v>
      </c>
    </row>
    <row r="701" spans="2:13">
      <c r="B701" s="43" t="e">
        <f>VLOOKUP($A701,'[2]Team lists'!$A$2:$L$800,2,FALSE)</f>
        <v>#N/A</v>
      </c>
      <c r="C701" s="43" t="e">
        <f>VLOOKUP($A701,'[2]Team lists'!$A$2:$L$800,3,FALSE)</f>
        <v>#N/A</v>
      </c>
      <c r="D701" s="43" t="e">
        <f>VLOOKUP($A701,'[2]Team lists'!$A$2:$L$800,4,FALSE)</f>
        <v>#N/A</v>
      </c>
      <c r="E701" s="43" t="e">
        <f>VLOOKUP($A701,'[2]Team lists'!$A$2:$L$800,5,FALSE)</f>
        <v>#N/A</v>
      </c>
      <c r="F701" s="43" t="e">
        <f>VLOOKUP($A701,'[2]Team lists'!$A$2:$L$800,6,FALSE)</f>
        <v>#N/A</v>
      </c>
      <c r="G701" s="43" t="e">
        <f>VLOOKUP($A701,'[2]Team lists'!$A$2:$L$800,7,FALSE)</f>
        <v>#N/A</v>
      </c>
      <c r="H701" s="43" t="e">
        <f>VLOOKUP($A701,'[2]Team lists'!$A$2:$L$800,8,FALSE)</f>
        <v>#N/A</v>
      </c>
      <c r="I701" s="43" t="e">
        <f>VLOOKUP($A701,'[2]Team lists'!$A$2:$L$800,9,FALSE)</f>
        <v>#N/A</v>
      </c>
      <c r="J701" s="43" t="e">
        <f>VLOOKUP($A701,'[2]Team lists'!$A$2:$L$800,9,FALSE)</f>
        <v>#N/A</v>
      </c>
      <c r="K701" s="43" t="e">
        <f>VLOOKUP($A701,'[2]Team lists'!$A$2:$L$800,10,FALSE)</f>
        <v>#N/A</v>
      </c>
      <c r="L701" s="43" t="e">
        <f>VLOOKUP($A701,'[2]Team lists'!$A$2:$L$800,11,FALSE)</f>
        <v>#N/A</v>
      </c>
    </row>
    <row r="702" spans="2:13">
      <c r="B702" s="43" t="e">
        <f>VLOOKUP($A702,'[2]Team lists'!$A$2:$L$800,2,FALSE)</f>
        <v>#N/A</v>
      </c>
      <c r="C702" s="43" t="e">
        <f>VLOOKUP($A702,'[2]Team lists'!$A$2:$L$800,3,FALSE)</f>
        <v>#N/A</v>
      </c>
      <c r="D702" s="43" t="e">
        <f>VLOOKUP($A702,'[2]Team lists'!$A$2:$L$800,4,FALSE)</f>
        <v>#N/A</v>
      </c>
      <c r="E702" s="43" t="e">
        <f>VLOOKUP($A702,'[2]Team lists'!$A$2:$L$800,5,FALSE)</f>
        <v>#N/A</v>
      </c>
      <c r="F702" s="43" t="e">
        <f>VLOOKUP($A702,'[2]Team lists'!$A$2:$L$800,6,FALSE)</f>
        <v>#N/A</v>
      </c>
      <c r="G702" s="43" t="e">
        <f>VLOOKUP($A702,'[2]Team lists'!$A$2:$L$800,7,FALSE)</f>
        <v>#N/A</v>
      </c>
      <c r="H702" s="43" t="e">
        <f>VLOOKUP($A702,'[2]Team lists'!$A$2:$L$800,8,FALSE)</f>
        <v>#N/A</v>
      </c>
      <c r="I702" s="43" t="e">
        <f>VLOOKUP($A702,'[2]Team lists'!$A$2:$L$800,9,FALSE)</f>
        <v>#N/A</v>
      </c>
      <c r="J702" s="43" t="e">
        <f>VLOOKUP($A702,'[2]Team lists'!$A$2:$L$800,9,FALSE)</f>
        <v>#N/A</v>
      </c>
      <c r="K702" s="43" t="e">
        <f>VLOOKUP($A702,'[2]Team lists'!$A$2:$L$800,10,FALSE)</f>
        <v>#N/A</v>
      </c>
      <c r="L702" s="43" t="e">
        <f>VLOOKUP($A702,'[2]Team lists'!$A$2:$L$800,11,FALSE)</f>
        <v>#N/A</v>
      </c>
    </row>
    <row r="703" spans="2:13" ht="18" thickBot="1">
      <c r="B703" s="45" t="s">
        <v>3210</v>
      </c>
      <c r="C703" s="46"/>
      <c r="D703" s="47"/>
      <c r="E703" s="48" t="e">
        <f t="shared" ref="E703:L703" si="43">SUM(E692:E702)</f>
        <v>#N/A</v>
      </c>
      <c r="F703" s="49" t="e">
        <f t="shared" si="43"/>
        <v>#N/A</v>
      </c>
      <c r="G703" s="49" t="e">
        <f t="shared" si="43"/>
        <v>#N/A</v>
      </c>
      <c r="H703" s="49" t="e">
        <f t="shared" si="43"/>
        <v>#N/A</v>
      </c>
      <c r="I703" s="49" t="e">
        <f t="shared" si="43"/>
        <v>#N/A</v>
      </c>
      <c r="J703" s="49" t="e">
        <f t="shared" si="43"/>
        <v>#N/A</v>
      </c>
      <c r="K703" s="49" t="e">
        <f t="shared" si="43"/>
        <v>#N/A</v>
      </c>
      <c r="L703" s="50" t="e">
        <f t="shared" si="43"/>
        <v>#N/A</v>
      </c>
    </row>
    <row r="704" spans="2:13" ht="18.600000000000001" thickTop="1" thickBot="1"/>
    <row r="705" spans="2:13" ht="18" thickTop="1">
      <c r="B705" s="23" t="s">
        <v>3204</v>
      </c>
      <c r="C705" s="24" t="s">
        <v>3205</v>
      </c>
      <c r="D705" s="25"/>
      <c r="E705" s="25"/>
      <c r="F705" s="53"/>
      <c r="G705" s="28" t="s">
        <v>3206</v>
      </c>
      <c r="H705" s="54"/>
      <c r="I705" s="54"/>
      <c r="J705" s="54"/>
      <c r="K705" s="28" t="s">
        <v>3207</v>
      </c>
      <c r="L705" s="29"/>
      <c r="M705" s="22" t="str">
        <f>G705</f>
        <v>Manager:</v>
      </c>
    </row>
    <row r="706" spans="2:13" ht="18" thickBot="1">
      <c r="B706" s="30">
        <v>45</v>
      </c>
      <c r="C706" s="57"/>
      <c r="D706" s="31"/>
      <c r="E706" s="31"/>
      <c r="F706" s="33"/>
      <c r="G706" s="55"/>
      <c r="H706" s="55"/>
      <c r="I706" s="55"/>
      <c r="J706" s="55"/>
      <c r="K706" s="34" t="e">
        <f>SUM(F719:L719)</f>
        <v>#N/A</v>
      </c>
      <c r="L706" s="35"/>
      <c r="M706" s="22">
        <f>G706</f>
        <v>0</v>
      </c>
    </row>
    <row r="707" spans="2:13" ht="18.600000000000001" thickTop="1">
      <c r="B707" s="58" t="s">
        <v>913</v>
      </c>
      <c r="C707" s="59" t="s">
        <v>912</v>
      </c>
      <c r="D707" s="60" t="s">
        <v>911</v>
      </c>
      <c r="E707" s="61" t="s">
        <v>3209</v>
      </c>
      <c r="F707" s="62" t="s">
        <v>3162</v>
      </c>
      <c r="G707" s="62" t="s">
        <v>3163</v>
      </c>
      <c r="H707" s="62" t="s">
        <v>3164</v>
      </c>
      <c r="I707" s="62" t="s">
        <v>3165</v>
      </c>
      <c r="J707" s="62" t="s">
        <v>3166</v>
      </c>
      <c r="K707" s="62" t="s">
        <v>3167</v>
      </c>
      <c r="L707" s="63" t="s">
        <v>3168</v>
      </c>
    </row>
    <row r="708" spans="2:13">
      <c r="B708" s="43" t="e">
        <f>VLOOKUP($A708,'[2]Team lists'!$A$2:$L$800,2,FALSE)</f>
        <v>#N/A</v>
      </c>
      <c r="C708" s="43" t="e">
        <f>VLOOKUP($A708,'[2]Team lists'!$A$2:$L$800,3,FALSE)</f>
        <v>#N/A</v>
      </c>
      <c r="D708" s="43" t="e">
        <f>VLOOKUP($A708,'[2]Team lists'!$A$2:$L$800,4,FALSE)</f>
        <v>#N/A</v>
      </c>
      <c r="E708" s="43" t="e">
        <f>VLOOKUP($A708,'[2]Team lists'!$A$2:$L$800,5,FALSE)</f>
        <v>#N/A</v>
      </c>
      <c r="F708" s="43" t="e">
        <f>VLOOKUP($A708,'[2]Team lists'!$A$2:$L$800,6,FALSE)</f>
        <v>#N/A</v>
      </c>
      <c r="G708" s="43" t="e">
        <f>VLOOKUP($A708,'[2]Team lists'!$A$2:$L$800,7,FALSE)</f>
        <v>#N/A</v>
      </c>
      <c r="H708" s="43" t="e">
        <f>VLOOKUP($A708,'[2]Team lists'!$A$2:$L$800,8,FALSE)</f>
        <v>#N/A</v>
      </c>
      <c r="I708" s="43" t="e">
        <f>VLOOKUP($A708,'[2]Team lists'!$A$2:$L$800,9,FALSE)</f>
        <v>#N/A</v>
      </c>
      <c r="J708" s="43" t="e">
        <f>VLOOKUP($A708,'[2]Team lists'!$A$2:$L$800,9,FALSE)</f>
        <v>#N/A</v>
      </c>
      <c r="K708" s="43" t="e">
        <f>VLOOKUP($A708,'[2]Team lists'!$A$2:$L$800,10,FALSE)</f>
        <v>#N/A</v>
      </c>
      <c r="L708" s="43" t="e">
        <f>VLOOKUP($A708,'[2]Team lists'!$A$2:$L$800,11,FALSE)</f>
        <v>#N/A</v>
      </c>
    </row>
    <row r="709" spans="2:13">
      <c r="B709" s="43" t="e">
        <f>VLOOKUP($A709,'[2]Team lists'!$A$2:$L$800,2,FALSE)</f>
        <v>#N/A</v>
      </c>
      <c r="C709" s="43" t="e">
        <f>VLOOKUP($A709,'[2]Team lists'!$A$2:$L$800,3,FALSE)</f>
        <v>#N/A</v>
      </c>
      <c r="D709" s="43" t="e">
        <f>VLOOKUP($A709,'[2]Team lists'!$A$2:$L$800,4,FALSE)</f>
        <v>#N/A</v>
      </c>
      <c r="E709" s="43" t="e">
        <f>VLOOKUP($A709,'[2]Team lists'!$A$2:$L$800,5,FALSE)</f>
        <v>#N/A</v>
      </c>
      <c r="F709" s="43" t="e">
        <f>VLOOKUP($A709,'[2]Team lists'!$A$2:$L$800,6,FALSE)</f>
        <v>#N/A</v>
      </c>
      <c r="G709" s="43" t="e">
        <f>VLOOKUP($A709,'[2]Team lists'!$A$2:$L$800,7,FALSE)</f>
        <v>#N/A</v>
      </c>
      <c r="H709" s="43" t="e">
        <f>VLOOKUP($A709,'[2]Team lists'!$A$2:$L$800,8,FALSE)</f>
        <v>#N/A</v>
      </c>
      <c r="I709" s="43" t="e">
        <f>VLOOKUP($A709,'[2]Team lists'!$A$2:$L$800,9,FALSE)</f>
        <v>#N/A</v>
      </c>
      <c r="J709" s="43" t="e">
        <f>VLOOKUP($A709,'[2]Team lists'!$A$2:$L$800,9,FALSE)</f>
        <v>#N/A</v>
      </c>
      <c r="K709" s="43" t="e">
        <f>VLOOKUP($A709,'[2]Team lists'!$A$2:$L$800,10,FALSE)</f>
        <v>#N/A</v>
      </c>
      <c r="L709" s="43" t="e">
        <f>VLOOKUP($A709,'[2]Team lists'!$A$2:$L$800,11,FALSE)</f>
        <v>#N/A</v>
      </c>
    </row>
    <row r="710" spans="2:13">
      <c r="B710" s="43" t="e">
        <f>VLOOKUP($A710,'[2]Team lists'!$A$2:$L$800,2,FALSE)</f>
        <v>#N/A</v>
      </c>
      <c r="C710" s="43" t="e">
        <f>VLOOKUP($A710,'[2]Team lists'!$A$2:$L$800,3,FALSE)</f>
        <v>#N/A</v>
      </c>
      <c r="D710" s="43" t="e">
        <f>VLOOKUP($A710,'[2]Team lists'!$A$2:$L$800,4,FALSE)</f>
        <v>#N/A</v>
      </c>
      <c r="E710" s="43" t="e">
        <f>VLOOKUP($A710,'[2]Team lists'!$A$2:$L$800,5,FALSE)</f>
        <v>#N/A</v>
      </c>
      <c r="F710" s="43" t="e">
        <f>VLOOKUP($A710,'[2]Team lists'!$A$2:$L$800,6,FALSE)</f>
        <v>#N/A</v>
      </c>
      <c r="G710" s="43" t="e">
        <f>VLOOKUP($A710,'[2]Team lists'!$A$2:$L$800,7,FALSE)</f>
        <v>#N/A</v>
      </c>
      <c r="H710" s="43" t="e">
        <f>VLOOKUP($A710,'[2]Team lists'!$A$2:$L$800,8,FALSE)</f>
        <v>#N/A</v>
      </c>
      <c r="I710" s="43" t="e">
        <f>VLOOKUP($A710,'[2]Team lists'!$A$2:$L$800,9,FALSE)</f>
        <v>#N/A</v>
      </c>
      <c r="J710" s="43" t="e">
        <f>VLOOKUP($A710,'[2]Team lists'!$A$2:$L$800,9,FALSE)</f>
        <v>#N/A</v>
      </c>
      <c r="K710" s="43" t="e">
        <f>VLOOKUP($A710,'[2]Team lists'!$A$2:$L$800,10,FALSE)</f>
        <v>#N/A</v>
      </c>
      <c r="L710" s="43" t="e">
        <f>VLOOKUP($A710,'[2]Team lists'!$A$2:$L$800,11,FALSE)</f>
        <v>#N/A</v>
      </c>
    </row>
    <row r="711" spans="2:13">
      <c r="B711" s="43" t="e">
        <f>VLOOKUP($A711,'[2]Team lists'!$A$2:$L$800,2,FALSE)</f>
        <v>#N/A</v>
      </c>
      <c r="C711" s="43" t="e">
        <f>VLOOKUP($A711,'[2]Team lists'!$A$2:$L$800,3,FALSE)</f>
        <v>#N/A</v>
      </c>
      <c r="D711" s="43" t="e">
        <f>VLOOKUP($A711,'[2]Team lists'!$A$2:$L$800,4,FALSE)</f>
        <v>#N/A</v>
      </c>
      <c r="E711" s="43" t="e">
        <f>VLOOKUP($A711,'[2]Team lists'!$A$2:$L$800,5,FALSE)</f>
        <v>#N/A</v>
      </c>
      <c r="F711" s="43" t="e">
        <f>VLOOKUP($A711,'[2]Team lists'!$A$2:$L$800,6,FALSE)</f>
        <v>#N/A</v>
      </c>
      <c r="G711" s="43" t="e">
        <f>VLOOKUP($A711,'[2]Team lists'!$A$2:$L$800,7,FALSE)</f>
        <v>#N/A</v>
      </c>
      <c r="H711" s="43" t="e">
        <f>VLOOKUP($A711,'[2]Team lists'!$A$2:$L$800,8,FALSE)</f>
        <v>#N/A</v>
      </c>
      <c r="I711" s="43" t="e">
        <f>VLOOKUP($A711,'[2]Team lists'!$A$2:$L$800,9,FALSE)</f>
        <v>#N/A</v>
      </c>
      <c r="J711" s="43" t="e">
        <f>VLOOKUP($A711,'[2]Team lists'!$A$2:$L$800,9,FALSE)</f>
        <v>#N/A</v>
      </c>
      <c r="K711" s="43" t="e">
        <f>VLOOKUP($A711,'[2]Team lists'!$A$2:$L$800,10,FALSE)</f>
        <v>#N/A</v>
      </c>
      <c r="L711" s="43" t="e">
        <f>VLOOKUP($A711,'[2]Team lists'!$A$2:$L$800,11,FALSE)</f>
        <v>#N/A</v>
      </c>
    </row>
    <row r="712" spans="2:13">
      <c r="B712" s="43" t="e">
        <f>VLOOKUP($A712,'[2]Team lists'!$A$2:$L$800,2,FALSE)</f>
        <v>#N/A</v>
      </c>
      <c r="C712" s="43" t="e">
        <f>VLOOKUP($A712,'[2]Team lists'!$A$2:$L$800,3,FALSE)</f>
        <v>#N/A</v>
      </c>
      <c r="D712" s="43" t="e">
        <f>VLOOKUP($A712,'[2]Team lists'!$A$2:$L$800,4,FALSE)</f>
        <v>#N/A</v>
      </c>
      <c r="E712" s="43" t="e">
        <f>VLOOKUP($A712,'[2]Team lists'!$A$2:$L$800,5,FALSE)</f>
        <v>#N/A</v>
      </c>
      <c r="F712" s="43" t="e">
        <f>VLOOKUP($A712,'[2]Team lists'!$A$2:$L$800,6,FALSE)</f>
        <v>#N/A</v>
      </c>
      <c r="G712" s="43" t="e">
        <f>VLOOKUP($A712,'[2]Team lists'!$A$2:$L$800,7,FALSE)</f>
        <v>#N/A</v>
      </c>
      <c r="H712" s="43" t="e">
        <f>VLOOKUP($A712,'[2]Team lists'!$A$2:$L$800,8,FALSE)</f>
        <v>#N/A</v>
      </c>
      <c r="I712" s="43" t="e">
        <f>VLOOKUP($A712,'[2]Team lists'!$A$2:$L$800,9,FALSE)</f>
        <v>#N/A</v>
      </c>
      <c r="J712" s="43" t="e">
        <f>VLOOKUP($A712,'[2]Team lists'!$A$2:$L$800,9,FALSE)</f>
        <v>#N/A</v>
      </c>
      <c r="K712" s="43" t="e">
        <f>VLOOKUP($A712,'[2]Team lists'!$A$2:$L$800,10,FALSE)</f>
        <v>#N/A</v>
      </c>
      <c r="L712" s="43" t="e">
        <f>VLOOKUP($A712,'[2]Team lists'!$A$2:$L$800,11,FALSE)</f>
        <v>#N/A</v>
      </c>
    </row>
    <row r="713" spans="2:13">
      <c r="B713" s="43" t="e">
        <f>VLOOKUP($A713,'[2]Team lists'!$A$2:$L$800,2,FALSE)</f>
        <v>#N/A</v>
      </c>
      <c r="C713" s="43" t="e">
        <f>VLOOKUP($A713,'[2]Team lists'!$A$2:$L$800,3,FALSE)</f>
        <v>#N/A</v>
      </c>
      <c r="D713" s="43" t="e">
        <f>VLOOKUP($A713,'[2]Team lists'!$A$2:$L$800,4,FALSE)</f>
        <v>#N/A</v>
      </c>
      <c r="E713" s="43" t="e">
        <f>VLOOKUP($A713,'[2]Team lists'!$A$2:$L$800,5,FALSE)</f>
        <v>#N/A</v>
      </c>
      <c r="F713" s="43" t="e">
        <f>VLOOKUP($A713,'[2]Team lists'!$A$2:$L$800,6,FALSE)</f>
        <v>#N/A</v>
      </c>
      <c r="G713" s="43" t="e">
        <f>VLOOKUP($A713,'[2]Team lists'!$A$2:$L$800,7,FALSE)</f>
        <v>#N/A</v>
      </c>
      <c r="H713" s="43" t="e">
        <f>VLOOKUP($A713,'[2]Team lists'!$A$2:$L$800,8,FALSE)</f>
        <v>#N/A</v>
      </c>
      <c r="I713" s="43" t="e">
        <f>VLOOKUP($A713,'[2]Team lists'!$A$2:$L$800,9,FALSE)</f>
        <v>#N/A</v>
      </c>
      <c r="J713" s="43" t="e">
        <f>VLOOKUP($A713,'[2]Team lists'!$A$2:$L$800,9,FALSE)</f>
        <v>#N/A</v>
      </c>
      <c r="K713" s="43" t="e">
        <f>VLOOKUP($A713,'[2]Team lists'!$A$2:$L$800,10,FALSE)</f>
        <v>#N/A</v>
      </c>
      <c r="L713" s="43" t="e">
        <f>VLOOKUP($A713,'[2]Team lists'!$A$2:$L$800,11,FALSE)</f>
        <v>#N/A</v>
      </c>
    </row>
    <row r="714" spans="2:13">
      <c r="B714" s="43" t="e">
        <f>VLOOKUP($A714,'[2]Team lists'!$A$2:$L$800,2,FALSE)</f>
        <v>#N/A</v>
      </c>
      <c r="C714" s="43" t="e">
        <f>VLOOKUP($A714,'[2]Team lists'!$A$2:$L$800,3,FALSE)</f>
        <v>#N/A</v>
      </c>
      <c r="D714" s="43" t="e">
        <f>VLOOKUP($A714,'[2]Team lists'!$A$2:$L$800,4,FALSE)</f>
        <v>#N/A</v>
      </c>
      <c r="E714" s="43" t="e">
        <f>VLOOKUP($A714,'[2]Team lists'!$A$2:$L$800,5,FALSE)</f>
        <v>#N/A</v>
      </c>
      <c r="F714" s="43" t="e">
        <f>VLOOKUP($A714,'[2]Team lists'!$A$2:$L$800,6,FALSE)</f>
        <v>#N/A</v>
      </c>
      <c r="G714" s="43" t="e">
        <f>VLOOKUP($A714,'[2]Team lists'!$A$2:$L$800,7,FALSE)</f>
        <v>#N/A</v>
      </c>
      <c r="H714" s="43" t="e">
        <f>VLOOKUP($A714,'[2]Team lists'!$A$2:$L$800,8,FALSE)</f>
        <v>#N/A</v>
      </c>
      <c r="I714" s="43" t="e">
        <f>VLOOKUP($A714,'[2]Team lists'!$A$2:$L$800,9,FALSE)</f>
        <v>#N/A</v>
      </c>
      <c r="J714" s="43" t="e">
        <f>VLOOKUP($A714,'[2]Team lists'!$A$2:$L$800,9,FALSE)</f>
        <v>#N/A</v>
      </c>
      <c r="K714" s="43" t="e">
        <f>VLOOKUP($A714,'[2]Team lists'!$A$2:$L$800,10,FALSE)</f>
        <v>#N/A</v>
      </c>
      <c r="L714" s="43" t="e">
        <f>VLOOKUP($A714,'[2]Team lists'!$A$2:$L$800,11,FALSE)</f>
        <v>#N/A</v>
      </c>
    </row>
    <row r="715" spans="2:13">
      <c r="B715" s="43" t="e">
        <f>VLOOKUP($A715,'[2]Team lists'!$A$2:$L$800,2,FALSE)</f>
        <v>#N/A</v>
      </c>
      <c r="C715" s="43" t="e">
        <f>VLOOKUP($A715,'[2]Team lists'!$A$2:$L$800,3,FALSE)</f>
        <v>#N/A</v>
      </c>
      <c r="D715" s="43" t="e">
        <f>VLOOKUP($A715,'[2]Team lists'!$A$2:$L$800,4,FALSE)</f>
        <v>#N/A</v>
      </c>
      <c r="E715" s="43" t="e">
        <f>VLOOKUP($A715,'[2]Team lists'!$A$2:$L$800,5,FALSE)</f>
        <v>#N/A</v>
      </c>
      <c r="F715" s="43" t="e">
        <f>VLOOKUP($A715,'[2]Team lists'!$A$2:$L$800,6,FALSE)</f>
        <v>#N/A</v>
      </c>
      <c r="G715" s="43" t="e">
        <f>VLOOKUP($A715,'[2]Team lists'!$A$2:$L$800,7,FALSE)</f>
        <v>#N/A</v>
      </c>
      <c r="H715" s="43" t="e">
        <f>VLOOKUP($A715,'[2]Team lists'!$A$2:$L$800,8,FALSE)</f>
        <v>#N/A</v>
      </c>
      <c r="I715" s="43" t="e">
        <f>VLOOKUP($A715,'[2]Team lists'!$A$2:$L$800,9,FALSE)</f>
        <v>#N/A</v>
      </c>
      <c r="J715" s="43" t="e">
        <f>VLOOKUP($A715,'[2]Team lists'!$A$2:$L$800,9,FALSE)</f>
        <v>#N/A</v>
      </c>
      <c r="K715" s="43" t="e">
        <f>VLOOKUP($A715,'[2]Team lists'!$A$2:$L$800,10,FALSE)</f>
        <v>#N/A</v>
      </c>
      <c r="L715" s="43" t="e">
        <f>VLOOKUP($A715,'[2]Team lists'!$A$2:$L$800,11,FALSE)</f>
        <v>#N/A</v>
      </c>
    </row>
    <row r="716" spans="2:13">
      <c r="B716" s="43" t="e">
        <f>VLOOKUP($A716,'[2]Team lists'!$A$2:$L$800,2,FALSE)</f>
        <v>#N/A</v>
      </c>
      <c r="C716" s="43" t="e">
        <f>VLOOKUP($A716,'[2]Team lists'!$A$2:$L$800,3,FALSE)</f>
        <v>#N/A</v>
      </c>
      <c r="D716" s="43" t="e">
        <f>VLOOKUP($A716,'[2]Team lists'!$A$2:$L$800,4,FALSE)</f>
        <v>#N/A</v>
      </c>
      <c r="E716" s="43" t="e">
        <f>VLOOKUP($A716,'[2]Team lists'!$A$2:$L$800,5,FALSE)</f>
        <v>#N/A</v>
      </c>
      <c r="F716" s="43" t="e">
        <f>VLOOKUP($A716,'[2]Team lists'!$A$2:$L$800,6,FALSE)</f>
        <v>#N/A</v>
      </c>
      <c r="G716" s="43" t="e">
        <f>VLOOKUP($A716,'[2]Team lists'!$A$2:$L$800,7,FALSE)</f>
        <v>#N/A</v>
      </c>
      <c r="H716" s="43" t="e">
        <f>VLOOKUP($A716,'[2]Team lists'!$A$2:$L$800,8,FALSE)</f>
        <v>#N/A</v>
      </c>
      <c r="I716" s="43" t="e">
        <f>VLOOKUP($A716,'[2]Team lists'!$A$2:$L$800,9,FALSE)</f>
        <v>#N/A</v>
      </c>
      <c r="J716" s="43" t="e">
        <f>VLOOKUP($A716,'[2]Team lists'!$A$2:$L$800,9,FALSE)</f>
        <v>#N/A</v>
      </c>
      <c r="K716" s="43" t="e">
        <f>VLOOKUP($A716,'[2]Team lists'!$A$2:$L$800,10,FALSE)</f>
        <v>#N/A</v>
      </c>
      <c r="L716" s="43" t="e">
        <f>VLOOKUP($A716,'[2]Team lists'!$A$2:$L$800,11,FALSE)</f>
        <v>#N/A</v>
      </c>
    </row>
    <row r="717" spans="2:13">
      <c r="B717" s="43" t="e">
        <f>VLOOKUP($A717,'[2]Team lists'!$A$2:$L$800,2,FALSE)</f>
        <v>#N/A</v>
      </c>
      <c r="C717" s="43" t="e">
        <f>VLOOKUP($A717,'[2]Team lists'!$A$2:$L$800,3,FALSE)</f>
        <v>#N/A</v>
      </c>
      <c r="D717" s="43" t="e">
        <f>VLOOKUP($A717,'[2]Team lists'!$A$2:$L$800,4,FALSE)</f>
        <v>#N/A</v>
      </c>
      <c r="E717" s="43" t="e">
        <f>VLOOKUP($A717,'[2]Team lists'!$A$2:$L$800,5,FALSE)</f>
        <v>#N/A</v>
      </c>
      <c r="F717" s="43" t="e">
        <f>VLOOKUP($A717,'[2]Team lists'!$A$2:$L$800,6,FALSE)</f>
        <v>#N/A</v>
      </c>
      <c r="G717" s="43" t="e">
        <f>VLOOKUP($A717,'[2]Team lists'!$A$2:$L$800,7,FALSE)</f>
        <v>#N/A</v>
      </c>
      <c r="H717" s="43" t="e">
        <f>VLOOKUP($A717,'[2]Team lists'!$A$2:$L$800,8,FALSE)</f>
        <v>#N/A</v>
      </c>
      <c r="I717" s="43" t="e">
        <f>VLOOKUP($A717,'[2]Team lists'!$A$2:$L$800,9,FALSE)</f>
        <v>#N/A</v>
      </c>
      <c r="J717" s="43" t="e">
        <f>VLOOKUP($A717,'[2]Team lists'!$A$2:$L$800,9,FALSE)</f>
        <v>#N/A</v>
      </c>
      <c r="K717" s="43" t="e">
        <f>VLOOKUP($A717,'[2]Team lists'!$A$2:$L$800,10,FALSE)</f>
        <v>#N/A</v>
      </c>
      <c r="L717" s="43" t="e">
        <f>VLOOKUP($A717,'[2]Team lists'!$A$2:$L$800,11,FALSE)</f>
        <v>#N/A</v>
      </c>
    </row>
    <row r="718" spans="2:13">
      <c r="B718" s="43" t="e">
        <f>VLOOKUP($A718,'[2]Team lists'!$A$2:$L$800,2,FALSE)</f>
        <v>#N/A</v>
      </c>
      <c r="C718" s="43" t="e">
        <f>VLOOKUP($A718,'[2]Team lists'!$A$2:$L$800,3,FALSE)</f>
        <v>#N/A</v>
      </c>
      <c r="D718" s="43" t="e">
        <f>VLOOKUP($A718,'[2]Team lists'!$A$2:$L$800,4,FALSE)</f>
        <v>#N/A</v>
      </c>
      <c r="E718" s="43" t="e">
        <f>VLOOKUP($A718,'[2]Team lists'!$A$2:$L$800,5,FALSE)</f>
        <v>#N/A</v>
      </c>
      <c r="F718" s="43" t="e">
        <f>VLOOKUP($A718,'[2]Team lists'!$A$2:$L$800,6,FALSE)</f>
        <v>#N/A</v>
      </c>
      <c r="G718" s="43" t="e">
        <f>VLOOKUP($A718,'[2]Team lists'!$A$2:$L$800,7,FALSE)</f>
        <v>#N/A</v>
      </c>
      <c r="H718" s="43" t="e">
        <f>VLOOKUP($A718,'[2]Team lists'!$A$2:$L$800,8,FALSE)</f>
        <v>#N/A</v>
      </c>
      <c r="I718" s="43" t="e">
        <f>VLOOKUP($A718,'[2]Team lists'!$A$2:$L$800,9,FALSE)</f>
        <v>#N/A</v>
      </c>
      <c r="J718" s="43" t="e">
        <f>VLOOKUP($A718,'[2]Team lists'!$A$2:$L$800,9,FALSE)</f>
        <v>#N/A</v>
      </c>
      <c r="K718" s="43" t="e">
        <f>VLOOKUP($A718,'[2]Team lists'!$A$2:$L$800,10,FALSE)</f>
        <v>#N/A</v>
      </c>
      <c r="L718" s="43" t="e">
        <f>VLOOKUP($A718,'[2]Team lists'!$A$2:$L$800,11,FALSE)</f>
        <v>#N/A</v>
      </c>
    </row>
    <row r="719" spans="2:13" ht="18" thickBot="1">
      <c r="B719" s="45" t="s">
        <v>3210</v>
      </c>
      <c r="C719" s="46"/>
      <c r="D719" s="47"/>
      <c r="E719" s="48" t="e">
        <f t="shared" ref="E719:L719" si="44">SUM(E708:E718)</f>
        <v>#N/A</v>
      </c>
      <c r="F719" s="49" t="e">
        <f t="shared" si="44"/>
        <v>#N/A</v>
      </c>
      <c r="G719" s="49" t="e">
        <f t="shared" si="44"/>
        <v>#N/A</v>
      </c>
      <c r="H719" s="49" t="e">
        <f t="shared" si="44"/>
        <v>#N/A</v>
      </c>
      <c r="I719" s="49" t="e">
        <f t="shared" si="44"/>
        <v>#N/A</v>
      </c>
      <c r="J719" s="49" t="e">
        <f t="shared" si="44"/>
        <v>#N/A</v>
      </c>
      <c r="K719" s="49" t="e">
        <f t="shared" si="44"/>
        <v>#N/A</v>
      </c>
      <c r="L719" s="50" t="e">
        <f t="shared" si="44"/>
        <v>#N/A</v>
      </c>
    </row>
    <row r="720" spans="2:13" ht="18.600000000000001" thickTop="1" thickBot="1"/>
    <row r="721" spans="2:13" ht="18" thickTop="1">
      <c r="B721" s="23" t="s">
        <v>3204</v>
      </c>
      <c r="C721" s="24" t="s">
        <v>3205</v>
      </c>
      <c r="D721" s="25"/>
      <c r="E721" s="25"/>
      <c r="F721" s="53"/>
      <c r="G721" s="28" t="s">
        <v>3206</v>
      </c>
      <c r="H721" s="54"/>
      <c r="I721" s="54"/>
      <c r="J721" s="54"/>
      <c r="K721" s="28" t="s">
        <v>3207</v>
      </c>
      <c r="L721" s="29"/>
      <c r="M721" s="22" t="str">
        <f>G721</f>
        <v>Manager:</v>
      </c>
    </row>
    <row r="722" spans="2:13" ht="18" thickBot="1">
      <c r="B722" s="30">
        <v>46</v>
      </c>
      <c r="C722" s="57"/>
      <c r="D722" s="31"/>
      <c r="E722" s="31"/>
      <c r="F722" s="33"/>
      <c r="G722" s="55"/>
      <c r="H722" s="55"/>
      <c r="I722" s="55"/>
      <c r="J722" s="55"/>
      <c r="K722" s="34" t="e">
        <f>SUM(F735:L735)</f>
        <v>#N/A</v>
      </c>
      <c r="L722" s="35"/>
      <c r="M722" s="22">
        <f>G722</f>
        <v>0</v>
      </c>
    </row>
    <row r="723" spans="2:13" ht="18.600000000000001" thickTop="1">
      <c r="B723" s="58" t="s">
        <v>913</v>
      </c>
      <c r="C723" s="59" t="s">
        <v>912</v>
      </c>
      <c r="D723" s="60" t="s">
        <v>911</v>
      </c>
      <c r="E723" s="61" t="s">
        <v>3209</v>
      </c>
      <c r="F723" s="62" t="s">
        <v>3162</v>
      </c>
      <c r="G723" s="62" t="s">
        <v>3163</v>
      </c>
      <c r="H723" s="62" t="s">
        <v>3164</v>
      </c>
      <c r="I723" s="62" t="s">
        <v>3165</v>
      </c>
      <c r="J723" s="62" t="s">
        <v>3166</v>
      </c>
      <c r="K723" s="62" t="s">
        <v>3167</v>
      </c>
      <c r="L723" s="63" t="s">
        <v>3168</v>
      </c>
    </row>
    <row r="724" spans="2:13">
      <c r="B724" s="43" t="e">
        <f>VLOOKUP($A724,'[2]Team lists'!$A$2:$L$800,2,FALSE)</f>
        <v>#N/A</v>
      </c>
      <c r="C724" s="43" t="e">
        <f>VLOOKUP($A724,'[2]Team lists'!$A$2:$L$800,3,FALSE)</f>
        <v>#N/A</v>
      </c>
      <c r="D724" s="43" t="e">
        <f>VLOOKUP($A724,'[2]Team lists'!$A$2:$L$800,4,FALSE)</f>
        <v>#N/A</v>
      </c>
      <c r="E724" s="43" t="e">
        <f>VLOOKUP($A724,'[2]Team lists'!$A$2:$L$800,5,FALSE)</f>
        <v>#N/A</v>
      </c>
      <c r="F724" s="43" t="e">
        <f>VLOOKUP($A724,'[2]Team lists'!$A$2:$L$800,6,FALSE)</f>
        <v>#N/A</v>
      </c>
      <c r="G724" s="43" t="e">
        <f>VLOOKUP($A724,'[2]Team lists'!$A$2:$L$800,7,FALSE)</f>
        <v>#N/A</v>
      </c>
      <c r="H724" s="43" t="e">
        <f>VLOOKUP($A724,'[2]Team lists'!$A$2:$L$800,8,FALSE)</f>
        <v>#N/A</v>
      </c>
      <c r="I724" s="43" t="e">
        <f>VLOOKUP($A724,'[2]Team lists'!$A$2:$L$800,9,FALSE)</f>
        <v>#N/A</v>
      </c>
      <c r="J724" s="43" t="e">
        <f>VLOOKUP($A724,'[2]Team lists'!$A$2:$L$800,9,FALSE)</f>
        <v>#N/A</v>
      </c>
      <c r="K724" s="43" t="e">
        <f>VLOOKUP($A724,'[2]Team lists'!$A$2:$L$800,10,FALSE)</f>
        <v>#N/A</v>
      </c>
      <c r="L724" s="43" t="e">
        <f>VLOOKUP($A724,'[2]Team lists'!$A$2:$L$800,11,FALSE)</f>
        <v>#N/A</v>
      </c>
    </row>
    <row r="725" spans="2:13">
      <c r="B725" s="43" t="e">
        <f>VLOOKUP($A725,'[2]Team lists'!$A$2:$L$800,2,FALSE)</f>
        <v>#N/A</v>
      </c>
      <c r="C725" s="43" t="e">
        <f>VLOOKUP($A725,'[2]Team lists'!$A$2:$L$800,3,FALSE)</f>
        <v>#N/A</v>
      </c>
      <c r="D725" s="43" t="e">
        <f>VLOOKUP($A725,'[2]Team lists'!$A$2:$L$800,4,FALSE)</f>
        <v>#N/A</v>
      </c>
      <c r="E725" s="43" t="e">
        <f>VLOOKUP($A725,'[2]Team lists'!$A$2:$L$800,5,FALSE)</f>
        <v>#N/A</v>
      </c>
      <c r="F725" s="43" t="e">
        <f>VLOOKUP($A725,'[2]Team lists'!$A$2:$L$800,6,FALSE)</f>
        <v>#N/A</v>
      </c>
      <c r="G725" s="43" t="e">
        <f>VLOOKUP($A725,'[2]Team lists'!$A$2:$L$800,7,FALSE)</f>
        <v>#N/A</v>
      </c>
      <c r="H725" s="43" t="e">
        <f>VLOOKUP($A725,'[2]Team lists'!$A$2:$L$800,8,FALSE)</f>
        <v>#N/A</v>
      </c>
      <c r="I725" s="43" t="e">
        <f>VLOOKUP($A725,'[2]Team lists'!$A$2:$L$800,9,FALSE)</f>
        <v>#N/A</v>
      </c>
      <c r="J725" s="43" t="e">
        <f>VLOOKUP($A725,'[2]Team lists'!$A$2:$L$800,9,FALSE)</f>
        <v>#N/A</v>
      </c>
      <c r="K725" s="43" t="e">
        <f>VLOOKUP($A725,'[2]Team lists'!$A$2:$L$800,10,FALSE)</f>
        <v>#N/A</v>
      </c>
      <c r="L725" s="43" t="e">
        <f>VLOOKUP($A725,'[2]Team lists'!$A$2:$L$800,11,FALSE)</f>
        <v>#N/A</v>
      </c>
    </row>
    <row r="726" spans="2:13">
      <c r="B726" s="43" t="e">
        <f>VLOOKUP($A726,'[2]Team lists'!$A$2:$L$800,2,FALSE)</f>
        <v>#N/A</v>
      </c>
      <c r="C726" s="43" t="e">
        <f>VLOOKUP($A726,'[2]Team lists'!$A$2:$L$800,3,FALSE)</f>
        <v>#N/A</v>
      </c>
      <c r="D726" s="43" t="e">
        <f>VLOOKUP($A726,'[2]Team lists'!$A$2:$L$800,4,FALSE)</f>
        <v>#N/A</v>
      </c>
      <c r="E726" s="43" t="e">
        <f>VLOOKUP($A726,'[2]Team lists'!$A$2:$L$800,5,FALSE)</f>
        <v>#N/A</v>
      </c>
      <c r="F726" s="43" t="e">
        <f>VLOOKUP($A726,'[2]Team lists'!$A$2:$L$800,6,FALSE)</f>
        <v>#N/A</v>
      </c>
      <c r="G726" s="43" t="e">
        <f>VLOOKUP($A726,'[2]Team lists'!$A$2:$L$800,7,FALSE)</f>
        <v>#N/A</v>
      </c>
      <c r="H726" s="43" t="e">
        <f>VLOOKUP($A726,'[2]Team lists'!$A$2:$L$800,8,FALSE)</f>
        <v>#N/A</v>
      </c>
      <c r="I726" s="43" t="e">
        <f>VLOOKUP($A726,'[2]Team lists'!$A$2:$L$800,9,FALSE)</f>
        <v>#N/A</v>
      </c>
      <c r="J726" s="43" t="e">
        <f>VLOOKUP($A726,'[2]Team lists'!$A$2:$L$800,9,FALSE)</f>
        <v>#N/A</v>
      </c>
      <c r="K726" s="43" t="e">
        <f>VLOOKUP($A726,'[2]Team lists'!$A$2:$L$800,10,FALSE)</f>
        <v>#N/A</v>
      </c>
      <c r="L726" s="43" t="e">
        <f>VLOOKUP($A726,'[2]Team lists'!$A$2:$L$800,11,FALSE)</f>
        <v>#N/A</v>
      </c>
    </row>
    <row r="727" spans="2:13">
      <c r="B727" s="43" t="e">
        <f>VLOOKUP($A727,'[2]Team lists'!$A$2:$L$800,2,FALSE)</f>
        <v>#N/A</v>
      </c>
      <c r="C727" s="43" t="e">
        <f>VLOOKUP($A727,'[2]Team lists'!$A$2:$L$800,3,FALSE)</f>
        <v>#N/A</v>
      </c>
      <c r="D727" s="43" t="e">
        <f>VLOOKUP($A727,'[2]Team lists'!$A$2:$L$800,4,FALSE)</f>
        <v>#N/A</v>
      </c>
      <c r="E727" s="43" t="e">
        <f>VLOOKUP($A727,'[2]Team lists'!$A$2:$L$800,5,FALSE)</f>
        <v>#N/A</v>
      </c>
      <c r="F727" s="43" t="e">
        <f>VLOOKUP($A727,'[2]Team lists'!$A$2:$L$800,6,FALSE)</f>
        <v>#N/A</v>
      </c>
      <c r="G727" s="43" t="e">
        <f>VLOOKUP($A727,'[2]Team lists'!$A$2:$L$800,7,FALSE)</f>
        <v>#N/A</v>
      </c>
      <c r="H727" s="43" t="e">
        <f>VLOOKUP($A727,'[2]Team lists'!$A$2:$L$800,8,FALSE)</f>
        <v>#N/A</v>
      </c>
      <c r="I727" s="43" t="e">
        <f>VLOOKUP($A727,'[2]Team lists'!$A$2:$L$800,9,FALSE)</f>
        <v>#N/A</v>
      </c>
      <c r="J727" s="43" t="e">
        <f>VLOOKUP($A727,'[2]Team lists'!$A$2:$L$800,9,FALSE)</f>
        <v>#N/A</v>
      </c>
      <c r="K727" s="43" t="e">
        <f>VLOOKUP($A727,'[2]Team lists'!$A$2:$L$800,10,FALSE)</f>
        <v>#N/A</v>
      </c>
      <c r="L727" s="43" t="e">
        <f>VLOOKUP($A727,'[2]Team lists'!$A$2:$L$800,11,FALSE)</f>
        <v>#N/A</v>
      </c>
    </row>
    <row r="728" spans="2:13">
      <c r="B728" s="43" t="e">
        <f>VLOOKUP($A728,'[2]Team lists'!$A$2:$L$800,2,FALSE)</f>
        <v>#N/A</v>
      </c>
      <c r="C728" s="43" t="e">
        <f>VLOOKUP($A728,'[2]Team lists'!$A$2:$L$800,3,FALSE)</f>
        <v>#N/A</v>
      </c>
      <c r="D728" s="43" t="e">
        <f>VLOOKUP($A728,'[2]Team lists'!$A$2:$L$800,4,FALSE)</f>
        <v>#N/A</v>
      </c>
      <c r="E728" s="43" t="e">
        <f>VLOOKUP($A728,'[2]Team lists'!$A$2:$L$800,5,FALSE)</f>
        <v>#N/A</v>
      </c>
      <c r="F728" s="43" t="e">
        <f>VLOOKUP($A728,'[2]Team lists'!$A$2:$L$800,6,FALSE)</f>
        <v>#N/A</v>
      </c>
      <c r="G728" s="43" t="e">
        <f>VLOOKUP($A728,'[2]Team lists'!$A$2:$L$800,7,FALSE)</f>
        <v>#N/A</v>
      </c>
      <c r="H728" s="43" t="e">
        <f>VLOOKUP($A728,'[2]Team lists'!$A$2:$L$800,8,FALSE)</f>
        <v>#N/A</v>
      </c>
      <c r="I728" s="43" t="e">
        <f>VLOOKUP($A728,'[2]Team lists'!$A$2:$L$800,9,FALSE)</f>
        <v>#N/A</v>
      </c>
      <c r="J728" s="43" t="e">
        <f>VLOOKUP($A728,'[2]Team lists'!$A$2:$L$800,9,FALSE)</f>
        <v>#N/A</v>
      </c>
      <c r="K728" s="43" t="e">
        <f>VLOOKUP($A728,'[2]Team lists'!$A$2:$L$800,10,FALSE)</f>
        <v>#N/A</v>
      </c>
      <c r="L728" s="43" t="e">
        <f>VLOOKUP($A728,'[2]Team lists'!$A$2:$L$800,11,FALSE)</f>
        <v>#N/A</v>
      </c>
    </row>
    <row r="729" spans="2:13">
      <c r="B729" s="43" t="e">
        <f>VLOOKUP($A729,'[2]Team lists'!$A$2:$L$800,2,FALSE)</f>
        <v>#N/A</v>
      </c>
      <c r="C729" s="43" t="e">
        <f>VLOOKUP($A729,'[2]Team lists'!$A$2:$L$800,3,FALSE)</f>
        <v>#N/A</v>
      </c>
      <c r="D729" s="43" t="e">
        <f>VLOOKUP($A729,'[2]Team lists'!$A$2:$L$800,4,FALSE)</f>
        <v>#N/A</v>
      </c>
      <c r="E729" s="43" t="e">
        <f>VLOOKUP($A729,'[2]Team lists'!$A$2:$L$800,5,FALSE)</f>
        <v>#N/A</v>
      </c>
      <c r="F729" s="43" t="e">
        <f>VLOOKUP($A729,'[2]Team lists'!$A$2:$L$800,6,FALSE)</f>
        <v>#N/A</v>
      </c>
      <c r="G729" s="43" t="e">
        <f>VLOOKUP($A729,'[2]Team lists'!$A$2:$L$800,7,FALSE)</f>
        <v>#N/A</v>
      </c>
      <c r="H729" s="43" t="e">
        <f>VLOOKUP($A729,'[2]Team lists'!$A$2:$L$800,8,FALSE)</f>
        <v>#N/A</v>
      </c>
      <c r="I729" s="43" t="e">
        <f>VLOOKUP($A729,'[2]Team lists'!$A$2:$L$800,9,FALSE)</f>
        <v>#N/A</v>
      </c>
      <c r="J729" s="43" t="e">
        <f>VLOOKUP($A729,'[2]Team lists'!$A$2:$L$800,9,FALSE)</f>
        <v>#N/A</v>
      </c>
      <c r="K729" s="43" t="e">
        <f>VLOOKUP($A729,'[2]Team lists'!$A$2:$L$800,10,FALSE)</f>
        <v>#N/A</v>
      </c>
      <c r="L729" s="43" t="e">
        <f>VLOOKUP($A729,'[2]Team lists'!$A$2:$L$800,11,FALSE)</f>
        <v>#N/A</v>
      </c>
    </row>
    <row r="730" spans="2:13">
      <c r="B730" s="43" t="e">
        <f>VLOOKUP($A730,'[2]Team lists'!$A$2:$L$800,2,FALSE)</f>
        <v>#N/A</v>
      </c>
      <c r="C730" s="43" t="e">
        <f>VLOOKUP($A730,'[2]Team lists'!$A$2:$L$800,3,FALSE)</f>
        <v>#N/A</v>
      </c>
      <c r="D730" s="43" t="e">
        <f>VLOOKUP($A730,'[2]Team lists'!$A$2:$L$800,4,FALSE)</f>
        <v>#N/A</v>
      </c>
      <c r="E730" s="43" t="e">
        <f>VLOOKUP($A730,'[2]Team lists'!$A$2:$L$800,5,FALSE)</f>
        <v>#N/A</v>
      </c>
      <c r="F730" s="43" t="e">
        <f>VLOOKUP($A730,'[2]Team lists'!$A$2:$L$800,6,FALSE)</f>
        <v>#N/A</v>
      </c>
      <c r="G730" s="43" t="e">
        <f>VLOOKUP($A730,'[2]Team lists'!$A$2:$L$800,7,FALSE)</f>
        <v>#N/A</v>
      </c>
      <c r="H730" s="43" t="e">
        <f>VLOOKUP($A730,'[2]Team lists'!$A$2:$L$800,8,FALSE)</f>
        <v>#N/A</v>
      </c>
      <c r="I730" s="43" t="e">
        <f>VLOOKUP($A730,'[2]Team lists'!$A$2:$L$800,9,FALSE)</f>
        <v>#N/A</v>
      </c>
      <c r="J730" s="43" t="e">
        <f>VLOOKUP($A730,'[2]Team lists'!$A$2:$L$800,9,FALSE)</f>
        <v>#N/A</v>
      </c>
      <c r="K730" s="43" t="e">
        <f>VLOOKUP($A730,'[2]Team lists'!$A$2:$L$800,10,FALSE)</f>
        <v>#N/A</v>
      </c>
      <c r="L730" s="43" t="e">
        <f>VLOOKUP($A730,'[2]Team lists'!$A$2:$L$800,11,FALSE)</f>
        <v>#N/A</v>
      </c>
    </row>
    <row r="731" spans="2:13">
      <c r="B731" s="43" t="e">
        <f>VLOOKUP($A731,'[2]Team lists'!$A$2:$L$800,2,FALSE)</f>
        <v>#N/A</v>
      </c>
      <c r="C731" s="43" t="e">
        <f>VLOOKUP($A731,'[2]Team lists'!$A$2:$L$800,3,FALSE)</f>
        <v>#N/A</v>
      </c>
      <c r="D731" s="43" t="e">
        <f>VLOOKUP($A731,'[2]Team lists'!$A$2:$L$800,4,FALSE)</f>
        <v>#N/A</v>
      </c>
      <c r="E731" s="43" t="e">
        <f>VLOOKUP($A731,'[2]Team lists'!$A$2:$L$800,5,FALSE)</f>
        <v>#N/A</v>
      </c>
      <c r="F731" s="43" t="e">
        <f>VLOOKUP($A731,'[2]Team lists'!$A$2:$L$800,6,FALSE)</f>
        <v>#N/A</v>
      </c>
      <c r="G731" s="43" t="e">
        <f>VLOOKUP($A731,'[2]Team lists'!$A$2:$L$800,7,FALSE)</f>
        <v>#N/A</v>
      </c>
      <c r="H731" s="43" t="e">
        <f>VLOOKUP($A731,'[2]Team lists'!$A$2:$L$800,8,FALSE)</f>
        <v>#N/A</v>
      </c>
      <c r="I731" s="43" t="e">
        <f>VLOOKUP($A731,'[2]Team lists'!$A$2:$L$800,9,FALSE)</f>
        <v>#N/A</v>
      </c>
      <c r="J731" s="43" t="e">
        <f>VLOOKUP($A731,'[2]Team lists'!$A$2:$L$800,9,FALSE)</f>
        <v>#N/A</v>
      </c>
      <c r="K731" s="43" t="e">
        <f>VLOOKUP($A731,'[2]Team lists'!$A$2:$L$800,10,FALSE)</f>
        <v>#N/A</v>
      </c>
      <c r="L731" s="43" t="e">
        <f>VLOOKUP($A731,'[2]Team lists'!$A$2:$L$800,11,FALSE)</f>
        <v>#N/A</v>
      </c>
    </row>
    <row r="732" spans="2:13">
      <c r="B732" s="43" t="e">
        <f>VLOOKUP($A732,'[2]Team lists'!$A$2:$L$800,2,FALSE)</f>
        <v>#N/A</v>
      </c>
      <c r="C732" s="43" t="e">
        <f>VLOOKUP($A732,'[2]Team lists'!$A$2:$L$800,3,FALSE)</f>
        <v>#N/A</v>
      </c>
      <c r="D732" s="43" t="e">
        <f>VLOOKUP($A732,'[2]Team lists'!$A$2:$L$800,4,FALSE)</f>
        <v>#N/A</v>
      </c>
      <c r="E732" s="43" t="e">
        <f>VLOOKUP($A732,'[2]Team lists'!$A$2:$L$800,5,FALSE)</f>
        <v>#N/A</v>
      </c>
      <c r="F732" s="43" t="e">
        <f>VLOOKUP($A732,'[2]Team lists'!$A$2:$L$800,6,FALSE)</f>
        <v>#N/A</v>
      </c>
      <c r="G732" s="43" t="e">
        <f>VLOOKUP($A732,'[2]Team lists'!$A$2:$L$800,7,FALSE)</f>
        <v>#N/A</v>
      </c>
      <c r="H732" s="43" t="e">
        <f>VLOOKUP($A732,'[2]Team lists'!$A$2:$L$800,8,FALSE)</f>
        <v>#N/A</v>
      </c>
      <c r="I732" s="43" t="e">
        <f>VLOOKUP($A732,'[2]Team lists'!$A$2:$L$800,9,FALSE)</f>
        <v>#N/A</v>
      </c>
      <c r="J732" s="43" t="e">
        <f>VLOOKUP($A732,'[2]Team lists'!$A$2:$L$800,9,FALSE)</f>
        <v>#N/A</v>
      </c>
      <c r="K732" s="43" t="e">
        <f>VLOOKUP($A732,'[2]Team lists'!$A$2:$L$800,10,FALSE)</f>
        <v>#N/A</v>
      </c>
      <c r="L732" s="43" t="e">
        <f>VLOOKUP($A732,'[2]Team lists'!$A$2:$L$800,11,FALSE)</f>
        <v>#N/A</v>
      </c>
    </row>
    <row r="733" spans="2:13">
      <c r="B733" s="43" t="e">
        <f>VLOOKUP($A733,'[2]Team lists'!$A$2:$L$800,2,FALSE)</f>
        <v>#N/A</v>
      </c>
      <c r="C733" s="43" t="e">
        <f>VLOOKUP($A733,'[2]Team lists'!$A$2:$L$800,3,FALSE)</f>
        <v>#N/A</v>
      </c>
      <c r="D733" s="43" t="e">
        <f>VLOOKUP($A733,'[2]Team lists'!$A$2:$L$800,4,FALSE)</f>
        <v>#N/A</v>
      </c>
      <c r="E733" s="43" t="e">
        <f>VLOOKUP($A733,'[2]Team lists'!$A$2:$L$800,5,FALSE)</f>
        <v>#N/A</v>
      </c>
      <c r="F733" s="43" t="e">
        <f>VLOOKUP($A733,'[2]Team lists'!$A$2:$L$800,6,FALSE)</f>
        <v>#N/A</v>
      </c>
      <c r="G733" s="43" t="e">
        <f>VLOOKUP($A733,'[2]Team lists'!$A$2:$L$800,7,FALSE)</f>
        <v>#N/A</v>
      </c>
      <c r="H733" s="43" t="e">
        <f>VLOOKUP($A733,'[2]Team lists'!$A$2:$L$800,8,FALSE)</f>
        <v>#N/A</v>
      </c>
      <c r="I733" s="43" t="e">
        <f>VLOOKUP($A733,'[2]Team lists'!$A$2:$L$800,9,FALSE)</f>
        <v>#N/A</v>
      </c>
      <c r="J733" s="43" t="e">
        <f>VLOOKUP($A733,'[2]Team lists'!$A$2:$L$800,9,FALSE)</f>
        <v>#N/A</v>
      </c>
      <c r="K733" s="43" t="e">
        <f>VLOOKUP($A733,'[2]Team lists'!$A$2:$L$800,10,FALSE)</f>
        <v>#N/A</v>
      </c>
      <c r="L733" s="43" t="e">
        <f>VLOOKUP($A733,'[2]Team lists'!$A$2:$L$800,11,FALSE)</f>
        <v>#N/A</v>
      </c>
    </row>
    <row r="734" spans="2:13">
      <c r="B734" s="43" t="e">
        <f>VLOOKUP($A734,'[2]Team lists'!$A$2:$L$800,2,FALSE)</f>
        <v>#N/A</v>
      </c>
      <c r="C734" s="43" t="e">
        <f>VLOOKUP($A734,'[2]Team lists'!$A$2:$L$800,3,FALSE)</f>
        <v>#N/A</v>
      </c>
      <c r="D734" s="43" t="e">
        <f>VLOOKUP($A734,'[2]Team lists'!$A$2:$L$800,4,FALSE)</f>
        <v>#N/A</v>
      </c>
      <c r="E734" s="43" t="e">
        <f>VLOOKUP($A734,'[2]Team lists'!$A$2:$L$800,5,FALSE)</f>
        <v>#N/A</v>
      </c>
      <c r="F734" s="43" t="e">
        <f>VLOOKUP($A734,'[2]Team lists'!$A$2:$L$800,6,FALSE)</f>
        <v>#N/A</v>
      </c>
      <c r="G734" s="43" t="e">
        <f>VLOOKUP($A734,'[2]Team lists'!$A$2:$L$800,7,FALSE)</f>
        <v>#N/A</v>
      </c>
      <c r="H734" s="43" t="e">
        <f>VLOOKUP($A734,'[2]Team lists'!$A$2:$L$800,8,FALSE)</f>
        <v>#N/A</v>
      </c>
      <c r="I734" s="43" t="e">
        <f>VLOOKUP($A734,'[2]Team lists'!$A$2:$L$800,9,FALSE)</f>
        <v>#N/A</v>
      </c>
      <c r="J734" s="43" t="e">
        <f>VLOOKUP($A734,'[2]Team lists'!$A$2:$L$800,9,FALSE)</f>
        <v>#N/A</v>
      </c>
      <c r="K734" s="43" t="e">
        <f>VLOOKUP($A734,'[2]Team lists'!$A$2:$L$800,10,FALSE)</f>
        <v>#N/A</v>
      </c>
      <c r="L734" s="43" t="e">
        <f>VLOOKUP($A734,'[2]Team lists'!$A$2:$L$800,11,FALSE)</f>
        <v>#N/A</v>
      </c>
    </row>
    <row r="735" spans="2:13" ht="18" thickBot="1">
      <c r="B735" s="45" t="s">
        <v>3210</v>
      </c>
      <c r="C735" s="46"/>
      <c r="D735" s="47"/>
      <c r="E735" s="48" t="e">
        <f t="shared" ref="E735:L735" si="45">SUM(E724:E734)</f>
        <v>#N/A</v>
      </c>
      <c r="F735" s="49" t="e">
        <f t="shared" si="45"/>
        <v>#N/A</v>
      </c>
      <c r="G735" s="49" t="e">
        <f t="shared" si="45"/>
        <v>#N/A</v>
      </c>
      <c r="H735" s="49" t="e">
        <f t="shared" si="45"/>
        <v>#N/A</v>
      </c>
      <c r="I735" s="49" t="e">
        <f t="shared" si="45"/>
        <v>#N/A</v>
      </c>
      <c r="J735" s="49" t="e">
        <f t="shared" si="45"/>
        <v>#N/A</v>
      </c>
      <c r="K735" s="49" t="e">
        <f t="shared" si="45"/>
        <v>#N/A</v>
      </c>
      <c r="L735" s="50" t="e">
        <f t="shared" si="45"/>
        <v>#N/A</v>
      </c>
    </row>
    <row r="736" spans="2:13" ht="18.600000000000001" thickTop="1" thickBot="1"/>
    <row r="737" spans="2:13" ht="18" thickTop="1">
      <c r="B737" s="23" t="s">
        <v>3204</v>
      </c>
      <c r="C737" s="24" t="s">
        <v>3205</v>
      </c>
      <c r="D737" s="25"/>
      <c r="E737" s="25"/>
      <c r="F737" s="53"/>
      <c r="G737" s="28" t="s">
        <v>3206</v>
      </c>
      <c r="H737" s="54"/>
      <c r="I737" s="54"/>
      <c r="J737" s="54"/>
      <c r="K737" s="28" t="s">
        <v>3207</v>
      </c>
      <c r="L737" s="29"/>
      <c r="M737" s="22" t="str">
        <f>G737</f>
        <v>Manager:</v>
      </c>
    </row>
    <row r="738" spans="2:13" ht="18" thickBot="1">
      <c r="B738" s="30">
        <v>47</v>
      </c>
      <c r="C738" s="57"/>
      <c r="D738" s="31"/>
      <c r="E738" s="31"/>
      <c r="F738" s="33"/>
      <c r="G738" s="55"/>
      <c r="H738" s="55"/>
      <c r="I738" s="55"/>
      <c r="J738" s="55"/>
      <c r="K738" s="34" t="e">
        <f>SUM(F751:L751)</f>
        <v>#N/A</v>
      </c>
      <c r="L738" s="35"/>
      <c r="M738" s="22">
        <f>G738</f>
        <v>0</v>
      </c>
    </row>
    <row r="739" spans="2:13" ht="18.600000000000001" thickTop="1">
      <c r="B739" s="58" t="s">
        <v>913</v>
      </c>
      <c r="C739" s="59" t="s">
        <v>912</v>
      </c>
      <c r="D739" s="60" t="s">
        <v>911</v>
      </c>
      <c r="E739" s="61" t="s">
        <v>3209</v>
      </c>
      <c r="F739" s="62" t="s">
        <v>3162</v>
      </c>
      <c r="G739" s="62" t="s">
        <v>3163</v>
      </c>
      <c r="H739" s="62" t="s">
        <v>3164</v>
      </c>
      <c r="I739" s="62" t="s">
        <v>3165</v>
      </c>
      <c r="J739" s="62" t="s">
        <v>3166</v>
      </c>
      <c r="K739" s="62" t="s">
        <v>3167</v>
      </c>
      <c r="L739" s="63" t="s">
        <v>3168</v>
      </c>
    </row>
    <row r="740" spans="2:13">
      <c r="B740" s="43" t="e">
        <f>VLOOKUP($A740,'[2]Team lists'!$A$2:$L$800,2,FALSE)</f>
        <v>#N/A</v>
      </c>
      <c r="C740" s="43" t="e">
        <f>VLOOKUP($A740,'[2]Team lists'!$A$2:$L$800,3,FALSE)</f>
        <v>#N/A</v>
      </c>
      <c r="D740" s="43" t="e">
        <f>VLOOKUP($A740,'[2]Team lists'!$A$2:$L$800,4,FALSE)</f>
        <v>#N/A</v>
      </c>
      <c r="E740" s="43" t="e">
        <f>VLOOKUP($A740,'[2]Team lists'!$A$2:$L$800,5,FALSE)</f>
        <v>#N/A</v>
      </c>
      <c r="F740" s="43" t="e">
        <f>VLOOKUP($A740,'[2]Team lists'!$A$2:$L$800,6,FALSE)</f>
        <v>#N/A</v>
      </c>
      <c r="G740" s="43" t="e">
        <f>VLOOKUP($A740,'[2]Team lists'!$A$2:$L$800,7,FALSE)</f>
        <v>#N/A</v>
      </c>
      <c r="H740" s="43" t="e">
        <f>VLOOKUP($A740,'[2]Team lists'!$A$2:$L$800,8,FALSE)</f>
        <v>#N/A</v>
      </c>
      <c r="I740" s="43" t="e">
        <f>VLOOKUP($A740,'[2]Team lists'!$A$2:$L$800,9,FALSE)</f>
        <v>#N/A</v>
      </c>
      <c r="J740" s="43" t="e">
        <f>VLOOKUP($A740,'[2]Team lists'!$A$2:$L$800,9,FALSE)</f>
        <v>#N/A</v>
      </c>
      <c r="K740" s="43" t="e">
        <f>VLOOKUP($A740,'[2]Team lists'!$A$2:$L$800,10,FALSE)</f>
        <v>#N/A</v>
      </c>
      <c r="L740" s="43" t="e">
        <f>VLOOKUP($A740,'[2]Team lists'!$A$2:$L$800,11,FALSE)</f>
        <v>#N/A</v>
      </c>
    </row>
    <row r="741" spans="2:13">
      <c r="B741" s="43" t="e">
        <f>VLOOKUP($A741,'[2]Team lists'!$A$2:$L$800,2,FALSE)</f>
        <v>#N/A</v>
      </c>
      <c r="C741" s="43" t="e">
        <f>VLOOKUP($A741,'[2]Team lists'!$A$2:$L$800,3,FALSE)</f>
        <v>#N/A</v>
      </c>
      <c r="D741" s="43" t="e">
        <f>VLOOKUP($A741,'[2]Team lists'!$A$2:$L$800,4,FALSE)</f>
        <v>#N/A</v>
      </c>
      <c r="E741" s="43" t="e">
        <f>VLOOKUP($A741,'[2]Team lists'!$A$2:$L$800,5,FALSE)</f>
        <v>#N/A</v>
      </c>
      <c r="F741" s="43" t="e">
        <f>VLOOKUP($A741,'[2]Team lists'!$A$2:$L$800,6,FALSE)</f>
        <v>#N/A</v>
      </c>
      <c r="G741" s="43" t="e">
        <f>VLOOKUP($A741,'[2]Team lists'!$A$2:$L$800,7,FALSE)</f>
        <v>#N/A</v>
      </c>
      <c r="H741" s="43" t="e">
        <f>VLOOKUP($A741,'[2]Team lists'!$A$2:$L$800,8,FALSE)</f>
        <v>#N/A</v>
      </c>
      <c r="I741" s="43" t="e">
        <f>VLOOKUP($A741,'[2]Team lists'!$A$2:$L$800,9,FALSE)</f>
        <v>#N/A</v>
      </c>
      <c r="J741" s="43" t="e">
        <f>VLOOKUP($A741,'[2]Team lists'!$A$2:$L$800,9,FALSE)</f>
        <v>#N/A</v>
      </c>
      <c r="K741" s="43" t="e">
        <f>VLOOKUP($A741,'[2]Team lists'!$A$2:$L$800,10,FALSE)</f>
        <v>#N/A</v>
      </c>
      <c r="L741" s="43" t="e">
        <f>VLOOKUP($A741,'[2]Team lists'!$A$2:$L$800,11,FALSE)</f>
        <v>#N/A</v>
      </c>
    </row>
    <row r="742" spans="2:13">
      <c r="B742" s="43" t="e">
        <f>VLOOKUP($A742,'[2]Team lists'!$A$2:$L$800,2,FALSE)</f>
        <v>#N/A</v>
      </c>
      <c r="C742" s="43" t="e">
        <f>VLOOKUP($A742,'[2]Team lists'!$A$2:$L$800,3,FALSE)</f>
        <v>#N/A</v>
      </c>
      <c r="D742" s="43" t="e">
        <f>VLOOKUP($A742,'[2]Team lists'!$A$2:$L$800,4,FALSE)</f>
        <v>#N/A</v>
      </c>
      <c r="E742" s="43" t="e">
        <f>VLOOKUP($A742,'[2]Team lists'!$A$2:$L$800,5,FALSE)</f>
        <v>#N/A</v>
      </c>
      <c r="F742" s="43" t="e">
        <f>VLOOKUP($A742,'[2]Team lists'!$A$2:$L$800,6,FALSE)</f>
        <v>#N/A</v>
      </c>
      <c r="G742" s="43" t="e">
        <f>VLOOKUP($A742,'[2]Team lists'!$A$2:$L$800,7,FALSE)</f>
        <v>#N/A</v>
      </c>
      <c r="H742" s="43" t="e">
        <f>VLOOKUP($A742,'[2]Team lists'!$A$2:$L$800,8,FALSE)</f>
        <v>#N/A</v>
      </c>
      <c r="I742" s="43" t="e">
        <f>VLOOKUP($A742,'[2]Team lists'!$A$2:$L$800,9,FALSE)</f>
        <v>#N/A</v>
      </c>
      <c r="J742" s="43" t="e">
        <f>VLOOKUP($A742,'[2]Team lists'!$A$2:$L$800,9,FALSE)</f>
        <v>#N/A</v>
      </c>
      <c r="K742" s="43" t="e">
        <f>VLOOKUP($A742,'[2]Team lists'!$A$2:$L$800,10,FALSE)</f>
        <v>#N/A</v>
      </c>
      <c r="L742" s="43" t="e">
        <f>VLOOKUP($A742,'[2]Team lists'!$A$2:$L$800,11,FALSE)</f>
        <v>#N/A</v>
      </c>
    </row>
    <row r="743" spans="2:13">
      <c r="B743" s="43" t="e">
        <f>VLOOKUP($A743,'[2]Team lists'!$A$2:$L$800,2,FALSE)</f>
        <v>#N/A</v>
      </c>
      <c r="C743" s="43" t="e">
        <f>VLOOKUP($A743,'[2]Team lists'!$A$2:$L$800,3,FALSE)</f>
        <v>#N/A</v>
      </c>
      <c r="D743" s="43" t="e">
        <f>VLOOKUP($A743,'[2]Team lists'!$A$2:$L$800,4,FALSE)</f>
        <v>#N/A</v>
      </c>
      <c r="E743" s="43" t="e">
        <f>VLOOKUP($A743,'[2]Team lists'!$A$2:$L$800,5,FALSE)</f>
        <v>#N/A</v>
      </c>
      <c r="F743" s="43" t="e">
        <f>VLOOKUP($A743,'[2]Team lists'!$A$2:$L$800,6,FALSE)</f>
        <v>#N/A</v>
      </c>
      <c r="G743" s="43" t="e">
        <f>VLOOKUP($A743,'[2]Team lists'!$A$2:$L$800,7,FALSE)</f>
        <v>#N/A</v>
      </c>
      <c r="H743" s="43" t="e">
        <f>VLOOKUP($A743,'[2]Team lists'!$A$2:$L$800,8,FALSE)</f>
        <v>#N/A</v>
      </c>
      <c r="I743" s="43" t="e">
        <f>VLOOKUP($A743,'[2]Team lists'!$A$2:$L$800,9,FALSE)</f>
        <v>#N/A</v>
      </c>
      <c r="J743" s="43" t="e">
        <f>VLOOKUP($A743,'[2]Team lists'!$A$2:$L$800,9,FALSE)</f>
        <v>#N/A</v>
      </c>
      <c r="K743" s="43" t="e">
        <f>VLOOKUP($A743,'[2]Team lists'!$A$2:$L$800,10,FALSE)</f>
        <v>#N/A</v>
      </c>
      <c r="L743" s="43" t="e">
        <f>VLOOKUP($A743,'[2]Team lists'!$A$2:$L$800,11,FALSE)</f>
        <v>#N/A</v>
      </c>
    </row>
    <row r="744" spans="2:13">
      <c r="B744" s="43" t="e">
        <f>VLOOKUP($A744,'[2]Team lists'!$A$2:$L$800,2,FALSE)</f>
        <v>#N/A</v>
      </c>
      <c r="C744" s="43" t="e">
        <f>VLOOKUP($A744,'[2]Team lists'!$A$2:$L$800,3,FALSE)</f>
        <v>#N/A</v>
      </c>
      <c r="D744" s="43" t="e">
        <f>VLOOKUP($A744,'[2]Team lists'!$A$2:$L$800,4,FALSE)</f>
        <v>#N/A</v>
      </c>
      <c r="E744" s="43" t="e">
        <f>VLOOKUP($A744,'[2]Team lists'!$A$2:$L$800,5,FALSE)</f>
        <v>#N/A</v>
      </c>
      <c r="F744" s="43" t="e">
        <f>VLOOKUP($A744,'[2]Team lists'!$A$2:$L$800,6,FALSE)</f>
        <v>#N/A</v>
      </c>
      <c r="G744" s="43" t="e">
        <f>VLOOKUP($A744,'[2]Team lists'!$A$2:$L$800,7,FALSE)</f>
        <v>#N/A</v>
      </c>
      <c r="H744" s="43" t="e">
        <f>VLOOKUP($A744,'[2]Team lists'!$A$2:$L$800,8,FALSE)</f>
        <v>#N/A</v>
      </c>
      <c r="I744" s="43" t="e">
        <f>VLOOKUP($A744,'[2]Team lists'!$A$2:$L$800,9,FALSE)</f>
        <v>#N/A</v>
      </c>
      <c r="J744" s="43" t="e">
        <f>VLOOKUP($A744,'[2]Team lists'!$A$2:$L$800,9,FALSE)</f>
        <v>#N/A</v>
      </c>
      <c r="K744" s="43" t="e">
        <f>VLOOKUP($A744,'[2]Team lists'!$A$2:$L$800,10,FALSE)</f>
        <v>#N/A</v>
      </c>
      <c r="L744" s="43" t="e">
        <f>VLOOKUP($A744,'[2]Team lists'!$A$2:$L$800,11,FALSE)</f>
        <v>#N/A</v>
      </c>
    </row>
    <row r="745" spans="2:13">
      <c r="B745" s="43" t="e">
        <f>VLOOKUP($A745,'[2]Team lists'!$A$2:$L$800,2,FALSE)</f>
        <v>#N/A</v>
      </c>
      <c r="C745" s="43" t="e">
        <f>VLOOKUP($A745,'[2]Team lists'!$A$2:$L$800,3,FALSE)</f>
        <v>#N/A</v>
      </c>
      <c r="D745" s="43" t="e">
        <f>VLOOKUP($A745,'[2]Team lists'!$A$2:$L$800,4,FALSE)</f>
        <v>#N/A</v>
      </c>
      <c r="E745" s="43" t="e">
        <f>VLOOKUP($A745,'[2]Team lists'!$A$2:$L$800,5,FALSE)</f>
        <v>#N/A</v>
      </c>
      <c r="F745" s="43" t="e">
        <f>VLOOKUP($A745,'[2]Team lists'!$A$2:$L$800,6,FALSE)</f>
        <v>#N/A</v>
      </c>
      <c r="G745" s="43" t="e">
        <f>VLOOKUP($A745,'[2]Team lists'!$A$2:$L$800,7,FALSE)</f>
        <v>#N/A</v>
      </c>
      <c r="H745" s="43" t="e">
        <f>VLOOKUP($A745,'[2]Team lists'!$A$2:$L$800,8,FALSE)</f>
        <v>#N/A</v>
      </c>
      <c r="I745" s="43" t="e">
        <f>VLOOKUP($A745,'[2]Team lists'!$A$2:$L$800,9,FALSE)</f>
        <v>#N/A</v>
      </c>
      <c r="J745" s="43" t="e">
        <f>VLOOKUP($A745,'[2]Team lists'!$A$2:$L$800,9,FALSE)</f>
        <v>#N/A</v>
      </c>
      <c r="K745" s="43" t="e">
        <f>VLOOKUP($A745,'[2]Team lists'!$A$2:$L$800,10,FALSE)</f>
        <v>#N/A</v>
      </c>
      <c r="L745" s="43" t="e">
        <f>VLOOKUP($A745,'[2]Team lists'!$A$2:$L$800,11,FALSE)</f>
        <v>#N/A</v>
      </c>
    </row>
    <row r="746" spans="2:13">
      <c r="B746" s="43" t="e">
        <f>VLOOKUP($A746,'[2]Team lists'!$A$2:$L$800,2,FALSE)</f>
        <v>#N/A</v>
      </c>
      <c r="C746" s="43" t="e">
        <f>VLOOKUP($A746,'[2]Team lists'!$A$2:$L$800,3,FALSE)</f>
        <v>#N/A</v>
      </c>
      <c r="D746" s="43" t="e">
        <f>VLOOKUP($A746,'[2]Team lists'!$A$2:$L$800,4,FALSE)</f>
        <v>#N/A</v>
      </c>
      <c r="E746" s="43" t="e">
        <f>VLOOKUP($A746,'[2]Team lists'!$A$2:$L$800,5,FALSE)</f>
        <v>#N/A</v>
      </c>
      <c r="F746" s="43" t="e">
        <f>VLOOKUP($A746,'[2]Team lists'!$A$2:$L$800,6,FALSE)</f>
        <v>#N/A</v>
      </c>
      <c r="G746" s="43" t="e">
        <f>VLOOKUP($A746,'[2]Team lists'!$A$2:$L$800,7,FALSE)</f>
        <v>#N/A</v>
      </c>
      <c r="H746" s="43" t="e">
        <f>VLOOKUP($A746,'[2]Team lists'!$A$2:$L$800,8,FALSE)</f>
        <v>#N/A</v>
      </c>
      <c r="I746" s="43" t="e">
        <f>VLOOKUP($A746,'[2]Team lists'!$A$2:$L$800,9,FALSE)</f>
        <v>#N/A</v>
      </c>
      <c r="J746" s="43" t="e">
        <f>VLOOKUP($A746,'[2]Team lists'!$A$2:$L$800,9,FALSE)</f>
        <v>#N/A</v>
      </c>
      <c r="K746" s="43" t="e">
        <f>VLOOKUP($A746,'[2]Team lists'!$A$2:$L$800,10,FALSE)</f>
        <v>#N/A</v>
      </c>
      <c r="L746" s="43" t="e">
        <f>VLOOKUP($A746,'[2]Team lists'!$A$2:$L$800,11,FALSE)</f>
        <v>#N/A</v>
      </c>
    </row>
    <row r="747" spans="2:13">
      <c r="B747" s="43" t="e">
        <f>VLOOKUP($A747,'[2]Team lists'!$A$2:$L$800,2,FALSE)</f>
        <v>#N/A</v>
      </c>
      <c r="C747" s="43" t="e">
        <f>VLOOKUP($A747,'[2]Team lists'!$A$2:$L$800,3,FALSE)</f>
        <v>#N/A</v>
      </c>
      <c r="D747" s="43" t="e">
        <f>VLOOKUP($A747,'[2]Team lists'!$A$2:$L$800,4,FALSE)</f>
        <v>#N/A</v>
      </c>
      <c r="E747" s="43" t="e">
        <f>VLOOKUP($A747,'[2]Team lists'!$A$2:$L$800,5,FALSE)</f>
        <v>#N/A</v>
      </c>
      <c r="F747" s="43" t="e">
        <f>VLOOKUP($A747,'[2]Team lists'!$A$2:$L$800,6,FALSE)</f>
        <v>#N/A</v>
      </c>
      <c r="G747" s="43" t="e">
        <f>VLOOKUP($A747,'[2]Team lists'!$A$2:$L$800,7,FALSE)</f>
        <v>#N/A</v>
      </c>
      <c r="H747" s="43" t="e">
        <f>VLOOKUP($A747,'[2]Team lists'!$A$2:$L$800,8,FALSE)</f>
        <v>#N/A</v>
      </c>
      <c r="I747" s="43" t="e">
        <f>VLOOKUP($A747,'[2]Team lists'!$A$2:$L$800,9,FALSE)</f>
        <v>#N/A</v>
      </c>
      <c r="J747" s="43" t="e">
        <f>VLOOKUP($A747,'[2]Team lists'!$A$2:$L$800,9,FALSE)</f>
        <v>#N/A</v>
      </c>
      <c r="K747" s="43" t="e">
        <f>VLOOKUP($A747,'[2]Team lists'!$A$2:$L$800,10,FALSE)</f>
        <v>#N/A</v>
      </c>
      <c r="L747" s="43" t="e">
        <f>VLOOKUP($A747,'[2]Team lists'!$A$2:$L$800,11,FALSE)</f>
        <v>#N/A</v>
      </c>
    </row>
    <row r="748" spans="2:13">
      <c r="B748" s="43" t="e">
        <f>VLOOKUP($A748,'[2]Team lists'!$A$2:$L$800,2,FALSE)</f>
        <v>#N/A</v>
      </c>
      <c r="C748" s="43" t="e">
        <f>VLOOKUP($A748,'[2]Team lists'!$A$2:$L$800,3,FALSE)</f>
        <v>#N/A</v>
      </c>
      <c r="D748" s="43" t="e">
        <f>VLOOKUP($A748,'[2]Team lists'!$A$2:$L$800,4,FALSE)</f>
        <v>#N/A</v>
      </c>
      <c r="E748" s="43" t="e">
        <f>VLOOKUP($A748,'[2]Team lists'!$A$2:$L$800,5,FALSE)</f>
        <v>#N/A</v>
      </c>
      <c r="F748" s="43" t="e">
        <f>VLOOKUP($A748,'[2]Team lists'!$A$2:$L$800,6,FALSE)</f>
        <v>#N/A</v>
      </c>
      <c r="G748" s="43" t="e">
        <f>VLOOKUP($A748,'[2]Team lists'!$A$2:$L$800,7,FALSE)</f>
        <v>#N/A</v>
      </c>
      <c r="H748" s="43" t="e">
        <f>VLOOKUP($A748,'[2]Team lists'!$A$2:$L$800,8,FALSE)</f>
        <v>#N/A</v>
      </c>
      <c r="I748" s="43" t="e">
        <f>VLOOKUP($A748,'[2]Team lists'!$A$2:$L$800,9,FALSE)</f>
        <v>#N/A</v>
      </c>
      <c r="J748" s="43" t="e">
        <f>VLOOKUP($A748,'[2]Team lists'!$A$2:$L$800,9,FALSE)</f>
        <v>#N/A</v>
      </c>
      <c r="K748" s="43" t="e">
        <f>VLOOKUP($A748,'[2]Team lists'!$A$2:$L$800,10,FALSE)</f>
        <v>#N/A</v>
      </c>
      <c r="L748" s="43" t="e">
        <f>VLOOKUP($A748,'[2]Team lists'!$A$2:$L$800,11,FALSE)</f>
        <v>#N/A</v>
      </c>
    </row>
    <row r="749" spans="2:13">
      <c r="B749" s="43" t="e">
        <f>VLOOKUP($A749,'[2]Team lists'!$A$2:$L$800,2,FALSE)</f>
        <v>#N/A</v>
      </c>
      <c r="C749" s="43" t="e">
        <f>VLOOKUP($A749,'[2]Team lists'!$A$2:$L$800,3,FALSE)</f>
        <v>#N/A</v>
      </c>
      <c r="D749" s="43" t="e">
        <f>VLOOKUP($A749,'[2]Team lists'!$A$2:$L$800,4,FALSE)</f>
        <v>#N/A</v>
      </c>
      <c r="E749" s="43" t="e">
        <f>VLOOKUP($A749,'[2]Team lists'!$A$2:$L$800,5,FALSE)</f>
        <v>#N/A</v>
      </c>
      <c r="F749" s="43" t="e">
        <f>VLOOKUP($A749,'[2]Team lists'!$A$2:$L$800,6,FALSE)</f>
        <v>#N/A</v>
      </c>
      <c r="G749" s="43" t="e">
        <f>VLOOKUP($A749,'[2]Team lists'!$A$2:$L$800,7,FALSE)</f>
        <v>#N/A</v>
      </c>
      <c r="H749" s="43" t="e">
        <f>VLOOKUP($A749,'[2]Team lists'!$A$2:$L$800,8,FALSE)</f>
        <v>#N/A</v>
      </c>
      <c r="I749" s="43" t="e">
        <f>VLOOKUP($A749,'[2]Team lists'!$A$2:$L$800,9,FALSE)</f>
        <v>#N/A</v>
      </c>
      <c r="J749" s="43" t="e">
        <f>VLOOKUP($A749,'[2]Team lists'!$A$2:$L$800,9,FALSE)</f>
        <v>#N/A</v>
      </c>
      <c r="K749" s="43" t="e">
        <f>VLOOKUP($A749,'[2]Team lists'!$A$2:$L$800,10,FALSE)</f>
        <v>#N/A</v>
      </c>
      <c r="L749" s="43" t="e">
        <f>VLOOKUP($A749,'[2]Team lists'!$A$2:$L$800,11,FALSE)</f>
        <v>#N/A</v>
      </c>
    </row>
    <row r="750" spans="2:13">
      <c r="B750" s="43" t="e">
        <f>VLOOKUP($A750,'[2]Team lists'!$A$2:$L$800,2,FALSE)</f>
        <v>#N/A</v>
      </c>
      <c r="C750" s="43" t="e">
        <f>VLOOKUP($A750,'[2]Team lists'!$A$2:$L$800,3,FALSE)</f>
        <v>#N/A</v>
      </c>
      <c r="D750" s="43" t="e">
        <f>VLOOKUP($A750,'[2]Team lists'!$A$2:$L$800,4,FALSE)</f>
        <v>#N/A</v>
      </c>
      <c r="E750" s="43" t="e">
        <f>VLOOKUP($A750,'[2]Team lists'!$A$2:$L$800,5,FALSE)</f>
        <v>#N/A</v>
      </c>
      <c r="F750" s="43" t="e">
        <f>VLOOKUP($A750,'[2]Team lists'!$A$2:$L$800,6,FALSE)</f>
        <v>#N/A</v>
      </c>
      <c r="G750" s="43" t="e">
        <f>VLOOKUP($A750,'[2]Team lists'!$A$2:$L$800,7,FALSE)</f>
        <v>#N/A</v>
      </c>
      <c r="H750" s="43" t="e">
        <f>VLOOKUP($A750,'[2]Team lists'!$A$2:$L$800,8,FALSE)</f>
        <v>#N/A</v>
      </c>
      <c r="I750" s="43" t="e">
        <f>VLOOKUP($A750,'[2]Team lists'!$A$2:$L$800,9,FALSE)</f>
        <v>#N/A</v>
      </c>
      <c r="J750" s="43" t="e">
        <f>VLOOKUP($A750,'[2]Team lists'!$A$2:$L$800,9,FALSE)</f>
        <v>#N/A</v>
      </c>
      <c r="K750" s="43" t="e">
        <f>VLOOKUP($A750,'[2]Team lists'!$A$2:$L$800,10,FALSE)</f>
        <v>#N/A</v>
      </c>
      <c r="L750" s="43" t="e">
        <f>VLOOKUP($A750,'[2]Team lists'!$A$2:$L$800,11,FALSE)</f>
        <v>#N/A</v>
      </c>
    </row>
    <row r="751" spans="2:13" ht="18" thickBot="1">
      <c r="B751" s="45" t="s">
        <v>3210</v>
      </c>
      <c r="C751" s="46"/>
      <c r="D751" s="47"/>
      <c r="E751" s="48" t="e">
        <f t="shared" ref="E751:L751" si="46">SUM(E740:E750)</f>
        <v>#N/A</v>
      </c>
      <c r="F751" s="49" t="e">
        <f t="shared" si="46"/>
        <v>#N/A</v>
      </c>
      <c r="G751" s="49" t="e">
        <f t="shared" si="46"/>
        <v>#N/A</v>
      </c>
      <c r="H751" s="49" t="e">
        <f t="shared" si="46"/>
        <v>#N/A</v>
      </c>
      <c r="I751" s="49" t="e">
        <f t="shared" si="46"/>
        <v>#N/A</v>
      </c>
      <c r="J751" s="49" t="e">
        <f t="shared" si="46"/>
        <v>#N/A</v>
      </c>
      <c r="K751" s="49" t="e">
        <f t="shared" si="46"/>
        <v>#N/A</v>
      </c>
      <c r="L751" s="50" t="e">
        <f t="shared" si="46"/>
        <v>#N/A</v>
      </c>
    </row>
    <row r="752" spans="2:13" ht="18.600000000000001" thickTop="1" thickBot="1"/>
    <row r="753" spans="2:13" ht="18" thickTop="1">
      <c r="B753" s="23" t="s">
        <v>3204</v>
      </c>
      <c r="C753" s="24" t="s">
        <v>3205</v>
      </c>
      <c r="D753" s="25"/>
      <c r="E753" s="25"/>
      <c r="F753" s="53"/>
      <c r="G753" s="28" t="s">
        <v>3206</v>
      </c>
      <c r="H753" s="54"/>
      <c r="I753" s="54"/>
      <c r="J753" s="54"/>
      <c r="K753" s="28" t="s">
        <v>3207</v>
      </c>
      <c r="L753" s="29"/>
      <c r="M753" s="22" t="str">
        <f>G753</f>
        <v>Manager:</v>
      </c>
    </row>
    <row r="754" spans="2:13" ht="18" thickBot="1">
      <c r="B754" s="30">
        <v>48</v>
      </c>
      <c r="C754" s="57"/>
      <c r="D754" s="31"/>
      <c r="E754" s="31"/>
      <c r="F754" s="33"/>
      <c r="G754" s="55"/>
      <c r="H754" s="55"/>
      <c r="I754" s="55"/>
      <c r="J754" s="55"/>
      <c r="K754" s="34" t="e">
        <f>SUM(F767:L767)</f>
        <v>#N/A</v>
      </c>
      <c r="L754" s="35"/>
      <c r="M754" s="22">
        <f>G754</f>
        <v>0</v>
      </c>
    </row>
    <row r="755" spans="2:13" ht="18.600000000000001" thickTop="1">
      <c r="B755" s="58" t="s">
        <v>913</v>
      </c>
      <c r="C755" s="59" t="s">
        <v>912</v>
      </c>
      <c r="D755" s="60" t="s">
        <v>911</v>
      </c>
      <c r="E755" s="61" t="s">
        <v>3209</v>
      </c>
      <c r="F755" s="62" t="s">
        <v>3162</v>
      </c>
      <c r="G755" s="62" t="s">
        <v>3163</v>
      </c>
      <c r="H755" s="62" t="s">
        <v>3164</v>
      </c>
      <c r="I755" s="62" t="s">
        <v>3165</v>
      </c>
      <c r="J755" s="62" t="s">
        <v>3166</v>
      </c>
      <c r="K755" s="62" t="s">
        <v>3167</v>
      </c>
      <c r="L755" s="63" t="s">
        <v>3168</v>
      </c>
    </row>
    <row r="756" spans="2:13">
      <c r="B756" s="43" t="e">
        <f>VLOOKUP($A756,'[2]Team lists'!$A$2:$L$800,2,FALSE)</f>
        <v>#N/A</v>
      </c>
      <c r="C756" s="43" t="e">
        <f>VLOOKUP($A756,'[2]Team lists'!$A$2:$L$800,3,FALSE)</f>
        <v>#N/A</v>
      </c>
      <c r="D756" s="43" t="e">
        <f>VLOOKUP($A756,'[2]Team lists'!$A$2:$L$800,4,FALSE)</f>
        <v>#N/A</v>
      </c>
      <c r="E756" s="43" t="e">
        <f>VLOOKUP($A756,'[2]Team lists'!$A$2:$L$800,5,FALSE)</f>
        <v>#N/A</v>
      </c>
      <c r="F756" s="43" t="e">
        <f>VLOOKUP($A756,'[2]Team lists'!$A$2:$L$800,6,FALSE)</f>
        <v>#N/A</v>
      </c>
      <c r="G756" s="43" t="e">
        <f>VLOOKUP($A756,'[2]Team lists'!$A$2:$L$800,7,FALSE)</f>
        <v>#N/A</v>
      </c>
      <c r="H756" s="43" t="e">
        <f>VLOOKUP($A756,'[2]Team lists'!$A$2:$L$800,8,FALSE)</f>
        <v>#N/A</v>
      </c>
      <c r="I756" s="43" t="e">
        <f>VLOOKUP($A756,'[2]Team lists'!$A$2:$L$800,9,FALSE)</f>
        <v>#N/A</v>
      </c>
      <c r="J756" s="43" t="e">
        <f>VLOOKUP($A756,'[2]Team lists'!$A$2:$L$800,9,FALSE)</f>
        <v>#N/A</v>
      </c>
      <c r="K756" s="43" t="e">
        <f>VLOOKUP($A756,'[2]Team lists'!$A$2:$L$800,10,FALSE)</f>
        <v>#N/A</v>
      </c>
      <c r="L756" s="43" t="e">
        <f>VLOOKUP($A756,'[2]Team lists'!$A$2:$L$800,11,FALSE)</f>
        <v>#N/A</v>
      </c>
    </row>
    <row r="757" spans="2:13">
      <c r="B757" s="43" t="e">
        <f>VLOOKUP($A757,'[2]Team lists'!$A$2:$L$800,2,FALSE)</f>
        <v>#N/A</v>
      </c>
      <c r="C757" s="43" t="e">
        <f>VLOOKUP($A757,'[2]Team lists'!$A$2:$L$800,3,FALSE)</f>
        <v>#N/A</v>
      </c>
      <c r="D757" s="43" t="e">
        <f>VLOOKUP($A757,'[2]Team lists'!$A$2:$L$800,4,FALSE)</f>
        <v>#N/A</v>
      </c>
      <c r="E757" s="43" t="e">
        <f>VLOOKUP($A757,'[2]Team lists'!$A$2:$L$800,5,FALSE)</f>
        <v>#N/A</v>
      </c>
      <c r="F757" s="43" t="e">
        <f>VLOOKUP($A757,'[2]Team lists'!$A$2:$L$800,6,FALSE)</f>
        <v>#N/A</v>
      </c>
      <c r="G757" s="43" t="e">
        <f>VLOOKUP($A757,'[2]Team lists'!$A$2:$L$800,7,FALSE)</f>
        <v>#N/A</v>
      </c>
      <c r="H757" s="43" t="e">
        <f>VLOOKUP($A757,'[2]Team lists'!$A$2:$L$800,8,FALSE)</f>
        <v>#N/A</v>
      </c>
      <c r="I757" s="43" t="e">
        <f>VLOOKUP($A757,'[2]Team lists'!$A$2:$L$800,9,FALSE)</f>
        <v>#N/A</v>
      </c>
      <c r="J757" s="43" t="e">
        <f>VLOOKUP($A757,'[2]Team lists'!$A$2:$L$800,9,FALSE)</f>
        <v>#N/A</v>
      </c>
      <c r="K757" s="43" t="e">
        <f>VLOOKUP($A757,'[2]Team lists'!$A$2:$L$800,10,FALSE)</f>
        <v>#N/A</v>
      </c>
      <c r="L757" s="43" t="e">
        <f>VLOOKUP($A757,'[2]Team lists'!$A$2:$L$800,11,FALSE)</f>
        <v>#N/A</v>
      </c>
    </row>
    <row r="758" spans="2:13">
      <c r="B758" s="43" t="e">
        <f>VLOOKUP($A758,'[2]Team lists'!$A$2:$L$800,2,FALSE)</f>
        <v>#N/A</v>
      </c>
      <c r="C758" s="43" t="e">
        <f>VLOOKUP($A758,'[2]Team lists'!$A$2:$L$800,3,FALSE)</f>
        <v>#N/A</v>
      </c>
      <c r="D758" s="43" t="e">
        <f>VLOOKUP($A758,'[2]Team lists'!$A$2:$L$800,4,FALSE)</f>
        <v>#N/A</v>
      </c>
      <c r="E758" s="43" t="e">
        <f>VLOOKUP($A758,'[2]Team lists'!$A$2:$L$800,5,FALSE)</f>
        <v>#N/A</v>
      </c>
      <c r="F758" s="43" t="e">
        <f>VLOOKUP($A758,'[2]Team lists'!$A$2:$L$800,6,FALSE)</f>
        <v>#N/A</v>
      </c>
      <c r="G758" s="43" t="e">
        <f>VLOOKUP($A758,'[2]Team lists'!$A$2:$L$800,7,FALSE)</f>
        <v>#N/A</v>
      </c>
      <c r="H758" s="43" t="e">
        <f>VLOOKUP($A758,'[2]Team lists'!$A$2:$L$800,8,FALSE)</f>
        <v>#N/A</v>
      </c>
      <c r="I758" s="43" t="e">
        <f>VLOOKUP($A758,'[2]Team lists'!$A$2:$L$800,9,FALSE)</f>
        <v>#N/A</v>
      </c>
      <c r="J758" s="43" t="e">
        <f>VLOOKUP($A758,'[2]Team lists'!$A$2:$L$800,9,FALSE)</f>
        <v>#N/A</v>
      </c>
      <c r="K758" s="43" t="e">
        <f>VLOOKUP($A758,'[2]Team lists'!$A$2:$L$800,10,FALSE)</f>
        <v>#N/A</v>
      </c>
      <c r="L758" s="43" t="e">
        <f>VLOOKUP($A758,'[2]Team lists'!$A$2:$L$800,11,FALSE)</f>
        <v>#N/A</v>
      </c>
    </row>
    <row r="759" spans="2:13">
      <c r="B759" s="43" t="e">
        <f>VLOOKUP($A759,'[2]Team lists'!$A$2:$L$800,2,FALSE)</f>
        <v>#N/A</v>
      </c>
      <c r="C759" s="43" t="e">
        <f>VLOOKUP($A759,'[2]Team lists'!$A$2:$L$800,3,FALSE)</f>
        <v>#N/A</v>
      </c>
      <c r="D759" s="43" t="e">
        <f>VLOOKUP($A759,'[2]Team lists'!$A$2:$L$800,4,FALSE)</f>
        <v>#N/A</v>
      </c>
      <c r="E759" s="43" t="e">
        <f>VLOOKUP($A759,'[2]Team lists'!$A$2:$L$800,5,FALSE)</f>
        <v>#N/A</v>
      </c>
      <c r="F759" s="43" t="e">
        <f>VLOOKUP($A759,'[2]Team lists'!$A$2:$L$800,6,FALSE)</f>
        <v>#N/A</v>
      </c>
      <c r="G759" s="43" t="e">
        <f>VLOOKUP($A759,'[2]Team lists'!$A$2:$L$800,7,FALSE)</f>
        <v>#N/A</v>
      </c>
      <c r="H759" s="43" t="e">
        <f>VLOOKUP($A759,'[2]Team lists'!$A$2:$L$800,8,FALSE)</f>
        <v>#N/A</v>
      </c>
      <c r="I759" s="43" t="e">
        <f>VLOOKUP($A759,'[2]Team lists'!$A$2:$L$800,9,FALSE)</f>
        <v>#N/A</v>
      </c>
      <c r="J759" s="43" t="e">
        <f>VLOOKUP($A759,'[2]Team lists'!$A$2:$L$800,9,FALSE)</f>
        <v>#N/A</v>
      </c>
      <c r="K759" s="43" t="e">
        <f>VLOOKUP($A759,'[2]Team lists'!$A$2:$L$800,10,FALSE)</f>
        <v>#N/A</v>
      </c>
      <c r="L759" s="43" t="e">
        <f>VLOOKUP($A759,'[2]Team lists'!$A$2:$L$800,11,FALSE)</f>
        <v>#N/A</v>
      </c>
    </row>
    <row r="760" spans="2:13">
      <c r="B760" s="43" t="e">
        <f>VLOOKUP($A760,'[2]Team lists'!$A$2:$L$800,2,FALSE)</f>
        <v>#N/A</v>
      </c>
      <c r="C760" s="43" t="e">
        <f>VLOOKUP($A760,'[2]Team lists'!$A$2:$L$800,3,FALSE)</f>
        <v>#N/A</v>
      </c>
      <c r="D760" s="43" t="e">
        <f>VLOOKUP($A760,'[2]Team lists'!$A$2:$L$800,4,FALSE)</f>
        <v>#N/A</v>
      </c>
      <c r="E760" s="43" t="e">
        <f>VLOOKUP($A760,'[2]Team lists'!$A$2:$L$800,5,FALSE)</f>
        <v>#N/A</v>
      </c>
      <c r="F760" s="43" t="e">
        <f>VLOOKUP($A760,'[2]Team lists'!$A$2:$L$800,6,FALSE)</f>
        <v>#N/A</v>
      </c>
      <c r="G760" s="43" t="e">
        <f>VLOOKUP($A760,'[2]Team lists'!$A$2:$L$800,7,FALSE)</f>
        <v>#N/A</v>
      </c>
      <c r="H760" s="43" t="e">
        <f>VLOOKUP($A760,'[2]Team lists'!$A$2:$L$800,8,FALSE)</f>
        <v>#N/A</v>
      </c>
      <c r="I760" s="43" t="e">
        <f>VLOOKUP($A760,'[2]Team lists'!$A$2:$L$800,9,FALSE)</f>
        <v>#N/A</v>
      </c>
      <c r="J760" s="43" t="e">
        <f>VLOOKUP($A760,'[2]Team lists'!$A$2:$L$800,9,FALSE)</f>
        <v>#N/A</v>
      </c>
      <c r="K760" s="43" t="e">
        <f>VLOOKUP($A760,'[2]Team lists'!$A$2:$L$800,10,FALSE)</f>
        <v>#N/A</v>
      </c>
      <c r="L760" s="43" t="e">
        <f>VLOOKUP($A760,'[2]Team lists'!$A$2:$L$800,11,FALSE)</f>
        <v>#N/A</v>
      </c>
    </row>
    <row r="761" spans="2:13">
      <c r="B761" s="43" t="e">
        <f>VLOOKUP($A761,'[2]Team lists'!$A$2:$L$800,2,FALSE)</f>
        <v>#N/A</v>
      </c>
      <c r="C761" s="43" t="e">
        <f>VLOOKUP($A761,'[2]Team lists'!$A$2:$L$800,3,FALSE)</f>
        <v>#N/A</v>
      </c>
      <c r="D761" s="43" t="e">
        <f>VLOOKUP($A761,'[2]Team lists'!$A$2:$L$800,4,FALSE)</f>
        <v>#N/A</v>
      </c>
      <c r="E761" s="43" t="e">
        <f>VLOOKUP($A761,'[2]Team lists'!$A$2:$L$800,5,FALSE)</f>
        <v>#N/A</v>
      </c>
      <c r="F761" s="43" t="e">
        <f>VLOOKUP($A761,'[2]Team lists'!$A$2:$L$800,6,FALSE)</f>
        <v>#N/A</v>
      </c>
      <c r="G761" s="43" t="e">
        <f>VLOOKUP($A761,'[2]Team lists'!$A$2:$L$800,7,FALSE)</f>
        <v>#N/A</v>
      </c>
      <c r="H761" s="43" t="e">
        <f>VLOOKUP($A761,'[2]Team lists'!$A$2:$L$800,8,FALSE)</f>
        <v>#N/A</v>
      </c>
      <c r="I761" s="43" t="e">
        <f>VLOOKUP($A761,'[2]Team lists'!$A$2:$L$800,9,FALSE)</f>
        <v>#N/A</v>
      </c>
      <c r="J761" s="43" t="e">
        <f>VLOOKUP($A761,'[2]Team lists'!$A$2:$L$800,9,FALSE)</f>
        <v>#N/A</v>
      </c>
      <c r="K761" s="43" t="e">
        <f>VLOOKUP($A761,'[2]Team lists'!$A$2:$L$800,10,FALSE)</f>
        <v>#N/A</v>
      </c>
      <c r="L761" s="43" t="e">
        <f>VLOOKUP($A761,'[2]Team lists'!$A$2:$L$800,11,FALSE)</f>
        <v>#N/A</v>
      </c>
    </row>
    <row r="762" spans="2:13">
      <c r="B762" s="43" t="e">
        <f>VLOOKUP($A762,'[2]Team lists'!$A$2:$L$800,2,FALSE)</f>
        <v>#N/A</v>
      </c>
      <c r="C762" s="43" t="e">
        <f>VLOOKUP($A762,'[2]Team lists'!$A$2:$L$800,3,FALSE)</f>
        <v>#N/A</v>
      </c>
      <c r="D762" s="43" t="e">
        <f>VLOOKUP($A762,'[2]Team lists'!$A$2:$L$800,4,FALSE)</f>
        <v>#N/A</v>
      </c>
      <c r="E762" s="43" t="e">
        <f>VLOOKUP($A762,'[2]Team lists'!$A$2:$L$800,5,FALSE)</f>
        <v>#N/A</v>
      </c>
      <c r="F762" s="43" t="e">
        <f>VLOOKUP($A762,'[2]Team lists'!$A$2:$L$800,6,FALSE)</f>
        <v>#N/A</v>
      </c>
      <c r="G762" s="43" t="e">
        <f>VLOOKUP($A762,'[2]Team lists'!$A$2:$L$800,7,FALSE)</f>
        <v>#N/A</v>
      </c>
      <c r="H762" s="43" t="e">
        <f>VLOOKUP($A762,'[2]Team lists'!$A$2:$L$800,8,FALSE)</f>
        <v>#N/A</v>
      </c>
      <c r="I762" s="43" t="e">
        <f>VLOOKUP($A762,'[2]Team lists'!$A$2:$L$800,9,FALSE)</f>
        <v>#N/A</v>
      </c>
      <c r="J762" s="43" t="e">
        <f>VLOOKUP($A762,'[2]Team lists'!$A$2:$L$800,9,FALSE)</f>
        <v>#N/A</v>
      </c>
      <c r="K762" s="43" t="e">
        <f>VLOOKUP($A762,'[2]Team lists'!$A$2:$L$800,10,FALSE)</f>
        <v>#N/A</v>
      </c>
      <c r="L762" s="43" t="e">
        <f>VLOOKUP($A762,'[2]Team lists'!$A$2:$L$800,11,FALSE)</f>
        <v>#N/A</v>
      </c>
    </row>
    <row r="763" spans="2:13">
      <c r="B763" s="43" t="e">
        <f>VLOOKUP($A763,'[2]Team lists'!$A$2:$L$800,2,FALSE)</f>
        <v>#N/A</v>
      </c>
      <c r="C763" s="43" t="e">
        <f>VLOOKUP($A763,'[2]Team lists'!$A$2:$L$800,3,FALSE)</f>
        <v>#N/A</v>
      </c>
      <c r="D763" s="43" t="e">
        <f>VLOOKUP($A763,'[2]Team lists'!$A$2:$L$800,4,FALSE)</f>
        <v>#N/A</v>
      </c>
      <c r="E763" s="43" t="e">
        <f>VLOOKUP($A763,'[2]Team lists'!$A$2:$L$800,5,FALSE)</f>
        <v>#N/A</v>
      </c>
      <c r="F763" s="43" t="e">
        <f>VLOOKUP($A763,'[2]Team lists'!$A$2:$L$800,6,FALSE)</f>
        <v>#N/A</v>
      </c>
      <c r="G763" s="43" t="e">
        <f>VLOOKUP($A763,'[2]Team lists'!$A$2:$L$800,7,FALSE)</f>
        <v>#N/A</v>
      </c>
      <c r="H763" s="43" t="e">
        <f>VLOOKUP($A763,'[2]Team lists'!$A$2:$L$800,8,FALSE)</f>
        <v>#N/A</v>
      </c>
      <c r="I763" s="43" t="e">
        <f>VLOOKUP($A763,'[2]Team lists'!$A$2:$L$800,9,FALSE)</f>
        <v>#N/A</v>
      </c>
      <c r="J763" s="43" t="e">
        <f>VLOOKUP($A763,'[2]Team lists'!$A$2:$L$800,9,FALSE)</f>
        <v>#N/A</v>
      </c>
      <c r="K763" s="43" t="e">
        <f>VLOOKUP($A763,'[2]Team lists'!$A$2:$L$800,10,FALSE)</f>
        <v>#N/A</v>
      </c>
      <c r="L763" s="43" t="e">
        <f>VLOOKUP($A763,'[2]Team lists'!$A$2:$L$800,11,FALSE)</f>
        <v>#N/A</v>
      </c>
    </row>
    <row r="764" spans="2:13">
      <c r="B764" s="43" t="e">
        <f>VLOOKUP($A764,'[2]Team lists'!$A$2:$L$800,2,FALSE)</f>
        <v>#N/A</v>
      </c>
      <c r="C764" s="43" t="e">
        <f>VLOOKUP($A764,'[2]Team lists'!$A$2:$L$800,3,FALSE)</f>
        <v>#N/A</v>
      </c>
      <c r="D764" s="43" t="e">
        <f>VLOOKUP($A764,'[2]Team lists'!$A$2:$L$800,4,FALSE)</f>
        <v>#N/A</v>
      </c>
      <c r="E764" s="43" t="e">
        <f>VLOOKUP($A764,'[2]Team lists'!$A$2:$L$800,5,FALSE)</f>
        <v>#N/A</v>
      </c>
      <c r="F764" s="43" t="e">
        <f>VLOOKUP($A764,'[2]Team lists'!$A$2:$L$800,6,FALSE)</f>
        <v>#N/A</v>
      </c>
      <c r="G764" s="43" t="e">
        <f>VLOOKUP($A764,'[2]Team lists'!$A$2:$L$800,7,FALSE)</f>
        <v>#N/A</v>
      </c>
      <c r="H764" s="43" t="e">
        <f>VLOOKUP($A764,'[2]Team lists'!$A$2:$L$800,8,FALSE)</f>
        <v>#N/A</v>
      </c>
      <c r="I764" s="43" t="e">
        <f>VLOOKUP($A764,'[2]Team lists'!$A$2:$L$800,9,FALSE)</f>
        <v>#N/A</v>
      </c>
      <c r="J764" s="43" t="e">
        <f>VLOOKUP($A764,'[2]Team lists'!$A$2:$L$800,9,FALSE)</f>
        <v>#N/A</v>
      </c>
      <c r="K764" s="43" t="e">
        <f>VLOOKUP($A764,'[2]Team lists'!$A$2:$L$800,10,FALSE)</f>
        <v>#N/A</v>
      </c>
      <c r="L764" s="43" t="e">
        <f>VLOOKUP($A764,'[2]Team lists'!$A$2:$L$800,11,FALSE)</f>
        <v>#N/A</v>
      </c>
    </row>
    <row r="765" spans="2:13">
      <c r="B765" s="43" t="e">
        <f>VLOOKUP($A765,'[2]Team lists'!$A$2:$L$800,2,FALSE)</f>
        <v>#N/A</v>
      </c>
      <c r="C765" s="43" t="e">
        <f>VLOOKUP($A765,'[2]Team lists'!$A$2:$L$800,3,FALSE)</f>
        <v>#N/A</v>
      </c>
      <c r="D765" s="43" t="e">
        <f>VLOOKUP($A765,'[2]Team lists'!$A$2:$L$800,4,FALSE)</f>
        <v>#N/A</v>
      </c>
      <c r="E765" s="43" t="e">
        <f>VLOOKUP($A765,'[2]Team lists'!$A$2:$L$800,5,FALSE)</f>
        <v>#N/A</v>
      </c>
      <c r="F765" s="43" t="e">
        <f>VLOOKUP($A765,'[2]Team lists'!$A$2:$L$800,6,FALSE)</f>
        <v>#N/A</v>
      </c>
      <c r="G765" s="43" t="e">
        <f>VLOOKUP($A765,'[2]Team lists'!$A$2:$L$800,7,FALSE)</f>
        <v>#N/A</v>
      </c>
      <c r="H765" s="43" t="e">
        <f>VLOOKUP($A765,'[2]Team lists'!$A$2:$L$800,8,FALSE)</f>
        <v>#N/A</v>
      </c>
      <c r="I765" s="43" t="e">
        <f>VLOOKUP($A765,'[2]Team lists'!$A$2:$L$800,9,FALSE)</f>
        <v>#N/A</v>
      </c>
      <c r="J765" s="43" t="e">
        <f>VLOOKUP($A765,'[2]Team lists'!$A$2:$L$800,9,FALSE)</f>
        <v>#N/A</v>
      </c>
      <c r="K765" s="43" t="e">
        <f>VLOOKUP($A765,'[2]Team lists'!$A$2:$L$800,10,FALSE)</f>
        <v>#N/A</v>
      </c>
      <c r="L765" s="43" t="e">
        <f>VLOOKUP($A765,'[2]Team lists'!$A$2:$L$800,11,FALSE)</f>
        <v>#N/A</v>
      </c>
    </row>
    <row r="766" spans="2:13">
      <c r="B766" s="43" t="e">
        <f>VLOOKUP($A766,'[2]Team lists'!$A$2:$L$800,2,FALSE)</f>
        <v>#N/A</v>
      </c>
      <c r="C766" s="43" t="e">
        <f>VLOOKUP($A766,'[2]Team lists'!$A$2:$L$800,3,FALSE)</f>
        <v>#N/A</v>
      </c>
      <c r="D766" s="43" t="e">
        <f>VLOOKUP($A766,'[2]Team lists'!$A$2:$L$800,4,FALSE)</f>
        <v>#N/A</v>
      </c>
      <c r="E766" s="43" t="e">
        <f>VLOOKUP($A766,'[2]Team lists'!$A$2:$L$800,5,FALSE)</f>
        <v>#N/A</v>
      </c>
      <c r="F766" s="43" t="e">
        <f>VLOOKUP($A766,'[2]Team lists'!$A$2:$L$800,6,FALSE)</f>
        <v>#N/A</v>
      </c>
      <c r="G766" s="43" t="e">
        <f>VLOOKUP($A766,'[2]Team lists'!$A$2:$L$800,7,FALSE)</f>
        <v>#N/A</v>
      </c>
      <c r="H766" s="43" t="e">
        <f>VLOOKUP($A766,'[2]Team lists'!$A$2:$L$800,8,FALSE)</f>
        <v>#N/A</v>
      </c>
      <c r="I766" s="43" t="e">
        <f>VLOOKUP($A766,'[2]Team lists'!$A$2:$L$800,9,FALSE)</f>
        <v>#N/A</v>
      </c>
      <c r="J766" s="43" t="e">
        <f>VLOOKUP($A766,'[2]Team lists'!$A$2:$L$800,9,FALSE)</f>
        <v>#N/A</v>
      </c>
      <c r="K766" s="43" t="e">
        <f>VLOOKUP($A766,'[2]Team lists'!$A$2:$L$800,10,FALSE)</f>
        <v>#N/A</v>
      </c>
      <c r="L766" s="43" t="e">
        <f>VLOOKUP($A766,'[2]Team lists'!$A$2:$L$800,11,FALSE)</f>
        <v>#N/A</v>
      </c>
    </row>
    <row r="767" spans="2:13" ht="18" thickBot="1">
      <c r="B767" s="45" t="s">
        <v>3210</v>
      </c>
      <c r="C767" s="46"/>
      <c r="D767" s="47"/>
      <c r="E767" s="48" t="e">
        <f t="shared" ref="E767:L767" si="47">SUM(E756:E766)</f>
        <v>#N/A</v>
      </c>
      <c r="F767" s="49" t="e">
        <f t="shared" si="47"/>
        <v>#N/A</v>
      </c>
      <c r="G767" s="49" t="e">
        <f t="shared" si="47"/>
        <v>#N/A</v>
      </c>
      <c r="H767" s="49" t="e">
        <f t="shared" si="47"/>
        <v>#N/A</v>
      </c>
      <c r="I767" s="49" t="e">
        <f t="shared" si="47"/>
        <v>#N/A</v>
      </c>
      <c r="J767" s="49" t="e">
        <f t="shared" si="47"/>
        <v>#N/A</v>
      </c>
      <c r="K767" s="49" t="e">
        <f t="shared" si="47"/>
        <v>#N/A</v>
      </c>
      <c r="L767" s="50" t="e">
        <f t="shared" si="47"/>
        <v>#N/A</v>
      </c>
    </row>
    <row r="768" spans="2:13" ht="18.600000000000001" thickTop="1" thickBot="1"/>
    <row r="769" spans="2:13" ht="18" thickTop="1">
      <c r="B769" s="23" t="s">
        <v>3204</v>
      </c>
      <c r="C769" s="24" t="s">
        <v>3205</v>
      </c>
      <c r="D769" s="25"/>
      <c r="E769" s="25"/>
      <c r="F769" s="53"/>
      <c r="G769" s="28" t="s">
        <v>3206</v>
      </c>
      <c r="H769" s="54"/>
      <c r="I769" s="54"/>
      <c r="J769" s="54"/>
      <c r="K769" s="28" t="s">
        <v>3207</v>
      </c>
      <c r="L769" s="29"/>
      <c r="M769" s="22" t="str">
        <f>G769</f>
        <v>Manager:</v>
      </c>
    </row>
    <row r="770" spans="2:13" ht="18" thickBot="1">
      <c r="B770" s="30">
        <v>49</v>
      </c>
      <c r="C770" s="57"/>
      <c r="D770" s="31"/>
      <c r="E770" s="31"/>
      <c r="F770" s="33"/>
      <c r="G770" s="55"/>
      <c r="H770" s="55"/>
      <c r="I770" s="55"/>
      <c r="J770" s="55"/>
      <c r="K770" s="34" t="e">
        <f>SUM(F783:L783)</f>
        <v>#N/A</v>
      </c>
      <c r="L770" s="35"/>
      <c r="M770" s="22">
        <f>G770</f>
        <v>0</v>
      </c>
    </row>
    <row r="771" spans="2:13" ht="18.600000000000001" thickTop="1">
      <c r="B771" s="58" t="s">
        <v>913</v>
      </c>
      <c r="C771" s="59" t="s">
        <v>912</v>
      </c>
      <c r="D771" s="60" t="s">
        <v>911</v>
      </c>
      <c r="E771" s="61" t="s">
        <v>3209</v>
      </c>
      <c r="F771" s="62" t="s">
        <v>3162</v>
      </c>
      <c r="G771" s="62" t="s">
        <v>3163</v>
      </c>
      <c r="H771" s="62" t="s">
        <v>3164</v>
      </c>
      <c r="I771" s="62" t="s">
        <v>3165</v>
      </c>
      <c r="J771" s="62" t="s">
        <v>3166</v>
      </c>
      <c r="K771" s="62" t="s">
        <v>3167</v>
      </c>
      <c r="L771" s="63" t="s">
        <v>3168</v>
      </c>
    </row>
    <row r="772" spans="2:13">
      <c r="B772" s="43" t="e">
        <f>VLOOKUP($A772,'[2]Team lists'!$A$2:$L$800,2,FALSE)</f>
        <v>#N/A</v>
      </c>
      <c r="C772" s="43" t="e">
        <f>VLOOKUP($A772,'[2]Team lists'!$A$2:$L$800,3,FALSE)</f>
        <v>#N/A</v>
      </c>
      <c r="D772" s="43" t="e">
        <f>VLOOKUP($A772,'[2]Team lists'!$A$2:$L$800,4,FALSE)</f>
        <v>#N/A</v>
      </c>
      <c r="E772" s="43" t="e">
        <f>VLOOKUP($A772,'[2]Team lists'!$A$2:$L$800,5,FALSE)</f>
        <v>#N/A</v>
      </c>
      <c r="F772" s="43" t="e">
        <f>VLOOKUP($A772,'[2]Team lists'!$A$2:$L$800,6,FALSE)</f>
        <v>#N/A</v>
      </c>
      <c r="G772" s="43" t="e">
        <f>VLOOKUP($A772,'[2]Team lists'!$A$2:$L$800,7,FALSE)</f>
        <v>#N/A</v>
      </c>
      <c r="H772" s="43" t="e">
        <f>VLOOKUP($A772,'[2]Team lists'!$A$2:$L$800,8,FALSE)</f>
        <v>#N/A</v>
      </c>
      <c r="I772" s="43" t="e">
        <f>VLOOKUP($A772,'[2]Team lists'!$A$2:$L$800,9,FALSE)</f>
        <v>#N/A</v>
      </c>
      <c r="J772" s="43" t="e">
        <f>VLOOKUP($A772,'[2]Team lists'!$A$2:$L$800,9,FALSE)</f>
        <v>#N/A</v>
      </c>
      <c r="K772" s="43" t="e">
        <f>VLOOKUP($A772,'[2]Team lists'!$A$2:$L$800,10,FALSE)</f>
        <v>#N/A</v>
      </c>
      <c r="L772" s="43" t="e">
        <f>VLOOKUP($A772,'[2]Team lists'!$A$2:$L$800,11,FALSE)</f>
        <v>#N/A</v>
      </c>
    </row>
    <row r="773" spans="2:13">
      <c r="B773" s="43" t="e">
        <f>VLOOKUP($A773,'[2]Team lists'!$A$2:$L$800,2,FALSE)</f>
        <v>#N/A</v>
      </c>
      <c r="C773" s="43" t="e">
        <f>VLOOKUP($A773,'[2]Team lists'!$A$2:$L$800,3,FALSE)</f>
        <v>#N/A</v>
      </c>
      <c r="D773" s="43" t="e">
        <f>VLOOKUP($A773,'[2]Team lists'!$A$2:$L$800,4,FALSE)</f>
        <v>#N/A</v>
      </c>
      <c r="E773" s="43" t="e">
        <f>VLOOKUP($A773,'[2]Team lists'!$A$2:$L$800,5,FALSE)</f>
        <v>#N/A</v>
      </c>
      <c r="F773" s="43" t="e">
        <f>VLOOKUP($A773,'[2]Team lists'!$A$2:$L$800,6,FALSE)</f>
        <v>#N/A</v>
      </c>
      <c r="G773" s="43" t="e">
        <f>VLOOKUP($A773,'[2]Team lists'!$A$2:$L$800,7,FALSE)</f>
        <v>#N/A</v>
      </c>
      <c r="H773" s="43" t="e">
        <f>VLOOKUP($A773,'[2]Team lists'!$A$2:$L$800,8,FALSE)</f>
        <v>#N/A</v>
      </c>
      <c r="I773" s="43" t="e">
        <f>VLOOKUP($A773,'[2]Team lists'!$A$2:$L$800,9,FALSE)</f>
        <v>#N/A</v>
      </c>
      <c r="J773" s="43" t="e">
        <f>VLOOKUP($A773,'[2]Team lists'!$A$2:$L$800,9,FALSE)</f>
        <v>#N/A</v>
      </c>
      <c r="K773" s="43" t="e">
        <f>VLOOKUP($A773,'[2]Team lists'!$A$2:$L$800,10,FALSE)</f>
        <v>#N/A</v>
      </c>
      <c r="L773" s="43" t="e">
        <f>VLOOKUP($A773,'[2]Team lists'!$A$2:$L$800,11,FALSE)</f>
        <v>#N/A</v>
      </c>
    </row>
    <row r="774" spans="2:13">
      <c r="B774" s="43" t="e">
        <f>VLOOKUP($A774,'[2]Team lists'!$A$2:$L$800,2,FALSE)</f>
        <v>#N/A</v>
      </c>
      <c r="C774" s="43" t="e">
        <f>VLOOKUP($A774,'[2]Team lists'!$A$2:$L$800,3,FALSE)</f>
        <v>#N/A</v>
      </c>
      <c r="D774" s="43" t="e">
        <f>VLOOKUP($A774,'[2]Team lists'!$A$2:$L$800,4,FALSE)</f>
        <v>#N/A</v>
      </c>
      <c r="E774" s="43" t="e">
        <f>VLOOKUP($A774,'[2]Team lists'!$A$2:$L$800,5,FALSE)</f>
        <v>#N/A</v>
      </c>
      <c r="F774" s="43" t="e">
        <f>VLOOKUP($A774,'[2]Team lists'!$A$2:$L$800,6,FALSE)</f>
        <v>#N/A</v>
      </c>
      <c r="G774" s="43" t="e">
        <f>VLOOKUP($A774,'[2]Team lists'!$A$2:$L$800,7,FALSE)</f>
        <v>#N/A</v>
      </c>
      <c r="H774" s="43" t="e">
        <f>VLOOKUP($A774,'[2]Team lists'!$A$2:$L$800,8,FALSE)</f>
        <v>#N/A</v>
      </c>
      <c r="I774" s="43" t="e">
        <f>VLOOKUP($A774,'[2]Team lists'!$A$2:$L$800,9,FALSE)</f>
        <v>#N/A</v>
      </c>
      <c r="J774" s="43" t="e">
        <f>VLOOKUP($A774,'[2]Team lists'!$A$2:$L$800,9,FALSE)</f>
        <v>#N/A</v>
      </c>
      <c r="K774" s="43" t="e">
        <f>VLOOKUP($A774,'[2]Team lists'!$A$2:$L$800,10,FALSE)</f>
        <v>#N/A</v>
      </c>
      <c r="L774" s="43" t="e">
        <f>VLOOKUP($A774,'[2]Team lists'!$A$2:$L$800,11,FALSE)</f>
        <v>#N/A</v>
      </c>
    </row>
    <row r="775" spans="2:13">
      <c r="B775" s="43" t="e">
        <f>VLOOKUP($A775,'[2]Team lists'!$A$2:$L$800,2,FALSE)</f>
        <v>#N/A</v>
      </c>
      <c r="C775" s="43" t="e">
        <f>VLOOKUP($A775,'[2]Team lists'!$A$2:$L$800,3,FALSE)</f>
        <v>#N/A</v>
      </c>
      <c r="D775" s="43" t="e">
        <f>VLOOKUP($A775,'[2]Team lists'!$A$2:$L$800,4,FALSE)</f>
        <v>#N/A</v>
      </c>
      <c r="E775" s="43" t="e">
        <f>VLOOKUP($A775,'[2]Team lists'!$A$2:$L$800,5,FALSE)</f>
        <v>#N/A</v>
      </c>
      <c r="F775" s="43" t="e">
        <f>VLOOKUP($A775,'[2]Team lists'!$A$2:$L$800,6,FALSE)</f>
        <v>#N/A</v>
      </c>
      <c r="G775" s="43" t="e">
        <f>VLOOKUP($A775,'[2]Team lists'!$A$2:$L$800,7,FALSE)</f>
        <v>#N/A</v>
      </c>
      <c r="H775" s="43" t="e">
        <f>VLOOKUP($A775,'[2]Team lists'!$A$2:$L$800,8,FALSE)</f>
        <v>#N/A</v>
      </c>
      <c r="I775" s="43" t="e">
        <f>VLOOKUP($A775,'[2]Team lists'!$A$2:$L$800,9,FALSE)</f>
        <v>#N/A</v>
      </c>
      <c r="J775" s="43" t="e">
        <f>VLOOKUP($A775,'[2]Team lists'!$A$2:$L$800,9,FALSE)</f>
        <v>#N/A</v>
      </c>
      <c r="K775" s="43" t="e">
        <f>VLOOKUP($A775,'[2]Team lists'!$A$2:$L$800,10,FALSE)</f>
        <v>#N/A</v>
      </c>
      <c r="L775" s="43" t="e">
        <f>VLOOKUP($A775,'[2]Team lists'!$A$2:$L$800,11,FALSE)</f>
        <v>#N/A</v>
      </c>
    </row>
    <row r="776" spans="2:13">
      <c r="B776" s="43" t="e">
        <f>VLOOKUP($A776,'[2]Team lists'!$A$2:$L$800,2,FALSE)</f>
        <v>#N/A</v>
      </c>
      <c r="C776" s="43" t="e">
        <f>VLOOKUP($A776,'[2]Team lists'!$A$2:$L$800,3,FALSE)</f>
        <v>#N/A</v>
      </c>
      <c r="D776" s="43" t="e">
        <f>VLOOKUP($A776,'[2]Team lists'!$A$2:$L$800,4,FALSE)</f>
        <v>#N/A</v>
      </c>
      <c r="E776" s="43" t="e">
        <f>VLOOKUP($A776,'[2]Team lists'!$A$2:$L$800,5,FALSE)</f>
        <v>#N/A</v>
      </c>
      <c r="F776" s="43" t="e">
        <f>VLOOKUP($A776,'[2]Team lists'!$A$2:$L$800,6,FALSE)</f>
        <v>#N/A</v>
      </c>
      <c r="G776" s="43" t="e">
        <f>VLOOKUP($A776,'[2]Team lists'!$A$2:$L$800,7,FALSE)</f>
        <v>#N/A</v>
      </c>
      <c r="H776" s="43" t="e">
        <f>VLOOKUP($A776,'[2]Team lists'!$A$2:$L$800,8,FALSE)</f>
        <v>#N/A</v>
      </c>
      <c r="I776" s="43" t="e">
        <f>VLOOKUP($A776,'[2]Team lists'!$A$2:$L$800,9,FALSE)</f>
        <v>#N/A</v>
      </c>
      <c r="J776" s="43" t="e">
        <f>VLOOKUP($A776,'[2]Team lists'!$A$2:$L$800,9,FALSE)</f>
        <v>#N/A</v>
      </c>
      <c r="K776" s="43" t="e">
        <f>VLOOKUP($A776,'[2]Team lists'!$A$2:$L$800,10,FALSE)</f>
        <v>#N/A</v>
      </c>
      <c r="L776" s="43" t="e">
        <f>VLOOKUP($A776,'[2]Team lists'!$A$2:$L$800,11,FALSE)</f>
        <v>#N/A</v>
      </c>
    </row>
    <row r="777" spans="2:13">
      <c r="B777" s="43" t="e">
        <f>VLOOKUP($A777,'[2]Team lists'!$A$2:$L$800,2,FALSE)</f>
        <v>#N/A</v>
      </c>
      <c r="C777" s="43" t="e">
        <f>VLOOKUP($A777,'[2]Team lists'!$A$2:$L$800,3,FALSE)</f>
        <v>#N/A</v>
      </c>
      <c r="D777" s="43" t="e">
        <f>VLOOKUP($A777,'[2]Team lists'!$A$2:$L$800,4,FALSE)</f>
        <v>#N/A</v>
      </c>
      <c r="E777" s="43" t="e">
        <f>VLOOKUP($A777,'[2]Team lists'!$A$2:$L$800,5,FALSE)</f>
        <v>#N/A</v>
      </c>
      <c r="F777" s="43" t="e">
        <f>VLOOKUP($A777,'[2]Team lists'!$A$2:$L$800,6,FALSE)</f>
        <v>#N/A</v>
      </c>
      <c r="G777" s="43" t="e">
        <f>VLOOKUP($A777,'[2]Team lists'!$A$2:$L$800,7,FALSE)</f>
        <v>#N/A</v>
      </c>
      <c r="H777" s="43" t="e">
        <f>VLOOKUP($A777,'[2]Team lists'!$A$2:$L$800,8,FALSE)</f>
        <v>#N/A</v>
      </c>
      <c r="I777" s="43" t="e">
        <f>VLOOKUP($A777,'[2]Team lists'!$A$2:$L$800,9,FALSE)</f>
        <v>#N/A</v>
      </c>
      <c r="J777" s="43" t="e">
        <f>VLOOKUP($A777,'[2]Team lists'!$A$2:$L$800,9,FALSE)</f>
        <v>#N/A</v>
      </c>
      <c r="K777" s="43" t="e">
        <f>VLOOKUP($A777,'[2]Team lists'!$A$2:$L$800,10,FALSE)</f>
        <v>#N/A</v>
      </c>
      <c r="L777" s="43" t="e">
        <f>VLOOKUP($A777,'[2]Team lists'!$A$2:$L$800,11,FALSE)</f>
        <v>#N/A</v>
      </c>
    </row>
    <row r="778" spans="2:13">
      <c r="B778" s="43" t="e">
        <f>VLOOKUP($A778,'[2]Team lists'!$A$2:$L$800,2,FALSE)</f>
        <v>#N/A</v>
      </c>
      <c r="C778" s="43" t="e">
        <f>VLOOKUP($A778,'[2]Team lists'!$A$2:$L$800,3,FALSE)</f>
        <v>#N/A</v>
      </c>
      <c r="D778" s="43" t="e">
        <f>VLOOKUP($A778,'[2]Team lists'!$A$2:$L$800,4,FALSE)</f>
        <v>#N/A</v>
      </c>
      <c r="E778" s="43" t="e">
        <f>VLOOKUP($A778,'[2]Team lists'!$A$2:$L$800,5,FALSE)</f>
        <v>#N/A</v>
      </c>
      <c r="F778" s="43" t="e">
        <f>VLOOKUP($A778,'[2]Team lists'!$A$2:$L$800,6,FALSE)</f>
        <v>#N/A</v>
      </c>
      <c r="G778" s="43" t="e">
        <f>VLOOKUP($A778,'[2]Team lists'!$A$2:$L$800,7,FALSE)</f>
        <v>#N/A</v>
      </c>
      <c r="H778" s="43" t="e">
        <f>VLOOKUP($A778,'[2]Team lists'!$A$2:$L$800,8,FALSE)</f>
        <v>#N/A</v>
      </c>
      <c r="I778" s="43" t="e">
        <f>VLOOKUP($A778,'[2]Team lists'!$A$2:$L$800,9,FALSE)</f>
        <v>#N/A</v>
      </c>
      <c r="J778" s="43" t="e">
        <f>VLOOKUP($A778,'[2]Team lists'!$A$2:$L$800,9,FALSE)</f>
        <v>#N/A</v>
      </c>
      <c r="K778" s="43" t="e">
        <f>VLOOKUP($A778,'[2]Team lists'!$A$2:$L$800,10,FALSE)</f>
        <v>#N/A</v>
      </c>
      <c r="L778" s="43" t="e">
        <f>VLOOKUP($A778,'[2]Team lists'!$A$2:$L$800,11,FALSE)</f>
        <v>#N/A</v>
      </c>
    </row>
    <row r="779" spans="2:13">
      <c r="B779" s="43" t="e">
        <f>VLOOKUP($A779,'[2]Team lists'!$A$2:$L$800,2,FALSE)</f>
        <v>#N/A</v>
      </c>
      <c r="C779" s="43" t="e">
        <f>VLOOKUP($A779,'[2]Team lists'!$A$2:$L$800,3,FALSE)</f>
        <v>#N/A</v>
      </c>
      <c r="D779" s="43" t="e">
        <f>VLOOKUP($A779,'[2]Team lists'!$A$2:$L$800,4,FALSE)</f>
        <v>#N/A</v>
      </c>
      <c r="E779" s="43" t="e">
        <f>VLOOKUP($A779,'[2]Team lists'!$A$2:$L$800,5,FALSE)</f>
        <v>#N/A</v>
      </c>
      <c r="F779" s="43" t="e">
        <f>VLOOKUP($A779,'[2]Team lists'!$A$2:$L$800,6,FALSE)</f>
        <v>#N/A</v>
      </c>
      <c r="G779" s="43" t="e">
        <f>VLOOKUP($A779,'[2]Team lists'!$A$2:$L$800,7,FALSE)</f>
        <v>#N/A</v>
      </c>
      <c r="H779" s="43" t="e">
        <f>VLOOKUP($A779,'[2]Team lists'!$A$2:$L$800,8,FALSE)</f>
        <v>#N/A</v>
      </c>
      <c r="I779" s="43" t="e">
        <f>VLOOKUP($A779,'[2]Team lists'!$A$2:$L$800,9,FALSE)</f>
        <v>#N/A</v>
      </c>
      <c r="J779" s="43" t="e">
        <f>VLOOKUP($A779,'[2]Team lists'!$A$2:$L$800,9,FALSE)</f>
        <v>#N/A</v>
      </c>
      <c r="K779" s="43" t="e">
        <f>VLOOKUP($A779,'[2]Team lists'!$A$2:$L$800,10,FALSE)</f>
        <v>#N/A</v>
      </c>
      <c r="L779" s="43" t="e">
        <f>VLOOKUP($A779,'[2]Team lists'!$A$2:$L$800,11,FALSE)</f>
        <v>#N/A</v>
      </c>
    </row>
    <row r="780" spans="2:13">
      <c r="B780" s="43" t="e">
        <f>VLOOKUP($A780,'[2]Team lists'!$A$2:$L$800,2,FALSE)</f>
        <v>#N/A</v>
      </c>
      <c r="C780" s="43" t="e">
        <f>VLOOKUP($A780,'[2]Team lists'!$A$2:$L$800,3,FALSE)</f>
        <v>#N/A</v>
      </c>
      <c r="D780" s="43" t="e">
        <f>VLOOKUP($A780,'[2]Team lists'!$A$2:$L$800,4,FALSE)</f>
        <v>#N/A</v>
      </c>
      <c r="E780" s="43" t="e">
        <f>VLOOKUP($A780,'[2]Team lists'!$A$2:$L$800,5,FALSE)</f>
        <v>#N/A</v>
      </c>
      <c r="F780" s="43" t="e">
        <f>VLOOKUP($A780,'[2]Team lists'!$A$2:$L$800,6,FALSE)</f>
        <v>#N/A</v>
      </c>
      <c r="G780" s="43" t="e">
        <f>VLOOKUP($A780,'[2]Team lists'!$A$2:$L$800,7,FALSE)</f>
        <v>#N/A</v>
      </c>
      <c r="H780" s="43" t="e">
        <f>VLOOKUP($A780,'[2]Team lists'!$A$2:$L$800,8,FALSE)</f>
        <v>#N/A</v>
      </c>
      <c r="I780" s="43" t="e">
        <f>VLOOKUP($A780,'[2]Team lists'!$A$2:$L$800,9,FALSE)</f>
        <v>#N/A</v>
      </c>
      <c r="J780" s="43" t="e">
        <f>VLOOKUP($A780,'[2]Team lists'!$A$2:$L$800,9,FALSE)</f>
        <v>#N/A</v>
      </c>
      <c r="K780" s="43" t="e">
        <f>VLOOKUP($A780,'[2]Team lists'!$A$2:$L$800,10,FALSE)</f>
        <v>#N/A</v>
      </c>
      <c r="L780" s="43" t="e">
        <f>VLOOKUP($A780,'[2]Team lists'!$A$2:$L$800,11,FALSE)</f>
        <v>#N/A</v>
      </c>
    </row>
    <row r="781" spans="2:13">
      <c r="B781" s="43" t="e">
        <f>VLOOKUP($A781,'[2]Team lists'!$A$2:$L$800,2,FALSE)</f>
        <v>#N/A</v>
      </c>
      <c r="C781" s="43" t="e">
        <f>VLOOKUP($A781,'[2]Team lists'!$A$2:$L$800,3,FALSE)</f>
        <v>#N/A</v>
      </c>
      <c r="D781" s="43" t="e">
        <f>VLOOKUP($A781,'[2]Team lists'!$A$2:$L$800,4,FALSE)</f>
        <v>#N/A</v>
      </c>
      <c r="E781" s="43" t="e">
        <f>VLOOKUP($A781,'[2]Team lists'!$A$2:$L$800,5,FALSE)</f>
        <v>#N/A</v>
      </c>
      <c r="F781" s="43" t="e">
        <f>VLOOKUP($A781,'[2]Team lists'!$A$2:$L$800,6,FALSE)</f>
        <v>#N/A</v>
      </c>
      <c r="G781" s="43" t="e">
        <f>VLOOKUP($A781,'[2]Team lists'!$A$2:$L$800,7,FALSE)</f>
        <v>#N/A</v>
      </c>
      <c r="H781" s="43" t="e">
        <f>VLOOKUP($A781,'[2]Team lists'!$A$2:$L$800,8,FALSE)</f>
        <v>#N/A</v>
      </c>
      <c r="I781" s="43" t="e">
        <f>VLOOKUP($A781,'[2]Team lists'!$A$2:$L$800,9,FALSE)</f>
        <v>#N/A</v>
      </c>
      <c r="J781" s="43" t="e">
        <f>VLOOKUP($A781,'[2]Team lists'!$A$2:$L$800,9,FALSE)</f>
        <v>#N/A</v>
      </c>
      <c r="K781" s="43" t="e">
        <f>VLOOKUP($A781,'[2]Team lists'!$A$2:$L$800,10,FALSE)</f>
        <v>#N/A</v>
      </c>
      <c r="L781" s="43" t="e">
        <f>VLOOKUP($A781,'[2]Team lists'!$A$2:$L$800,11,FALSE)</f>
        <v>#N/A</v>
      </c>
    </row>
    <row r="782" spans="2:13">
      <c r="B782" s="43" t="e">
        <f>VLOOKUP($A782,'[2]Team lists'!$A$2:$L$800,2,FALSE)</f>
        <v>#N/A</v>
      </c>
      <c r="C782" s="43" t="e">
        <f>VLOOKUP($A782,'[2]Team lists'!$A$2:$L$800,3,FALSE)</f>
        <v>#N/A</v>
      </c>
      <c r="D782" s="43" t="e">
        <f>VLOOKUP($A782,'[2]Team lists'!$A$2:$L$800,4,FALSE)</f>
        <v>#N/A</v>
      </c>
      <c r="E782" s="43" t="e">
        <f>VLOOKUP($A782,'[2]Team lists'!$A$2:$L$800,5,FALSE)</f>
        <v>#N/A</v>
      </c>
      <c r="F782" s="43" t="e">
        <f>VLOOKUP($A782,'[2]Team lists'!$A$2:$L$800,6,FALSE)</f>
        <v>#N/A</v>
      </c>
      <c r="G782" s="43" t="e">
        <f>VLOOKUP($A782,'[2]Team lists'!$A$2:$L$800,7,FALSE)</f>
        <v>#N/A</v>
      </c>
      <c r="H782" s="43" t="e">
        <f>VLOOKUP($A782,'[2]Team lists'!$A$2:$L$800,8,FALSE)</f>
        <v>#N/A</v>
      </c>
      <c r="I782" s="43" t="e">
        <f>VLOOKUP($A782,'[2]Team lists'!$A$2:$L$800,9,FALSE)</f>
        <v>#N/A</v>
      </c>
      <c r="J782" s="43" t="e">
        <f>VLOOKUP($A782,'[2]Team lists'!$A$2:$L$800,9,FALSE)</f>
        <v>#N/A</v>
      </c>
      <c r="K782" s="43" t="e">
        <f>VLOOKUP($A782,'[2]Team lists'!$A$2:$L$800,10,FALSE)</f>
        <v>#N/A</v>
      </c>
      <c r="L782" s="43" t="e">
        <f>VLOOKUP($A782,'[2]Team lists'!$A$2:$L$800,11,FALSE)</f>
        <v>#N/A</v>
      </c>
    </row>
    <row r="783" spans="2:13" ht="18" thickBot="1">
      <c r="B783" s="45" t="s">
        <v>3210</v>
      </c>
      <c r="C783" s="46"/>
      <c r="D783" s="47"/>
      <c r="E783" s="48" t="e">
        <f t="shared" ref="E783:L783" si="48">SUM(E772:E782)</f>
        <v>#N/A</v>
      </c>
      <c r="F783" s="49" t="e">
        <f t="shared" si="48"/>
        <v>#N/A</v>
      </c>
      <c r="G783" s="49" t="e">
        <f t="shared" si="48"/>
        <v>#N/A</v>
      </c>
      <c r="H783" s="49" t="e">
        <f t="shared" si="48"/>
        <v>#N/A</v>
      </c>
      <c r="I783" s="49" t="e">
        <f t="shared" si="48"/>
        <v>#N/A</v>
      </c>
      <c r="J783" s="49" t="e">
        <f t="shared" si="48"/>
        <v>#N/A</v>
      </c>
      <c r="K783" s="49" t="e">
        <f t="shared" si="48"/>
        <v>#N/A</v>
      </c>
      <c r="L783" s="50" t="e">
        <f t="shared" si="48"/>
        <v>#N/A</v>
      </c>
    </row>
    <row r="784" spans="2:13" ht="18.600000000000001" thickTop="1" thickBot="1"/>
    <row r="785" spans="2:13" ht="18" thickTop="1">
      <c r="B785" s="23" t="s">
        <v>3204</v>
      </c>
      <c r="C785" s="24" t="s">
        <v>3205</v>
      </c>
      <c r="D785" s="25"/>
      <c r="E785" s="25"/>
      <c r="F785" s="53"/>
      <c r="G785" s="28" t="s">
        <v>3206</v>
      </c>
      <c r="H785" s="54"/>
      <c r="I785" s="54"/>
      <c r="J785" s="54"/>
      <c r="K785" s="28" t="s">
        <v>3207</v>
      </c>
      <c r="L785" s="29"/>
      <c r="M785" s="22" t="str">
        <f>G785</f>
        <v>Manager:</v>
      </c>
    </row>
    <row r="786" spans="2:13" ht="18" thickBot="1">
      <c r="B786" s="30">
        <v>50</v>
      </c>
      <c r="C786" s="57"/>
      <c r="D786" s="31"/>
      <c r="E786" s="31"/>
      <c r="F786" s="33"/>
      <c r="G786" s="55"/>
      <c r="H786" s="55"/>
      <c r="I786" s="55"/>
      <c r="J786" s="55"/>
      <c r="K786" s="34" t="e">
        <f>SUM(F799:L799)</f>
        <v>#N/A</v>
      </c>
      <c r="L786" s="35"/>
      <c r="M786" s="22">
        <f>G786</f>
        <v>0</v>
      </c>
    </row>
    <row r="787" spans="2:13" ht="18.600000000000001" thickTop="1">
      <c r="B787" s="58" t="s">
        <v>913</v>
      </c>
      <c r="C787" s="59" t="s">
        <v>912</v>
      </c>
      <c r="D787" s="60" t="s">
        <v>911</v>
      </c>
      <c r="E787" s="61" t="s">
        <v>3209</v>
      </c>
      <c r="F787" s="62" t="s">
        <v>3162</v>
      </c>
      <c r="G787" s="62" t="s">
        <v>3163</v>
      </c>
      <c r="H787" s="62" t="s">
        <v>3164</v>
      </c>
      <c r="I787" s="62" t="s">
        <v>3165</v>
      </c>
      <c r="J787" s="62" t="s">
        <v>3166</v>
      </c>
      <c r="K787" s="62" t="s">
        <v>3167</v>
      </c>
      <c r="L787" s="63" t="s">
        <v>3168</v>
      </c>
    </row>
    <row r="788" spans="2:13">
      <c r="B788" s="43" t="e">
        <f>VLOOKUP($A788,'[2]Team lists'!$A$2:$L$800,2,FALSE)</f>
        <v>#N/A</v>
      </c>
      <c r="C788" s="43" t="e">
        <f>VLOOKUP($A788,'[2]Team lists'!$A$2:$L$800,3,FALSE)</f>
        <v>#N/A</v>
      </c>
      <c r="D788" s="43" t="e">
        <f>VLOOKUP($A788,'[2]Team lists'!$A$2:$L$800,4,FALSE)</f>
        <v>#N/A</v>
      </c>
      <c r="E788" s="43" t="e">
        <f>VLOOKUP($A788,'[2]Team lists'!$A$2:$L$800,5,FALSE)</f>
        <v>#N/A</v>
      </c>
      <c r="F788" s="43" t="e">
        <f>VLOOKUP($A788,'[2]Team lists'!$A$2:$L$800,6,FALSE)</f>
        <v>#N/A</v>
      </c>
      <c r="G788" s="43" t="e">
        <f>VLOOKUP($A788,'[2]Team lists'!$A$2:$L$800,7,FALSE)</f>
        <v>#N/A</v>
      </c>
      <c r="H788" s="43" t="e">
        <f>VLOOKUP($A788,'[2]Team lists'!$A$2:$L$800,8,FALSE)</f>
        <v>#N/A</v>
      </c>
      <c r="I788" s="43" t="e">
        <f>VLOOKUP($A788,'[2]Team lists'!$A$2:$L$800,9,FALSE)</f>
        <v>#N/A</v>
      </c>
      <c r="J788" s="43" t="e">
        <f>VLOOKUP($A788,'[2]Team lists'!$A$2:$L$800,9,FALSE)</f>
        <v>#N/A</v>
      </c>
      <c r="K788" s="43" t="e">
        <f>VLOOKUP($A788,'[2]Team lists'!$A$2:$L$800,10,FALSE)</f>
        <v>#N/A</v>
      </c>
      <c r="L788" s="43" t="e">
        <f>VLOOKUP($A788,'[2]Team lists'!$A$2:$L$800,11,FALSE)</f>
        <v>#N/A</v>
      </c>
    </row>
    <row r="789" spans="2:13">
      <c r="B789" s="43" t="e">
        <f>VLOOKUP($A789,'[2]Team lists'!$A$2:$L$800,2,FALSE)</f>
        <v>#N/A</v>
      </c>
      <c r="C789" s="43" t="e">
        <f>VLOOKUP($A789,'[2]Team lists'!$A$2:$L$800,3,FALSE)</f>
        <v>#N/A</v>
      </c>
      <c r="D789" s="43" t="e">
        <f>VLOOKUP($A789,'[2]Team lists'!$A$2:$L$800,4,FALSE)</f>
        <v>#N/A</v>
      </c>
      <c r="E789" s="43" t="e">
        <f>VLOOKUP($A789,'[2]Team lists'!$A$2:$L$800,5,FALSE)</f>
        <v>#N/A</v>
      </c>
      <c r="F789" s="43" t="e">
        <f>VLOOKUP($A789,'[2]Team lists'!$A$2:$L$800,6,FALSE)</f>
        <v>#N/A</v>
      </c>
      <c r="G789" s="43" t="e">
        <f>VLOOKUP($A789,'[2]Team lists'!$A$2:$L$800,7,FALSE)</f>
        <v>#N/A</v>
      </c>
      <c r="H789" s="43" t="e">
        <f>VLOOKUP($A789,'[2]Team lists'!$A$2:$L$800,8,FALSE)</f>
        <v>#N/A</v>
      </c>
      <c r="I789" s="43" t="e">
        <f>VLOOKUP($A789,'[2]Team lists'!$A$2:$L$800,9,FALSE)</f>
        <v>#N/A</v>
      </c>
      <c r="J789" s="43" t="e">
        <f>VLOOKUP($A789,'[2]Team lists'!$A$2:$L$800,9,FALSE)</f>
        <v>#N/A</v>
      </c>
      <c r="K789" s="43" t="e">
        <f>VLOOKUP($A789,'[2]Team lists'!$A$2:$L$800,10,FALSE)</f>
        <v>#N/A</v>
      </c>
      <c r="L789" s="43" t="e">
        <f>VLOOKUP($A789,'[2]Team lists'!$A$2:$L$800,11,FALSE)</f>
        <v>#N/A</v>
      </c>
    </row>
    <row r="790" spans="2:13">
      <c r="B790" s="43" t="e">
        <f>VLOOKUP($A790,'[2]Team lists'!$A$2:$L$800,2,FALSE)</f>
        <v>#N/A</v>
      </c>
      <c r="C790" s="43" t="e">
        <f>VLOOKUP($A790,'[2]Team lists'!$A$2:$L$800,3,FALSE)</f>
        <v>#N/A</v>
      </c>
      <c r="D790" s="43" t="e">
        <f>VLOOKUP($A790,'[2]Team lists'!$A$2:$L$800,4,FALSE)</f>
        <v>#N/A</v>
      </c>
      <c r="E790" s="43" t="e">
        <f>VLOOKUP($A790,'[2]Team lists'!$A$2:$L$800,5,FALSE)</f>
        <v>#N/A</v>
      </c>
      <c r="F790" s="43" t="e">
        <f>VLOOKUP($A790,'[2]Team lists'!$A$2:$L$800,6,FALSE)</f>
        <v>#N/A</v>
      </c>
      <c r="G790" s="43" t="e">
        <f>VLOOKUP($A790,'[2]Team lists'!$A$2:$L$800,7,FALSE)</f>
        <v>#N/A</v>
      </c>
      <c r="H790" s="43" t="e">
        <f>VLOOKUP($A790,'[2]Team lists'!$A$2:$L$800,8,FALSE)</f>
        <v>#N/A</v>
      </c>
      <c r="I790" s="43" t="e">
        <f>VLOOKUP($A790,'[2]Team lists'!$A$2:$L$800,9,FALSE)</f>
        <v>#N/A</v>
      </c>
      <c r="J790" s="43" t="e">
        <f>VLOOKUP($A790,'[2]Team lists'!$A$2:$L$800,9,FALSE)</f>
        <v>#N/A</v>
      </c>
      <c r="K790" s="43" t="e">
        <f>VLOOKUP($A790,'[2]Team lists'!$A$2:$L$800,10,FALSE)</f>
        <v>#N/A</v>
      </c>
      <c r="L790" s="43" t="e">
        <f>VLOOKUP($A790,'[2]Team lists'!$A$2:$L$800,11,FALSE)</f>
        <v>#N/A</v>
      </c>
    </row>
    <row r="791" spans="2:13">
      <c r="B791" s="43" t="e">
        <f>VLOOKUP($A791,'[2]Team lists'!$A$2:$L$800,2,FALSE)</f>
        <v>#N/A</v>
      </c>
      <c r="C791" s="43" t="e">
        <f>VLOOKUP($A791,'[2]Team lists'!$A$2:$L$800,3,FALSE)</f>
        <v>#N/A</v>
      </c>
      <c r="D791" s="43" t="e">
        <f>VLOOKUP($A791,'[2]Team lists'!$A$2:$L$800,4,FALSE)</f>
        <v>#N/A</v>
      </c>
      <c r="E791" s="43" t="e">
        <f>VLOOKUP($A791,'[2]Team lists'!$A$2:$L$800,5,FALSE)</f>
        <v>#N/A</v>
      </c>
      <c r="F791" s="43" t="e">
        <f>VLOOKUP($A791,'[2]Team lists'!$A$2:$L$800,6,FALSE)</f>
        <v>#N/A</v>
      </c>
      <c r="G791" s="43" t="e">
        <f>VLOOKUP($A791,'[2]Team lists'!$A$2:$L$800,7,FALSE)</f>
        <v>#N/A</v>
      </c>
      <c r="H791" s="43" t="e">
        <f>VLOOKUP($A791,'[2]Team lists'!$A$2:$L$800,8,FALSE)</f>
        <v>#N/A</v>
      </c>
      <c r="I791" s="43" t="e">
        <f>VLOOKUP($A791,'[2]Team lists'!$A$2:$L$800,9,FALSE)</f>
        <v>#N/A</v>
      </c>
      <c r="J791" s="43" t="e">
        <f>VLOOKUP($A791,'[2]Team lists'!$A$2:$L$800,9,FALSE)</f>
        <v>#N/A</v>
      </c>
      <c r="K791" s="43" t="e">
        <f>VLOOKUP($A791,'[2]Team lists'!$A$2:$L$800,10,FALSE)</f>
        <v>#N/A</v>
      </c>
      <c r="L791" s="43" t="e">
        <f>VLOOKUP($A791,'[2]Team lists'!$A$2:$L$800,11,FALSE)</f>
        <v>#N/A</v>
      </c>
    </row>
    <row r="792" spans="2:13">
      <c r="B792" s="43" t="e">
        <f>VLOOKUP($A792,'[2]Team lists'!$A$2:$L$800,2,FALSE)</f>
        <v>#N/A</v>
      </c>
      <c r="C792" s="43" t="e">
        <f>VLOOKUP($A792,'[2]Team lists'!$A$2:$L$800,3,FALSE)</f>
        <v>#N/A</v>
      </c>
      <c r="D792" s="43" t="e">
        <f>VLOOKUP($A792,'[2]Team lists'!$A$2:$L$800,4,FALSE)</f>
        <v>#N/A</v>
      </c>
      <c r="E792" s="43" t="e">
        <f>VLOOKUP($A792,'[2]Team lists'!$A$2:$L$800,5,FALSE)</f>
        <v>#N/A</v>
      </c>
      <c r="F792" s="43" t="e">
        <f>VLOOKUP($A792,'[2]Team lists'!$A$2:$L$800,6,FALSE)</f>
        <v>#N/A</v>
      </c>
      <c r="G792" s="43" t="e">
        <f>VLOOKUP($A792,'[2]Team lists'!$A$2:$L$800,7,FALSE)</f>
        <v>#N/A</v>
      </c>
      <c r="H792" s="43" t="e">
        <f>VLOOKUP($A792,'[2]Team lists'!$A$2:$L$800,8,FALSE)</f>
        <v>#N/A</v>
      </c>
      <c r="I792" s="43" t="e">
        <f>VLOOKUP($A792,'[2]Team lists'!$A$2:$L$800,9,FALSE)</f>
        <v>#N/A</v>
      </c>
      <c r="J792" s="43" t="e">
        <f>VLOOKUP($A792,'[2]Team lists'!$A$2:$L$800,9,FALSE)</f>
        <v>#N/A</v>
      </c>
      <c r="K792" s="43" t="e">
        <f>VLOOKUP($A792,'[2]Team lists'!$A$2:$L$800,10,FALSE)</f>
        <v>#N/A</v>
      </c>
      <c r="L792" s="43" t="e">
        <f>VLOOKUP($A792,'[2]Team lists'!$A$2:$L$800,11,FALSE)</f>
        <v>#N/A</v>
      </c>
    </row>
    <row r="793" spans="2:13">
      <c r="B793" s="43" t="e">
        <f>VLOOKUP($A793,'[2]Team lists'!$A$2:$L$800,2,FALSE)</f>
        <v>#N/A</v>
      </c>
      <c r="C793" s="43" t="e">
        <f>VLOOKUP($A793,'[2]Team lists'!$A$2:$L$800,3,FALSE)</f>
        <v>#N/A</v>
      </c>
      <c r="D793" s="43" t="e">
        <f>VLOOKUP($A793,'[2]Team lists'!$A$2:$L$800,4,FALSE)</f>
        <v>#N/A</v>
      </c>
      <c r="E793" s="43" t="e">
        <f>VLOOKUP($A793,'[2]Team lists'!$A$2:$L$800,5,FALSE)</f>
        <v>#N/A</v>
      </c>
      <c r="F793" s="43" t="e">
        <f>VLOOKUP($A793,'[2]Team lists'!$A$2:$L$800,6,FALSE)</f>
        <v>#N/A</v>
      </c>
      <c r="G793" s="43" t="e">
        <f>VLOOKUP($A793,'[2]Team lists'!$A$2:$L$800,7,FALSE)</f>
        <v>#N/A</v>
      </c>
      <c r="H793" s="43" t="e">
        <f>VLOOKUP($A793,'[2]Team lists'!$A$2:$L$800,8,FALSE)</f>
        <v>#N/A</v>
      </c>
      <c r="I793" s="43" t="e">
        <f>VLOOKUP($A793,'[2]Team lists'!$A$2:$L$800,9,FALSE)</f>
        <v>#N/A</v>
      </c>
      <c r="J793" s="43" t="e">
        <f>VLOOKUP($A793,'[2]Team lists'!$A$2:$L$800,9,FALSE)</f>
        <v>#N/A</v>
      </c>
      <c r="K793" s="43" t="e">
        <f>VLOOKUP($A793,'[2]Team lists'!$A$2:$L$800,10,FALSE)</f>
        <v>#N/A</v>
      </c>
      <c r="L793" s="43" t="e">
        <f>VLOOKUP($A793,'[2]Team lists'!$A$2:$L$800,11,FALSE)</f>
        <v>#N/A</v>
      </c>
    </row>
    <row r="794" spans="2:13">
      <c r="B794" s="43" t="e">
        <f>VLOOKUP($A794,'[2]Team lists'!$A$2:$L$800,2,FALSE)</f>
        <v>#N/A</v>
      </c>
      <c r="C794" s="43" t="e">
        <f>VLOOKUP($A794,'[2]Team lists'!$A$2:$L$800,3,FALSE)</f>
        <v>#N/A</v>
      </c>
      <c r="D794" s="43" t="e">
        <f>VLOOKUP($A794,'[2]Team lists'!$A$2:$L$800,4,FALSE)</f>
        <v>#N/A</v>
      </c>
      <c r="E794" s="43" t="e">
        <f>VLOOKUP($A794,'[2]Team lists'!$A$2:$L$800,5,FALSE)</f>
        <v>#N/A</v>
      </c>
      <c r="F794" s="43" t="e">
        <f>VLOOKUP($A794,'[2]Team lists'!$A$2:$L$800,6,FALSE)</f>
        <v>#N/A</v>
      </c>
      <c r="G794" s="43" t="e">
        <f>VLOOKUP($A794,'[2]Team lists'!$A$2:$L$800,7,FALSE)</f>
        <v>#N/A</v>
      </c>
      <c r="H794" s="43" t="e">
        <f>VLOOKUP($A794,'[2]Team lists'!$A$2:$L$800,8,FALSE)</f>
        <v>#N/A</v>
      </c>
      <c r="I794" s="43" t="e">
        <f>VLOOKUP($A794,'[2]Team lists'!$A$2:$L$800,9,FALSE)</f>
        <v>#N/A</v>
      </c>
      <c r="J794" s="43" t="e">
        <f>VLOOKUP($A794,'[2]Team lists'!$A$2:$L$800,9,FALSE)</f>
        <v>#N/A</v>
      </c>
      <c r="K794" s="43" t="e">
        <f>VLOOKUP($A794,'[2]Team lists'!$A$2:$L$800,10,FALSE)</f>
        <v>#N/A</v>
      </c>
      <c r="L794" s="43" t="e">
        <f>VLOOKUP($A794,'[2]Team lists'!$A$2:$L$800,11,FALSE)</f>
        <v>#N/A</v>
      </c>
    </row>
    <row r="795" spans="2:13">
      <c r="B795" s="43" t="e">
        <f>VLOOKUP($A795,'[2]Team lists'!$A$2:$L$800,2,FALSE)</f>
        <v>#N/A</v>
      </c>
      <c r="C795" s="43" t="e">
        <f>VLOOKUP($A795,'[2]Team lists'!$A$2:$L$800,3,FALSE)</f>
        <v>#N/A</v>
      </c>
      <c r="D795" s="43" t="e">
        <f>VLOOKUP($A795,'[2]Team lists'!$A$2:$L$800,4,FALSE)</f>
        <v>#N/A</v>
      </c>
      <c r="E795" s="43" t="e">
        <f>VLOOKUP($A795,'[2]Team lists'!$A$2:$L$800,5,FALSE)</f>
        <v>#N/A</v>
      </c>
      <c r="F795" s="43" t="e">
        <f>VLOOKUP($A795,'[2]Team lists'!$A$2:$L$800,6,FALSE)</f>
        <v>#N/A</v>
      </c>
      <c r="G795" s="43" t="e">
        <f>VLOOKUP($A795,'[2]Team lists'!$A$2:$L$800,7,FALSE)</f>
        <v>#N/A</v>
      </c>
      <c r="H795" s="43" t="e">
        <f>VLOOKUP($A795,'[2]Team lists'!$A$2:$L$800,8,FALSE)</f>
        <v>#N/A</v>
      </c>
      <c r="I795" s="43" t="e">
        <f>VLOOKUP($A795,'[2]Team lists'!$A$2:$L$800,9,FALSE)</f>
        <v>#N/A</v>
      </c>
      <c r="J795" s="43" t="e">
        <f>VLOOKUP($A795,'[2]Team lists'!$A$2:$L$800,9,FALSE)</f>
        <v>#N/A</v>
      </c>
      <c r="K795" s="43" t="e">
        <f>VLOOKUP($A795,'[2]Team lists'!$A$2:$L$800,10,FALSE)</f>
        <v>#N/A</v>
      </c>
      <c r="L795" s="43" t="e">
        <f>VLOOKUP($A795,'[2]Team lists'!$A$2:$L$800,11,FALSE)</f>
        <v>#N/A</v>
      </c>
    </row>
    <row r="796" spans="2:13">
      <c r="B796" s="43" t="e">
        <f>VLOOKUP($A796,'[2]Team lists'!$A$2:$L$800,2,FALSE)</f>
        <v>#N/A</v>
      </c>
      <c r="C796" s="43" t="e">
        <f>VLOOKUP($A796,'[2]Team lists'!$A$2:$L$800,3,FALSE)</f>
        <v>#N/A</v>
      </c>
      <c r="D796" s="43" t="e">
        <f>VLOOKUP($A796,'[2]Team lists'!$A$2:$L$800,4,FALSE)</f>
        <v>#N/A</v>
      </c>
      <c r="E796" s="43" t="e">
        <f>VLOOKUP($A796,'[2]Team lists'!$A$2:$L$800,5,FALSE)</f>
        <v>#N/A</v>
      </c>
      <c r="F796" s="43" t="e">
        <f>VLOOKUP($A796,'[2]Team lists'!$A$2:$L$800,6,FALSE)</f>
        <v>#N/A</v>
      </c>
      <c r="G796" s="43" t="e">
        <f>VLOOKUP($A796,'[2]Team lists'!$A$2:$L$800,7,FALSE)</f>
        <v>#N/A</v>
      </c>
      <c r="H796" s="43" t="e">
        <f>VLOOKUP($A796,'[2]Team lists'!$A$2:$L$800,8,FALSE)</f>
        <v>#N/A</v>
      </c>
      <c r="I796" s="43" t="e">
        <f>VLOOKUP($A796,'[2]Team lists'!$A$2:$L$800,9,FALSE)</f>
        <v>#N/A</v>
      </c>
      <c r="J796" s="43" t="e">
        <f>VLOOKUP($A796,'[2]Team lists'!$A$2:$L$800,9,FALSE)</f>
        <v>#N/A</v>
      </c>
      <c r="K796" s="43" t="e">
        <f>VLOOKUP($A796,'[2]Team lists'!$A$2:$L$800,10,FALSE)</f>
        <v>#N/A</v>
      </c>
      <c r="L796" s="43" t="e">
        <f>VLOOKUP($A796,'[2]Team lists'!$A$2:$L$800,11,FALSE)</f>
        <v>#N/A</v>
      </c>
    </row>
    <row r="797" spans="2:13">
      <c r="B797" s="43" t="e">
        <f>VLOOKUP($A797,'[2]Team lists'!$A$2:$L$800,2,FALSE)</f>
        <v>#N/A</v>
      </c>
      <c r="C797" s="43" t="e">
        <f>VLOOKUP($A797,'[2]Team lists'!$A$2:$L$800,3,FALSE)</f>
        <v>#N/A</v>
      </c>
      <c r="D797" s="43" t="e">
        <f>VLOOKUP($A797,'[2]Team lists'!$A$2:$L$800,4,FALSE)</f>
        <v>#N/A</v>
      </c>
      <c r="E797" s="43" t="e">
        <f>VLOOKUP($A797,'[2]Team lists'!$A$2:$L$800,5,FALSE)</f>
        <v>#N/A</v>
      </c>
      <c r="F797" s="43" t="e">
        <f>VLOOKUP($A797,'[2]Team lists'!$A$2:$L$800,6,FALSE)</f>
        <v>#N/A</v>
      </c>
      <c r="G797" s="43" t="e">
        <f>VLOOKUP($A797,'[2]Team lists'!$A$2:$L$800,7,FALSE)</f>
        <v>#N/A</v>
      </c>
      <c r="H797" s="43" t="e">
        <f>VLOOKUP($A797,'[2]Team lists'!$A$2:$L$800,8,FALSE)</f>
        <v>#N/A</v>
      </c>
      <c r="I797" s="43" t="e">
        <f>VLOOKUP($A797,'[2]Team lists'!$A$2:$L$800,9,FALSE)</f>
        <v>#N/A</v>
      </c>
      <c r="J797" s="43" t="e">
        <f>VLOOKUP($A797,'[2]Team lists'!$A$2:$L$800,9,FALSE)</f>
        <v>#N/A</v>
      </c>
      <c r="K797" s="43" t="e">
        <f>VLOOKUP($A797,'[2]Team lists'!$A$2:$L$800,10,FALSE)</f>
        <v>#N/A</v>
      </c>
      <c r="L797" s="43" t="e">
        <f>VLOOKUP($A797,'[2]Team lists'!$A$2:$L$800,11,FALSE)</f>
        <v>#N/A</v>
      </c>
    </row>
    <row r="798" spans="2:13">
      <c r="B798" s="43" t="e">
        <f>VLOOKUP($A798,'[2]Team lists'!$A$2:$L$800,2,FALSE)</f>
        <v>#N/A</v>
      </c>
      <c r="C798" s="43" t="e">
        <f>VLOOKUP($A798,'[2]Team lists'!$A$2:$L$800,3,FALSE)</f>
        <v>#N/A</v>
      </c>
      <c r="D798" s="43" t="e">
        <f>VLOOKUP($A798,'[2]Team lists'!$A$2:$L$800,4,FALSE)</f>
        <v>#N/A</v>
      </c>
      <c r="E798" s="43" t="e">
        <f>VLOOKUP($A798,'[2]Team lists'!$A$2:$L$800,5,FALSE)</f>
        <v>#N/A</v>
      </c>
      <c r="F798" s="43" t="e">
        <f>VLOOKUP($A798,'[2]Team lists'!$A$2:$L$800,6,FALSE)</f>
        <v>#N/A</v>
      </c>
      <c r="G798" s="43" t="e">
        <f>VLOOKUP($A798,'[2]Team lists'!$A$2:$L$800,7,FALSE)</f>
        <v>#N/A</v>
      </c>
      <c r="H798" s="43" t="e">
        <f>VLOOKUP($A798,'[2]Team lists'!$A$2:$L$800,8,FALSE)</f>
        <v>#N/A</v>
      </c>
      <c r="I798" s="43" t="e">
        <f>VLOOKUP($A798,'[2]Team lists'!$A$2:$L$800,9,FALSE)</f>
        <v>#N/A</v>
      </c>
      <c r="J798" s="43" t="e">
        <f>VLOOKUP($A798,'[2]Team lists'!$A$2:$L$800,9,FALSE)</f>
        <v>#N/A</v>
      </c>
      <c r="K798" s="43" t="e">
        <f>VLOOKUP($A798,'[2]Team lists'!$A$2:$L$800,10,FALSE)</f>
        <v>#N/A</v>
      </c>
      <c r="L798" s="43" t="e">
        <f>VLOOKUP($A798,'[2]Team lists'!$A$2:$L$800,11,FALSE)</f>
        <v>#N/A</v>
      </c>
    </row>
    <row r="799" spans="2:13" ht="18" thickBot="1">
      <c r="B799" s="45" t="s">
        <v>3210</v>
      </c>
      <c r="C799" s="46"/>
      <c r="D799" s="47"/>
      <c r="E799" s="48" t="e">
        <f t="shared" ref="E799:L799" si="49">SUM(E788:E798)</f>
        <v>#N/A</v>
      </c>
      <c r="F799" s="49" t="e">
        <f t="shared" si="49"/>
        <v>#N/A</v>
      </c>
      <c r="G799" s="49" t="e">
        <f t="shared" si="49"/>
        <v>#N/A</v>
      </c>
      <c r="H799" s="49" t="e">
        <f t="shared" si="49"/>
        <v>#N/A</v>
      </c>
      <c r="I799" s="49" t="e">
        <f t="shared" si="49"/>
        <v>#N/A</v>
      </c>
      <c r="J799" s="49" t="e">
        <f t="shared" si="49"/>
        <v>#N/A</v>
      </c>
      <c r="K799" s="49" t="e">
        <f t="shared" si="49"/>
        <v>#N/A</v>
      </c>
      <c r="L799" s="50" t="e">
        <f t="shared" si="49"/>
        <v>#N/A</v>
      </c>
    </row>
    <row r="800" spans="2:13" ht="18.600000000000001" thickTop="1" thickBot="1"/>
    <row r="801" spans="2:13" ht="18" thickTop="1">
      <c r="B801" s="23" t="s">
        <v>3204</v>
      </c>
      <c r="C801" s="24" t="s">
        <v>3205</v>
      </c>
      <c r="D801" s="25"/>
      <c r="E801" s="25"/>
      <c r="F801" s="53"/>
      <c r="G801" s="28" t="s">
        <v>3206</v>
      </c>
      <c r="H801" s="54"/>
      <c r="I801" s="54"/>
      <c r="J801" s="54"/>
      <c r="K801" s="28" t="s">
        <v>3207</v>
      </c>
      <c r="L801" s="29"/>
      <c r="M801" s="22" t="str">
        <f>G801</f>
        <v>Manager:</v>
      </c>
    </row>
    <row r="802" spans="2:13" ht="18" thickBot="1">
      <c r="B802" s="30">
        <v>51</v>
      </c>
      <c r="C802" s="57"/>
      <c r="D802" s="31"/>
      <c r="E802" s="31"/>
      <c r="F802" s="33"/>
      <c r="G802" s="55"/>
      <c r="H802" s="55"/>
      <c r="I802" s="55"/>
      <c r="J802" s="55"/>
      <c r="K802" s="34" t="e">
        <f>SUM(F815:L815)</f>
        <v>#N/A</v>
      </c>
      <c r="L802" s="35"/>
      <c r="M802" s="22">
        <f>G802</f>
        <v>0</v>
      </c>
    </row>
    <row r="803" spans="2:13" ht="18.600000000000001" thickTop="1">
      <c r="B803" s="58" t="s">
        <v>913</v>
      </c>
      <c r="C803" s="59" t="s">
        <v>912</v>
      </c>
      <c r="D803" s="60" t="s">
        <v>911</v>
      </c>
      <c r="E803" s="61" t="s">
        <v>3209</v>
      </c>
      <c r="F803" s="62" t="s">
        <v>3162</v>
      </c>
      <c r="G803" s="62" t="s">
        <v>3163</v>
      </c>
      <c r="H803" s="62" t="s">
        <v>3164</v>
      </c>
      <c r="I803" s="62" t="s">
        <v>3165</v>
      </c>
      <c r="J803" s="62" t="s">
        <v>3166</v>
      </c>
      <c r="K803" s="62" t="s">
        <v>3167</v>
      </c>
      <c r="L803" s="63" t="s">
        <v>3168</v>
      </c>
    </row>
    <row r="804" spans="2:13">
      <c r="B804" s="43" t="e">
        <f>VLOOKUP($A804,'[2]Team lists'!$A$2:$L$800,2,FALSE)</f>
        <v>#N/A</v>
      </c>
      <c r="C804" s="43" t="e">
        <f>VLOOKUP($A804,'[2]Team lists'!$A$2:$L$800,3,FALSE)</f>
        <v>#N/A</v>
      </c>
      <c r="D804" s="43" t="e">
        <f>VLOOKUP($A804,'[2]Team lists'!$A$2:$L$800,4,FALSE)</f>
        <v>#N/A</v>
      </c>
      <c r="E804" s="43" t="e">
        <f>VLOOKUP($A804,'[2]Team lists'!$A$2:$L$800,5,FALSE)</f>
        <v>#N/A</v>
      </c>
      <c r="F804" s="43" t="e">
        <f>VLOOKUP($A804,'[2]Team lists'!$A$2:$L$800,6,FALSE)</f>
        <v>#N/A</v>
      </c>
      <c r="G804" s="43" t="e">
        <f>VLOOKUP($A804,'[2]Team lists'!$A$2:$L$800,7,FALSE)</f>
        <v>#N/A</v>
      </c>
      <c r="H804" s="43" t="e">
        <f>VLOOKUP($A804,'[2]Team lists'!$A$2:$L$800,8,FALSE)</f>
        <v>#N/A</v>
      </c>
      <c r="I804" s="43" t="e">
        <f>VLOOKUP($A804,'[2]Team lists'!$A$2:$L$800,9,FALSE)</f>
        <v>#N/A</v>
      </c>
      <c r="J804" s="43" t="e">
        <f>VLOOKUP($A804,'[2]Team lists'!$A$2:$L$800,9,FALSE)</f>
        <v>#N/A</v>
      </c>
      <c r="K804" s="43" t="e">
        <f>VLOOKUP($A804,'[2]Team lists'!$A$2:$L$800,10,FALSE)</f>
        <v>#N/A</v>
      </c>
      <c r="L804" s="43" t="e">
        <f>VLOOKUP($A804,'[2]Team lists'!$A$2:$L$800,11,FALSE)</f>
        <v>#N/A</v>
      </c>
    </row>
    <row r="805" spans="2:13">
      <c r="B805" s="43" t="e">
        <f>VLOOKUP($A805,'[2]Team lists'!$A$2:$L$800,2,FALSE)</f>
        <v>#N/A</v>
      </c>
      <c r="C805" s="43" t="e">
        <f>VLOOKUP($A805,'[2]Team lists'!$A$2:$L$800,3,FALSE)</f>
        <v>#N/A</v>
      </c>
      <c r="D805" s="43" t="e">
        <f>VLOOKUP($A805,'[2]Team lists'!$A$2:$L$800,4,FALSE)</f>
        <v>#N/A</v>
      </c>
      <c r="E805" s="43" t="e">
        <f>VLOOKUP($A805,'[2]Team lists'!$A$2:$L$800,5,FALSE)</f>
        <v>#N/A</v>
      </c>
      <c r="F805" s="43" t="e">
        <f>VLOOKUP($A805,'[2]Team lists'!$A$2:$L$800,6,FALSE)</f>
        <v>#N/A</v>
      </c>
      <c r="G805" s="43" t="e">
        <f>VLOOKUP($A805,'[2]Team lists'!$A$2:$L$800,7,FALSE)</f>
        <v>#N/A</v>
      </c>
      <c r="H805" s="43" t="e">
        <f>VLOOKUP($A805,'[2]Team lists'!$A$2:$L$800,8,FALSE)</f>
        <v>#N/A</v>
      </c>
      <c r="I805" s="43" t="e">
        <f>VLOOKUP($A805,'[2]Team lists'!$A$2:$L$800,9,FALSE)</f>
        <v>#N/A</v>
      </c>
      <c r="J805" s="43" t="e">
        <f>VLOOKUP($A805,'[2]Team lists'!$A$2:$L$800,9,FALSE)</f>
        <v>#N/A</v>
      </c>
      <c r="K805" s="43" t="e">
        <f>VLOOKUP($A805,'[2]Team lists'!$A$2:$L$800,10,FALSE)</f>
        <v>#N/A</v>
      </c>
      <c r="L805" s="43" t="e">
        <f>VLOOKUP($A805,'[2]Team lists'!$A$2:$L$800,11,FALSE)</f>
        <v>#N/A</v>
      </c>
    </row>
    <row r="806" spans="2:13">
      <c r="B806" s="43" t="e">
        <f>VLOOKUP($A806,'[2]Team lists'!$A$2:$L$800,2,FALSE)</f>
        <v>#N/A</v>
      </c>
      <c r="C806" s="43" t="e">
        <f>VLOOKUP($A806,'[2]Team lists'!$A$2:$L$800,3,FALSE)</f>
        <v>#N/A</v>
      </c>
      <c r="D806" s="43" t="e">
        <f>VLOOKUP($A806,'[2]Team lists'!$A$2:$L$800,4,FALSE)</f>
        <v>#N/A</v>
      </c>
      <c r="E806" s="43" t="e">
        <f>VLOOKUP($A806,'[2]Team lists'!$A$2:$L$800,5,FALSE)</f>
        <v>#N/A</v>
      </c>
      <c r="F806" s="43" t="e">
        <f>VLOOKUP($A806,'[2]Team lists'!$A$2:$L$800,6,FALSE)</f>
        <v>#N/A</v>
      </c>
      <c r="G806" s="43" t="e">
        <f>VLOOKUP($A806,'[2]Team lists'!$A$2:$L$800,7,FALSE)</f>
        <v>#N/A</v>
      </c>
      <c r="H806" s="43" t="e">
        <f>VLOOKUP($A806,'[2]Team lists'!$A$2:$L$800,8,FALSE)</f>
        <v>#N/A</v>
      </c>
      <c r="I806" s="43" t="e">
        <f>VLOOKUP($A806,'[2]Team lists'!$A$2:$L$800,9,FALSE)</f>
        <v>#N/A</v>
      </c>
      <c r="J806" s="43" t="e">
        <f>VLOOKUP($A806,'[2]Team lists'!$A$2:$L$800,9,FALSE)</f>
        <v>#N/A</v>
      </c>
      <c r="K806" s="43" t="e">
        <f>VLOOKUP($A806,'[2]Team lists'!$A$2:$L$800,10,FALSE)</f>
        <v>#N/A</v>
      </c>
      <c r="L806" s="43" t="e">
        <f>VLOOKUP($A806,'[2]Team lists'!$A$2:$L$800,11,FALSE)</f>
        <v>#N/A</v>
      </c>
    </row>
    <row r="807" spans="2:13">
      <c r="B807" s="43" t="e">
        <f>VLOOKUP($A807,'[2]Team lists'!$A$2:$L$800,2,FALSE)</f>
        <v>#N/A</v>
      </c>
      <c r="C807" s="43" t="e">
        <f>VLOOKUP($A807,'[2]Team lists'!$A$2:$L$800,3,FALSE)</f>
        <v>#N/A</v>
      </c>
      <c r="D807" s="43" t="e">
        <f>VLOOKUP($A807,'[2]Team lists'!$A$2:$L$800,4,FALSE)</f>
        <v>#N/A</v>
      </c>
      <c r="E807" s="43" t="e">
        <f>VLOOKUP($A807,'[2]Team lists'!$A$2:$L$800,5,FALSE)</f>
        <v>#N/A</v>
      </c>
      <c r="F807" s="43" t="e">
        <f>VLOOKUP($A807,'[2]Team lists'!$A$2:$L$800,6,FALSE)</f>
        <v>#N/A</v>
      </c>
      <c r="G807" s="43" t="e">
        <f>VLOOKUP($A807,'[2]Team lists'!$A$2:$L$800,7,FALSE)</f>
        <v>#N/A</v>
      </c>
      <c r="H807" s="43" t="e">
        <f>VLOOKUP($A807,'[2]Team lists'!$A$2:$L$800,8,FALSE)</f>
        <v>#N/A</v>
      </c>
      <c r="I807" s="43" t="e">
        <f>VLOOKUP($A807,'[2]Team lists'!$A$2:$L$800,9,FALSE)</f>
        <v>#N/A</v>
      </c>
      <c r="J807" s="43" t="e">
        <f>VLOOKUP($A807,'[2]Team lists'!$A$2:$L$800,9,FALSE)</f>
        <v>#N/A</v>
      </c>
      <c r="K807" s="43" t="e">
        <f>VLOOKUP($A807,'[2]Team lists'!$A$2:$L$800,10,FALSE)</f>
        <v>#N/A</v>
      </c>
      <c r="L807" s="43" t="e">
        <f>VLOOKUP($A807,'[2]Team lists'!$A$2:$L$800,11,FALSE)</f>
        <v>#N/A</v>
      </c>
    </row>
    <row r="808" spans="2:13">
      <c r="B808" s="43" t="e">
        <f>VLOOKUP($A808,'[2]Team lists'!$A$2:$L$800,2,FALSE)</f>
        <v>#N/A</v>
      </c>
      <c r="C808" s="43" t="e">
        <f>VLOOKUP($A808,'[2]Team lists'!$A$2:$L$800,3,FALSE)</f>
        <v>#N/A</v>
      </c>
      <c r="D808" s="43" t="e">
        <f>VLOOKUP($A808,'[2]Team lists'!$A$2:$L$800,4,FALSE)</f>
        <v>#N/A</v>
      </c>
      <c r="E808" s="43" t="e">
        <f>VLOOKUP($A808,'[2]Team lists'!$A$2:$L$800,5,FALSE)</f>
        <v>#N/A</v>
      </c>
      <c r="F808" s="43" t="e">
        <f>VLOOKUP($A808,'[2]Team lists'!$A$2:$L$800,6,FALSE)</f>
        <v>#N/A</v>
      </c>
      <c r="G808" s="43" t="e">
        <f>VLOOKUP($A808,'[2]Team lists'!$A$2:$L$800,7,FALSE)</f>
        <v>#N/A</v>
      </c>
      <c r="H808" s="43" t="e">
        <f>VLOOKUP($A808,'[2]Team lists'!$A$2:$L$800,8,FALSE)</f>
        <v>#N/A</v>
      </c>
      <c r="I808" s="43" t="e">
        <f>VLOOKUP($A808,'[2]Team lists'!$A$2:$L$800,9,FALSE)</f>
        <v>#N/A</v>
      </c>
      <c r="J808" s="43" t="e">
        <f>VLOOKUP($A808,'[2]Team lists'!$A$2:$L$800,9,FALSE)</f>
        <v>#N/A</v>
      </c>
      <c r="K808" s="43" t="e">
        <f>VLOOKUP($A808,'[2]Team lists'!$A$2:$L$800,10,FALSE)</f>
        <v>#N/A</v>
      </c>
      <c r="L808" s="43" t="e">
        <f>VLOOKUP($A808,'[2]Team lists'!$A$2:$L$800,11,FALSE)</f>
        <v>#N/A</v>
      </c>
    </row>
    <row r="809" spans="2:13">
      <c r="B809" s="43" t="e">
        <f>VLOOKUP($A809,'[2]Team lists'!$A$2:$L$800,2,FALSE)</f>
        <v>#N/A</v>
      </c>
      <c r="C809" s="43" t="e">
        <f>VLOOKUP($A809,'[2]Team lists'!$A$2:$L$800,3,FALSE)</f>
        <v>#N/A</v>
      </c>
      <c r="D809" s="43" t="e">
        <f>VLOOKUP($A809,'[2]Team lists'!$A$2:$L$800,4,FALSE)</f>
        <v>#N/A</v>
      </c>
      <c r="E809" s="43" t="e">
        <f>VLOOKUP($A809,'[2]Team lists'!$A$2:$L$800,5,FALSE)</f>
        <v>#N/A</v>
      </c>
      <c r="F809" s="43" t="e">
        <f>VLOOKUP($A809,'[2]Team lists'!$A$2:$L$800,6,FALSE)</f>
        <v>#N/A</v>
      </c>
      <c r="G809" s="43" t="e">
        <f>VLOOKUP($A809,'[2]Team lists'!$A$2:$L$800,7,FALSE)</f>
        <v>#N/A</v>
      </c>
      <c r="H809" s="43" t="e">
        <f>VLOOKUP($A809,'[2]Team lists'!$A$2:$L$800,8,FALSE)</f>
        <v>#N/A</v>
      </c>
      <c r="I809" s="43" t="e">
        <f>VLOOKUP($A809,'[2]Team lists'!$A$2:$L$800,9,FALSE)</f>
        <v>#N/A</v>
      </c>
      <c r="J809" s="43" t="e">
        <f>VLOOKUP($A809,'[2]Team lists'!$A$2:$L$800,9,FALSE)</f>
        <v>#N/A</v>
      </c>
      <c r="K809" s="43" t="e">
        <f>VLOOKUP($A809,'[2]Team lists'!$A$2:$L$800,10,FALSE)</f>
        <v>#N/A</v>
      </c>
      <c r="L809" s="43" t="e">
        <f>VLOOKUP($A809,'[2]Team lists'!$A$2:$L$800,11,FALSE)</f>
        <v>#N/A</v>
      </c>
    </row>
    <row r="810" spans="2:13">
      <c r="B810" s="43" t="e">
        <f>VLOOKUP($A810,'[2]Team lists'!$A$2:$L$800,2,FALSE)</f>
        <v>#N/A</v>
      </c>
      <c r="C810" s="43" t="e">
        <f>VLOOKUP($A810,'[2]Team lists'!$A$2:$L$800,3,FALSE)</f>
        <v>#N/A</v>
      </c>
      <c r="D810" s="43" t="e">
        <f>VLOOKUP($A810,'[2]Team lists'!$A$2:$L$800,4,FALSE)</f>
        <v>#N/A</v>
      </c>
      <c r="E810" s="43" t="e">
        <f>VLOOKUP($A810,'[2]Team lists'!$A$2:$L$800,5,FALSE)</f>
        <v>#N/A</v>
      </c>
      <c r="F810" s="43" t="e">
        <f>VLOOKUP($A810,'[2]Team lists'!$A$2:$L$800,6,FALSE)</f>
        <v>#N/A</v>
      </c>
      <c r="G810" s="43" t="e">
        <f>VLOOKUP($A810,'[2]Team lists'!$A$2:$L$800,7,FALSE)</f>
        <v>#N/A</v>
      </c>
      <c r="H810" s="43" t="e">
        <f>VLOOKUP($A810,'[2]Team lists'!$A$2:$L$800,8,FALSE)</f>
        <v>#N/A</v>
      </c>
      <c r="I810" s="43" t="e">
        <f>VLOOKUP($A810,'[2]Team lists'!$A$2:$L$800,9,FALSE)</f>
        <v>#N/A</v>
      </c>
      <c r="J810" s="43" t="e">
        <f>VLOOKUP($A810,'[2]Team lists'!$A$2:$L$800,9,FALSE)</f>
        <v>#N/A</v>
      </c>
      <c r="K810" s="43" t="e">
        <f>VLOOKUP($A810,'[2]Team lists'!$A$2:$L$800,10,FALSE)</f>
        <v>#N/A</v>
      </c>
      <c r="L810" s="43" t="e">
        <f>VLOOKUP($A810,'[2]Team lists'!$A$2:$L$800,11,FALSE)</f>
        <v>#N/A</v>
      </c>
    </row>
    <row r="811" spans="2:13">
      <c r="B811" s="43" t="e">
        <f>VLOOKUP($A811,'[2]Team lists'!$A$2:$L$800,2,FALSE)</f>
        <v>#N/A</v>
      </c>
      <c r="C811" s="43" t="e">
        <f>VLOOKUP($A811,'[2]Team lists'!$A$2:$L$800,3,FALSE)</f>
        <v>#N/A</v>
      </c>
      <c r="D811" s="43" t="e">
        <f>VLOOKUP($A811,'[2]Team lists'!$A$2:$L$800,4,FALSE)</f>
        <v>#N/A</v>
      </c>
      <c r="E811" s="43" t="e">
        <f>VLOOKUP($A811,'[2]Team lists'!$A$2:$L$800,5,FALSE)</f>
        <v>#N/A</v>
      </c>
      <c r="F811" s="43" t="e">
        <f>VLOOKUP($A811,'[2]Team lists'!$A$2:$L$800,6,FALSE)</f>
        <v>#N/A</v>
      </c>
      <c r="G811" s="43" t="e">
        <f>VLOOKUP($A811,'[2]Team lists'!$A$2:$L$800,7,FALSE)</f>
        <v>#N/A</v>
      </c>
      <c r="H811" s="43" t="e">
        <f>VLOOKUP($A811,'[2]Team lists'!$A$2:$L$800,8,FALSE)</f>
        <v>#N/A</v>
      </c>
      <c r="I811" s="43" t="e">
        <f>VLOOKUP($A811,'[2]Team lists'!$A$2:$L$800,9,FALSE)</f>
        <v>#N/A</v>
      </c>
      <c r="J811" s="43" t="e">
        <f>VLOOKUP($A811,'[2]Team lists'!$A$2:$L$800,9,FALSE)</f>
        <v>#N/A</v>
      </c>
      <c r="K811" s="43" t="e">
        <f>VLOOKUP($A811,'[2]Team lists'!$A$2:$L$800,10,FALSE)</f>
        <v>#N/A</v>
      </c>
      <c r="L811" s="43" t="e">
        <f>VLOOKUP($A811,'[2]Team lists'!$A$2:$L$800,11,FALSE)</f>
        <v>#N/A</v>
      </c>
    </row>
    <row r="812" spans="2:13">
      <c r="B812" s="43" t="e">
        <f>VLOOKUP($A812,'[2]Team lists'!$A$2:$L$800,2,FALSE)</f>
        <v>#N/A</v>
      </c>
      <c r="C812" s="43" t="e">
        <f>VLOOKUP($A812,'[2]Team lists'!$A$2:$L$800,3,FALSE)</f>
        <v>#N/A</v>
      </c>
      <c r="D812" s="43" t="e">
        <f>VLOOKUP($A812,'[2]Team lists'!$A$2:$L$800,4,FALSE)</f>
        <v>#N/A</v>
      </c>
      <c r="E812" s="43" t="e">
        <f>VLOOKUP($A812,'[2]Team lists'!$A$2:$L$800,5,FALSE)</f>
        <v>#N/A</v>
      </c>
      <c r="F812" s="43" t="e">
        <f>VLOOKUP($A812,'[2]Team lists'!$A$2:$L$800,6,FALSE)</f>
        <v>#N/A</v>
      </c>
      <c r="G812" s="43" t="e">
        <f>VLOOKUP($A812,'[2]Team lists'!$A$2:$L$800,7,FALSE)</f>
        <v>#N/A</v>
      </c>
      <c r="H812" s="43" t="e">
        <f>VLOOKUP($A812,'[2]Team lists'!$A$2:$L$800,8,FALSE)</f>
        <v>#N/A</v>
      </c>
      <c r="I812" s="43" t="e">
        <f>VLOOKUP($A812,'[2]Team lists'!$A$2:$L$800,9,FALSE)</f>
        <v>#N/A</v>
      </c>
      <c r="J812" s="43" t="e">
        <f>VLOOKUP($A812,'[2]Team lists'!$A$2:$L$800,9,FALSE)</f>
        <v>#N/A</v>
      </c>
      <c r="K812" s="43" t="e">
        <f>VLOOKUP($A812,'[2]Team lists'!$A$2:$L$800,10,FALSE)</f>
        <v>#N/A</v>
      </c>
      <c r="L812" s="43" t="e">
        <f>VLOOKUP($A812,'[2]Team lists'!$A$2:$L$800,11,FALSE)</f>
        <v>#N/A</v>
      </c>
    </row>
    <row r="813" spans="2:13">
      <c r="B813" s="43" t="e">
        <f>VLOOKUP($A813,'[2]Team lists'!$A$2:$L$800,2,FALSE)</f>
        <v>#N/A</v>
      </c>
      <c r="C813" s="43" t="e">
        <f>VLOOKUP($A813,'[2]Team lists'!$A$2:$L$800,3,FALSE)</f>
        <v>#N/A</v>
      </c>
      <c r="D813" s="43" t="e">
        <f>VLOOKUP($A813,'[2]Team lists'!$A$2:$L$800,4,FALSE)</f>
        <v>#N/A</v>
      </c>
      <c r="E813" s="43" t="e">
        <f>VLOOKUP($A813,'[2]Team lists'!$A$2:$L$800,5,FALSE)</f>
        <v>#N/A</v>
      </c>
      <c r="F813" s="43" t="e">
        <f>VLOOKUP($A813,'[2]Team lists'!$A$2:$L$800,6,FALSE)</f>
        <v>#N/A</v>
      </c>
      <c r="G813" s="43" t="e">
        <f>VLOOKUP($A813,'[2]Team lists'!$A$2:$L$800,7,FALSE)</f>
        <v>#N/A</v>
      </c>
      <c r="H813" s="43" t="e">
        <f>VLOOKUP($A813,'[2]Team lists'!$A$2:$L$800,8,FALSE)</f>
        <v>#N/A</v>
      </c>
      <c r="I813" s="43" t="e">
        <f>VLOOKUP($A813,'[2]Team lists'!$A$2:$L$800,9,FALSE)</f>
        <v>#N/A</v>
      </c>
      <c r="J813" s="43" t="e">
        <f>VLOOKUP($A813,'[2]Team lists'!$A$2:$L$800,9,FALSE)</f>
        <v>#N/A</v>
      </c>
      <c r="K813" s="43" t="e">
        <f>VLOOKUP($A813,'[2]Team lists'!$A$2:$L$800,10,FALSE)</f>
        <v>#N/A</v>
      </c>
      <c r="L813" s="43" t="e">
        <f>VLOOKUP($A813,'[2]Team lists'!$A$2:$L$800,11,FALSE)</f>
        <v>#N/A</v>
      </c>
    </row>
    <row r="814" spans="2:13">
      <c r="B814" s="43" t="e">
        <f>VLOOKUP($A814,'[2]Team lists'!$A$2:$L$800,2,FALSE)</f>
        <v>#N/A</v>
      </c>
      <c r="C814" s="43" t="e">
        <f>VLOOKUP($A814,'[2]Team lists'!$A$2:$L$800,3,FALSE)</f>
        <v>#N/A</v>
      </c>
      <c r="D814" s="43" t="e">
        <f>VLOOKUP($A814,'[2]Team lists'!$A$2:$L$800,4,FALSE)</f>
        <v>#N/A</v>
      </c>
      <c r="E814" s="43" t="e">
        <f>VLOOKUP($A814,'[2]Team lists'!$A$2:$L$800,5,FALSE)</f>
        <v>#N/A</v>
      </c>
      <c r="F814" s="43" t="e">
        <f>VLOOKUP($A814,'[2]Team lists'!$A$2:$L$800,6,FALSE)</f>
        <v>#N/A</v>
      </c>
      <c r="G814" s="43" t="e">
        <f>VLOOKUP($A814,'[2]Team lists'!$A$2:$L$800,7,FALSE)</f>
        <v>#N/A</v>
      </c>
      <c r="H814" s="43" t="e">
        <f>VLOOKUP($A814,'[2]Team lists'!$A$2:$L$800,8,FALSE)</f>
        <v>#N/A</v>
      </c>
      <c r="I814" s="43" t="e">
        <f>VLOOKUP($A814,'[2]Team lists'!$A$2:$L$800,9,FALSE)</f>
        <v>#N/A</v>
      </c>
      <c r="J814" s="43" t="e">
        <f>VLOOKUP($A814,'[2]Team lists'!$A$2:$L$800,9,FALSE)</f>
        <v>#N/A</v>
      </c>
      <c r="K814" s="43" t="e">
        <f>VLOOKUP($A814,'[2]Team lists'!$A$2:$L$800,10,FALSE)</f>
        <v>#N/A</v>
      </c>
      <c r="L814" s="43" t="e">
        <f>VLOOKUP($A814,'[2]Team lists'!$A$2:$L$800,11,FALSE)</f>
        <v>#N/A</v>
      </c>
    </row>
    <row r="815" spans="2:13" ht="18" thickBot="1">
      <c r="B815" s="45" t="s">
        <v>3210</v>
      </c>
      <c r="C815" s="46"/>
      <c r="D815" s="47"/>
      <c r="E815" s="48" t="e">
        <f t="shared" ref="E815:L815" si="50">SUM(E804:E814)</f>
        <v>#N/A</v>
      </c>
      <c r="F815" s="49" t="e">
        <f t="shared" si="50"/>
        <v>#N/A</v>
      </c>
      <c r="G815" s="49" t="e">
        <f t="shared" si="50"/>
        <v>#N/A</v>
      </c>
      <c r="H815" s="49" t="e">
        <f t="shared" si="50"/>
        <v>#N/A</v>
      </c>
      <c r="I815" s="49" t="e">
        <f t="shared" si="50"/>
        <v>#N/A</v>
      </c>
      <c r="J815" s="49" t="e">
        <f t="shared" si="50"/>
        <v>#N/A</v>
      </c>
      <c r="K815" s="49" t="e">
        <f t="shared" si="50"/>
        <v>#N/A</v>
      </c>
      <c r="L815" s="50" t="e">
        <f t="shared" si="50"/>
        <v>#N/A</v>
      </c>
    </row>
    <row r="816" spans="2:13" ht="18.600000000000001" thickTop="1" thickBot="1"/>
    <row r="817" spans="2:13" ht="18" thickTop="1">
      <c r="B817" s="23" t="s">
        <v>3204</v>
      </c>
      <c r="C817" s="24" t="s">
        <v>3205</v>
      </c>
      <c r="D817" s="25"/>
      <c r="E817" s="25"/>
      <c r="F817" s="53"/>
      <c r="G817" s="28" t="s">
        <v>3206</v>
      </c>
      <c r="H817" s="54"/>
      <c r="I817" s="54"/>
      <c r="J817" s="54"/>
      <c r="K817" s="28" t="s">
        <v>3207</v>
      </c>
      <c r="L817" s="29"/>
      <c r="M817" s="22" t="str">
        <f>G817</f>
        <v>Manager:</v>
      </c>
    </row>
    <row r="818" spans="2:13" ht="18" thickBot="1">
      <c r="B818" s="30">
        <v>52</v>
      </c>
      <c r="C818" s="57"/>
      <c r="D818" s="31"/>
      <c r="E818" s="31"/>
      <c r="F818" s="33"/>
      <c r="G818" s="55"/>
      <c r="H818" s="55"/>
      <c r="I818" s="55"/>
      <c r="J818" s="55"/>
      <c r="K818" s="34" t="e">
        <f>SUM(F831:L831)</f>
        <v>#N/A</v>
      </c>
      <c r="L818" s="35"/>
      <c r="M818" s="22">
        <f>G818</f>
        <v>0</v>
      </c>
    </row>
    <row r="819" spans="2:13" ht="18.600000000000001" thickTop="1">
      <c r="B819" s="58" t="s">
        <v>913</v>
      </c>
      <c r="C819" s="59" t="s">
        <v>912</v>
      </c>
      <c r="D819" s="60" t="s">
        <v>911</v>
      </c>
      <c r="E819" s="61" t="s">
        <v>3209</v>
      </c>
      <c r="F819" s="62" t="s">
        <v>3162</v>
      </c>
      <c r="G819" s="62" t="s">
        <v>3163</v>
      </c>
      <c r="H819" s="62" t="s">
        <v>3164</v>
      </c>
      <c r="I819" s="62" t="s">
        <v>3165</v>
      </c>
      <c r="J819" s="62" t="s">
        <v>3166</v>
      </c>
      <c r="K819" s="62" t="s">
        <v>3167</v>
      </c>
      <c r="L819" s="63" t="s">
        <v>3168</v>
      </c>
    </row>
    <row r="820" spans="2:13">
      <c r="B820" s="43" t="e">
        <f>VLOOKUP($A820,'[2]Team lists'!$A$2:$L$800,2,FALSE)</f>
        <v>#N/A</v>
      </c>
      <c r="C820" s="43" t="e">
        <f>VLOOKUP($A820,'[2]Team lists'!$A$2:$L$800,3,FALSE)</f>
        <v>#N/A</v>
      </c>
      <c r="D820" s="43" t="e">
        <f>VLOOKUP($A820,'[2]Team lists'!$A$2:$L$800,4,FALSE)</f>
        <v>#N/A</v>
      </c>
      <c r="E820" s="43" t="e">
        <f>VLOOKUP($A820,'[2]Team lists'!$A$2:$L$800,5,FALSE)</f>
        <v>#N/A</v>
      </c>
      <c r="F820" s="43" t="e">
        <f>VLOOKUP($A820,'[2]Team lists'!$A$2:$L$800,6,FALSE)</f>
        <v>#N/A</v>
      </c>
      <c r="G820" s="43" t="e">
        <f>VLOOKUP($A820,'[2]Team lists'!$A$2:$L$800,7,FALSE)</f>
        <v>#N/A</v>
      </c>
      <c r="H820" s="43" t="e">
        <f>VLOOKUP($A820,'[2]Team lists'!$A$2:$L$800,8,FALSE)</f>
        <v>#N/A</v>
      </c>
      <c r="I820" s="43" t="e">
        <f>VLOOKUP($A820,'[2]Team lists'!$A$2:$L$800,9,FALSE)</f>
        <v>#N/A</v>
      </c>
      <c r="J820" s="43" t="e">
        <f>VLOOKUP($A820,'[2]Team lists'!$A$2:$L$800,9,FALSE)</f>
        <v>#N/A</v>
      </c>
      <c r="K820" s="43" t="e">
        <f>VLOOKUP($A820,'[2]Team lists'!$A$2:$L$800,10,FALSE)</f>
        <v>#N/A</v>
      </c>
      <c r="L820" s="43" t="e">
        <f>VLOOKUP($A820,'[2]Team lists'!$A$2:$L$800,11,FALSE)</f>
        <v>#N/A</v>
      </c>
    </row>
    <row r="821" spans="2:13">
      <c r="B821" s="43" t="e">
        <f>VLOOKUP($A821,'[2]Team lists'!$A$2:$L$800,2,FALSE)</f>
        <v>#N/A</v>
      </c>
      <c r="C821" s="43" t="e">
        <f>VLOOKUP($A821,'[2]Team lists'!$A$2:$L$800,3,FALSE)</f>
        <v>#N/A</v>
      </c>
      <c r="D821" s="43" t="e">
        <f>VLOOKUP($A821,'[2]Team lists'!$A$2:$L$800,4,FALSE)</f>
        <v>#N/A</v>
      </c>
      <c r="E821" s="43" t="e">
        <f>VLOOKUP($A821,'[2]Team lists'!$A$2:$L$800,5,FALSE)</f>
        <v>#N/A</v>
      </c>
      <c r="F821" s="43" t="e">
        <f>VLOOKUP($A821,'[2]Team lists'!$A$2:$L$800,6,FALSE)</f>
        <v>#N/A</v>
      </c>
      <c r="G821" s="43" t="e">
        <f>VLOOKUP($A821,'[2]Team lists'!$A$2:$L$800,7,FALSE)</f>
        <v>#N/A</v>
      </c>
      <c r="H821" s="43" t="e">
        <f>VLOOKUP($A821,'[2]Team lists'!$A$2:$L$800,8,FALSE)</f>
        <v>#N/A</v>
      </c>
      <c r="I821" s="43" t="e">
        <f>VLOOKUP($A821,'[2]Team lists'!$A$2:$L$800,9,FALSE)</f>
        <v>#N/A</v>
      </c>
      <c r="J821" s="43" t="e">
        <f>VLOOKUP($A821,'[2]Team lists'!$A$2:$L$800,9,FALSE)</f>
        <v>#N/A</v>
      </c>
      <c r="K821" s="43" t="e">
        <f>VLOOKUP($A821,'[2]Team lists'!$A$2:$L$800,10,FALSE)</f>
        <v>#N/A</v>
      </c>
      <c r="L821" s="43" t="e">
        <f>VLOOKUP($A821,'[2]Team lists'!$A$2:$L$800,11,FALSE)</f>
        <v>#N/A</v>
      </c>
    </row>
    <row r="822" spans="2:13">
      <c r="B822" s="43" t="e">
        <f>VLOOKUP($A822,'[2]Team lists'!$A$2:$L$800,2,FALSE)</f>
        <v>#N/A</v>
      </c>
      <c r="C822" s="43" t="e">
        <f>VLOOKUP($A822,'[2]Team lists'!$A$2:$L$800,3,FALSE)</f>
        <v>#N/A</v>
      </c>
      <c r="D822" s="43" t="e">
        <f>VLOOKUP($A822,'[2]Team lists'!$A$2:$L$800,4,FALSE)</f>
        <v>#N/A</v>
      </c>
      <c r="E822" s="43" t="e">
        <f>VLOOKUP($A822,'[2]Team lists'!$A$2:$L$800,5,FALSE)</f>
        <v>#N/A</v>
      </c>
      <c r="F822" s="43" t="e">
        <f>VLOOKUP($A822,'[2]Team lists'!$A$2:$L$800,6,FALSE)</f>
        <v>#N/A</v>
      </c>
      <c r="G822" s="43" t="e">
        <f>VLOOKUP($A822,'[2]Team lists'!$A$2:$L$800,7,FALSE)</f>
        <v>#N/A</v>
      </c>
      <c r="H822" s="43" t="e">
        <f>VLOOKUP($A822,'[2]Team lists'!$A$2:$L$800,8,FALSE)</f>
        <v>#N/A</v>
      </c>
      <c r="I822" s="43" t="e">
        <f>VLOOKUP($A822,'[2]Team lists'!$A$2:$L$800,9,FALSE)</f>
        <v>#N/A</v>
      </c>
      <c r="J822" s="43" t="e">
        <f>VLOOKUP($A822,'[2]Team lists'!$A$2:$L$800,9,FALSE)</f>
        <v>#N/A</v>
      </c>
      <c r="K822" s="43" t="e">
        <f>VLOOKUP($A822,'[2]Team lists'!$A$2:$L$800,10,FALSE)</f>
        <v>#N/A</v>
      </c>
      <c r="L822" s="43" t="e">
        <f>VLOOKUP($A822,'[2]Team lists'!$A$2:$L$800,11,FALSE)</f>
        <v>#N/A</v>
      </c>
    </row>
    <row r="823" spans="2:13">
      <c r="B823" s="43" t="e">
        <f>VLOOKUP($A823,'[2]Team lists'!$A$2:$L$800,2,FALSE)</f>
        <v>#N/A</v>
      </c>
      <c r="C823" s="43" t="e">
        <f>VLOOKUP($A823,'[2]Team lists'!$A$2:$L$800,3,FALSE)</f>
        <v>#N/A</v>
      </c>
      <c r="D823" s="43" t="e">
        <f>VLOOKUP($A823,'[2]Team lists'!$A$2:$L$800,4,FALSE)</f>
        <v>#N/A</v>
      </c>
      <c r="E823" s="43" t="e">
        <f>VLOOKUP($A823,'[2]Team lists'!$A$2:$L$800,5,FALSE)</f>
        <v>#N/A</v>
      </c>
      <c r="F823" s="43" t="e">
        <f>VLOOKUP($A823,'[2]Team lists'!$A$2:$L$800,6,FALSE)</f>
        <v>#N/A</v>
      </c>
      <c r="G823" s="43" t="e">
        <f>VLOOKUP($A823,'[2]Team lists'!$A$2:$L$800,7,FALSE)</f>
        <v>#N/A</v>
      </c>
      <c r="H823" s="43" t="e">
        <f>VLOOKUP($A823,'[2]Team lists'!$A$2:$L$800,8,FALSE)</f>
        <v>#N/A</v>
      </c>
      <c r="I823" s="43" t="e">
        <f>VLOOKUP($A823,'[2]Team lists'!$A$2:$L$800,9,FALSE)</f>
        <v>#N/A</v>
      </c>
      <c r="J823" s="43" t="e">
        <f>VLOOKUP($A823,'[2]Team lists'!$A$2:$L$800,9,FALSE)</f>
        <v>#N/A</v>
      </c>
      <c r="K823" s="43" t="e">
        <f>VLOOKUP($A823,'[2]Team lists'!$A$2:$L$800,10,FALSE)</f>
        <v>#N/A</v>
      </c>
      <c r="L823" s="43" t="e">
        <f>VLOOKUP($A823,'[2]Team lists'!$A$2:$L$800,11,FALSE)</f>
        <v>#N/A</v>
      </c>
    </row>
    <row r="824" spans="2:13">
      <c r="B824" s="43" t="e">
        <f>VLOOKUP($A824,'[2]Team lists'!$A$2:$L$800,2,FALSE)</f>
        <v>#N/A</v>
      </c>
      <c r="C824" s="43" t="e">
        <f>VLOOKUP($A824,'[2]Team lists'!$A$2:$L$800,3,FALSE)</f>
        <v>#N/A</v>
      </c>
      <c r="D824" s="43" t="e">
        <f>VLOOKUP($A824,'[2]Team lists'!$A$2:$L$800,4,FALSE)</f>
        <v>#N/A</v>
      </c>
      <c r="E824" s="43" t="e">
        <f>VLOOKUP($A824,'[2]Team lists'!$A$2:$L$800,5,FALSE)</f>
        <v>#N/A</v>
      </c>
      <c r="F824" s="43" t="e">
        <f>VLOOKUP($A824,'[2]Team lists'!$A$2:$L$800,6,FALSE)</f>
        <v>#N/A</v>
      </c>
      <c r="G824" s="43" t="e">
        <f>VLOOKUP($A824,'[2]Team lists'!$A$2:$L$800,7,FALSE)</f>
        <v>#N/A</v>
      </c>
      <c r="H824" s="43" t="e">
        <f>VLOOKUP($A824,'[2]Team lists'!$A$2:$L$800,8,FALSE)</f>
        <v>#N/A</v>
      </c>
      <c r="I824" s="43" t="e">
        <f>VLOOKUP($A824,'[2]Team lists'!$A$2:$L$800,9,FALSE)</f>
        <v>#N/A</v>
      </c>
      <c r="J824" s="43" t="e">
        <f>VLOOKUP($A824,'[2]Team lists'!$A$2:$L$800,9,FALSE)</f>
        <v>#N/A</v>
      </c>
      <c r="K824" s="43" t="e">
        <f>VLOOKUP($A824,'[2]Team lists'!$A$2:$L$800,10,FALSE)</f>
        <v>#N/A</v>
      </c>
      <c r="L824" s="43" t="e">
        <f>VLOOKUP($A824,'[2]Team lists'!$A$2:$L$800,11,FALSE)</f>
        <v>#N/A</v>
      </c>
    </row>
    <row r="825" spans="2:13">
      <c r="B825" s="43" t="e">
        <f>VLOOKUP($A825,'[2]Team lists'!$A$2:$L$800,2,FALSE)</f>
        <v>#N/A</v>
      </c>
      <c r="C825" s="43" t="e">
        <f>VLOOKUP($A825,'[2]Team lists'!$A$2:$L$800,3,FALSE)</f>
        <v>#N/A</v>
      </c>
      <c r="D825" s="43" t="e">
        <f>VLOOKUP($A825,'[2]Team lists'!$A$2:$L$800,4,FALSE)</f>
        <v>#N/A</v>
      </c>
      <c r="E825" s="43" t="e">
        <f>VLOOKUP($A825,'[2]Team lists'!$A$2:$L$800,5,FALSE)</f>
        <v>#N/A</v>
      </c>
      <c r="F825" s="43" t="e">
        <f>VLOOKUP($A825,'[2]Team lists'!$A$2:$L$800,6,FALSE)</f>
        <v>#N/A</v>
      </c>
      <c r="G825" s="43" t="e">
        <f>VLOOKUP($A825,'[2]Team lists'!$A$2:$L$800,7,FALSE)</f>
        <v>#N/A</v>
      </c>
      <c r="H825" s="43" t="e">
        <f>VLOOKUP($A825,'[2]Team lists'!$A$2:$L$800,8,FALSE)</f>
        <v>#N/A</v>
      </c>
      <c r="I825" s="43" t="e">
        <f>VLOOKUP($A825,'[2]Team lists'!$A$2:$L$800,9,FALSE)</f>
        <v>#N/A</v>
      </c>
      <c r="J825" s="43" t="e">
        <f>VLOOKUP($A825,'[2]Team lists'!$A$2:$L$800,9,FALSE)</f>
        <v>#N/A</v>
      </c>
      <c r="K825" s="43" t="e">
        <f>VLOOKUP($A825,'[2]Team lists'!$A$2:$L$800,10,FALSE)</f>
        <v>#N/A</v>
      </c>
      <c r="L825" s="43" t="e">
        <f>VLOOKUP($A825,'[2]Team lists'!$A$2:$L$800,11,FALSE)</f>
        <v>#N/A</v>
      </c>
    </row>
    <row r="826" spans="2:13">
      <c r="B826" s="43" t="e">
        <f>VLOOKUP($A826,'[2]Team lists'!$A$2:$L$800,2,FALSE)</f>
        <v>#N/A</v>
      </c>
      <c r="C826" s="43" t="e">
        <f>VLOOKUP($A826,'[2]Team lists'!$A$2:$L$800,3,FALSE)</f>
        <v>#N/A</v>
      </c>
      <c r="D826" s="43" t="e">
        <f>VLOOKUP($A826,'[2]Team lists'!$A$2:$L$800,4,FALSE)</f>
        <v>#N/A</v>
      </c>
      <c r="E826" s="43" t="e">
        <f>VLOOKUP($A826,'[2]Team lists'!$A$2:$L$800,5,FALSE)</f>
        <v>#N/A</v>
      </c>
      <c r="F826" s="43" t="e">
        <f>VLOOKUP($A826,'[2]Team lists'!$A$2:$L$800,6,FALSE)</f>
        <v>#N/A</v>
      </c>
      <c r="G826" s="43" t="e">
        <f>VLOOKUP($A826,'[2]Team lists'!$A$2:$L$800,7,FALSE)</f>
        <v>#N/A</v>
      </c>
      <c r="H826" s="43" t="e">
        <f>VLOOKUP($A826,'[2]Team lists'!$A$2:$L$800,8,FALSE)</f>
        <v>#N/A</v>
      </c>
      <c r="I826" s="43" t="e">
        <f>VLOOKUP($A826,'[2]Team lists'!$A$2:$L$800,9,FALSE)</f>
        <v>#N/A</v>
      </c>
      <c r="J826" s="43" t="e">
        <f>VLOOKUP($A826,'[2]Team lists'!$A$2:$L$800,9,FALSE)</f>
        <v>#N/A</v>
      </c>
      <c r="K826" s="43" t="e">
        <f>VLOOKUP($A826,'[2]Team lists'!$A$2:$L$800,10,FALSE)</f>
        <v>#N/A</v>
      </c>
      <c r="L826" s="43" t="e">
        <f>VLOOKUP($A826,'[2]Team lists'!$A$2:$L$800,11,FALSE)</f>
        <v>#N/A</v>
      </c>
    </row>
    <row r="827" spans="2:13">
      <c r="B827" s="43" t="e">
        <f>VLOOKUP($A827,'[2]Team lists'!$A$2:$L$800,2,FALSE)</f>
        <v>#N/A</v>
      </c>
      <c r="C827" s="43" t="e">
        <f>VLOOKUP($A827,'[2]Team lists'!$A$2:$L$800,3,FALSE)</f>
        <v>#N/A</v>
      </c>
      <c r="D827" s="43" t="e">
        <f>VLOOKUP($A827,'[2]Team lists'!$A$2:$L$800,4,FALSE)</f>
        <v>#N/A</v>
      </c>
      <c r="E827" s="43" t="e">
        <f>VLOOKUP($A827,'[2]Team lists'!$A$2:$L$800,5,FALSE)</f>
        <v>#N/A</v>
      </c>
      <c r="F827" s="43" t="e">
        <f>VLOOKUP($A827,'[2]Team lists'!$A$2:$L$800,6,FALSE)</f>
        <v>#N/A</v>
      </c>
      <c r="G827" s="43" t="e">
        <f>VLOOKUP($A827,'[2]Team lists'!$A$2:$L$800,7,FALSE)</f>
        <v>#N/A</v>
      </c>
      <c r="H827" s="43" t="e">
        <f>VLOOKUP($A827,'[2]Team lists'!$A$2:$L$800,8,FALSE)</f>
        <v>#N/A</v>
      </c>
      <c r="I827" s="43" t="e">
        <f>VLOOKUP($A827,'[2]Team lists'!$A$2:$L$800,9,FALSE)</f>
        <v>#N/A</v>
      </c>
      <c r="J827" s="43" t="e">
        <f>VLOOKUP($A827,'[2]Team lists'!$A$2:$L$800,9,FALSE)</f>
        <v>#N/A</v>
      </c>
      <c r="K827" s="43" t="e">
        <f>VLOOKUP($A827,'[2]Team lists'!$A$2:$L$800,10,FALSE)</f>
        <v>#N/A</v>
      </c>
      <c r="L827" s="43" t="e">
        <f>VLOOKUP($A827,'[2]Team lists'!$A$2:$L$800,11,FALSE)</f>
        <v>#N/A</v>
      </c>
    </row>
    <row r="828" spans="2:13">
      <c r="B828" s="43" t="e">
        <f>VLOOKUP($A828,'[2]Team lists'!$A$2:$L$800,2,FALSE)</f>
        <v>#N/A</v>
      </c>
      <c r="C828" s="43" t="e">
        <f>VLOOKUP($A828,'[2]Team lists'!$A$2:$L$800,3,FALSE)</f>
        <v>#N/A</v>
      </c>
      <c r="D828" s="43" t="e">
        <f>VLOOKUP($A828,'[2]Team lists'!$A$2:$L$800,4,FALSE)</f>
        <v>#N/A</v>
      </c>
      <c r="E828" s="43" t="e">
        <f>VLOOKUP($A828,'[2]Team lists'!$A$2:$L$800,5,FALSE)</f>
        <v>#N/A</v>
      </c>
      <c r="F828" s="43" t="e">
        <f>VLOOKUP($A828,'[2]Team lists'!$A$2:$L$800,6,FALSE)</f>
        <v>#N/A</v>
      </c>
      <c r="G828" s="43" t="e">
        <f>VLOOKUP($A828,'[2]Team lists'!$A$2:$L$800,7,FALSE)</f>
        <v>#N/A</v>
      </c>
      <c r="H828" s="43" t="e">
        <f>VLOOKUP($A828,'[2]Team lists'!$A$2:$L$800,8,FALSE)</f>
        <v>#N/A</v>
      </c>
      <c r="I828" s="43" t="e">
        <f>VLOOKUP($A828,'[2]Team lists'!$A$2:$L$800,9,FALSE)</f>
        <v>#N/A</v>
      </c>
      <c r="J828" s="43" t="e">
        <f>VLOOKUP($A828,'[2]Team lists'!$A$2:$L$800,9,FALSE)</f>
        <v>#N/A</v>
      </c>
      <c r="K828" s="43" t="e">
        <f>VLOOKUP($A828,'[2]Team lists'!$A$2:$L$800,10,FALSE)</f>
        <v>#N/A</v>
      </c>
      <c r="L828" s="43" t="e">
        <f>VLOOKUP($A828,'[2]Team lists'!$A$2:$L$800,11,FALSE)</f>
        <v>#N/A</v>
      </c>
    </row>
    <row r="829" spans="2:13">
      <c r="B829" s="43" t="e">
        <f>VLOOKUP($A829,'[2]Team lists'!$A$2:$L$800,2,FALSE)</f>
        <v>#N/A</v>
      </c>
      <c r="C829" s="43" t="e">
        <f>VLOOKUP($A829,'[2]Team lists'!$A$2:$L$800,3,FALSE)</f>
        <v>#N/A</v>
      </c>
      <c r="D829" s="43" t="e">
        <f>VLOOKUP($A829,'[2]Team lists'!$A$2:$L$800,4,FALSE)</f>
        <v>#N/A</v>
      </c>
      <c r="E829" s="43" t="e">
        <f>VLOOKUP($A829,'[2]Team lists'!$A$2:$L$800,5,FALSE)</f>
        <v>#N/A</v>
      </c>
      <c r="F829" s="43" t="e">
        <f>VLOOKUP($A829,'[2]Team lists'!$A$2:$L$800,6,FALSE)</f>
        <v>#N/A</v>
      </c>
      <c r="G829" s="43" t="e">
        <f>VLOOKUP($A829,'[2]Team lists'!$A$2:$L$800,7,FALSE)</f>
        <v>#N/A</v>
      </c>
      <c r="H829" s="43" t="e">
        <f>VLOOKUP($A829,'[2]Team lists'!$A$2:$L$800,8,FALSE)</f>
        <v>#N/A</v>
      </c>
      <c r="I829" s="43" t="e">
        <f>VLOOKUP($A829,'[2]Team lists'!$A$2:$L$800,9,FALSE)</f>
        <v>#N/A</v>
      </c>
      <c r="J829" s="43" t="e">
        <f>VLOOKUP($A829,'[2]Team lists'!$A$2:$L$800,9,FALSE)</f>
        <v>#N/A</v>
      </c>
      <c r="K829" s="43" t="e">
        <f>VLOOKUP($A829,'[2]Team lists'!$A$2:$L$800,10,FALSE)</f>
        <v>#N/A</v>
      </c>
      <c r="L829" s="43" t="e">
        <f>VLOOKUP($A829,'[2]Team lists'!$A$2:$L$800,11,FALSE)</f>
        <v>#N/A</v>
      </c>
    </row>
    <row r="830" spans="2:13">
      <c r="B830" s="43" t="e">
        <f>VLOOKUP($A830,'[2]Team lists'!$A$2:$L$800,2,FALSE)</f>
        <v>#N/A</v>
      </c>
      <c r="C830" s="43" t="e">
        <f>VLOOKUP($A830,'[2]Team lists'!$A$2:$L$800,3,FALSE)</f>
        <v>#N/A</v>
      </c>
      <c r="D830" s="43" t="e">
        <f>VLOOKUP($A830,'[2]Team lists'!$A$2:$L$800,4,FALSE)</f>
        <v>#N/A</v>
      </c>
      <c r="E830" s="43" t="e">
        <f>VLOOKUP($A830,'[2]Team lists'!$A$2:$L$800,5,FALSE)</f>
        <v>#N/A</v>
      </c>
      <c r="F830" s="43" t="e">
        <f>VLOOKUP($A830,'[2]Team lists'!$A$2:$L$800,6,FALSE)</f>
        <v>#N/A</v>
      </c>
      <c r="G830" s="43" t="e">
        <f>VLOOKUP($A830,'[2]Team lists'!$A$2:$L$800,7,FALSE)</f>
        <v>#N/A</v>
      </c>
      <c r="H830" s="43" t="e">
        <f>VLOOKUP($A830,'[2]Team lists'!$A$2:$L$800,8,FALSE)</f>
        <v>#N/A</v>
      </c>
      <c r="I830" s="43" t="e">
        <f>VLOOKUP($A830,'[2]Team lists'!$A$2:$L$800,9,FALSE)</f>
        <v>#N/A</v>
      </c>
      <c r="J830" s="43" t="e">
        <f>VLOOKUP($A830,'[2]Team lists'!$A$2:$L$800,9,FALSE)</f>
        <v>#N/A</v>
      </c>
      <c r="K830" s="43" t="e">
        <f>VLOOKUP($A830,'[2]Team lists'!$A$2:$L$800,10,FALSE)</f>
        <v>#N/A</v>
      </c>
      <c r="L830" s="43" t="e">
        <f>VLOOKUP($A830,'[2]Team lists'!$A$2:$L$800,11,FALSE)</f>
        <v>#N/A</v>
      </c>
    </row>
    <row r="831" spans="2:13" ht="18" thickBot="1">
      <c r="B831" s="45" t="s">
        <v>3210</v>
      </c>
      <c r="C831" s="46"/>
      <c r="D831" s="47"/>
      <c r="E831" s="48" t="e">
        <f t="shared" ref="E831:L831" si="51">SUM(E820:E830)</f>
        <v>#N/A</v>
      </c>
      <c r="F831" s="49" t="e">
        <f t="shared" si="51"/>
        <v>#N/A</v>
      </c>
      <c r="G831" s="49" t="e">
        <f t="shared" si="51"/>
        <v>#N/A</v>
      </c>
      <c r="H831" s="49" t="e">
        <f t="shared" si="51"/>
        <v>#N/A</v>
      </c>
      <c r="I831" s="49" t="e">
        <f t="shared" si="51"/>
        <v>#N/A</v>
      </c>
      <c r="J831" s="49" t="e">
        <f t="shared" si="51"/>
        <v>#N/A</v>
      </c>
      <c r="K831" s="49" t="e">
        <f t="shared" si="51"/>
        <v>#N/A</v>
      </c>
      <c r="L831" s="50" t="e">
        <f t="shared" si="51"/>
        <v>#N/A</v>
      </c>
    </row>
    <row r="832" spans="2:13" ht="18.600000000000001" thickTop="1" thickBot="1"/>
    <row r="833" spans="2:13" ht="18" thickTop="1">
      <c r="B833" s="23" t="s">
        <v>3204</v>
      </c>
      <c r="C833" s="24" t="s">
        <v>3205</v>
      </c>
      <c r="D833" s="25"/>
      <c r="E833" s="25"/>
      <c r="F833" s="53"/>
      <c r="G833" s="28" t="s">
        <v>3206</v>
      </c>
      <c r="H833" s="54"/>
      <c r="I833" s="54"/>
      <c r="J833" s="54"/>
      <c r="K833" s="28" t="s">
        <v>3207</v>
      </c>
      <c r="L833" s="29"/>
      <c r="M833" s="22" t="str">
        <f>G833</f>
        <v>Manager:</v>
      </c>
    </row>
    <row r="834" spans="2:13" ht="18" thickBot="1">
      <c r="B834" s="30">
        <v>53</v>
      </c>
      <c r="C834" s="57"/>
      <c r="D834" s="31"/>
      <c r="E834" s="31"/>
      <c r="F834" s="33"/>
      <c r="G834" s="55"/>
      <c r="H834" s="55"/>
      <c r="I834" s="55"/>
      <c r="J834" s="55"/>
      <c r="K834" s="34" t="e">
        <f>SUM(F847:L847)</f>
        <v>#N/A</v>
      </c>
      <c r="L834" s="35"/>
      <c r="M834" s="22">
        <f>G834</f>
        <v>0</v>
      </c>
    </row>
    <row r="835" spans="2:13" ht="18.600000000000001" thickTop="1">
      <c r="B835" s="58" t="s">
        <v>913</v>
      </c>
      <c r="C835" s="59" t="s">
        <v>912</v>
      </c>
      <c r="D835" s="60" t="s">
        <v>911</v>
      </c>
      <c r="E835" s="61" t="s">
        <v>3209</v>
      </c>
      <c r="F835" s="62" t="s">
        <v>3162</v>
      </c>
      <c r="G835" s="62" t="s">
        <v>3163</v>
      </c>
      <c r="H835" s="62" t="s">
        <v>3164</v>
      </c>
      <c r="I835" s="62" t="s">
        <v>3165</v>
      </c>
      <c r="J835" s="62" t="s">
        <v>3166</v>
      </c>
      <c r="K835" s="62" t="s">
        <v>3167</v>
      </c>
      <c r="L835" s="63" t="s">
        <v>3168</v>
      </c>
    </row>
    <row r="836" spans="2:13">
      <c r="B836" s="43" t="e">
        <f>VLOOKUP($A836,'[2]Team lists'!$A$2:$L$800,2,FALSE)</f>
        <v>#N/A</v>
      </c>
      <c r="C836" s="43" t="e">
        <f>VLOOKUP($A836,'[2]Team lists'!$A$2:$L$800,3,FALSE)</f>
        <v>#N/A</v>
      </c>
      <c r="D836" s="43" t="e">
        <f>VLOOKUP($A836,'[2]Team lists'!$A$2:$L$800,4,FALSE)</f>
        <v>#N/A</v>
      </c>
      <c r="E836" s="43" t="e">
        <f>VLOOKUP($A836,'[2]Team lists'!$A$2:$L$800,5,FALSE)</f>
        <v>#N/A</v>
      </c>
      <c r="F836" s="43" t="e">
        <f>VLOOKUP($A836,'[2]Team lists'!$A$2:$L$800,6,FALSE)</f>
        <v>#N/A</v>
      </c>
      <c r="G836" s="43" t="e">
        <f>VLOOKUP($A836,'[2]Team lists'!$A$2:$L$800,7,FALSE)</f>
        <v>#N/A</v>
      </c>
      <c r="H836" s="43" t="e">
        <f>VLOOKUP($A836,'[2]Team lists'!$A$2:$L$800,8,FALSE)</f>
        <v>#N/A</v>
      </c>
      <c r="I836" s="43" t="e">
        <f>VLOOKUP($A836,'[2]Team lists'!$A$2:$L$800,9,FALSE)</f>
        <v>#N/A</v>
      </c>
      <c r="J836" s="43" t="e">
        <f>VLOOKUP($A836,'[2]Team lists'!$A$2:$L$800,9,FALSE)</f>
        <v>#N/A</v>
      </c>
      <c r="K836" s="43" t="e">
        <f>VLOOKUP($A836,'[2]Team lists'!$A$2:$L$800,10,FALSE)</f>
        <v>#N/A</v>
      </c>
      <c r="L836" s="43" t="e">
        <f>VLOOKUP($A836,'[2]Team lists'!$A$2:$L$800,11,FALSE)</f>
        <v>#N/A</v>
      </c>
    </row>
    <row r="837" spans="2:13">
      <c r="B837" s="43" t="e">
        <f>VLOOKUP($A837,'[2]Team lists'!$A$2:$L$800,2,FALSE)</f>
        <v>#N/A</v>
      </c>
      <c r="C837" s="43" t="e">
        <f>VLOOKUP($A837,'[2]Team lists'!$A$2:$L$800,3,FALSE)</f>
        <v>#N/A</v>
      </c>
      <c r="D837" s="43" t="e">
        <f>VLOOKUP($A837,'[2]Team lists'!$A$2:$L$800,4,FALSE)</f>
        <v>#N/A</v>
      </c>
      <c r="E837" s="43" t="e">
        <f>VLOOKUP($A837,'[2]Team lists'!$A$2:$L$800,5,FALSE)</f>
        <v>#N/A</v>
      </c>
      <c r="F837" s="43" t="e">
        <f>VLOOKUP($A837,'[2]Team lists'!$A$2:$L$800,6,FALSE)</f>
        <v>#N/A</v>
      </c>
      <c r="G837" s="43" t="e">
        <f>VLOOKUP($A837,'[2]Team lists'!$A$2:$L$800,7,FALSE)</f>
        <v>#N/A</v>
      </c>
      <c r="H837" s="43" t="e">
        <f>VLOOKUP($A837,'[2]Team lists'!$A$2:$L$800,8,FALSE)</f>
        <v>#N/A</v>
      </c>
      <c r="I837" s="43" t="e">
        <f>VLOOKUP($A837,'[2]Team lists'!$A$2:$L$800,9,FALSE)</f>
        <v>#N/A</v>
      </c>
      <c r="J837" s="43" t="e">
        <f>VLOOKUP($A837,'[2]Team lists'!$A$2:$L$800,9,FALSE)</f>
        <v>#N/A</v>
      </c>
      <c r="K837" s="43" t="e">
        <f>VLOOKUP($A837,'[2]Team lists'!$A$2:$L$800,10,FALSE)</f>
        <v>#N/A</v>
      </c>
      <c r="L837" s="43" t="e">
        <f>VLOOKUP($A837,'[2]Team lists'!$A$2:$L$800,11,FALSE)</f>
        <v>#N/A</v>
      </c>
    </row>
    <row r="838" spans="2:13">
      <c r="B838" s="43" t="e">
        <f>VLOOKUP($A838,'[2]Team lists'!$A$2:$L$800,2,FALSE)</f>
        <v>#N/A</v>
      </c>
      <c r="C838" s="43" t="e">
        <f>VLOOKUP($A838,'[2]Team lists'!$A$2:$L$800,3,FALSE)</f>
        <v>#N/A</v>
      </c>
      <c r="D838" s="43" t="e">
        <f>VLOOKUP($A838,'[2]Team lists'!$A$2:$L$800,4,FALSE)</f>
        <v>#N/A</v>
      </c>
      <c r="E838" s="43" t="e">
        <f>VLOOKUP($A838,'[2]Team lists'!$A$2:$L$800,5,FALSE)</f>
        <v>#N/A</v>
      </c>
      <c r="F838" s="43" t="e">
        <f>VLOOKUP($A838,'[2]Team lists'!$A$2:$L$800,6,FALSE)</f>
        <v>#N/A</v>
      </c>
      <c r="G838" s="43" t="e">
        <f>VLOOKUP($A838,'[2]Team lists'!$A$2:$L$800,7,FALSE)</f>
        <v>#N/A</v>
      </c>
      <c r="H838" s="43" t="e">
        <f>VLOOKUP($A838,'[2]Team lists'!$A$2:$L$800,8,FALSE)</f>
        <v>#N/A</v>
      </c>
      <c r="I838" s="43" t="e">
        <f>VLOOKUP($A838,'[2]Team lists'!$A$2:$L$800,9,FALSE)</f>
        <v>#N/A</v>
      </c>
      <c r="J838" s="43" t="e">
        <f>VLOOKUP($A838,'[2]Team lists'!$A$2:$L$800,9,FALSE)</f>
        <v>#N/A</v>
      </c>
      <c r="K838" s="43" t="e">
        <f>VLOOKUP($A838,'[2]Team lists'!$A$2:$L$800,10,FALSE)</f>
        <v>#N/A</v>
      </c>
      <c r="L838" s="43" t="e">
        <f>VLOOKUP($A838,'[2]Team lists'!$A$2:$L$800,11,FALSE)</f>
        <v>#N/A</v>
      </c>
    </row>
    <row r="839" spans="2:13">
      <c r="B839" s="43" t="e">
        <f>VLOOKUP($A839,'[2]Team lists'!$A$2:$L$800,2,FALSE)</f>
        <v>#N/A</v>
      </c>
      <c r="C839" s="43" t="e">
        <f>VLOOKUP($A839,'[2]Team lists'!$A$2:$L$800,3,FALSE)</f>
        <v>#N/A</v>
      </c>
      <c r="D839" s="43" t="e">
        <f>VLOOKUP($A839,'[2]Team lists'!$A$2:$L$800,4,FALSE)</f>
        <v>#N/A</v>
      </c>
      <c r="E839" s="43" t="e">
        <f>VLOOKUP($A839,'[2]Team lists'!$A$2:$L$800,5,FALSE)</f>
        <v>#N/A</v>
      </c>
      <c r="F839" s="43" t="e">
        <f>VLOOKUP($A839,'[2]Team lists'!$A$2:$L$800,6,FALSE)</f>
        <v>#N/A</v>
      </c>
      <c r="G839" s="43" t="e">
        <f>VLOOKUP($A839,'[2]Team lists'!$A$2:$L$800,7,FALSE)</f>
        <v>#N/A</v>
      </c>
      <c r="H839" s="43" t="e">
        <f>VLOOKUP($A839,'[2]Team lists'!$A$2:$L$800,8,FALSE)</f>
        <v>#N/A</v>
      </c>
      <c r="I839" s="43" t="e">
        <f>VLOOKUP($A839,'[2]Team lists'!$A$2:$L$800,9,FALSE)</f>
        <v>#N/A</v>
      </c>
      <c r="J839" s="43" t="e">
        <f>VLOOKUP($A839,'[2]Team lists'!$A$2:$L$800,9,FALSE)</f>
        <v>#N/A</v>
      </c>
      <c r="K839" s="43" t="e">
        <f>VLOOKUP($A839,'[2]Team lists'!$A$2:$L$800,10,FALSE)</f>
        <v>#N/A</v>
      </c>
      <c r="L839" s="43" t="e">
        <f>VLOOKUP($A839,'[2]Team lists'!$A$2:$L$800,11,FALSE)</f>
        <v>#N/A</v>
      </c>
    </row>
    <row r="840" spans="2:13">
      <c r="B840" s="43" t="e">
        <f>VLOOKUP($A840,'[2]Team lists'!$A$2:$L$800,2,FALSE)</f>
        <v>#N/A</v>
      </c>
      <c r="C840" s="43" t="e">
        <f>VLOOKUP($A840,'[2]Team lists'!$A$2:$L$800,3,FALSE)</f>
        <v>#N/A</v>
      </c>
      <c r="D840" s="43" t="e">
        <f>VLOOKUP($A840,'[2]Team lists'!$A$2:$L$800,4,FALSE)</f>
        <v>#N/A</v>
      </c>
      <c r="E840" s="43" t="e">
        <f>VLOOKUP($A840,'[2]Team lists'!$A$2:$L$800,5,FALSE)</f>
        <v>#N/A</v>
      </c>
      <c r="F840" s="43" t="e">
        <f>VLOOKUP($A840,'[2]Team lists'!$A$2:$L$800,6,FALSE)</f>
        <v>#N/A</v>
      </c>
      <c r="G840" s="43" t="e">
        <f>VLOOKUP($A840,'[2]Team lists'!$A$2:$L$800,7,FALSE)</f>
        <v>#N/A</v>
      </c>
      <c r="H840" s="43" t="e">
        <f>VLOOKUP($A840,'[2]Team lists'!$A$2:$L$800,8,FALSE)</f>
        <v>#N/A</v>
      </c>
      <c r="I840" s="43" t="e">
        <f>VLOOKUP($A840,'[2]Team lists'!$A$2:$L$800,9,FALSE)</f>
        <v>#N/A</v>
      </c>
      <c r="J840" s="43" t="e">
        <f>VLOOKUP($A840,'[2]Team lists'!$A$2:$L$800,9,FALSE)</f>
        <v>#N/A</v>
      </c>
      <c r="K840" s="43" t="e">
        <f>VLOOKUP($A840,'[2]Team lists'!$A$2:$L$800,10,FALSE)</f>
        <v>#N/A</v>
      </c>
      <c r="L840" s="43" t="e">
        <f>VLOOKUP($A840,'[2]Team lists'!$A$2:$L$800,11,FALSE)</f>
        <v>#N/A</v>
      </c>
    </row>
    <row r="841" spans="2:13">
      <c r="B841" s="43" t="e">
        <f>VLOOKUP($A841,'[2]Team lists'!$A$2:$L$800,2,FALSE)</f>
        <v>#N/A</v>
      </c>
      <c r="C841" s="43" t="e">
        <f>VLOOKUP($A841,'[2]Team lists'!$A$2:$L$800,3,FALSE)</f>
        <v>#N/A</v>
      </c>
      <c r="D841" s="43" t="e">
        <f>VLOOKUP($A841,'[2]Team lists'!$A$2:$L$800,4,FALSE)</f>
        <v>#N/A</v>
      </c>
      <c r="E841" s="43" t="e">
        <f>VLOOKUP($A841,'[2]Team lists'!$A$2:$L$800,5,FALSE)</f>
        <v>#N/A</v>
      </c>
      <c r="F841" s="43" t="e">
        <f>VLOOKUP($A841,'[2]Team lists'!$A$2:$L$800,6,FALSE)</f>
        <v>#N/A</v>
      </c>
      <c r="G841" s="43" t="e">
        <f>VLOOKUP($A841,'[2]Team lists'!$A$2:$L$800,7,FALSE)</f>
        <v>#N/A</v>
      </c>
      <c r="H841" s="43" t="e">
        <f>VLOOKUP($A841,'[2]Team lists'!$A$2:$L$800,8,FALSE)</f>
        <v>#N/A</v>
      </c>
      <c r="I841" s="43" t="e">
        <f>VLOOKUP($A841,'[2]Team lists'!$A$2:$L$800,9,FALSE)</f>
        <v>#N/A</v>
      </c>
      <c r="J841" s="43" t="e">
        <f>VLOOKUP($A841,'[2]Team lists'!$A$2:$L$800,9,FALSE)</f>
        <v>#N/A</v>
      </c>
      <c r="K841" s="43" t="e">
        <f>VLOOKUP($A841,'[2]Team lists'!$A$2:$L$800,10,FALSE)</f>
        <v>#N/A</v>
      </c>
      <c r="L841" s="43" t="e">
        <f>VLOOKUP($A841,'[2]Team lists'!$A$2:$L$800,11,FALSE)</f>
        <v>#N/A</v>
      </c>
    </row>
    <row r="842" spans="2:13">
      <c r="B842" s="43" t="e">
        <f>VLOOKUP($A842,'[2]Team lists'!$A$2:$L$800,2,FALSE)</f>
        <v>#N/A</v>
      </c>
      <c r="C842" s="43" t="e">
        <f>VLOOKUP($A842,'[2]Team lists'!$A$2:$L$800,3,FALSE)</f>
        <v>#N/A</v>
      </c>
      <c r="D842" s="43" t="e">
        <f>VLOOKUP($A842,'[2]Team lists'!$A$2:$L$800,4,FALSE)</f>
        <v>#N/A</v>
      </c>
      <c r="E842" s="43" t="e">
        <f>VLOOKUP($A842,'[2]Team lists'!$A$2:$L$800,5,FALSE)</f>
        <v>#N/A</v>
      </c>
      <c r="F842" s="43" t="e">
        <f>VLOOKUP($A842,'[2]Team lists'!$A$2:$L$800,6,FALSE)</f>
        <v>#N/A</v>
      </c>
      <c r="G842" s="43" t="e">
        <f>VLOOKUP($A842,'[2]Team lists'!$A$2:$L$800,7,FALSE)</f>
        <v>#N/A</v>
      </c>
      <c r="H842" s="43" t="e">
        <f>VLOOKUP($A842,'[2]Team lists'!$A$2:$L$800,8,FALSE)</f>
        <v>#N/A</v>
      </c>
      <c r="I842" s="43" t="e">
        <f>VLOOKUP($A842,'[2]Team lists'!$A$2:$L$800,9,FALSE)</f>
        <v>#N/A</v>
      </c>
      <c r="J842" s="43" t="e">
        <f>VLOOKUP($A842,'[2]Team lists'!$A$2:$L$800,9,FALSE)</f>
        <v>#N/A</v>
      </c>
      <c r="K842" s="43" t="e">
        <f>VLOOKUP($A842,'[2]Team lists'!$A$2:$L$800,10,FALSE)</f>
        <v>#N/A</v>
      </c>
      <c r="L842" s="43" t="e">
        <f>VLOOKUP($A842,'[2]Team lists'!$A$2:$L$800,11,FALSE)</f>
        <v>#N/A</v>
      </c>
    </row>
    <row r="843" spans="2:13">
      <c r="B843" s="43" t="e">
        <f>VLOOKUP($A843,'[2]Team lists'!$A$2:$L$800,2,FALSE)</f>
        <v>#N/A</v>
      </c>
      <c r="C843" s="43" t="e">
        <f>VLOOKUP($A843,'[2]Team lists'!$A$2:$L$800,3,FALSE)</f>
        <v>#N/A</v>
      </c>
      <c r="D843" s="43" t="e">
        <f>VLOOKUP($A843,'[2]Team lists'!$A$2:$L$800,4,FALSE)</f>
        <v>#N/A</v>
      </c>
      <c r="E843" s="43" t="e">
        <f>VLOOKUP($A843,'[2]Team lists'!$A$2:$L$800,5,FALSE)</f>
        <v>#N/A</v>
      </c>
      <c r="F843" s="43" t="e">
        <f>VLOOKUP($A843,'[2]Team lists'!$A$2:$L$800,6,FALSE)</f>
        <v>#N/A</v>
      </c>
      <c r="G843" s="43" t="e">
        <f>VLOOKUP($A843,'[2]Team lists'!$A$2:$L$800,7,FALSE)</f>
        <v>#N/A</v>
      </c>
      <c r="H843" s="43" t="e">
        <f>VLOOKUP($A843,'[2]Team lists'!$A$2:$L$800,8,FALSE)</f>
        <v>#N/A</v>
      </c>
      <c r="I843" s="43" t="e">
        <f>VLOOKUP($A843,'[2]Team lists'!$A$2:$L$800,9,FALSE)</f>
        <v>#N/A</v>
      </c>
      <c r="J843" s="43" t="e">
        <f>VLOOKUP($A843,'[2]Team lists'!$A$2:$L$800,9,FALSE)</f>
        <v>#N/A</v>
      </c>
      <c r="K843" s="43" t="e">
        <f>VLOOKUP($A843,'[2]Team lists'!$A$2:$L$800,10,FALSE)</f>
        <v>#N/A</v>
      </c>
      <c r="L843" s="43" t="e">
        <f>VLOOKUP($A843,'[2]Team lists'!$A$2:$L$800,11,FALSE)</f>
        <v>#N/A</v>
      </c>
    </row>
    <row r="844" spans="2:13">
      <c r="B844" s="43" t="e">
        <f>VLOOKUP($A844,'[2]Team lists'!$A$2:$L$800,2,FALSE)</f>
        <v>#N/A</v>
      </c>
      <c r="C844" s="43" t="e">
        <f>VLOOKUP($A844,'[2]Team lists'!$A$2:$L$800,3,FALSE)</f>
        <v>#N/A</v>
      </c>
      <c r="D844" s="43" t="e">
        <f>VLOOKUP($A844,'[2]Team lists'!$A$2:$L$800,4,FALSE)</f>
        <v>#N/A</v>
      </c>
      <c r="E844" s="43" t="e">
        <f>VLOOKUP($A844,'[2]Team lists'!$A$2:$L$800,5,FALSE)</f>
        <v>#N/A</v>
      </c>
      <c r="F844" s="43" t="e">
        <f>VLOOKUP($A844,'[2]Team lists'!$A$2:$L$800,6,FALSE)</f>
        <v>#N/A</v>
      </c>
      <c r="G844" s="43" t="e">
        <f>VLOOKUP($A844,'[2]Team lists'!$A$2:$L$800,7,FALSE)</f>
        <v>#N/A</v>
      </c>
      <c r="H844" s="43" t="e">
        <f>VLOOKUP($A844,'[2]Team lists'!$A$2:$L$800,8,FALSE)</f>
        <v>#N/A</v>
      </c>
      <c r="I844" s="43" t="e">
        <f>VLOOKUP($A844,'[2]Team lists'!$A$2:$L$800,9,FALSE)</f>
        <v>#N/A</v>
      </c>
      <c r="J844" s="43" t="e">
        <f>VLOOKUP($A844,'[2]Team lists'!$A$2:$L$800,9,FALSE)</f>
        <v>#N/A</v>
      </c>
      <c r="K844" s="43" t="e">
        <f>VLOOKUP($A844,'[2]Team lists'!$A$2:$L$800,10,FALSE)</f>
        <v>#N/A</v>
      </c>
      <c r="L844" s="43" t="e">
        <f>VLOOKUP($A844,'[2]Team lists'!$A$2:$L$800,11,FALSE)</f>
        <v>#N/A</v>
      </c>
    </row>
    <row r="845" spans="2:13">
      <c r="B845" s="43" t="e">
        <f>VLOOKUP($A845,'[2]Team lists'!$A$2:$L$800,2,FALSE)</f>
        <v>#N/A</v>
      </c>
      <c r="C845" s="43" t="e">
        <f>VLOOKUP($A845,'[2]Team lists'!$A$2:$L$800,3,FALSE)</f>
        <v>#N/A</v>
      </c>
      <c r="D845" s="43" t="e">
        <f>VLOOKUP($A845,'[2]Team lists'!$A$2:$L$800,4,FALSE)</f>
        <v>#N/A</v>
      </c>
      <c r="E845" s="43" t="e">
        <f>VLOOKUP($A845,'[2]Team lists'!$A$2:$L$800,5,FALSE)</f>
        <v>#N/A</v>
      </c>
      <c r="F845" s="43" t="e">
        <f>VLOOKUP($A845,'[2]Team lists'!$A$2:$L$800,6,FALSE)</f>
        <v>#N/A</v>
      </c>
      <c r="G845" s="43" t="e">
        <f>VLOOKUP($A845,'[2]Team lists'!$A$2:$L$800,7,FALSE)</f>
        <v>#N/A</v>
      </c>
      <c r="H845" s="43" t="e">
        <f>VLOOKUP($A845,'[2]Team lists'!$A$2:$L$800,8,FALSE)</f>
        <v>#N/A</v>
      </c>
      <c r="I845" s="43" t="e">
        <f>VLOOKUP($A845,'[2]Team lists'!$A$2:$L$800,9,FALSE)</f>
        <v>#N/A</v>
      </c>
      <c r="J845" s="43" t="e">
        <f>VLOOKUP($A845,'[2]Team lists'!$A$2:$L$800,9,FALSE)</f>
        <v>#N/A</v>
      </c>
      <c r="K845" s="43" t="e">
        <f>VLOOKUP($A845,'[2]Team lists'!$A$2:$L$800,10,FALSE)</f>
        <v>#N/A</v>
      </c>
      <c r="L845" s="43" t="e">
        <f>VLOOKUP($A845,'[2]Team lists'!$A$2:$L$800,11,FALSE)</f>
        <v>#N/A</v>
      </c>
    </row>
    <row r="846" spans="2:13">
      <c r="B846" s="43" t="e">
        <f>VLOOKUP($A846,'[2]Team lists'!$A$2:$L$800,2,FALSE)</f>
        <v>#N/A</v>
      </c>
      <c r="C846" s="43" t="e">
        <f>VLOOKUP($A846,'[2]Team lists'!$A$2:$L$800,3,FALSE)</f>
        <v>#N/A</v>
      </c>
      <c r="D846" s="43" t="e">
        <f>VLOOKUP($A846,'[2]Team lists'!$A$2:$L$800,4,FALSE)</f>
        <v>#N/A</v>
      </c>
      <c r="E846" s="43" t="e">
        <f>VLOOKUP($A846,'[2]Team lists'!$A$2:$L$800,5,FALSE)</f>
        <v>#N/A</v>
      </c>
      <c r="F846" s="43" t="e">
        <f>VLOOKUP($A846,'[2]Team lists'!$A$2:$L$800,6,FALSE)</f>
        <v>#N/A</v>
      </c>
      <c r="G846" s="43" t="e">
        <f>VLOOKUP($A846,'[2]Team lists'!$A$2:$L$800,7,FALSE)</f>
        <v>#N/A</v>
      </c>
      <c r="H846" s="43" t="e">
        <f>VLOOKUP($A846,'[2]Team lists'!$A$2:$L$800,8,FALSE)</f>
        <v>#N/A</v>
      </c>
      <c r="I846" s="43" t="e">
        <f>VLOOKUP($A846,'[2]Team lists'!$A$2:$L$800,9,FALSE)</f>
        <v>#N/A</v>
      </c>
      <c r="J846" s="43" t="e">
        <f>VLOOKUP($A846,'[2]Team lists'!$A$2:$L$800,9,FALSE)</f>
        <v>#N/A</v>
      </c>
      <c r="K846" s="43" t="e">
        <f>VLOOKUP($A846,'[2]Team lists'!$A$2:$L$800,10,FALSE)</f>
        <v>#N/A</v>
      </c>
      <c r="L846" s="43" t="e">
        <f>VLOOKUP($A846,'[2]Team lists'!$A$2:$L$800,11,FALSE)</f>
        <v>#N/A</v>
      </c>
    </row>
    <row r="847" spans="2:13" ht="18" thickBot="1">
      <c r="B847" s="45" t="s">
        <v>3210</v>
      </c>
      <c r="C847" s="46"/>
      <c r="D847" s="47"/>
      <c r="E847" s="48" t="e">
        <f t="shared" ref="E847:L847" si="52">SUM(E836:E846)</f>
        <v>#N/A</v>
      </c>
      <c r="F847" s="49" t="e">
        <f t="shared" si="52"/>
        <v>#N/A</v>
      </c>
      <c r="G847" s="49" t="e">
        <f t="shared" si="52"/>
        <v>#N/A</v>
      </c>
      <c r="H847" s="49" t="e">
        <f t="shared" si="52"/>
        <v>#N/A</v>
      </c>
      <c r="I847" s="49" t="e">
        <f t="shared" si="52"/>
        <v>#N/A</v>
      </c>
      <c r="J847" s="49" t="e">
        <f t="shared" si="52"/>
        <v>#N/A</v>
      </c>
      <c r="K847" s="49" t="e">
        <f t="shared" si="52"/>
        <v>#N/A</v>
      </c>
      <c r="L847" s="50" t="e">
        <f t="shared" si="52"/>
        <v>#N/A</v>
      </c>
    </row>
    <row r="848" spans="2:13" ht="18.600000000000001" thickTop="1" thickBot="1"/>
    <row r="849" spans="2:13" ht="18" thickTop="1">
      <c r="B849" s="23" t="s">
        <v>3204</v>
      </c>
      <c r="C849" s="24" t="s">
        <v>3205</v>
      </c>
      <c r="D849" s="25"/>
      <c r="E849" s="25"/>
      <c r="F849" s="53"/>
      <c r="G849" s="28" t="s">
        <v>3206</v>
      </c>
      <c r="H849" s="54"/>
      <c r="I849" s="54"/>
      <c r="J849" s="54"/>
      <c r="K849" s="28" t="s">
        <v>3207</v>
      </c>
      <c r="L849" s="29"/>
      <c r="M849" s="22" t="str">
        <f>G849</f>
        <v>Manager:</v>
      </c>
    </row>
    <row r="850" spans="2:13" ht="18" thickBot="1">
      <c r="B850" s="30">
        <v>54</v>
      </c>
      <c r="C850" s="57"/>
      <c r="D850" s="31"/>
      <c r="E850" s="31"/>
      <c r="F850" s="33"/>
      <c r="G850" s="55"/>
      <c r="H850" s="55"/>
      <c r="I850" s="55"/>
      <c r="J850" s="55"/>
      <c r="K850" s="34" t="e">
        <f>SUM(F863:L863)</f>
        <v>#N/A</v>
      </c>
      <c r="L850" s="35"/>
      <c r="M850" s="22">
        <f>G850</f>
        <v>0</v>
      </c>
    </row>
    <row r="851" spans="2:13" ht="18.600000000000001" thickTop="1">
      <c r="B851" s="58" t="s">
        <v>913</v>
      </c>
      <c r="C851" s="59" t="s">
        <v>912</v>
      </c>
      <c r="D851" s="60" t="s">
        <v>911</v>
      </c>
      <c r="E851" s="61" t="s">
        <v>3209</v>
      </c>
      <c r="F851" s="62" t="s">
        <v>3162</v>
      </c>
      <c r="G851" s="62" t="s">
        <v>3163</v>
      </c>
      <c r="H851" s="62" t="s">
        <v>3164</v>
      </c>
      <c r="I851" s="62" t="s">
        <v>3165</v>
      </c>
      <c r="J851" s="62" t="s">
        <v>3166</v>
      </c>
      <c r="K851" s="62" t="s">
        <v>3167</v>
      </c>
      <c r="L851" s="63" t="s">
        <v>3168</v>
      </c>
    </row>
    <row r="852" spans="2:13">
      <c r="B852" s="43" t="e">
        <f>VLOOKUP($A852,'[2]Team lists'!$A$2:$L$800,2,FALSE)</f>
        <v>#N/A</v>
      </c>
      <c r="C852" s="43" t="e">
        <f>VLOOKUP($A852,'[2]Team lists'!$A$2:$L$800,3,FALSE)</f>
        <v>#N/A</v>
      </c>
      <c r="D852" s="43" t="e">
        <f>VLOOKUP($A852,'[2]Team lists'!$A$2:$L$800,4,FALSE)</f>
        <v>#N/A</v>
      </c>
      <c r="E852" s="43" t="e">
        <f>VLOOKUP($A852,'[2]Team lists'!$A$2:$L$800,5,FALSE)</f>
        <v>#N/A</v>
      </c>
      <c r="F852" s="43" t="e">
        <f>VLOOKUP($A852,'[2]Team lists'!$A$2:$L$800,6,FALSE)</f>
        <v>#N/A</v>
      </c>
      <c r="G852" s="43" t="e">
        <f>VLOOKUP($A852,'[2]Team lists'!$A$2:$L$800,7,FALSE)</f>
        <v>#N/A</v>
      </c>
      <c r="H852" s="43" t="e">
        <f>VLOOKUP($A852,'[2]Team lists'!$A$2:$L$800,8,FALSE)</f>
        <v>#N/A</v>
      </c>
      <c r="I852" s="43" t="e">
        <f>VLOOKUP($A852,'[2]Team lists'!$A$2:$L$800,9,FALSE)</f>
        <v>#N/A</v>
      </c>
      <c r="J852" s="43" t="e">
        <f>VLOOKUP($A852,'[2]Team lists'!$A$2:$L$800,9,FALSE)</f>
        <v>#N/A</v>
      </c>
      <c r="K852" s="43" t="e">
        <f>VLOOKUP($A852,'[2]Team lists'!$A$2:$L$800,10,FALSE)</f>
        <v>#N/A</v>
      </c>
      <c r="L852" s="43" t="e">
        <f>VLOOKUP($A852,'[2]Team lists'!$A$2:$L$800,11,FALSE)</f>
        <v>#N/A</v>
      </c>
    </row>
    <row r="853" spans="2:13">
      <c r="B853" s="43" t="e">
        <f>VLOOKUP($A853,'[2]Team lists'!$A$2:$L$800,2,FALSE)</f>
        <v>#N/A</v>
      </c>
      <c r="C853" s="43" t="e">
        <f>VLOOKUP($A853,'[2]Team lists'!$A$2:$L$800,3,FALSE)</f>
        <v>#N/A</v>
      </c>
      <c r="D853" s="43" t="e">
        <f>VLOOKUP($A853,'[2]Team lists'!$A$2:$L$800,4,FALSE)</f>
        <v>#N/A</v>
      </c>
      <c r="E853" s="43" t="e">
        <f>VLOOKUP($A853,'[2]Team lists'!$A$2:$L$800,5,FALSE)</f>
        <v>#N/A</v>
      </c>
      <c r="F853" s="43" t="e">
        <f>VLOOKUP($A853,'[2]Team lists'!$A$2:$L$800,6,FALSE)</f>
        <v>#N/A</v>
      </c>
      <c r="G853" s="43" t="e">
        <f>VLOOKUP($A853,'[2]Team lists'!$A$2:$L$800,7,FALSE)</f>
        <v>#N/A</v>
      </c>
      <c r="H853" s="43" t="e">
        <f>VLOOKUP($A853,'[2]Team lists'!$A$2:$L$800,8,FALSE)</f>
        <v>#N/A</v>
      </c>
      <c r="I853" s="43" t="e">
        <f>VLOOKUP($A853,'[2]Team lists'!$A$2:$L$800,9,FALSE)</f>
        <v>#N/A</v>
      </c>
      <c r="J853" s="43" t="e">
        <f>VLOOKUP($A853,'[2]Team lists'!$A$2:$L$800,9,FALSE)</f>
        <v>#N/A</v>
      </c>
      <c r="K853" s="43" t="e">
        <f>VLOOKUP($A853,'[2]Team lists'!$A$2:$L$800,10,FALSE)</f>
        <v>#N/A</v>
      </c>
      <c r="L853" s="43" t="e">
        <f>VLOOKUP($A853,'[2]Team lists'!$A$2:$L$800,11,FALSE)</f>
        <v>#N/A</v>
      </c>
    </row>
    <row r="854" spans="2:13">
      <c r="B854" s="43" t="e">
        <f>VLOOKUP($A854,'[2]Team lists'!$A$2:$L$800,2,FALSE)</f>
        <v>#N/A</v>
      </c>
      <c r="C854" s="43" t="e">
        <f>VLOOKUP($A854,'[2]Team lists'!$A$2:$L$800,3,FALSE)</f>
        <v>#N/A</v>
      </c>
      <c r="D854" s="43" t="e">
        <f>VLOOKUP($A854,'[2]Team lists'!$A$2:$L$800,4,FALSE)</f>
        <v>#N/A</v>
      </c>
      <c r="E854" s="43" t="e">
        <f>VLOOKUP($A854,'[2]Team lists'!$A$2:$L$800,5,FALSE)</f>
        <v>#N/A</v>
      </c>
      <c r="F854" s="43" t="e">
        <f>VLOOKUP($A854,'[2]Team lists'!$A$2:$L$800,6,FALSE)</f>
        <v>#N/A</v>
      </c>
      <c r="G854" s="43" t="e">
        <f>VLOOKUP($A854,'[2]Team lists'!$A$2:$L$800,7,FALSE)</f>
        <v>#N/A</v>
      </c>
      <c r="H854" s="43" t="e">
        <f>VLOOKUP($A854,'[2]Team lists'!$A$2:$L$800,8,FALSE)</f>
        <v>#N/A</v>
      </c>
      <c r="I854" s="43" t="e">
        <f>VLOOKUP($A854,'[2]Team lists'!$A$2:$L$800,9,FALSE)</f>
        <v>#N/A</v>
      </c>
      <c r="J854" s="43" t="e">
        <f>VLOOKUP($A854,'[2]Team lists'!$A$2:$L$800,9,FALSE)</f>
        <v>#N/A</v>
      </c>
      <c r="K854" s="43" t="e">
        <f>VLOOKUP($A854,'[2]Team lists'!$A$2:$L$800,10,FALSE)</f>
        <v>#N/A</v>
      </c>
      <c r="L854" s="43" t="e">
        <f>VLOOKUP($A854,'[2]Team lists'!$A$2:$L$800,11,FALSE)</f>
        <v>#N/A</v>
      </c>
    </row>
    <row r="855" spans="2:13">
      <c r="B855" s="43" t="e">
        <f>VLOOKUP($A855,'[2]Team lists'!$A$2:$L$800,2,FALSE)</f>
        <v>#N/A</v>
      </c>
      <c r="C855" s="43" t="e">
        <f>VLOOKUP($A855,'[2]Team lists'!$A$2:$L$800,3,FALSE)</f>
        <v>#N/A</v>
      </c>
      <c r="D855" s="43" t="e">
        <f>VLOOKUP($A855,'[2]Team lists'!$A$2:$L$800,4,FALSE)</f>
        <v>#N/A</v>
      </c>
      <c r="E855" s="43" t="e">
        <f>VLOOKUP($A855,'[2]Team lists'!$A$2:$L$800,5,FALSE)</f>
        <v>#N/A</v>
      </c>
      <c r="F855" s="43" t="e">
        <f>VLOOKUP($A855,'[2]Team lists'!$A$2:$L$800,6,FALSE)</f>
        <v>#N/A</v>
      </c>
      <c r="G855" s="43" t="e">
        <f>VLOOKUP($A855,'[2]Team lists'!$A$2:$L$800,7,FALSE)</f>
        <v>#N/A</v>
      </c>
      <c r="H855" s="43" t="e">
        <f>VLOOKUP($A855,'[2]Team lists'!$A$2:$L$800,8,FALSE)</f>
        <v>#N/A</v>
      </c>
      <c r="I855" s="43" t="e">
        <f>VLOOKUP($A855,'[2]Team lists'!$A$2:$L$800,9,FALSE)</f>
        <v>#N/A</v>
      </c>
      <c r="J855" s="43" t="e">
        <f>VLOOKUP($A855,'[2]Team lists'!$A$2:$L$800,9,FALSE)</f>
        <v>#N/A</v>
      </c>
      <c r="K855" s="43" t="e">
        <f>VLOOKUP($A855,'[2]Team lists'!$A$2:$L$800,10,FALSE)</f>
        <v>#N/A</v>
      </c>
      <c r="L855" s="43" t="e">
        <f>VLOOKUP($A855,'[2]Team lists'!$A$2:$L$800,11,FALSE)</f>
        <v>#N/A</v>
      </c>
    </row>
    <row r="856" spans="2:13">
      <c r="B856" s="43" t="e">
        <f>VLOOKUP($A856,'[2]Team lists'!$A$2:$L$800,2,FALSE)</f>
        <v>#N/A</v>
      </c>
      <c r="C856" s="43" t="e">
        <f>VLOOKUP($A856,'[2]Team lists'!$A$2:$L$800,3,FALSE)</f>
        <v>#N/A</v>
      </c>
      <c r="D856" s="43" t="e">
        <f>VLOOKUP($A856,'[2]Team lists'!$A$2:$L$800,4,FALSE)</f>
        <v>#N/A</v>
      </c>
      <c r="E856" s="43" t="e">
        <f>VLOOKUP($A856,'[2]Team lists'!$A$2:$L$800,5,FALSE)</f>
        <v>#N/A</v>
      </c>
      <c r="F856" s="43" t="e">
        <f>VLOOKUP($A856,'[2]Team lists'!$A$2:$L$800,6,FALSE)</f>
        <v>#N/A</v>
      </c>
      <c r="G856" s="43" t="e">
        <f>VLOOKUP($A856,'[2]Team lists'!$A$2:$L$800,7,FALSE)</f>
        <v>#N/A</v>
      </c>
      <c r="H856" s="43" t="e">
        <f>VLOOKUP($A856,'[2]Team lists'!$A$2:$L$800,8,FALSE)</f>
        <v>#N/A</v>
      </c>
      <c r="I856" s="43" t="e">
        <f>VLOOKUP($A856,'[2]Team lists'!$A$2:$L$800,9,FALSE)</f>
        <v>#N/A</v>
      </c>
      <c r="J856" s="43" t="e">
        <f>VLOOKUP($A856,'[2]Team lists'!$A$2:$L$800,9,FALSE)</f>
        <v>#N/A</v>
      </c>
      <c r="K856" s="43" t="e">
        <f>VLOOKUP($A856,'[2]Team lists'!$A$2:$L$800,10,FALSE)</f>
        <v>#N/A</v>
      </c>
      <c r="L856" s="43" t="e">
        <f>VLOOKUP($A856,'[2]Team lists'!$A$2:$L$800,11,FALSE)</f>
        <v>#N/A</v>
      </c>
    </row>
    <row r="857" spans="2:13">
      <c r="B857" s="43" t="e">
        <f>VLOOKUP($A857,'[2]Team lists'!$A$2:$L$800,2,FALSE)</f>
        <v>#N/A</v>
      </c>
      <c r="C857" s="43" t="e">
        <f>VLOOKUP($A857,'[2]Team lists'!$A$2:$L$800,3,FALSE)</f>
        <v>#N/A</v>
      </c>
      <c r="D857" s="43" t="e">
        <f>VLOOKUP($A857,'[2]Team lists'!$A$2:$L$800,4,FALSE)</f>
        <v>#N/A</v>
      </c>
      <c r="E857" s="43" t="e">
        <f>VLOOKUP($A857,'[2]Team lists'!$A$2:$L$800,5,FALSE)</f>
        <v>#N/A</v>
      </c>
      <c r="F857" s="43" t="e">
        <f>VLOOKUP($A857,'[2]Team lists'!$A$2:$L$800,6,FALSE)</f>
        <v>#N/A</v>
      </c>
      <c r="G857" s="43" t="e">
        <f>VLOOKUP($A857,'[2]Team lists'!$A$2:$L$800,7,FALSE)</f>
        <v>#N/A</v>
      </c>
      <c r="H857" s="43" t="e">
        <f>VLOOKUP($A857,'[2]Team lists'!$A$2:$L$800,8,FALSE)</f>
        <v>#N/A</v>
      </c>
      <c r="I857" s="43" t="e">
        <f>VLOOKUP($A857,'[2]Team lists'!$A$2:$L$800,9,FALSE)</f>
        <v>#N/A</v>
      </c>
      <c r="J857" s="43" t="e">
        <f>VLOOKUP($A857,'[2]Team lists'!$A$2:$L$800,9,FALSE)</f>
        <v>#N/A</v>
      </c>
      <c r="K857" s="43" t="e">
        <f>VLOOKUP($A857,'[2]Team lists'!$A$2:$L$800,10,FALSE)</f>
        <v>#N/A</v>
      </c>
      <c r="L857" s="43" t="e">
        <f>VLOOKUP($A857,'[2]Team lists'!$A$2:$L$800,11,FALSE)</f>
        <v>#N/A</v>
      </c>
    </row>
    <row r="858" spans="2:13">
      <c r="B858" s="43" t="e">
        <f>VLOOKUP($A858,'[2]Team lists'!$A$2:$L$800,2,FALSE)</f>
        <v>#N/A</v>
      </c>
      <c r="C858" s="43" t="e">
        <f>VLOOKUP($A858,'[2]Team lists'!$A$2:$L$800,3,FALSE)</f>
        <v>#N/A</v>
      </c>
      <c r="D858" s="43" t="e">
        <f>VLOOKUP($A858,'[2]Team lists'!$A$2:$L$800,4,FALSE)</f>
        <v>#N/A</v>
      </c>
      <c r="E858" s="43" t="e">
        <f>VLOOKUP($A858,'[2]Team lists'!$A$2:$L$800,5,FALSE)</f>
        <v>#N/A</v>
      </c>
      <c r="F858" s="43" t="e">
        <f>VLOOKUP($A858,'[2]Team lists'!$A$2:$L$800,6,FALSE)</f>
        <v>#N/A</v>
      </c>
      <c r="G858" s="43" t="e">
        <f>VLOOKUP($A858,'[2]Team lists'!$A$2:$L$800,7,FALSE)</f>
        <v>#N/A</v>
      </c>
      <c r="H858" s="43" t="e">
        <f>VLOOKUP($A858,'[2]Team lists'!$A$2:$L$800,8,FALSE)</f>
        <v>#N/A</v>
      </c>
      <c r="I858" s="43" t="e">
        <f>VLOOKUP($A858,'[2]Team lists'!$A$2:$L$800,9,FALSE)</f>
        <v>#N/A</v>
      </c>
      <c r="J858" s="43" t="e">
        <f>VLOOKUP($A858,'[2]Team lists'!$A$2:$L$800,9,FALSE)</f>
        <v>#N/A</v>
      </c>
      <c r="K858" s="43" t="e">
        <f>VLOOKUP($A858,'[2]Team lists'!$A$2:$L$800,10,FALSE)</f>
        <v>#N/A</v>
      </c>
      <c r="L858" s="43" t="e">
        <f>VLOOKUP($A858,'[2]Team lists'!$A$2:$L$800,11,FALSE)</f>
        <v>#N/A</v>
      </c>
    </row>
    <row r="859" spans="2:13">
      <c r="B859" s="43" t="e">
        <f>VLOOKUP($A859,'[2]Team lists'!$A$2:$L$800,2,FALSE)</f>
        <v>#N/A</v>
      </c>
      <c r="C859" s="43" t="e">
        <f>VLOOKUP($A859,'[2]Team lists'!$A$2:$L$800,3,FALSE)</f>
        <v>#N/A</v>
      </c>
      <c r="D859" s="43" t="e">
        <f>VLOOKUP($A859,'[2]Team lists'!$A$2:$L$800,4,FALSE)</f>
        <v>#N/A</v>
      </c>
      <c r="E859" s="43" t="e">
        <f>VLOOKUP($A859,'[2]Team lists'!$A$2:$L$800,5,FALSE)</f>
        <v>#N/A</v>
      </c>
      <c r="F859" s="43" t="e">
        <f>VLOOKUP($A859,'[2]Team lists'!$A$2:$L$800,6,FALSE)</f>
        <v>#N/A</v>
      </c>
      <c r="G859" s="43" t="e">
        <f>VLOOKUP($A859,'[2]Team lists'!$A$2:$L$800,7,FALSE)</f>
        <v>#N/A</v>
      </c>
      <c r="H859" s="43" t="e">
        <f>VLOOKUP($A859,'[2]Team lists'!$A$2:$L$800,8,FALSE)</f>
        <v>#N/A</v>
      </c>
      <c r="I859" s="43" t="e">
        <f>VLOOKUP($A859,'[2]Team lists'!$A$2:$L$800,9,FALSE)</f>
        <v>#N/A</v>
      </c>
      <c r="J859" s="43" t="e">
        <f>VLOOKUP($A859,'[2]Team lists'!$A$2:$L$800,9,FALSE)</f>
        <v>#N/A</v>
      </c>
      <c r="K859" s="43" t="e">
        <f>VLOOKUP($A859,'[2]Team lists'!$A$2:$L$800,10,FALSE)</f>
        <v>#N/A</v>
      </c>
      <c r="L859" s="43" t="e">
        <f>VLOOKUP($A859,'[2]Team lists'!$A$2:$L$800,11,FALSE)</f>
        <v>#N/A</v>
      </c>
    </row>
    <row r="860" spans="2:13">
      <c r="B860" s="43" t="e">
        <f>VLOOKUP($A860,'[2]Team lists'!$A$2:$L$800,2,FALSE)</f>
        <v>#N/A</v>
      </c>
      <c r="C860" s="43" t="e">
        <f>VLOOKUP($A860,'[2]Team lists'!$A$2:$L$800,3,FALSE)</f>
        <v>#N/A</v>
      </c>
      <c r="D860" s="43" t="e">
        <f>VLOOKUP($A860,'[2]Team lists'!$A$2:$L$800,4,FALSE)</f>
        <v>#N/A</v>
      </c>
      <c r="E860" s="43" t="e">
        <f>VLOOKUP($A860,'[2]Team lists'!$A$2:$L$800,5,FALSE)</f>
        <v>#N/A</v>
      </c>
      <c r="F860" s="43" t="e">
        <f>VLOOKUP($A860,'[2]Team lists'!$A$2:$L$800,6,FALSE)</f>
        <v>#N/A</v>
      </c>
      <c r="G860" s="43" t="e">
        <f>VLOOKUP($A860,'[2]Team lists'!$A$2:$L$800,7,FALSE)</f>
        <v>#N/A</v>
      </c>
      <c r="H860" s="43" t="e">
        <f>VLOOKUP($A860,'[2]Team lists'!$A$2:$L$800,8,FALSE)</f>
        <v>#N/A</v>
      </c>
      <c r="I860" s="43" t="e">
        <f>VLOOKUP($A860,'[2]Team lists'!$A$2:$L$800,9,FALSE)</f>
        <v>#N/A</v>
      </c>
      <c r="J860" s="43" t="e">
        <f>VLOOKUP($A860,'[2]Team lists'!$A$2:$L$800,9,FALSE)</f>
        <v>#N/A</v>
      </c>
      <c r="K860" s="43" t="e">
        <f>VLOOKUP($A860,'[2]Team lists'!$A$2:$L$800,10,FALSE)</f>
        <v>#N/A</v>
      </c>
      <c r="L860" s="43" t="e">
        <f>VLOOKUP($A860,'[2]Team lists'!$A$2:$L$800,11,FALSE)</f>
        <v>#N/A</v>
      </c>
    </row>
    <row r="861" spans="2:13">
      <c r="B861" s="43" t="e">
        <f>VLOOKUP($A861,'[2]Team lists'!$A$2:$L$800,2,FALSE)</f>
        <v>#N/A</v>
      </c>
      <c r="C861" s="43" t="e">
        <f>VLOOKUP($A861,'[2]Team lists'!$A$2:$L$800,3,FALSE)</f>
        <v>#N/A</v>
      </c>
      <c r="D861" s="43" t="e">
        <f>VLOOKUP($A861,'[2]Team lists'!$A$2:$L$800,4,FALSE)</f>
        <v>#N/A</v>
      </c>
      <c r="E861" s="43" t="e">
        <f>VLOOKUP($A861,'[2]Team lists'!$A$2:$L$800,5,FALSE)</f>
        <v>#N/A</v>
      </c>
      <c r="F861" s="43" t="e">
        <f>VLOOKUP($A861,'[2]Team lists'!$A$2:$L$800,6,FALSE)</f>
        <v>#N/A</v>
      </c>
      <c r="G861" s="43" t="e">
        <f>VLOOKUP($A861,'[2]Team lists'!$A$2:$L$800,7,FALSE)</f>
        <v>#N/A</v>
      </c>
      <c r="H861" s="43" t="e">
        <f>VLOOKUP($A861,'[2]Team lists'!$A$2:$L$800,8,FALSE)</f>
        <v>#N/A</v>
      </c>
      <c r="I861" s="43" t="e">
        <f>VLOOKUP($A861,'[2]Team lists'!$A$2:$L$800,9,FALSE)</f>
        <v>#N/A</v>
      </c>
      <c r="J861" s="43" t="e">
        <f>VLOOKUP($A861,'[2]Team lists'!$A$2:$L$800,9,FALSE)</f>
        <v>#N/A</v>
      </c>
      <c r="K861" s="43" t="e">
        <f>VLOOKUP($A861,'[2]Team lists'!$A$2:$L$800,10,FALSE)</f>
        <v>#N/A</v>
      </c>
      <c r="L861" s="43" t="e">
        <f>VLOOKUP($A861,'[2]Team lists'!$A$2:$L$800,11,FALSE)</f>
        <v>#N/A</v>
      </c>
    </row>
    <row r="862" spans="2:13">
      <c r="B862" s="43" t="e">
        <f>VLOOKUP($A862,'[2]Team lists'!$A$2:$L$800,2,FALSE)</f>
        <v>#N/A</v>
      </c>
      <c r="C862" s="43" t="e">
        <f>VLOOKUP($A862,'[2]Team lists'!$A$2:$L$800,3,FALSE)</f>
        <v>#N/A</v>
      </c>
      <c r="D862" s="43" t="e">
        <f>VLOOKUP($A862,'[2]Team lists'!$A$2:$L$800,4,FALSE)</f>
        <v>#N/A</v>
      </c>
      <c r="E862" s="43" t="e">
        <f>VLOOKUP($A862,'[2]Team lists'!$A$2:$L$800,5,FALSE)</f>
        <v>#N/A</v>
      </c>
      <c r="F862" s="43" t="e">
        <f>VLOOKUP($A862,'[2]Team lists'!$A$2:$L$800,6,FALSE)</f>
        <v>#N/A</v>
      </c>
      <c r="G862" s="43" t="e">
        <f>VLOOKUP($A862,'[2]Team lists'!$A$2:$L$800,7,FALSE)</f>
        <v>#N/A</v>
      </c>
      <c r="H862" s="43" t="e">
        <f>VLOOKUP($A862,'[2]Team lists'!$A$2:$L$800,8,FALSE)</f>
        <v>#N/A</v>
      </c>
      <c r="I862" s="43" t="e">
        <f>VLOOKUP($A862,'[2]Team lists'!$A$2:$L$800,9,FALSE)</f>
        <v>#N/A</v>
      </c>
      <c r="J862" s="43" t="e">
        <f>VLOOKUP($A862,'[2]Team lists'!$A$2:$L$800,9,FALSE)</f>
        <v>#N/A</v>
      </c>
      <c r="K862" s="43" t="e">
        <f>VLOOKUP($A862,'[2]Team lists'!$A$2:$L$800,10,FALSE)</f>
        <v>#N/A</v>
      </c>
      <c r="L862" s="43" t="e">
        <f>VLOOKUP($A862,'[2]Team lists'!$A$2:$L$800,11,FALSE)</f>
        <v>#N/A</v>
      </c>
    </row>
    <row r="863" spans="2:13" ht="18" thickBot="1">
      <c r="B863" s="45" t="s">
        <v>3210</v>
      </c>
      <c r="C863" s="46"/>
      <c r="D863" s="47"/>
      <c r="E863" s="48" t="e">
        <f t="shared" ref="E863:L863" si="53">SUM(E852:E862)</f>
        <v>#N/A</v>
      </c>
      <c r="F863" s="49" t="e">
        <f t="shared" si="53"/>
        <v>#N/A</v>
      </c>
      <c r="G863" s="49" t="e">
        <f t="shared" si="53"/>
        <v>#N/A</v>
      </c>
      <c r="H863" s="49" t="e">
        <f t="shared" si="53"/>
        <v>#N/A</v>
      </c>
      <c r="I863" s="49" t="e">
        <f t="shared" si="53"/>
        <v>#N/A</v>
      </c>
      <c r="J863" s="49" t="e">
        <f t="shared" si="53"/>
        <v>#N/A</v>
      </c>
      <c r="K863" s="49" t="e">
        <f t="shared" si="53"/>
        <v>#N/A</v>
      </c>
      <c r="L863" s="50" t="e">
        <f t="shared" si="53"/>
        <v>#N/A</v>
      </c>
    </row>
    <row r="864" spans="2:13" ht="18.600000000000001" thickTop="1" thickBot="1"/>
    <row r="865" spans="2:13" ht="18" thickTop="1">
      <c r="B865" s="23" t="s">
        <v>3204</v>
      </c>
      <c r="C865" s="24" t="s">
        <v>3205</v>
      </c>
      <c r="D865" s="25"/>
      <c r="E865" s="25"/>
      <c r="F865" s="53"/>
      <c r="G865" s="28" t="s">
        <v>3206</v>
      </c>
      <c r="H865" s="54"/>
      <c r="I865" s="54"/>
      <c r="J865" s="54"/>
      <c r="K865" s="28" t="s">
        <v>3207</v>
      </c>
      <c r="L865" s="29"/>
      <c r="M865" s="22" t="str">
        <f>G865</f>
        <v>Manager:</v>
      </c>
    </row>
    <row r="866" spans="2:13" ht="18" thickBot="1">
      <c r="B866" s="30">
        <v>55</v>
      </c>
      <c r="C866" s="57"/>
      <c r="D866" s="31"/>
      <c r="E866" s="31"/>
      <c r="F866" s="33"/>
      <c r="G866" s="55"/>
      <c r="H866" s="55"/>
      <c r="I866" s="55"/>
      <c r="J866" s="55"/>
      <c r="K866" s="34" t="e">
        <f>SUM(F879:L879)</f>
        <v>#N/A</v>
      </c>
      <c r="L866" s="35"/>
      <c r="M866" s="22">
        <f>G866</f>
        <v>0</v>
      </c>
    </row>
    <row r="867" spans="2:13" ht="18.600000000000001" thickTop="1">
      <c r="B867" s="58" t="s">
        <v>913</v>
      </c>
      <c r="C867" s="59" t="s">
        <v>912</v>
      </c>
      <c r="D867" s="60" t="s">
        <v>911</v>
      </c>
      <c r="E867" s="61" t="s">
        <v>3209</v>
      </c>
      <c r="F867" s="62" t="s">
        <v>3162</v>
      </c>
      <c r="G867" s="62" t="s">
        <v>3163</v>
      </c>
      <c r="H867" s="62" t="s">
        <v>3164</v>
      </c>
      <c r="I867" s="62" t="s">
        <v>3165</v>
      </c>
      <c r="J867" s="62" t="s">
        <v>3166</v>
      </c>
      <c r="K867" s="62" t="s">
        <v>3167</v>
      </c>
      <c r="L867" s="63" t="s">
        <v>3168</v>
      </c>
    </row>
    <row r="868" spans="2:13">
      <c r="B868" s="43" t="e">
        <f>VLOOKUP($A868,'[2]Team lists'!$A$2:$L$800,2,FALSE)</f>
        <v>#N/A</v>
      </c>
      <c r="C868" s="43" t="e">
        <f>VLOOKUP($A868,'[2]Team lists'!$A$2:$L$800,3,FALSE)</f>
        <v>#N/A</v>
      </c>
      <c r="D868" s="43" t="e">
        <f>VLOOKUP($A868,'[2]Team lists'!$A$2:$L$800,4,FALSE)</f>
        <v>#N/A</v>
      </c>
      <c r="E868" s="43" t="e">
        <f>VLOOKUP($A868,'[2]Team lists'!$A$2:$L$800,5,FALSE)</f>
        <v>#N/A</v>
      </c>
      <c r="F868" s="43" t="e">
        <f>VLOOKUP($A868,'[2]Team lists'!$A$2:$L$800,6,FALSE)</f>
        <v>#N/A</v>
      </c>
      <c r="G868" s="43" t="e">
        <f>VLOOKUP($A868,'[2]Team lists'!$A$2:$L$800,7,FALSE)</f>
        <v>#N/A</v>
      </c>
      <c r="H868" s="43" t="e">
        <f>VLOOKUP($A868,'[2]Team lists'!$A$2:$L$800,8,FALSE)</f>
        <v>#N/A</v>
      </c>
      <c r="I868" s="43" t="e">
        <f>VLOOKUP($A868,'[2]Team lists'!$A$2:$L$800,9,FALSE)</f>
        <v>#N/A</v>
      </c>
      <c r="J868" s="43" t="e">
        <f>VLOOKUP($A868,'[2]Team lists'!$A$2:$L$800,9,FALSE)</f>
        <v>#N/A</v>
      </c>
      <c r="K868" s="43" t="e">
        <f>VLOOKUP($A868,'[2]Team lists'!$A$2:$L$800,10,FALSE)</f>
        <v>#N/A</v>
      </c>
      <c r="L868" s="43" t="e">
        <f>VLOOKUP($A868,'[2]Team lists'!$A$2:$L$800,11,FALSE)</f>
        <v>#N/A</v>
      </c>
    </row>
    <row r="869" spans="2:13">
      <c r="B869" s="43" t="e">
        <f>VLOOKUP($A869,'[2]Team lists'!$A$2:$L$800,2,FALSE)</f>
        <v>#N/A</v>
      </c>
      <c r="C869" s="43" t="e">
        <f>VLOOKUP($A869,'[2]Team lists'!$A$2:$L$800,3,FALSE)</f>
        <v>#N/A</v>
      </c>
      <c r="D869" s="43" t="e">
        <f>VLOOKUP($A869,'[2]Team lists'!$A$2:$L$800,4,FALSE)</f>
        <v>#N/A</v>
      </c>
      <c r="E869" s="43" t="e">
        <f>VLOOKUP($A869,'[2]Team lists'!$A$2:$L$800,5,FALSE)</f>
        <v>#N/A</v>
      </c>
      <c r="F869" s="43" t="e">
        <f>VLOOKUP($A869,'[2]Team lists'!$A$2:$L$800,6,FALSE)</f>
        <v>#N/A</v>
      </c>
      <c r="G869" s="43" t="e">
        <f>VLOOKUP($A869,'[2]Team lists'!$A$2:$L$800,7,FALSE)</f>
        <v>#N/A</v>
      </c>
      <c r="H869" s="43" t="e">
        <f>VLOOKUP($A869,'[2]Team lists'!$A$2:$L$800,8,FALSE)</f>
        <v>#N/A</v>
      </c>
      <c r="I869" s="43" t="e">
        <f>VLOOKUP($A869,'[2]Team lists'!$A$2:$L$800,9,FALSE)</f>
        <v>#N/A</v>
      </c>
      <c r="J869" s="43" t="e">
        <f>VLOOKUP($A869,'[2]Team lists'!$A$2:$L$800,9,FALSE)</f>
        <v>#N/A</v>
      </c>
      <c r="K869" s="43" t="e">
        <f>VLOOKUP($A869,'[2]Team lists'!$A$2:$L$800,10,FALSE)</f>
        <v>#N/A</v>
      </c>
      <c r="L869" s="43" t="e">
        <f>VLOOKUP($A869,'[2]Team lists'!$A$2:$L$800,11,FALSE)</f>
        <v>#N/A</v>
      </c>
    </row>
    <row r="870" spans="2:13">
      <c r="B870" s="43" t="e">
        <f>VLOOKUP($A870,'[2]Team lists'!$A$2:$L$800,2,FALSE)</f>
        <v>#N/A</v>
      </c>
      <c r="C870" s="43" t="e">
        <f>VLOOKUP($A870,'[2]Team lists'!$A$2:$L$800,3,FALSE)</f>
        <v>#N/A</v>
      </c>
      <c r="D870" s="43" t="e">
        <f>VLOOKUP($A870,'[2]Team lists'!$A$2:$L$800,4,FALSE)</f>
        <v>#N/A</v>
      </c>
      <c r="E870" s="43" t="e">
        <f>VLOOKUP($A870,'[2]Team lists'!$A$2:$L$800,5,FALSE)</f>
        <v>#N/A</v>
      </c>
      <c r="F870" s="43" t="e">
        <f>VLOOKUP($A870,'[2]Team lists'!$A$2:$L$800,6,FALSE)</f>
        <v>#N/A</v>
      </c>
      <c r="G870" s="43" t="e">
        <f>VLOOKUP($A870,'[2]Team lists'!$A$2:$L$800,7,FALSE)</f>
        <v>#N/A</v>
      </c>
      <c r="H870" s="43" t="e">
        <f>VLOOKUP($A870,'[2]Team lists'!$A$2:$L$800,8,FALSE)</f>
        <v>#N/A</v>
      </c>
      <c r="I870" s="43" t="e">
        <f>VLOOKUP($A870,'[2]Team lists'!$A$2:$L$800,9,FALSE)</f>
        <v>#N/A</v>
      </c>
      <c r="J870" s="43" t="e">
        <f>VLOOKUP($A870,'[2]Team lists'!$A$2:$L$800,9,FALSE)</f>
        <v>#N/A</v>
      </c>
      <c r="K870" s="43" t="e">
        <f>VLOOKUP($A870,'[2]Team lists'!$A$2:$L$800,10,FALSE)</f>
        <v>#N/A</v>
      </c>
      <c r="L870" s="43" t="e">
        <f>VLOOKUP($A870,'[2]Team lists'!$A$2:$L$800,11,FALSE)</f>
        <v>#N/A</v>
      </c>
    </row>
    <row r="871" spans="2:13">
      <c r="B871" s="43" t="e">
        <f>VLOOKUP($A871,'[2]Team lists'!$A$2:$L$800,2,FALSE)</f>
        <v>#N/A</v>
      </c>
      <c r="C871" s="43" t="e">
        <f>VLOOKUP($A871,'[2]Team lists'!$A$2:$L$800,3,FALSE)</f>
        <v>#N/A</v>
      </c>
      <c r="D871" s="43" t="e">
        <f>VLOOKUP($A871,'[2]Team lists'!$A$2:$L$800,4,FALSE)</f>
        <v>#N/A</v>
      </c>
      <c r="E871" s="43" t="e">
        <f>VLOOKUP($A871,'[2]Team lists'!$A$2:$L$800,5,FALSE)</f>
        <v>#N/A</v>
      </c>
      <c r="F871" s="43" t="e">
        <f>VLOOKUP($A871,'[2]Team lists'!$A$2:$L$800,6,FALSE)</f>
        <v>#N/A</v>
      </c>
      <c r="G871" s="43" t="e">
        <f>VLOOKUP($A871,'[2]Team lists'!$A$2:$L$800,7,FALSE)</f>
        <v>#N/A</v>
      </c>
      <c r="H871" s="43" t="e">
        <f>VLOOKUP($A871,'[2]Team lists'!$A$2:$L$800,8,FALSE)</f>
        <v>#N/A</v>
      </c>
      <c r="I871" s="43" t="e">
        <f>VLOOKUP($A871,'[2]Team lists'!$A$2:$L$800,9,FALSE)</f>
        <v>#N/A</v>
      </c>
      <c r="J871" s="43" t="e">
        <f>VLOOKUP($A871,'[2]Team lists'!$A$2:$L$800,9,FALSE)</f>
        <v>#N/A</v>
      </c>
      <c r="K871" s="43" t="e">
        <f>VLOOKUP($A871,'[2]Team lists'!$A$2:$L$800,10,FALSE)</f>
        <v>#N/A</v>
      </c>
      <c r="L871" s="43" t="e">
        <f>VLOOKUP($A871,'[2]Team lists'!$A$2:$L$800,11,FALSE)</f>
        <v>#N/A</v>
      </c>
    </row>
    <row r="872" spans="2:13">
      <c r="B872" s="43" t="e">
        <f>VLOOKUP($A872,'[2]Team lists'!$A$2:$L$800,2,FALSE)</f>
        <v>#N/A</v>
      </c>
      <c r="C872" s="43" t="e">
        <f>VLOOKUP($A872,'[2]Team lists'!$A$2:$L$800,3,FALSE)</f>
        <v>#N/A</v>
      </c>
      <c r="D872" s="43" t="e">
        <f>VLOOKUP($A872,'[2]Team lists'!$A$2:$L$800,4,FALSE)</f>
        <v>#N/A</v>
      </c>
      <c r="E872" s="43" t="e">
        <f>VLOOKUP($A872,'[2]Team lists'!$A$2:$L$800,5,FALSE)</f>
        <v>#N/A</v>
      </c>
      <c r="F872" s="43" t="e">
        <f>VLOOKUP($A872,'[2]Team lists'!$A$2:$L$800,6,FALSE)</f>
        <v>#N/A</v>
      </c>
      <c r="G872" s="43" t="e">
        <f>VLOOKUP($A872,'[2]Team lists'!$A$2:$L$800,7,FALSE)</f>
        <v>#N/A</v>
      </c>
      <c r="H872" s="43" t="e">
        <f>VLOOKUP($A872,'[2]Team lists'!$A$2:$L$800,8,FALSE)</f>
        <v>#N/A</v>
      </c>
      <c r="I872" s="43" t="e">
        <f>VLOOKUP($A872,'[2]Team lists'!$A$2:$L$800,9,FALSE)</f>
        <v>#N/A</v>
      </c>
      <c r="J872" s="43" t="e">
        <f>VLOOKUP($A872,'[2]Team lists'!$A$2:$L$800,9,FALSE)</f>
        <v>#N/A</v>
      </c>
      <c r="K872" s="43" t="e">
        <f>VLOOKUP($A872,'[2]Team lists'!$A$2:$L$800,10,FALSE)</f>
        <v>#N/A</v>
      </c>
      <c r="L872" s="43" t="e">
        <f>VLOOKUP($A872,'[2]Team lists'!$A$2:$L$800,11,FALSE)</f>
        <v>#N/A</v>
      </c>
    </row>
    <row r="873" spans="2:13">
      <c r="B873" s="43" t="e">
        <f>VLOOKUP($A873,'[2]Team lists'!$A$2:$L$800,2,FALSE)</f>
        <v>#N/A</v>
      </c>
      <c r="C873" s="43" t="e">
        <f>VLOOKUP($A873,'[2]Team lists'!$A$2:$L$800,3,FALSE)</f>
        <v>#N/A</v>
      </c>
      <c r="D873" s="43" t="e">
        <f>VLOOKUP($A873,'[2]Team lists'!$A$2:$L$800,4,FALSE)</f>
        <v>#N/A</v>
      </c>
      <c r="E873" s="43" t="e">
        <f>VLOOKUP($A873,'[2]Team lists'!$A$2:$L$800,5,FALSE)</f>
        <v>#N/A</v>
      </c>
      <c r="F873" s="43" t="e">
        <f>VLOOKUP($A873,'[2]Team lists'!$A$2:$L$800,6,FALSE)</f>
        <v>#N/A</v>
      </c>
      <c r="G873" s="43" t="e">
        <f>VLOOKUP($A873,'[2]Team lists'!$A$2:$L$800,7,FALSE)</f>
        <v>#N/A</v>
      </c>
      <c r="H873" s="43" t="e">
        <f>VLOOKUP($A873,'[2]Team lists'!$A$2:$L$800,8,FALSE)</f>
        <v>#N/A</v>
      </c>
      <c r="I873" s="43" t="e">
        <f>VLOOKUP($A873,'[2]Team lists'!$A$2:$L$800,9,FALSE)</f>
        <v>#N/A</v>
      </c>
      <c r="J873" s="43" t="e">
        <f>VLOOKUP($A873,'[2]Team lists'!$A$2:$L$800,9,FALSE)</f>
        <v>#N/A</v>
      </c>
      <c r="K873" s="43" t="e">
        <f>VLOOKUP($A873,'[2]Team lists'!$A$2:$L$800,10,FALSE)</f>
        <v>#N/A</v>
      </c>
      <c r="L873" s="43" t="e">
        <f>VLOOKUP($A873,'[2]Team lists'!$A$2:$L$800,11,FALSE)</f>
        <v>#N/A</v>
      </c>
    </row>
    <row r="874" spans="2:13">
      <c r="B874" s="43" t="e">
        <f>VLOOKUP($A874,'[2]Team lists'!$A$2:$L$800,2,FALSE)</f>
        <v>#N/A</v>
      </c>
      <c r="C874" s="43" t="e">
        <f>VLOOKUP($A874,'[2]Team lists'!$A$2:$L$800,3,FALSE)</f>
        <v>#N/A</v>
      </c>
      <c r="D874" s="43" t="e">
        <f>VLOOKUP($A874,'[2]Team lists'!$A$2:$L$800,4,FALSE)</f>
        <v>#N/A</v>
      </c>
      <c r="E874" s="43" t="e">
        <f>VLOOKUP($A874,'[2]Team lists'!$A$2:$L$800,5,FALSE)</f>
        <v>#N/A</v>
      </c>
      <c r="F874" s="43" t="e">
        <f>VLOOKUP($A874,'[2]Team lists'!$A$2:$L$800,6,FALSE)</f>
        <v>#N/A</v>
      </c>
      <c r="G874" s="43" t="e">
        <f>VLOOKUP($A874,'[2]Team lists'!$A$2:$L$800,7,FALSE)</f>
        <v>#N/A</v>
      </c>
      <c r="H874" s="43" t="e">
        <f>VLOOKUP($A874,'[2]Team lists'!$A$2:$L$800,8,FALSE)</f>
        <v>#N/A</v>
      </c>
      <c r="I874" s="43" t="e">
        <f>VLOOKUP($A874,'[2]Team lists'!$A$2:$L$800,9,FALSE)</f>
        <v>#N/A</v>
      </c>
      <c r="J874" s="43" t="e">
        <f>VLOOKUP($A874,'[2]Team lists'!$A$2:$L$800,9,FALSE)</f>
        <v>#N/A</v>
      </c>
      <c r="K874" s="43" t="e">
        <f>VLOOKUP($A874,'[2]Team lists'!$A$2:$L$800,10,FALSE)</f>
        <v>#N/A</v>
      </c>
      <c r="L874" s="43" t="e">
        <f>VLOOKUP($A874,'[2]Team lists'!$A$2:$L$800,11,FALSE)</f>
        <v>#N/A</v>
      </c>
    </row>
    <row r="875" spans="2:13">
      <c r="B875" s="43" t="e">
        <f>VLOOKUP($A875,'[2]Team lists'!$A$2:$L$800,2,FALSE)</f>
        <v>#N/A</v>
      </c>
      <c r="C875" s="43" t="e">
        <f>VLOOKUP($A875,'[2]Team lists'!$A$2:$L$800,3,FALSE)</f>
        <v>#N/A</v>
      </c>
      <c r="D875" s="43" t="e">
        <f>VLOOKUP($A875,'[2]Team lists'!$A$2:$L$800,4,FALSE)</f>
        <v>#N/A</v>
      </c>
      <c r="E875" s="43" t="e">
        <f>VLOOKUP($A875,'[2]Team lists'!$A$2:$L$800,5,FALSE)</f>
        <v>#N/A</v>
      </c>
      <c r="F875" s="43" t="e">
        <f>VLOOKUP($A875,'[2]Team lists'!$A$2:$L$800,6,FALSE)</f>
        <v>#N/A</v>
      </c>
      <c r="G875" s="43" t="e">
        <f>VLOOKUP($A875,'[2]Team lists'!$A$2:$L$800,7,FALSE)</f>
        <v>#N/A</v>
      </c>
      <c r="H875" s="43" t="e">
        <f>VLOOKUP($A875,'[2]Team lists'!$A$2:$L$800,8,FALSE)</f>
        <v>#N/A</v>
      </c>
      <c r="I875" s="43" t="e">
        <f>VLOOKUP($A875,'[2]Team lists'!$A$2:$L$800,9,FALSE)</f>
        <v>#N/A</v>
      </c>
      <c r="J875" s="43" t="e">
        <f>VLOOKUP($A875,'[2]Team lists'!$A$2:$L$800,9,FALSE)</f>
        <v>#N/A</v>
      </c>
      <c r="K875" s="43" t="e">
        <f>VLOOKUP($A875,'[2]Team lists'!$A$2:$L$800,10,FALSE)</f>
        <v>#N/A</v>
      </c>
      <c r="L875" s="43" t="e">
        <f>VLOOKUP($A875,'[2]Team lists'!$A$2:$L$800,11,FALSE)</f>
        <v>#N/A</v>
      </c>
    </row>
    <row r="876" spans="2:13">
      <c r="B876" s="43" t="e">
        <f>VLOOKUP($A876,'[2]Team lists'!$A$2:$L$800,2,FALSE)</f>
        <v>#N/A</v>
      </c>
      <c r="C876" s="43" t="e">
        <f>VLOOKUP($A876,'[2]Team lists'!$A$2:$L$800,3,FALSE)</f>
        <v>#N/A</v>
      </c>
      <c r="D876" s="43" t="e">
        <f>VLOOKUP($A876,'[2]Team lists'!$A$2:$L$800,4,FALSE)</f>
        <v>#N/A</v>
      </c>
      <c r="E876" s="43" t="e">
        <f>VLOOKUP($A876,'[2]Team lists'!$A$2:$L$800,5,FALSE)</f>
        <v>#N/A</v>
      </c>
      <c r="F876" s="43" t="e">
        <f>VLOOKUP($A876,'[2]Team lists'!$A$2:$L$800,6,FALSE)</f>
        <v>#N/A</v>
      </c>
      <c r="G876" s="43" t="e">
        <f>VLOOKUP($A876,'[2]Team lists'!$A$2:$L$800,7,FALSE)</f>
        <v>#N/A</v>
      </c>
      <c r="H876" s="43" t="e">
        <f>VLOOKUP($A876,'[2]Team lists'!$A$2:$L$800,8,FALSE)</f>
        <v>#N/A</v>
      </c>
      <c r="I876" s="43" t="e">
        <f>VLOOKUP($A876,'[2]Team lists'!$A$2:$L$800,9,FALSE)</f>
        <v>#N/A</v>
      </c>
      <c r="J876" s="43" t="e">
        <f>VLOOKUP($A876,'[2]Team lists'!$A$2:$L$800,9,FALSE)</f>
        <v>#N/A</v>
      </c>
      <c r="K876" s="43" t="e">
        <f>VLOOKUP($A876,'[2]Team lists'!$A$2:$L$800,10,FALSE)</f>
        <v>#N/A</v>
      </c>
      <c r="L876" s="43" t="e">
        <f>VLOOKUP($A876,'[2]Team lists'!$A$2:$L$800,11,FALSE)</f>
        <v>#N/A</v>
      </c>
    </row>
    <row r="877" spans="2:13">
      <c r="B877" s="43" t="e">
        <f>VLOOKUP($A877,'[2]Team lists'!$A$2:$L$800,2,FALSE)</f>
        <v>#N/A</v>
      </c>
      <c r="C877" s="43" t="e">
        <f>VLOOKUP($A877,'[2]Team lists'!$A$2:$L$800,3,FALSE)</f>
        <v>#N/A</v>
      </c>
      <c r="D877" s="43" t="e">
        <f>VLOOKUP($A877,'[2]Team lists'!$A$2:$L$800,4,FALSE)</f>
        <v>#N/A</v>
      </c>
      <c r="E877" s="43" t="e">
        <f>VLOOKUP($A877,'[2]Team lists'!$A$2:$L$800,5,FALSE)</f>
        <v>#N/A</v>
      </c>
      <c r="F877" s="43" t="e">
        <f>VLOOKUP($A877,'[2]Team lists'!$A$2:$L$800,6,FALSE)</f>
        <v>#N/A</v>
      </c>
      <c r="G877" s="43" t="e">
        <f>VLOOKUP($A877,'[2]Team lists'!$A$2:$L$800,7,FALSE)</f>
        <v>#N/A</v>
      </c>
      <c r="H877" s="43" t="e">
        <f>VLOOKUP($A877,'[2]Team lists'!$A$2:$L$800,8,FALSE)</f>
        <v>#N/A</v>
      </c>
      <c r="I877" s="43" t="e">
        <f>VLOOKUP($A877,'[2]Team lists'!$A$2:$L$800,9,FALSE)</f>
        <v>#N/A</v>
      </c>
      <c r="J877" s="43" t="e">
        <f>VLOOKUP($A877,'[2]Team lists'!$A$2:$L$800,9,FALSE)</f>
        <v>#N/A</v>
      </c>
      <c r="K877" s="43" t="e">
        <f>VLOOKUP($A877,'[2]Team lists'!$A$2:$L$800,10,FALSE)</f>
        <v>#N/A</v>
      </c>
      <c r="L877" s="43" t="e">
        <f>VLOOKUP($A877,'[2]Team lists'!$A$2:$L$800,11,FALSE)</f>
        <v>#N/A</v>
      </c>
    </row>
    <row r="878" spans="2:13">
      <c r="B878" s="43" t="e">
        <f>VLOOKUP($A878,'[2]Team lists'!$A$2:$L$800,2,FALSE)</f>
        <v>#N/A</v>
      </c>
      <c r="C878" s="43" t="e">
        <f>VLOOKUP($A878,'[2]Team lists'!$A$2:$L$800,3,FALSE)</f>
        <v>#N/A</v>
      </c>
      <c r="D878" s="43" t="e">
        <f>VLOOKUP($A878,'[2]Team lists'!$A$2:$L$800,4,FALSE)</f>
        <v>#N/A</v>
      </c>
      <c r="E878" s="43" t="e">
        <f>VLOOKUP($A878,'[2]Team lists'!$A$2:$L$800,5,FALSE)</f>
        <v>#N/A</v>
      </c>
      <c r="F878" s="43" t="e">
        <f>VLOOKUP($A878,'[2]Team lists'!$A$2:$L$800,6,FALSE)</f>
        <v>#N/A</v>
      </c>
      <c r="G878" s="43" t="e">
        <f>VLOOKUP($A878,'[2]Team lists'!$A$2:$L$800,7,FALSE)</f>
        <v>#N/A</v>
      </c>
      <c r="H878" s="43" t="e">
        <f>VLOOKUP($A878,'[2]Team lists'!$A$2:$L$800,8,FALSE)</f>
        <v>#N/A</v>
      </c>
      <c r="I878" s="43" t="e">
        <f>VLOOKUP($A878,'[2]Team lists'!$A$2:$L$800,9,FALSE)</f>
        <v>#N/A</v>
      </c>
      <c r="J878" s="43" t="e">
        <f>VLOOKUP($A878,'[2]Team lists'!$A$2:$L$800,9,FALSE)</f>
        <v>#N/A</v>
      </c>
      <c r="K878" s="43" t="e">
        <f>VLOOKUP($A878,'[2]Team lists'!$A$2:$L$800,10,FALSE)</f>
        <v>#N/A</v>
      </c>
      <c r="L878" s="43" t="e">
        <f>VLOOKUP($A878,'[2]Team lists'!$A$2:$L$800,11,FALSE)</f>
        <v>#N/A</v>
      </c>
    </row>
    <row r="879" spans="2:13" ht="18" thickBot="1">
      <c r="B879" s="45" t="s">
        <v>3210</v>
      </c>
      <c r="C879" s="46"/>
      <c r="D879" s="47"/>
      <c r="E879" s="48" t="e">
        <f t="shared" ref="E879:L879" si="54">SUM(E868:E878)</f>
        <v>#N/A</v>
      </c>
      <c r="F879" s="49" t="e">
        <f t="shared" si="54"/>
        <v>#N/A</v>
      </c>
      <c r="G879" s="49" t="e">
        <f t="shared" si="54"/>
        <v>#N/A</v>
      </c>
      <c r="H879" s="49" t="e">
        <f t="shared" si="54"/>
        <v>#N/A</v>
      </c>
      <c r="I879" s="49" t="e">
        <f t="shared" si="54"/>
        <v>#N/A</v>
      </c>
      <c r="J879" s="49" t="e">
        <f t="shared" si="54"/>
        <v>#N/A</v>
      </c>
      <c r="K879" s="49" t="e">
        <f t="shared" si="54"/>
        <v>#N/A</v>
      </c>
      <c r="L879" s="50" t="e">
        <f t="shared" si="54"/>
        <v>#N/A</v>
      </c>
    </row>
    <row r="880" spans="2:13" ht="18.600000000000001" thickTop="1" thickBot="1"/>
    <row r="881" spans="2:13" ht="18" thickTop="1">
      <c r="B881" s="23" t="s">
        <v>3204</v>
      </c>
      <c r="C881" s="24" t="s">
        <v>3205</v>
      </c>
      <c r="D881" s="25"/>
      <c r="E881" s="25"/>
      <c r="F881" s="53"/>
      <c r="G881" s="28" t="s">
        <v>3206</v>
      </c>
      <c r="H881" s="54"/>
      <c r="I881" s="54"/>
      <c r="J881" s="54"/>
      <c r="K881" s="28" t="s">
        <v>3207</v>
      </c>
      <c r="L881" s="29"/>
      <c r="M881" s="22" t="str">
        <f>G881</f>
        <v>Manager:</v>
      </c>
    </row>
    <row r="882" spans="2:13" ht="18" thickBot="1">
      <c r="B882" s="30">
        <v>56</v>
      </c>
      <c r="C882" s="57"/>
      <c r="D882" s="31"/>
      <c r="E882" s="31"/>
      <c r="F882" s="33"/>
      <c r="G882" s="55"/>
      <c r="H882" s="55"/>
      <c r="I882" s="55"/>
      <c r="J882" s="55"/>
      <c r="K882" s="34" t="e">
        <f>SUM(F895:L895)</f>
        <v>#N/A</v>
      </c>
      <c r="L882" s="35"/>
      <c r="M882" s="22">
        <f>G882</f>
        <v>0</v>
      </c>
    </row>
    <row r="883" spans="2:13" ht="18.600000000000001" thickTop="1">
      <c r="B883" s="58" t="s">
        <v>913</v>
      </c>
      <c r="C883" s="59" t="s">
        <v>912</v>
      </c>
      <c r="D883" s="60" t="s">
        <v>911</v>
      </c>
      <c r="E883" s="61" t="s">
        <v>3209</v>
      </c>
      <c r="F883" s="62" t="s">
        <v>3162</v>
      </c>
      <c r="G883" s="62" t="s">
        <v>3163</v>
      </c>
      <c r="H883" s="62" t="s">
        <v>3164</v>
      </c>
      <c r="I883" s="62" t="s">
        <v>3165</v>
      </c>
      <c r="J883" s="62" t="s">
        <v>3166</v>
      </c>
      <c r="K883" s="62" t="s">
        <v>3167</v>
      </c>
      <c r="L883" s="63" t="s">
        <v>3168</v>
      </c>
    </row>
    <row r="884" spans="2:13">
      <c r="B884" s="43" t="e">
        <f>VLOOKUP($A884,'[2]Team lists'!$A$2:$L$800,2,FALSE)</f>
        <v>#N/A</v>
      </c>
      <c r="C884" s="43" t="e">
        <f>VLOOKUP($A884,'[2]Team lists'!$A$2:$L$800,3,FALSE)</f>
        <v>#N/A</v>
      </c>
      <c r="D884" s="43" t="e">
        <f>VLOOKUP($A884,'[2]Team lists'!$A$2:$L$800,4,FALSE)</f>
        <v>#N/A</v>
      </c>
      <c r="E884" s="43" t="e">
        <f>VLOOKUP($A884,'[2]Team lists'!$A$2:$L$800,5,FALSE)</f>
        <v>#N/A</v>
      </c>
      <c r="F884" s="43" t="e">
        <f>VLOOKUP($A884,'[2]Team lists'!$A$2:$L$800,6,FALSE)</f>
        <v>#N/A</v>
      </c>
      <c r="G884" s="43" t="e">
        <f>VLOOKUP($A884,'[2]Team lists'!$A$2:$L$800,7,FALSE)</f>
        <v>#N/A</v>
      </c>
      <c r="H884" s="43" t="e">
        <f>VLOOKUP($A884,'[2]Team lists'!$A$2:$L$800,8,FALSE)</f>
        <v>#N/A</v>
      </c>
      <c r="I884" s="43" t="e">
        <f>VLOOKUP($A884,'[2]Team lists'!$A$2:$L$800,9,FALSE)</f>
        <v>#N/A</v>
      </c>
      <c r="J884" s="43" t="e">
        <f>VLOOKUP($A884,'[2]Team lists'!$A$2:$L$800,9,FALSE)</f>
        <v>#N/A</v>
      </c>
      <c r="K884" s="43" t="e">
        <f>VLOOKUP($A884,'[2]Team lists'!$A$2:$L$800,10,FALSE)</f>
        <v>#N/A</v>
      </c>
      <c r="L884" s="43" t="e">
        <f>VLOOKUP($A884,'[2]Team lists'!$A$2:$L$800,11,FALSE)</f>
        <v>#N/A</v>
      </c>
    </row>
    <row r="885" spans="2:13">
      <c r="B885" s="43" t="e">
        <f>VLOOKUP($A885,'[2]Team lists'!$A$2:$L$800,2,FALSE)</f>
        <v>#N/A</v>
      </c>
      <c r="C885" s="43" t="e">
        <f>VLOOKUP($A885,'[2]Team lists'!$A$2:$L$800,3,FALSE)</f>
        <v>#N/A</v>
      </c>
      <c r="D885" s="43" t="e">
        <f>VLOOKUP($A885,'[2]Team lists'!$A$2:$L$800,4,FALSE)</f>
        <v>#N/A</v>
      </c>
      <c r="E885" s="43" t="e">
        <f>VLOOKUP($A885,'[2]Team lists'!$A$2:$L$800,5,FALSE)</f>
        <v>#N/A</v>
      </c>
      <c r="F885" s="43" t="e">
        <f>VLOOKUP($A885,'[2]Team lists'!$A$2:$L$800,6,FALSE)</f>
        <v>#N/A</v>
      </c>
      <c r="G885" s="43" t="e">
        <f>VLOOKUP($A885,'[2]Team lists'!$A$2:$L$800,7,FALSE)</f>
        <v>#N/A</v>
      </c>
      <c r="H885" s="43" t="e">
        <f>VLOOKUP($A885,'[2]Team lists'!$A$2:$L$800,8,FALSE)</f>
        <v>#N/A</v>
      </c>
      <c r="I885" s="43" t="e">
        <f>VLOOKUP($A885,'[2]Team lists'!$A$2:$L$800,9,FALSE)</f>
        <v>#N/A</v>
      </c>
      <c r="J885" s="43" t="e">
        <f>VLOOKUP($A885,'[2]Team lists'!$A$2:$L$800,9,FALSE)</f>
        <v>#N/A</v>
      </c>
      <c r="K885" s="43" t="e">
        <f>VLOOKUP($A885,'[2]Team lists'!$A$2:$L$800,10,FALSE)</f>
        <v>#N/A</v>
      </c>
      <c r="L885" s="43" t="e">
        <f>VLOOKUP($A885,'[2]Team lists'!$A$2:$L$800,11,FALSE)</f>
        <v>#N/A</v>
      </c>
    </row>
    <row r="886" spans="2:13">
      <c r="B886" s="43" t="e">
        <f>VLOOKUP($A886,'[2]Team lists'!$A$2:$L$800,2,FALSE)</f>
        <v>#N/A</v>
      </c>
      <c r="C886" s="43" t="e">
        <f>VLOOKUP($A886,'[2]Team lists'!$A$2:$L$800,3,FALSE)</f>
        <v>#N/A</v>
      </c>
      <c r="D886" s="43" t="e">
        <f>VLOOKUP($A886,'[2]Team lists'!$A$2:$L$800,4,FALSE)</f>
        <v>#N/A</v>
      </c>
      <c r="E886" s="43" t="e">
        <f>VLOOKUP($A886,'[2]Team lists'!$A$2:$L$800,5,FALSE)</f>
        <v>#N/A</v>
      </c>
      <c r="F886" s="43" t="e">
        <f>VLOOKUP($A886,'[2]Team lists'!$A$2:$L$800,6,FALSE)</f>
        <v>#N/A</v>
      </c>
      <c r="G886" s="43" t="e">
        <f>VLOOKUP($A886,'[2]Team lists'!$A$2:$L$800,7,FALSE)</f>
        <v>#N/A</v>
      </c>
      <c r="H886" s="43" t="e">
        <f>VLOOKUP($A886,'[2]Team lists'!$A$2:$L$800,8,FALSE)</f>
        <v>#N/A</v>
      </c>
      <c r="I886" s="43" t="e">
        <f>VLOOKUP($A886,'[2]Team lists'!$A$2:$L$800,9,FALSE)</f>
        <v>#N/A</v>
      </c>
      <c r="J886" s="43" t="e">
        <f>VLOOKUP($A886,'[2]Team lists'!$A$2:$L$800,9,FALSE)</f>
        <v>#N/A</v>
      </c>
      <c r="K886" s="43" t="e">
        <f>VLOOKUP($A886,'[2]Team lists'!$A$2:$L$800,10,FALSE)</f>
        <v>#N/A</v>
      </c>
      <c r="L886" s="43" t="e">
        <f>VLOOKUP($A886,'[2]Team lists'!$A$2:$L$800,11,FALSE)</f>
        <v>#N/A</v>
      </c>
    </row>
    <row r="887" spans="2:13">
      <c r="B887" s="43" t="e">
        <f>VLOOKUP($A887,'[2]Team lists'!$A$2:$L$800,2,FALSE)</f>
        <v>#N/A</v>
      </c>
      <c r="C887" s="43" t="e">
        <f>VLOOKUP($A887,'[2]Team lists'!$A$2:$L$800,3,FALSE)</f>
        <v>#N/A</v>
      </c>
      <c r="D887" s="43" t="e">
        <f>VLOOKUP($A887,'[2]Team lists'!$A$2:$L$800,4,FALSE)</f>
        <v>#N/A</v>
      </c>
      <c r="E887" s="43" t="e">
        <f>VLOOKUP($A887,'[2]Team lists'!$A$2:$L$800,5,FALSE)</f>
        <v>#N/A</v>
      </c>
      <c r="F887" s="43" t="e">
        <f>VLOOKUP($A887,'[2]Team lists'!$A$2:$L$800,6,FALSE)</f>
        <v>#N/A</v>
      </c>
      <c r="G887" s="43" t="e">
        <f>VLOOKUP($A887,'[2]Team lists'!$A$2:$L$800,7,FALSE)</f>
        <v>#N/A</v>
      </c>
      <c r="H887" s="43" t="e">
        <f>VLOOKUP($A887,'[2]Team lists'!$A$2:$L$800,8,FALSE)</f>
        <v>#N/A</v>
      </c>
      <c r="I887" s="43" t="e">
        <f>VLOOKUP($A887,'[2]Team lists'!$A$2:$L$800,9,FALSE)</f>
        <v>#N/A</v>
      </c>
      <c r="J887" s="43" t="e">
        <f>VLOOKUP($A887,'[2]Team lists'!$A$2:$L$800,9,FALSE)</f>
        <v>#N/A</v>
      </c>
      <c r="K887" s="43" t="e">
        <f>VLOOKUP($A887,'[2]Team lists'!$A$2:$L$800,10,FALSE)</f>
        <v>#N/A</v>
      </c>
      <c r="L887" s="43" t="e">
        <f>VLOOKUP($A887,'[2]Team lists'!$A$2:$L$800,11,FALSE)</f>
        <v>#N/A</v>
      </c>
    </row>
    <row r="888" spans="2:13">
      <c r="B888" s="43" t="e">
        <f>VLOOKUP($A888,'[2]Team lists'!$A$2:$L$800,2,FALSE)</f>
        <v>#N/A</v>
      </c>
      <c r="C888" s="43" t="e">
        <f>VLOOKUP($A888,'[2]Team lists'!$A$2:$L$800,3,FALSE)</f>
        <v>#N/A</v>
      </c>
      <c r="D888" s="43" t="e">
        <f>VLOOKUP($A888,'[2]Team lists'!$A$2:$L$800,4,FALSE)</f>
        <v>#N/A</v>
      </c>
      <c r="E888" s="43" t="e">
        <f>VLOOKUP($A888,'[2]Team lists'!$A$2:$L$800,5,FALSE)</f>
        <v>#N/A</v>
      </c>
      <c r="F888" s="43" t="e">
        <f>VLOOKUP($A888,'[2]Team lists'!$A$2:$L$800,6,FALSE)</f>
        <v>#N/A</v>
      </c>
      <c r="G888" s="43" t="e">
        <f>VLOOKUP($A888,'[2]Team lists'!$A$2:$L$800,7,FALSE)</f>
        <v>#N/A</v>
      </c>
      <c r="H888" s="43" t="e">
        <f>VLOOKUP($A888,'[2]Team lists'!$A$2:$L$800,8,FALSE)</f>
        <v>#N/A</v>
      </c>
      <c r="I888" s="43" t="e">
        <f>VLOOKUP($A888,'[2]Team lists'!$A$2:$L$800,9,FALSE)</f>
        <v>#N/A</v>
      </c>
      <c r="J888" s="43" t="e">
        <f>VLOOKUP($A888,'[2]Team lists'!$A$2:$L$800,9,FALSE)</f>
        <v>#N/A</v>
      </c>
      <c r="K888" s="43" t="e">
        <f>VLOOKUP($A888,'[2]Team lists'!$A$2:$L$800,10,FALSE)</f>
        <v>#N/A</v>
      </c>
      <c r="L888" s="43" t="e">
        <f>VLOOKUP($A888,'[2]Team lists'!$A$2:$L$800,11,FALSE)</f>
        <v>#N/A</v>
      </c>
    </row>
    <row r="889" spans="2:13">
      <c r="B889" s="43" t="e">
        <f>VLOOKUP($A889,'[2]Team lists'!$A$2:$L$800,2,FALSE)</f>
        <v>#N/A</v>
      </c>
      <c r="C889" s="43" t="e">
        <f>VLOOKUP($A889,'[2]Team lists'!$A$2:$L$800,3,FALSE)</f>
        <v>#N/A</v>
      </c>
      <c r="D889" s="43" t="e">
        <f>VLOOKUP($A889,'[2]Team lists'!$A$2:$L$800,4,FALSE)</f>
        <v>#N/A</v>
      </c>
      <c r="E889" s="43" t="e">
        <f>VLOOKUP($A889,'[2]Team lists'!$A$2:$L$800,5,FALSE)</f>
        <v>#N/A</v>
      </c>
      <c r="F889" s="43" t="e">
        <f>VLOOKUP($A889,'[2]Team lists'!$A$2:$L$800,6,FALSE)</f>
        <v>#N/A</v>
      </c>
      <c r="G889" s="43" t="e">
        <f>VLOOKUP($A889,'[2]Team lists'!$A$2:$L$800,7,FALSE)</f>
        <v>#N/A</v>
      </c>
      <c r="H889" s="43" t="e">
        <f>VLOOKUP($A889,'[2]Team lists'!$A$2:$L$800,8,FALSE)</f>
        <v>#N/A</v>
      </c>
      <c r="I889" s="43" t="e">
        <f>VLOOKUP($A889,'[2]Team lists'!$A$2:$L$800,9,FALSE)</f>
        <v>#N/A</v>
      </c>
      <c r="J889" s="43" t="e">
        <f>VLOOKUP($A889,'[2]Team lists'!$A$2:$L$800,9,FALSE)</f>
        <v>#N/A</v>
      </c>
      <c r="K889" s="43" t="e">
        <f>VLOOKUP($A889,'[2]Team lists'!$A$2:$L$800,10,FALSE)</f>
        <v>#N/A</v>
      </c>
      <c r="L889" s="43" t="e">
        <f>VLOOKUP($A889,'[2]Team lists'!$A$2:$L$800,11,FALSE)</f>
        <v>#N/A</v>
      </c>
    </row>
    <row r="890" spans="2:13">
      <c r="B890" s="43" t="e">
        <f>VLOOKUP($A890,'[2]Team lists'!$A$2:$L$800,2,FALSE)</f>
        <v>#N/A</v>
      </c>
      <c r="C890" s="43" t="e">
        <f>VLOOKUP($A890,'[2]Team lists'!$A$2:$L$800,3,FALSE)</f>
        <v>#N/A</v>
      </c>
      <c r="D890" s="43" t="e">
        <f>VLOOKUP($A890,'[2]Team lists'!$A$2:$L$800,4,FALSE)</f>
        <v>#N/A</v>
      </c>
      <c r="E890" s="43" t="e">
        <f>VLOOKUP($A890,'[2]Team lists'!$A$2:$L$800,5,FALSE)</f>
        <v>#N/A</v>
      </c>
      <c r="F890" s="43" t="e">
        <f>VLOOKUP($A890,'[2]Team lists'!$A$2:$L$800,6,FALSE)</f>
        <v>#N/A</v>
      </c>
      <c r="G890" s="43" t="e">
        <f>VLOOKUP($A890,'[2]Team lists'!$A$2:$L$800,7,FALSE)</f>
        <v>#N/A</v>
      </c>
      <c r="H890" s="43" t="e">
        <f>VLOOKUP($A890,'[2]Team lists'!$A$2:$L$800,8,FALSE)</f>
        <v>#N/A</v>
      </c>
      <c r="I890" s="43" t="e">
        <f>VLOOKUP($A890,'[2]Team lists'!$A$2:$L$800,9,FALSE)</f>
        <v>#N/A</v>
      </c>
      <c r="J890" s="43" t="e">
        <f>VLOOKUP($A890,'[2]Team lists'!$A$2:$L$800,9,FALSE)</f>
        <v>#N/A</v>
      </c>
      <c r="K890" s="43" t="e">
        <f>VLOOKUP($A890,'[2]Team lists'!$A$2:$L$800,10,FALSE)</f>
        <v>#N/A</v>
      </c>
      <c r="L890" s="43" t="e">
        <f>VLOOKUP($A890,'[2]Team lists'!$A$2:$L$800,11,FALSE)</f>
        <v>#N/A</v>
      </c>
    </row>
    <row r="891" spans="2:13">
      <c r="B891" s="43" t="e">
        <f>VLOOKUP($A891,'[2]Team lists'!$A$2:$L$800,2,FALSE)</f>
        <v>#N/A</v>
      </c>
      <c r="C891" s="43" t="e">
        <f>VLOOKUP($A891,'[2]Team lists'!$A$2:$L$800,3,FALSE)</f>
        <v>#N/A</v>
      </c>
      <c r="D891" s="43" t="e">
        <f>VLOOKUP($A891,'[2]Team lists'!$A$2:$L$800,4,FALSE)</f>
        <v>#N/A</v>
      </c>
      <c r="E891" s="43" t="e">
        <f>VLOOKUP($A891,'[2]Team lists'!$A$2:$L$800,5,FALSE)</f>
        <v>#N/A</v>
      </c>
      <c r="F891" s="43" t="e">
        <f>VLOOKUP($A891,'[2]Team lists'!$A$2:$L$800,6,FALSE)</f>
        <v>#N/A</v>
      </c>
      <c r="G891" s="43" t="e">
        <f>VLOOKUP($A891,'[2]Team lists'!$A$2:$L$800,7,FALSE)</f>
        <v>#N/A</v>
      </c>
      <c r="H891" s="43" t="e">
        <f>VLOOKUP($A891,'[2]Team lists'!$A$2:$L$800,8,FALSE)</f>
        <v>#N/A</v>
      </c>
      <c r="I891" s="43" t="e">
        <f>VLOOKUP($A891,'[2]Team lists'!$A$2:$L$800,9,FALSE)</f>
        <v>#N/A</v>
      </c>
      <c r="J891" s="43" t="e">
        <f>VLOOKUP($A891,'[2]Team lists'!$A$2:$L$800,9,FALSE)</f>
        <v>#N/A</v>
      </c>
      <c r="K891" s="43" t="e">
        <f>VLOOKUP($A891,'[2]Team lists'!$A$2:$L$800,10,FALSE)</f>
        <v>#N/A</v>
      </c>
      <c r="L891" s="43" t="e">
        <f>VLOOKUP($A891,'[2]Team lists'!$A$2:$L$800,11,FALSE)</f>
        <v>#N/A</v>
      </c>
    </row>
    <row r="892" spans="2:13">
      <c r="B892" s="43" t="e">
        <f>VLOOKUP($A892,'[2]Team lists'!$A$2:$L$800,2,FALSE)</f>
        <v>#N/A</v>
      </c>
      <c r="C892" s="43" t="e">
        <f>VLOOKUP($A892,'[2]Team lists'!$A$2:$L$800,3,FALSE)</f>
        <v>#N/A</v>
      </c>
      <c r="D892" s="43" t="e">
        <f>VLOOKUP($A892,'[2]Team lists'!$A$2:$L$800,4,FALSE)</f>
        <v>#N/A</v>
      </c>
      <c r="E892" s="43" t="e">
        <f>VLOOKUP($A892,'[2]Team lists'!$A$2:$L$800,5,FALSE)</f>
        <v>#N/A</v>
      </c>
      <c r="F892" s="43" t="e">
        <f>VLOOKUP($A892,'[2]Team lists'!$A$2:$L$800,6,FALSE)</f>
        <v>#N/A</v>
      </c>
      <c r="G892" s="43" t="e">
        <f>VLOOKUP($A892,'[2]Team lists'!$A$2:$L$800,7,FALSE)</f>
        <v>#N/A</v>
      </c>
      <c r="H892" s="43" t="e">
        <f>VLOOKUP($A892,'[2]Team lists'!$A$2:$L$800,8,FALSE)</f>
        <v>#N/A</v>
      </c>
      <c r="I892" s="43" t="e">
        <f>VLOOKUP($A892,'[2]Team lists'!$A$2:$L$800,9,FALSE)</f>
        <v>#N/A</v>
      </c>
      <c r="J892" s="43" t="e">
        <f>VLOOKUP($A892,'[2]Team lists'!$A$2:$L$800,9,FALSE)</f>
        <v>#N/A</v>
      </c>
      <c r="K892" s="43" t="e">
        <f>VLOOKUP($A892,'[2]Team lists'!$A$2:$L$800,10,FALSE)</f>
        <v>#N/A</v>
      </c>
      <c r="L892" s="43" t="e">
        <f>VLOOKUP($A892,'[2]Team lists'!$A$2:$L$800,11,FALSE)</f>
        <v>#N/A</v>
      </c>
    </row>
    <row r="893" spans="2:13">
      <c r="B893" s="43" t="e">
        <f>VLOOKUP($A893,'[2]Team lists'!$A$2:$L$800,2,FALSE)</f>
        <v>#N/A</v>
      </c>
      <c r="C893" s="43" t="e">
        <f>VLOOKUP($A893,'[2]Team lists'!$A$2:$L$800,3,FALSE)</f>
        <v>#N/A</v>
      </c>
      <c r="D893" s="43" t="e">
        <f>VLOOKUP($A893,'[2]Team lists'!$A$2:$L$800,4,FALSE)</f>
        <v>#N/A</v>
      </c>
      <c r="E893" s="43" t="e">
        <f>VLOOKUP($A893,'[2]Team lists'!$A$2:$L$800,5,FALSE)</f>
        <v>#N/A</v>
      </c>
      <c r="F893" s="43" t="e">
        <f>VLOOKUP($A893,'[2]Team lists'!$A$2:$L$800,6,FALSE)</f>
        <v>#N/A</v>
      </c>
      <c r="G893" s="43" t="e">
        <f>VLOOKUP($A893,'[2]Team lists'!$A$2:$L$800,7,FALSE)</f>
        <v>#N/A</v>
      </c>
      <c r="H893" s="43" t="e">
        <f>VLOOKUP($A893,'[2]Team lists'!$A$2:$L$800,8,FALSE)</f>
        <v>#N/A</v>
      </c>
      <c r="I893" s="43" t="e">
        <f>VLOOKUP($A893,'[2]Team lists'!$A$2:$L$800,9,FALSE)</f>
        <v>#N/A</v>
      </c>
      <c r="J893" s="43" t="e">
        <f>VLOOKUP($A893,'[2]Team lists'!$A$2:$L$800,9,FALSE)</f>
        <v>#N/A</v>
      </c>
      <c r="K893" s="43" t="e">
        <f>VLOOKUP($A893,'[2]Team lists'!$A$2:$L$800,10,FALSE)</f>
        <v>#N/A</v>
      </c>
      <c r="L893" s="43" t="e">
        <f>VLOOKUP($A893,'[2]Team lists'!$A$2:$L$800,11,FALSE)</f>
        <v>#N/A</v>
      </c>
    </row>
    <row r="894" spans="2:13">
      <c r="B894" s="43" t="e">
        <f>VLOOKUP($A894,'[2]Team lists'!$A$2:$L$800,2,FALSE)</f>
        <v>#N/A</v>
      </c>
      <c r="C894" s="43" t="e">
        <f>VLOOKUP($A894,'[2]Team lists'!$A$2:$L$800,3,FALSE)</f>
        <v>#N/A</v>
      </c>
      <c r="D894" s="43" t="e">
        <f>VLOOKUP($A894,'[2]Team lists'!$A$2:$L$800,4,FALSE)</f>
        <v>#N/A</v>
      </c>
      <c r="E894" s="43" t="e">
        <f>VLOOKUP($A894,'[2]Team lists'!$A$2:$L$800,5,FALSE)</f>
        <v>#N/A</v>
      </c>
      <c r="F894" s="43" t="e">
        <f>VLOOKUP($A894,'[2]Team lists'!$A$2:$L$800,6,FALSE)</f>
        <v>#N/A</v>
      </c>
      <c r="G894" s="43" t="e">
        <f>VLOOKUP($A894,'[2]Team lists'!$A$2:$L$800,7,FALSE)</f>
        <v>#N/A</v>
      </c>
      <c r="H894" s="43" t="e">
        <f>VLOOKUP($A894,'[2]Team lists'!$A$2:$L$800,8,FALSE)</f>
        <v>#N/A</v>
      </c>
      <c r="I894" s="43" t="e">
        <f>VLOOKUP($A894,'[2]Team lists'!$A$2:$L$800,9,FALSE)</f>
        <v>#N/A</v>
      </c>
      <c r="J894" s="43" t="e">
        <f>VLOOKUP($A894,'[2]Team lists'!$A$2:$L$800,9,FALSE)</f>
        <v>#N/A</v>
      </c>
      <c r="K894" s="43" t="e">
        <f>VLOOKUP($A894,'[2]Team lists'!$A$2:$L$800,10,FALSE)</f>
        <v>#N/A</v>
      </c>
      <c r="L894" s="43" t="e">
        <f>VLOOKUP($A894,'[2]Team lists'!$A$2:$L$800,11,FALSE)</f>
        <v>#N/A</v>
      </c>
    </row>
    <row r="895" spans="2:13" ht="18" thickBot="1">
      <c r="B895" s="45" t="s">
        <v>3210</v>
      </c>
      <c r="C895" s="46"/>
      <c r="D895" s="47"/>
      <c r="E895" s="48" t="e">
        <f t="shared" ref="E895:L895" si="55">SUM(E884:E894)</f>
        <v>#N/A</v>
      </c>
      <c r="F895" s="49" t="e">
        <f t="shared" si="55"/>
        <v>#N/A</v>
      </c>
      <c r="G895" s="49" t="e">
        <f t="shared" si="55"/>
        <v>#N/A</v>
      </c>
      <c r="H895" s="49" t="e">
        <f t="shared" si="55"/>
        <v>#N/A</v>
      </c>
      <c r="I895" s="49" t="e">
        <f t="shared" si="55"/>
        <v>#N/A</v>
      </c>
      <c r="J895" s="49" t="e">
        <f t="shared" si="55"/>
        <v>#N/A</v>
      </c>
      <c r="K895" s="49" t="e">
        <f t="shared" si="55"/>
        <v>#N/A</v>
      </c>
      <c r="L895" s="50" t="e">
        <f t="shared" si="55"/>
        <v>#N/A</v>
      </c>
    </row>
    <row r="896" spans="2:13" ht="18.600000000000001" thickTop="1" thickBot="1"/>
    <row r="897" spans="2:13" ht="18" thickTop="1">
      <c r="B897" s="23" t="s">
        <v>3204</v>
      </c>
      <c r="C897" s="24" t="s">
        <v>3205</v>
      </c>
      <c r="D897" s="25"/>
      <c r="E897" s="25"/>
      <c r="F897" s="53"/>
      <c r="G897" s="28" t="s">
        <v>3206</v>
      </c>
      <c r="H897" s="54"/>
      <c r="I897" s="54"/>
      <c r="J897" s="54"/>
      <c r="K897" s="28" t="s">
        <v>3207</v>
      </c>
      <c r="L897" s="29"/>
      <c r="M897" s="22" t="str">
        <f>G897</f>
        <v>Manager:</v>
      </c>
    </row>
    <row r="898" spans="2:13" ht="18" thickBot="1">
      <c r="B898" s="30">
        <v>57</v>
      </c>
      <c r="C898" s="57"/>
      <c r="D898" s="31"/>
      <c r="E898" s="31"/>
      <c r="F898" s="33"/>
      <c r="G898" s="55"/>
      <c r="H898" s="55"/>
      <c r="I898" s="55"/>
      <c r="J898" s="55"/>
      <c r="K898" s="34" t="e">
        <f>SUM(F911:L911)</f>
        <v>#N/A</v>
      </c>
      <c r="L898" s="35"/>
      <c r="M898" s="22">
        <f>G898</f>
        <v>0</v>
      </c>
    </row>
    <row r="899" spans="2:13" ht="18.600000000000001" thickTop="1">
      <c r="B899" s="58" t="s">
        <v>913</v>
      </c>
      <c r="C899" s="59" t="s">
        <v>912</v>
      </c>
      <c r="D899" s="60" t="s">
        <v>911</v>
      </c>
      <c r="E899" s="61" t="s">
        <v>3209</v>
      </c>
      <c r="F899" s="62" t="s">
        <v>3162</v>
      </c>
      <c r="G899" s="62" t="s">
        <v>3163</v>
      </c>
      <c r="H899" s="62" t="s">
        <v>3164</v>
      </c>
      <c r="I899" s="62" t="s">
        <v>3165</v>
      </c>
      <c r="J899" s="62" t="s">
        <v>3166</v>
      </c>
      <c r="K899" s="62" t="s">
        <v>3167</v>
      </c>
      <c r="L899" s="63" t="s">
        <v>3168</v>
      </c>
    </row>
    <row r="900" spans="2:13">
      <c r="B900" s="43" t="e">
        <f>VLOOKUP($A900,'[2]Team lists'!$A$2:$L$800,2,FALSE)</f>
        <v>#N/A</v>
      </c>
      <c r="C900" s="43" t="e">
        <f>VLOOKUP($A900,'[2]Team lists'!$A$2:$L$800,3,FALSE)</f>
        <v>#N/A</v>
      </c>
      <c r="D900" s="43" t="e">
        <f>VLOOKUP($A900,'[2]Team lists'!$A$2:$L$800,4,FALSE)</f>
        <v>#N/A</v>
      </c>
      <c r="E900" s="43" t="e">
        <f>VLOOKUP($A900,'[2]Team lists'!$A$2:$L$800,5,FALSE)</f>
        <v>#N/A</v>
      </c>
      <c r="F900" s="43" t="e">
        <f>VLOOKUP($A900,'[2]Team lists'!$A$2:$L$800,6,FALSE)</f>
        <v>#N/A</v>
      </c>
      <c r="G900" s="43" t="e">
        <f>VLOOKUP($A900,'[2]Team lists'!$A$2:$L$800,7,FALSE)</f>
        <v>#N/A</v>
      </c>
      <c r="H900" s="43" t="e">
        <f>VLOOKUP($A900,'[2]Team lists'!$A$2:$L$800,8,FALSE)</f>
        <v>#N/A</v>
      </c>
      <c r="I900" s="43" t="e">
        <f>VLOOKUP($A900,'[2]Team lists'!$A$2:$L$800,9,FALSE)</f>
        <v>#N/A</v>
      </c>
      <c r="J900" s="43" t="e">
        <f>VLOOKUP($A900,'[2]Team lists'!$A$2:$L$800,9,FALSE)</f>
        <v>#N/A</v>
      </c>
      <c r="K900" s="43" t="e">
        <f>VLOOKUP($A900,'[2]Team lists'!$A$2:$L$800,10,FALSE)</f>
        <v>#N/A</v>
      </c>
      <c r="L900" s="43" t="e">
        <f>VLOOKUP($A900,'[2]Team lists'!$A$2:$L$800,11,FALSE)</f>
        <v>#N/A</v>
      </c>
    </row>
    <row r="901" spans="2:13">
      <c r="B901" s="43" t="e">
        <f>VLOOKUP($A901,'[2]Team lists'!$A$2:$L$800,2,FALSE)</f>
        <v>#N/A</v>
      </c>
      <c r="C901" s="43" t="e">
        <f>VLOOKUP($A901,'[2]Team lists'!$A$2:$L$800,3,FALSE)</f>
        <v>#N/A</v>
      </c>
      <c r="D901" s="43" t="e">
        <f>VLOOKUP($A901,'[2]Team lists'!$A$2:$L$800,4,FALSE)</f>
        <v>#N/A</v>
      </c>
      <c r="E901" s="43" t="e">
        <f>VLOOKUP($A901,'[2]Team lists'!$A$2:$L$800,5,FALSE)</f>
        <v>#N/A</v>
      </c>
      <c r="F901" s="43" t="e">
        <f>VLOOKUP($A901,'[2]Team lists'!$A$2:$L$800,6,FALSE)</f>
        <v>#N/A</v>
      </c>
      <c r="G901" s="43" t="e">
        <f>VLOOKUP($A901,'[2]Team lists'!$A$2:$L$800,7,FALSE)</f>
        <v>#N/A</v>
      </c>
      <c r="H901" s="43" t="e">
        <f>VLOOKUP($A901,'[2]Team lists'!$A$2:$L$800,8,FALSE)</f>
        <v>#N/A</v>
      </c>
      <c r="I901" s="43" t="e">
        <f>VLOOKUP($A901,'[2]Team lists'!$A$2:$L$800,9,FALSE)</f>
        <v>#N/A</v>
      </c>
      <c r="J901" s="43" t="e">
        <f>VLOOKUP($A901,'[2]Team lists'!$A$2:$L$800,9,FALSE)</f>
        <v>#N/A</v>
      </c>
      <c r="K901" s="43" t="e">
        <f>VLOOKUP($A901,'[2]Team lists'!$A$2:$L$800,10,FALSE)</f>
        <v>#N/A</v>
      </c>
      <c r="L901" s="43" t="e">
        <f>VLOOKUP($A901,'[2]Team lists'!$A$2:$L$800,11,FALSE)</f>
        <v>#N/A</v>
      </c>
    </row>
    <row r="902" spans="2:13">
      <c r="B902" s="43" t="e">
        <f>VLOOKUP($A902,'[2]Team lists'!$A$2:$L$800,2,FALSE)</f>
        <v>#N/A</v>
      </c>
      <c r="C902" s="43" t="e">
        <f>VLOOKUP($A902,'[2]Team lists'!$A$2:$L$800,3,FALSE)</f>
        <v>#N/A</v>
      </c>
      <c r="D902" s="43" t="e">
        <f>VLOOKUP($A902,'[2]Team lists'!$A$2:$L$800,4,FALSE)</f>
        <v>#N/A</v>
      </c>
      <c r="E902" s="43" t="e">
        <f>VLOOKUP($A902,'[2]Team lists'!$A$2:$L$800,5,FALSE)</f>
        <v>#N/A</v>
      </c>
      <c r="F902" s="43" t="e">
        <f>VLOOKUP($A902,'[2]Team lists'!$A$2:$L$800,6,FALSE)</f>
        <v>#N/A</v>
      </c>
      <c r="G902" s="43" t="e">
        <f>VLOOKUP($A902,'[2]Team lists'!$A$2:$L$800,7,FALSE)</f>
        <v>#N/A</v>
      </c>
      <c r="H902" s="43" t="e">
        <f>VLOOKUP($A902,'[2]Team lists'!$A$2:$L$800,8,FALSE)</f>
        <v>#N/A</v>
      </c>
      <c r="I902" s="43" t="e">
        <f>VLOOKUP($A902,'[2]Team lists'!$A$2:$L$800,9,FALSE)</f>
        <v>#N/A</v>
      </c>
      <c r="J902" s="43" t="e">
        <f>VLOOKUP($A902,'[2]Team lists'!$A$2:$L$800,9,FALSE)</f>
        <v>#N/A</v>
      </c>
      <c r="K902" s="43" t="e">
        <f>VLOOKUP($A902,'[2]Team lists'!$A$2:$L$800,10,FALSE)</f>
        <v>#N/A</v>
      </c>
      <c r="L902" s="43" t="e">
        <f>VLOOKUP($A902,'[2]Team lists'!$A$2:$L$800,11,FALSE)</f>
        <v>#N/A</v>
      </c>
    </row>
    <row r="903" spans="2:13">
      <c r="B903" s="43" t="e">
        <f>VLOOKUP($A903,'[2]Team lists'!$A$2:$L$800,2,FALSE)</f>
        <v>#N/A</v>
      </c>
      <c r="C903" s="43" t="e">
        <f>VLOOKUP($A903,'[2]Team lists'!$A$2:$L$800,3,FALSE)</f>
        <v>#N/A</v>
      </c>
      <c r="D903" s="43" t="e">
        <f>VLOOKUP($A903,'[2]Team lists'!$A$2:$L$800,4,FALSE)</f>
        <v>#N/A</v>
      </c>
      <c r="E903" s="43" t="e">
        <f>VLOOKUP($A903,'[2]Team lists'!$A$2:$L$800,5,FALSE)</f>
        <v>#N/A</v>
      </c>
      <c r="F903" s="43" t="e">
        <f>VLOOKUP($A903,'[2]Team lists'!$A$2:$L$800,6,FALSE)</f>
        <v>#N/A</v>
      </c>
      <c r="G903" s="43" t="e">
        <f>VLOOKUP($A903,'[2]Team lists'!$A$2:$L$800,7,FALSE)</f>
        <v>#N/A</v>
      </c>
      <c r="H903" s="43" t="e">
        <f>VLOOKUP($A903,'[2]Team lists'!$A$2:$L$800,8,FALSE)</f>
        <v>#N/A</v>
      </c>
      <c r="I903" s="43" t="e">
        <f>VLOOKUP($A903,'[2]Team lists'!$A$2:$L$800,9,FALSE)</f>
        <v>#N/A</v>
      </c>
      <c r="J903" s="43" t="e">
        <f>VLOOKUP($A903,'[2]Team lists'!$A$2:$L$800,9,FALSE)</f>
        <v>#N/A</v>
      </c>
      <c r="K903" s="43" t="e">
        <f>VLOOKUP($A903,'[2]Team lists'!$A$2:$L$800,10,FALSE)</f>
        <v>#N/A</v>
      </c>
      <c r="L903" s="43" t="e">
        <f>VLOOKUP($A903,'[2]Team lists'!$A$2:$L$800,11,FALSE)</f>
        <v>#N/A</v>
      </c>
    </row>
    <row r="904" spans="2:13">
      <c r="B904" s="43" t="e">
        <f>VLOOKUP($A904,'[2]Team lists'!$A$2:$L$800,2,FALSE)</f>
        <v>#N/A</v>
      </c>
      <c r="C904" s="43" t="e">
        <f>VLOOKUP($A904,'[2]Team lists'!$A$2:$L$800,3,FALSE)</f>
        <v>#N/A</v>
      </c>
      <c r="D904" s="43" t="e">
        <f>VLOOKUP($A904,'[2]Team lists'!$A$2:$L$800,4,FALSE)</f>
        <v>#N/A</v>
      </c>
      <c r="E904" s="43" t="e">
        <f>VLOOKUP($A904,'[2]Team lists'!$A$2:$L$800,5,FALSE)</f>
        <v>#N/A</v>
      </c>
      <c r="F904" s="43" t="e">
        <f>VLOOKUP($A904,'[2]Team lists'!$A$2:$L$800,6,FALSE)</f>
        <v>#N/A</v>
      </c>
      <c r="G904" s="43" t="e">
        <f>VLOOKUP($A904,'[2]Team lists'!$A$2:$L$800,7,FALSE)</f>
        <v>#N/A</v>
      </c>
      <c r="H904" s="43" t="e">
        <f>VLOOKUP($A904,'[2]Team lists'!$A$2:$L$800,8,FALSE)</f>
        <v>#N/A</v>
      </c>
      <c r="I904" s="43" t="e">
        <f>VLOOKUP($A904,'[2]Team lists'!$A$2:$L$800,9,FALSE)</f>
        <v>#N/A</v>
      </c>
      <c r="J904" s="43" t="e">
        <f>VLOOKUP($A904,'[2]Team lists'!$A$2:$L$800,9,FALSE)</f>
        <v>#N/A</v>
      </c>
      <c r="K904" s="43" t="e">
        <f>VLOOKUP($A904,'[2]Team lists'!$A$2:$L$800,10,FALSE)</f>
        <v>#N/A</v>
      </c>
      <c r="L904" s="43" t="e">
        <f>VLOOKUP($A904,'[2]Team lists'!$A$2:$L$800,11,FALSE)</f>
        <v>#N/A</v>
      </c>
    </row>
    <row r="905" spans="2:13">
      <c r="B905" s="43" t="e">
        <f>VLOOKUP($A905,'[2]Team lists'!$A$2:$L$800,2,FALSE)</f>
        <v>#N/A</v>
      </c>
      <c r="C905" s="43" t="e">
        <f>VLOOKUP($A905,'[2]Team lists'!$A$2:$L$800,3,FALSE)</f>
        <v>#N/A</v>
      </c>
      <c r="D905" s="43" t="e">
        <f>VLOOKUP($A905,'[2]Team lists'!$A$2:$L$800,4,FALSE)</f>
        <v>#N/A</v>
      </c>
      <c r="E905" s="43" t="e">
        <f>VLOOKUP($A905,'[2]Team lists'!$A$2:$L$800,5,FALSE)</f>
        <v>#N/A</v>
      </c>
      <c r="F905" s="43" t="e">
        <f>VLOOKUP($A905,'[2]Team lists'!$A$2:$L$800,6,FALSE)</f>
        <v>#N/A</v>
      </c>
      <c r="G905" s="43" t="e">
        <f>VLOOKUP($A905,'[2]Team lists'!$A$2:$L$800,7,FALSE)</f>
        <v>#N/A</v>
      </c>
      <c r="H905" s="43" t="e">
        <f>VLOOKUP($A905,'[2]Team lists'!$A$2:$L$800,8,FALSE)</f>
        <v>#N/A</v>
      </c>
      <c r="I905" s="43" t="e">
        <f>VLOOKUP($A905,'[2]Team lists'!$A$2:$L$800,9,FALSE)</f>
        <v>#N/A</v>
      </c>
      <c r="J905" s="43" t="e">
        <f>VLOOKUP($A905,'[2]Team lists'!$A$2:$L$800,9,FALSE)</f>
        <v>#N/A</v>
      </c>
      <c r="K905" s="43" t="e">
        <f>VLOOKUP($A905,'[2]Team lists'!$A$2:$L$800,10,FALSE)</f>
        <v>#N/A</v>
      </c>
      <c r="L905" s="43" t="e">
        <f>VLOOKUP($A905,'[2]Team lists'!$A$2:$L$800,11,FALSE)</f>
        <v>#N/A</v>
      </c>
    </row>
    <row r="906" spans="2:13">
      <c r="B906" s="43" t="e">
        <f>VLOOKUP($A906,'[2]Team lists'!$A$2:$L$800,2,FALSE)</f>
        <v>#N/A</v>
      </c>
      <c r="C906" s="43" t="e">
        <f>VLOOKUP($A906,'[2]Team lists'!$A$2:$L$800,3,FALSE)</f>
        <v>#N/A</v>
      </c>
      <c r="D906" s="43" t="e">
        <f>VLOOKUP($A906,'[2]Team lists'!$A$2:$L$800,4,FALSE)</f>
        <v>#N/A</v>
      </c>
      <c r="E906" s="43" t="e">
        <f>VLOOKUP($A906,'[2]Team lists'!$A$2:$L$800,5,FALSE)</f>
        <v>#N/A</v>
      </c>
      <c r="F906" s="43" t="e">
        <f>VLOOKUP($A906,'[2]Team lists'!$A$2:$L$800,6,FALSE)</f>
        <v>#N/A</v>
      </c>
      <c r="G906" s="43" t="e">
        <f>VLOOKUP($A906,'[2]Team lists'!$A$2:$L$800,7,FALSE)</f>
        <v>#N/A</v>
      </c>
      <c r="H906" s="43" t="e">
        <f>VLOOKUP($A906,'[2]Team lists'!$A$2:$L$800,8,FALSE)</f>
        <v>#N/A</v>
      </c>
      <c r="I906" s="43" t="e">
        <f>VLOOKUP($A906,'[2]Team lists'!$A$2:$L$800,9,FALSE)</f>
        <v>#N/A</v>
      </c>
      <c r="J906" s="43" t="e">
        <f>VLOOKUP($A906,'[2]Team lists'!$A$2:$L$800,9,FALSE)</f>
        <v>#N/A</v>
      </c>
      <c r="K906" s="43" t="e">
        <f>VLOOKUP($A906,'[2]Team lists'!$A$2:$L$800,10,FALSE)</f>
        <v>#N/A</v>
      </c>
      <c r="L906" s="43" t="e">
        <f>VLOOKUP($A906,'[2]Team lists'!$A$2:$L$800,11,FALSE)</f>
        <v>#N/A</v>
      </c>
    </row>
    <row r="907" spans="2:13">
      <c r="B907" s="43" t="e">
        <f>VLOOKUP($A907,'[2]Team lists'!$A$2:$L$800,2,FALSE)</f>
        <v>#N/A</v>
      </c>
      <c r="C907" s="43" t="e">
        <f>VLOOKUP($A907,'[2]Team lists'!$A$2:$L$800,3,FALSE)</f>
        <v>#N/A</v>
      </c>
      <c r="D907" s="43" t="e">
        <f>VLOOKUP($A907,'[2]Team lists'!$A$2:$L$800,4,FALSE)</f>
        <v>#N/A</v>
      </c>
      <c r="E907" s="43" t="e">
        <f>VLOOKUP($A907,'[2]Team lists'!$A$2:$L$800,5,FALSE)</f>
        <v>#N/A</v>
      </c>
      <c r="F907" s="43" t="e">
        <f>VLOOKUP($A907,'[2]Team lists'!$A$2:$L$800,6,FALSE)</f>
        <v>#N/A</v>
      </c>
      <c r="G907" s="43" t="e">
        <f>VLOOKUP($A907,'[2]Team lists'!$A$2:$L$800,7,FALSE)</f>
        <v>#N/A</v>
      </c>
      <c r="H907" s="43" t="e">
        <f>VLOOKUP($A907,'[2]Team lists'!$A$2:$L$800,8,FALSE)</f>
        <v>#N/A</v>
      </c>
      <c r="I907" s="43" t="e">
        <f>VLOOKUP($A907,'[2]Team lists'!$A$2:$L$800,9,FALSE)</f>
        <v>#N/A</v>
      </c>
      <c r="J907" s="43" t="e">
        <f>VLOOKUP($A907,'[2]Team lists'!$A$2:$L$800,9,FALSE)</f>
        <v>#N/A</v>
      </c>
      <c r="K907" s="43" t="e">
        <f>VLOOKUP($A907,'[2]Team lists'!$A$2:$L$800,10,FALSE)</f>
        <v>#N/A</v>
      </c>
      <c r="L907" s="43" t="e">
        <f>VLOOKUP($A907,'[2]Team lists'!$A$2:$L$800,11,FALSE)</f>
        <v>#N/A</v>
      </c>
    </row>
    <row r="908" spans="2:13">
      <c r="B908" s="43" t="e">
        <f>VLOOKUP($A908,'[2]Team lists'!$A$2:$L$800,2,FALSE)</f>
        <v>#N/A</v>
      </c>
      <c r="C908" s="43" t="e">
        <f>VLOOKUP($A908,'[2]Team lists'!$A$2:$L$800,3,FALSE)</f>
        <v>#N/A</v>
      </c>
      <c r="D908" s="43" t="e">
        <f>VLOOKUP($A908,'[2]Team lists'!$A$2:$L$800,4,FALSE)</f>
        <v>#N/A</v>
      </c>
      <c r="E908" s="43" t="e">
        <f>VLOOKUP($A908,'[2]Team lists'!$A$2:$L$800,5,FALSE)</f>
        <v>#N/A</v>
      </c>
      <c r="F908" s="43" t="e">
        <f>VLOOKUP($A908,'[2]Team lists'!$A$2:$L$800,6,FALSE)</f>
        <v>#N/A</v>
      </c>
      <c r="G908" s="43" t="e">
        <f>VLOOKUP($A908,'[2]Team lists'!$A$2:$L$800,7,FALSE)</f>
        <v>#N/A</v>
      </c>
      <c r="H908" s="43" t="e">
        <f>VLOOKUP($A908,'[2]Team lists'!$A$2:$L$800,8,FALSE)</f>
        <v>#N/A</v>
      </c>
      <c r="I908" s="43" t="e">
        <f>VLOOKUP($A908,'[2]Team lists'!$A$2:$L$800,9,FALSE)</f>
        <v>#N/A</v>
      </c>
      <c r="J908" s="43" t="e">
        <f>VLOOKUP($A908,'[2]Team lists'!$A$2:$L$800,9,FALSE)</f>
        <v>#N/A</v>
      </c>
      <c r="K908" s="43" t="e">
        <f>VLOOKUP($A908,'[2]Team lists'!$A$2:$L$800,10,FALSE)</f>
        <v>#N/A</v>
      </c>
      <c r="L908" s="43" t="e">
        <f>VLOOKUP($A908,'[2]Team lists'!$A$2:$L$800,11,FALSE)</f>
        <v>#N/A</v>
      </c>
    </row>
    <row r="909" spans="2:13">
      <c r="B909" s="43" t="e">
        <f>VLOOKUP($A909,'[2]Team lists'!$A$2:$L$800,2,FALSE)</f>
        <v>#N/A</v>
      </c>
      <c r="C909" s="43" t="e">
        <f>VLOOKUP($A909,'[2]Team lists'!$A$2:$L$800,3,FALSE)</f>
        <v>#N/A</v>
      </c>
      <c r="D909" s="43" t="e">
        <f>VLOOKUP($A909,'[2]Team lists'!$A$2:$L$800,4,FALSE)</f>
        <v>#N/A</v>
      </c>
      <c r="E909" s="43" t="e">
        <f>VLOOKUP($A909,'[2]Team lists'!$A$2:$L$800,5,FALSE)</f>
        <v>#N/A</v>
      </c>
      <c r="F909" s="43" t="e">
        <f>VLOOKUP($A909,'[2]Team lists'!$A$2:$L$800,6,FALSE)</f>
        <v>#N/A</v>
      </c>
      <c r="G909" s="43" t="e">
        <f>VLOOKUP($A909,'[2]Team lists'!$A$2:$L$800,7,FALSE)</f>
        <v>#N/A</v>
      </c>
      <c r="H909" s="43" t="e">
        <f>VLOOKUP($A909,'[2]Team lists'!$A$2:$L$800,8,FALSE)</f>
        <v>#N/A</v>
      </c>
      <c r="I909" s="43" t="e">
        <f>VLOOKUP($A909,'[2]Team lists'!$A$2:$L$800,9,FALSE)</f>
        <v>#N/A</v>
      </c>
      <c r="J909" s="43" t="e">
        <f>VLOOKUP($A909,'[2]Team lists'!$A$2:$L$800,9,FALSE)</f>
        <v>#N/A</v>
      </c>
      <c r="K909" s="43" t="e">
        <f>VLOOKUP($A909,'[2]Team lists'!$A$2:$L$800,10,FALSE)</f>
        <v>#N/A</v>
      </c>
      <c r="L909" s="43" t="e">
        <f>VLOOKUP($A909,'[2]Team lists'!$A$2:$L$800,11,FALSE)</f>
        <v>#N/A</v>
      </c>
    </row>
    <row r="910" spans="2:13">
      <c r="B910" s="43" t="e">
        <f>VLOOKUP($A910,'[2]Team lists'!$A$2:$L$800,2,FALSE)</f>
        <v>#N/A</v>
      </c>
      <c r="C910" s="43" t="e">
        <f>VLOOKUP($A910,'[2]Team lists'!$A$2:$L$800,3,FALSE)</f>
        <v>#N/A</v>
      </c>
      <c r="D910" s="43" t="e">
        <f>VLOOKUP($A910,'[2]Team lists'!$A$2:$L$800,4,FALSE)</f>
        <v>#N/A</v>
      </c>
      <c r="E910" s="43" t="e">
        <f>VLOOKUP($A910,'[2]Team lists'!$A$2:$L$800,5,FALSE)</f>
        <v>#N/A</v>
      </c>
      <c r="F910" s="43" t="e">
        <f>VLOOKUP($A910,'[2]Team lists'!$A$2:$L$800,6,FALSE)</f>
        <v>#N/A</v>
      </c>
      <c r="G910" s="43" t="e">
        <f>VLOOKUP($A910,'[2]Team lists'!$A$2:$L$800,7,FALSE)</f>
        <v>#N/A</v>
      </c>
      <c r="H910" s="43" t="e">
        <f>VLOOKUP($A910,'[2]Team lists'!$A$2:$L$800,8,FALSE)</f>
        <v>#N/A</v>
      </c>
      <c r="I910" s="43" t="e">
        <f>VLOOKUP($A910,'[2]Team lists'!$A$2:$L$800,9,FALSE)</f>
        <v>#N/A</v>
      </c>
      <c r="J910" s="43" t="e">
        <f>VLOOKUP($A910,'[2]Team lists'!$A$2:$L$800,9,FALSE)</f>
        <v>#N/A</v>
      </c>
      <c r="K910" s="43" t="e">
        <f>VLOOKUP($A910,'[2]Team lists'!$A$2:$L$800,10,FALSE)</f>
        <v>#N/A</v>
      </c>
      <c r="L910" s="43" t="e">
        <f>VLOOKUP($A910,'[2]Team lists'!$A$2:$L$800,11,FALSE)</f>
        <v>#N/A</v>
      </c>
    </row>
    <row r="911" spans="2:13" ht="18" thickBot="1">
      <c r="B911" s="45" t="s">
        <v>3210</v>
      </c>
      <c r="C911" s="46"/>
      <c r="D911" s="47"/>
      <c r="E911" s="48" t="e">
        <f t="shared" ref="E911:L911" si="56">SUM(E900:E910)</f>
        <v>#N/A</v>
      </c>
      <c r="F911" s="49" t="e">
        <f t="shared" si="56"/>
        <v>#N/A</v>
      </c>
      <c r="G911" s="49" t="e">
        <f t="shared" si="56"/>
        <v>#N/A</v>
      </c>
      <c r="H911" s="49" t="e">
        <f t="shared" si="56"/>
        <v>#N/A</v>
      </c>
      <c r="I911" s="49" t="e">
        <f t="shared" si="56"/>
        <v>#N/A</v>
      </c>
      <c r="J911" s="49" t="e">
        <f t="shared" si="56"/>
        <v>#N/A</v>
      </c>
      <c r="K911" s="49" t="e">
        <f t="shared" si="56"/>
        <v>#N/A</v>
      </c>
      <c r="L911" s="50" t="e">
        <f t="shared" si="56"/>
        <v>#N/A</v>
      </c>
    </row>
    <row r="912" spans="2:13" ht="18.600000000000001" thickTop="1" thickBot="1"/>
    <row r="913" spans="2:13" ht="18" thickTop="1">
      <c r="B913" s="23" t="s">
        <v>3204</v>
      </c>
      <c r="C913" s="24" t="s">
        <v>3205</v>
      </c>
      <c r="D913" s="25"/>
      <c r="E913" s="25"/>
      <c r="F913" s="53"/>
      <c r="G913" s="28" t="s">
        <v>3206</v>
      </c>
      <c r="H913" s="54"/>
      <c r="I913" s="54"/>
      <c r="J913" s="54"/>
      <c r="K913" s="28" t="s">
        <v>3207</v>
      </c>
      <c r="L913" s="29"/>
      <c r="M913" s="22" t="str">
        <f>G913</f>
        <v>Manager:</v>
      </c>
    </row>
    <row r="914" spans="2:13" ht="18" thickBot="1">
      <c r="B914" s="30">
        <v>58</v>
      </c>
      <c r="C914" s="57"/>
      <c r="D914" s="31"/>
      <c r="E914" s="31"/>
      <c r="F914" s="33"/>
      <c r="G914" s="55"/>
      <c r="H914" s="55"/>
      <c r="I914" s="55"/>
      <c r="J914" s="55"/>
      <c r="K914" s="34" t="e">
        <f>SUM(F927:L927)</f>
        <v>#N/A</v>
      </c>
      <c r="L914" s="35"/>
      <c r="M914" s="22">
        <f>G914</f>
        <v>0</v>
      </c>
    </row>
    <row r="915" spans="2:13" ht="18.600000000000001" thickTop="1">
      <c r="B915" s="58" t="s">
        <v>913</v>
      </c>
      <c r="C915" s="59" t="s">
        <v>912</v>
      </c>
      <c r="D915" s="60" t="s">
        <v>911</v>
      </c>
      <c r="E915" s="61" t="s">
        <v>3209</v>
      </c>
      <c r="F915" s="62" t="s">
        <v>3162</v>
      </c>
      <c r="G915" s="62" t="s">
        <v>3163</v>
      </c>
      <c r="H915" s="62" t="s">
        <v>3164</v>
      </c>
      <c r="I915" s="62" t="s">
        <v>3165</v>
      </c>
      <c r="J915" s="62" t="s">
        <v>3166</v>
      </c>
      <c r="K915" s="62" t="s">
        <v>3167</v>
      </c>
      <c r="L915" s="63" t="s">
        <v>3168</v>
      </c>
    </row>
    <row r="916" spans="2:13">
      <c r="B916" s="43" t="e">
        <f>VLOOKUP($A916,'[2]Team lists'!$A$2:$L$800,2,FALSE)</f>
        <v>#N/A</v>
      </c>
      <c r="C916" s="43" t="e">
        <f>VLOOKUP($A916,'[2]Team lists'!$A$2:$L$800,3,FALSE)</f>
        <v>#N/A</v>
      </c>
      <c r="D916" s="43" t="e">
        <f>VLOOKUP($A916,'[2]Team lists'!$A$2:$L$800,4,FALSE)</f>
        <v>#N/A</v>
      </c>
      <c r="E916" s="43" t="e">
        <f>VLOOKUP($A916,'[2]Team lists'!$A$2:$L$800,5,FALSE)</f>
        <v>#N/A</v>
      </c>
      <c r="F916" s="43" t="e">
        <f>VLOOKUP($A916,'[2]Team lists'!$A$2:$L$800,6,FALSE)</f>
        <v>#N/A</v>
      </c>
      <c r="G916" s="43" t="e">
        <f>VLOOKUP($A916,'[2]Team lists'!$A$2:$L$800,7,FALSE)</f>
        <v>#N/A</v>
      </c>
      <c r="H916" s="43" t="e">
        <f>VLOOKUP($A916,'[2]Team lists'!$A$2:$L$800,8,FALSE)</f>
        <v>#N/A</v>
      </c>
      <c r="I916" s="43" t="e">
        <f>VLOOKUP($A916,'[2]Team lists'!$A$2:$L$800,9,FALSE)</f>
        <v>#N/A</v>
      </c>
      <c r="J916" s="43" t="e">
        <f>VLOOKUP($A916,'[2]Team lists'!$A$2:$L$800,9,FALSE)</f>
        <v>#N/A</v>
      </c>
      <c r="K916" s="43" t="e">
        <f>VLOOKUP($A916,'[2]Team lists'!$A$2:$L$800,10,FALSE)</f>
        <v>#N/A</v>
      </c>
      <c r="L916" s="43" t="e">
        <f>VLOOKUP($A916,'[2]Team lists'!$A$2:$L$800,11,FALSE)</f>
        <v>#N/A</v>
      </c>
    </row>
    <row r="917" spans="2:13">
      <c r="B917" s="43" t="e">
        <f>VLOOKUP($A917,'[2]Team lists'!$A$2:$L$800,2,FALSE)</f>
        <v>#N/A</v>
      </c>
      <c r="C917" s="43" t="e">
        <f>VLOOKUP($A917,'[2]Team lists'!$A$2:$L$800,3,FALSE)</f>
        <v>#N/A</v>
      </c>
      <c r="D917" s="43" t="e">
        <f>VLOOKUP($A917,'[2]Team lists'!$A$2:$L$800,4,FALSE)</f>
        <v>#N/A</v>
      </c>
      <c r="E917" s="43" t="e">
        <f>VLOOKUP($A917,'[2]Team lists'!$A$2:$L$800,5,FALSE)</f>
        <v>#N/A</v>
      </c>
      <c r="F917" s="43" t="e">
        <f>VLOOKUP($A917,'[2]Team lists'!$A$2:$L$800,6,FALSE)</f>
        <v>#N/A</v>
      </c>
      <c r="G917" s="43" t="e">
        <f>VLOOKUP($A917,'[2]Team lists'!$A$2:$L$800,7,FALSE)</f>
        <v>#N/A</v>
      </c>
      <c r="H917" s="43" t="e">
        <f>VLOOKUP($A917,'[2]Team lists'!$A$2:$L$800,8,FALSE)</f>
        <v>#N/A</v>
      </c>
      <c r="I917" s="43" t="e">
        <f>VLOOKUP($A917,'[2]Team lists'!$A$2:$L$800,9,FALSE)</f>
        <v>#N/A</v>
      </c>
      <c r="J917" s="43" t="e">
        <f>VLOOKUP($A917,'[2]Team lists'!$A$2:$L$800,9,FALSE)</f>
        <v>#N/A</v>
      </c>
      <c r="K917" s="43" t="e">
        <f>VLOOKUP($A917,'[2]Team lists'!$A$2:$L$800,10,FALSE)</f>
        <v>#N/A</v>
      </c>
      <c r="L917" s="43" t="e">
        <f>VLOOKUP($A917,'[2]Team lists'!$A$2:$L$800,11,FALSE)</f>
        <v>#N/A</v>
      </c>
    </row>
    <row r="918" spans="2:13">
      <c r="B918" s="43" t="e">
        <f>VLOOKUP($A918,'[2]Team lists'!$A$2:$L$800,2,FALSE)</f>
        <v>#N/A</v>
      </c>
      <c r="C918" s="43" t="e">
        <f>VLOOKUP($A918,'[2]Team lists'!$A$2:$L$800,3,FALSE)</f>
        <v>#N/A</v>
      </c>
      <c r="D918" s="43" t="e">
        <f>VLOOKUP($A918,'[2]Team lists'!$A$2:$L$800,4,FALSE)</f>
        <v>#N/A</v>
      </c>
      <c r="E918" s="43" t="e">
        <f>VLOOKUP($A918,'[2]Team lists'!$A$2:$L$800,5,FALSE)</f>
        <v>#N/A</v>
      </c>
      <c r="F918" s="43" t="e">
        <f>VLOOKUP($A918,'[2]Team lists'!$A$2:$L$800,6,FALSE)</f>
        <v>#N/A</v>
      </c>
      <c r="G918" s="43" t="e">
        <f>VLOOKUP($A918,'[2]Team lists'!$A$2:$L$800,7,FALSE)</f>
        <v>#N/A</v>
      </c>
      <c r="H918" s="43" t="e">
        <f>VLOOKUP($A918,'[2]Team lists'!$A$2:$L$800,8,FALSE)</f>
        <v>#N/A</v>
      </c>
      <c r="I918" s="43" t="e">
        <f>VLOOKUP($A918,'[2]Team lists'!$A$2:$L$800,9,FALSE)</f>
        <v>#N/A</v>
      </c>
      <c r="J918" s="43" t="e">
        <f>VLOOKUP($A918,'[2]Team lists'!$A$2:$L$800,9,FALSE)</f>
        <v>#N/A</v>
      </c>
      <c r="K918" s="43" t="e">
        <f>VLOOKUP($A918,'[2]Team lists'!$A$2:$L$800,10,FALSE)</f>
        <v>#N/A</v>
      </c>
      <c r="L918" s="43" t="e">
        <f>VLOOKUP($A918,'[2]Team lists'!$A$2:$L$800,11,FALSE)</f>
        <v>#N/A</v>
      </c>
    </row>
    <row r="919" spans="2:13">
      <c r="B919" s="43" t="e">
        <f>VLOOKUP($A919,'[2]Team lists'!$A$2:$L$800,2,FALSE)</f>
        <v>#N/A</v>
      </c>
      <c r="C919" s="43" t="e">
        <f>VLOOKUP($A919,'[2]Team lists'!$A$2:$L$800,3,FALSE)</f>
        <v>#N/A</v>
      </c>
      <c r="D919" s="43" t="e">
        <f>VLOOKUP($A919,'[2]Team lists'!$A$2:$L$800,4,FALSE)</f>
        <v>#N/A</v>
      </c>
      <c r="E919" s="43" t="e">
        <f>VLOOKUP($A919,'[2]Team lists'!$A$2:$L$800,5,FALSE)</f>
        <v>#N/A</v>
      </c>
      <c r="F919" s="43" t="e">
        <f>VLOOKUP($A919,'[2]Team lists'!$A$2:$L$800,6,FALSE)</f>
        <v>#N/A</v>
      </c>
      <c r="G919" s="43" t="e">
        <f>VLOOKUP($A919,'[2]Team lists'!$A$2:$L$800,7,FALSE)</f>
        <v>#N/A</v>
      </c>
      <c r="H919" s="43" t="e">
        <f>VLOOKUP($A919,'[2]Team lists'!$A$2:$L$800,8,FALSE)</f>
        <v>#N/A</v>
      </c>
      <c r="I919" s="43" t="e">
        <f>VLOOKUP($A919,'[2]Team lists'!$A$2:$L$800,9,FALSE)</f>
        <v>#N/A</v>
      </c>
      <c r="J919" s="43" t="e">
        <f>VLOOKUP($A919,'[2]Team lists'!$A$2:$L$800,9,FALSE)</f>
        <v>#N/A</v>
      </c>
      <c r="K919" s="43" t="e">
        <f>VLOOKUP($A919,'[2]Team lists'!$A$2:$L$800,10,FALSE)</f>
        <v>#N/A</v>
      </c>
      <c r="L919" s="43" t="e">
        <f>VLOOKUP($A919,'[2]Team lists'!$A$2:$L$800,11,FALSE)</f>
        <v>#N/A</v>
      </c>
    </row>
    <row r="920" spans="2:13">
      <c r="B920" s="43" t="e">
        <f>VLOOKUP($A920,'[2]Team lists'!$A$2:$L$800,2,FALSE)</f>
        <v>#N/A</v>
      </c>
      <c r="C920" s="43" t="e">
        <f>VLOOKUP($A920,'[2]Team lists'!$A$2:$L$800,3,FALSE)</f>
        <v>#N/A</v>
      </c>
      <c r="D920" s="43" t="e">
        <f>VLOOKUP($A920,'[2]Team lists'!$A$2:$L$800,4,FALSE)</f>
        <v>#N/A</v>
      </c>
      <c r="E920" s="43" t="e">
        <f>VLOOKUP($A920,'[2]Team lists'!$A$2:$L$800,5,FALSE)</f>
        <v>#N/A</v>
      </c>
      <c r="F920" s="43" t="e">
        <f>VLOOKUP($A920,'[2]Team lists'!$A$2:$L$800,6,FALSE)</f>
        <v>#N/A</v>
      </c>
      <c r="G920" s="43" t="e">
        <f>VLOOKUP($A920,'[2]Team lists'!$A$2:$L$800,7,FALSE)</f>
        <v>#N/A</v>
      </c>
      <c r="H920" s="43" t="e">
        <f>VLOOKUP($A920,'[2]Team lists'!$A$2:$L$800,8,FALSE)</f>
        <v>#N/A</v>
      </c>
      <c r="I920" s="43" t="e">
        <f>VLOOKUP($A920,'[2]Team lists'!$A$2:$L$800,9,FALSE)</f>
        <v>#N/A</v>
      </c>
      <c r="J920" s="43" t="e">
        <f>VLOOKUP($A920,'[2]Team lists'!$A$2:$L$800,9,FALSE)</f>
        <v>#N/A</v>
      </c>
      <c r="K920" s="43" t="e">
        <f>VLOOKUP($A920,'[2]Team lists'!$A$2:$L$800,10,FALSE)</f>
        <v>#N/A</v>
      </c>
      <c r="L920" s="43" t="e">
        <f>VLOOKUP($A920,'[2]Team lists'!$A$2:$L$800,11,FALSE)</f>
        <v>#N/A</v>
      </c>
    </row>
    <row r="921" spans="2:13">
      <c r="B921" s="43" t="e">
        <f>VLOOKUP($A921,'[2]Team lists'!$A$2:$L$800,2,FALSE)</f>
        <v>#N/A</v>
      </c>
      <c r="C921" s="43" t="e">
        <f>VLOOKUP($A921,'[2]Team lists'!$A$2:$L$800,3,FALSE)</f>
        <v>#N/A</v>
      </c>
      <c r="D921" s="43" t="e">
        <f>VLOOKUP($A921,'[2]Team lists'!$A$2:$L$800,4,FALSE)</f>
        <v>#N/A</v>
      </c>
      <c r="E921" s="43" t="e">
        <f>VLOOKUP($A921,'[2]Team lists'!$A$2:$L$800,5,FALSE)</f>
        <v>#N/A</v>
      </c>
      <c r="F921" s="43" t="e">
        <f>VLOOKUP($A921,'[2]Team lists'!$A$2:$L$800,6,FALSE)</f>
        <v>#N/A</v>
      </c>
      <c r="G921" s="43" t="e">
        <f>VLOOKUP($A921,'[2]Team lists'!$A$2:$L$800,7,FALSE)</f>
        <v>#N/A</v>
      </c>
      <c r="H921" s="43" t="e">
        <f>VLOOKUP($A921,'[2]Team lists'!$A$2:$L$800,8,FALSE)</f>
        <v>#N/A</v>
      </c>
      <c r="I921" s="43" t="e">
        <f>VLOOKUP($A921,'[2]Team lists'!$A$2:$L$800,9,FALSE)</f>
        <v>#N/A</v>
      </c>
      <c r="J921" s="43" t="e">
        <f>VLOOKUP($A921,'[2]Team lists'!$A$2:$L$800,9,FALSE)</f>
        <v>#N/A</v>
      </c>
      <c r="K921" s="43" t="e">
        <f>VLOOKUP($A921,'[2]Team lists'!$A$2:$L$800,10,FALSE)</f>
        <v>#N/A</v>
      </c>
      <c r="L921" s="43" t="e">
        <f>VLOOKUP($A921,'[2]Team lists'!$A$2:$L$800,11,FALSE)</f>
        <v>#N/A</v>
      </c>
    </row>
    <row r="922" spans="2:13">
      <c r="B922" s="43" t="e">
        <f>VLOOKUP($A922,'[2]Team lists'!$A$2:$L$800,2,FALSE)</f>
        <v>#N/A</v>
      </c>
      <c r="C922" s="43" t="e">
        <f>VLOOKUP($A922,'[2]Team lists'!$A$2:$L$800,3,FALSE)</f>
        <v>#N/A</v>
      </c>
      <c r="D922" s="43" t="e">
        <f>VLOOKUP($A922,'[2]Team lists'!$A$2:$L$800,4,FALSE)</f>
        <v>#N/A</v>
      </c>
      <c r="E922" s="43" t="e">
        <f>VLOOKUP($A922,'[2]Team lists'!$A$2:$L$800,5,FALSE)</f>
        <v>#N/A</v>
      </c>
      <c r="F922" s="43" t="e">
        <f>VLOOKUP($A922,'[2]Team lists'!$A$2:$L$800,6,FALSE)</f>
        <v>#N/A</v>
      </c>
      <c r="G922" s="43" t="e">
        <f>VLOOKUP($A922,'[2]Team lists'!$A$2:$L$800,7,FALSE)</f>
        <v>#N/A</v>
      </c>
      <c r="H922" s="43" t="e">
        <f>VLOOKUP($A922,'[2]Team lists'!$A$2:$L$800,8,FALSE)</f>
        <v>#N/A</v>
      </c>
      <c r="I922" s="43" t="e">
        <f>VLOOKUP($A922,'[2]Team lists'!$A$2:$L$800,9,FALSE)</f>
        <v>#N/A</v>
      </c>
      <c r="J922" s="43" t="e">
        <f>VLOOKUP($A922,'[2]Team lists'!$A$2:$L$800,9,FALSE)</f>
        <v>#N/A</v>
      </c>
      <c r="K922" s="43" t="e">
        <f>VLOOKUP($A922,'[2]Team lists'!$A$2:$L$800,10,FALSE)</f>
        <v>#N/A</v>
      </c>
      <c r="L922" s="43" t="e">
        <f>VLOOKUP($A922,'[2]Team lists'!$A$2:$L$800,11,FALSE)</f>
        <v>#N/A</v>
      </c>
    </row>
    <row r="923" spans="2:13">
      <c r="B923" s="43" t="e">
        <f>VLOOKUP($A923,'[2]Team lists'!$A$2:$L$800,2,FALSE)</f>
        <v>#N/A</v>
      </c>
      <c r="C923" s="43" t="e">
        <f>VLOOKUP($A923,'[2]Team lists'!$A$2:$L$800,3,FALSE)</f>
        <v>#N/A</v>
      </c>
      <c r="D923" s="43" t="e">
        <f>VLOOKUP($A923,'[2]Team lists'!$A$2:$L$800,4,FALSE)</f>
        <v>#N/A</v>
      </c>
      <c r="E923" s="43" t="e">
        <f>VLOOKUP($A923,'[2]Team lists'!$A$2:$L$800,5,FALSE)</f>
        <v>#N/A</v>
      </c>
      <c r="F923" s="43" t="e">
        <f>VLOOKUP($A923,'[2]Team lists'!$A$2:$L$800,6,FALSE)</f>
        <v>#N/A</v>
      </c>
      <c r="G923" s="43" t="e">
        <f>VLOOKUP($A923,'[2]Team lists'!$A$2:$L$800,7,FALSE)</f>
        <v>#N/A</v>
      </c>
      <c r="H923" s="43" t="e">
        <f>VLOOKUP($A923,'[2]Team lists'!$A$2:$L$800,8,FALSE)</f>
        <v>#N/A</v>
      </c>
      <c r="I923" s="43" t="e">
        <f>VLOOKUP($A923,'[2]Team lists'!$A$2:$L$800,9,FALSE)</f>
        <v>#N/A</v>
      </c>
      <c r="J923" s="43" t="e">
        <f>VLOOKUP($A923,'[2]Team lists'!$A$2:$L$800,9,FALSE)</f>
        <v>#N/A</v>
      </c>
      <c r="K923" s="43" t="e">
        <f>VLOOKUP($A923,'[2]Team lists'!$A$2:$L$800,10,FALSE)</f>
        <v>#N/A</v>
      </c>
      <c r="L923" s="43" t="e">
        <f>VLOOKUP($A923,'[2]Team lists'!$A$2:$L$800,11,FALSE)</f>
        <v>#N/A</v>
      </c>
    </row>
    <row r="924" spans="2:13">
      <c r="B924" s="43" t="e">
        <f>VLOOKUP($A924,'[2]Team lists'!$A$2:$L$800,2,FALSE)</f>
        <v>#N/A</v>
      </c>
      <c r="C924" s="43" t="e">
        <f>VLOOKUP($A924,'[2]Team lists'!$A$2:$L$800,3,FALSE)</f>
        <v>#N/A</v>
      </c>
      <c r="D924" s="43" t="e">
        <f>VLOOKUP($A924,'[2]Team lists'!$A$2:$L$800,4,FALSE)</f>
        <v>#N/A</v>
      </c>
      <c r="E924" s="43" t="e">
        <f>VLOOKUP($A924,'[2]Team lists'!$A$2:$L$800,5,FALSE)</f>
        <v>#N/A</v>
      </c>
      <c r="F924" s="43" t="e">
        <f>VLOOKUP($A924,'[2]Team lists'!$A$2:$L$800,6,FALSE)</f>
        <v>#N/A</v>
      </c>
      <c r="G924" s="43" t="e">
        <f>VLOOKUP($A924,'[2]Team lists'!$A$2:$L$800,7,FALSE)</f>
        <v>#N/A</v>
      </c>
      <c r="H924" s="43" t="e">
        <f>VLOOKUP($A924,'[2]Team lists'!$A$2:$L$800,8,FALSE)</f>
        <v>#N/A</v>
      </c>
      <c r="I924" s="43" t="e">
        <f>VLOOKUP($A924,'[2]Team lists'!$A$2:$L$800,9,FALSE)</f>
        <v>#N/A</v>
      </c>
      <c r="J924" s="43" t="e">
        <f>VLOOKUP($A924,'[2]Team lists'!$A$2:$L$800,9,FALSE)</f>
        <v>#N/A</v>
      </c>
      <c r="K924" s="43" t="e">
        <f>VLOOKUP($A924,'[2]Team lists'!$A$2:$L$800,10,FALSE)</f>
        <v>#N/A</v>
      </c>
      <c r="L924" s="43" t="e">
        <f>VLOOKUP($A924,'[2]Team lists'!$A$2:$L$800,11,FALSE)</f>
        <v>#N/A</v>
      </c>
    </row>
    <row r="925" spans="2:13">
      <c r="B925" s="43" t="e">
        <f>VLOOKUP($A925,'[2]Team lists'!$A$2:$L$800,2,FALSE)</f>
        <v>#N/A</v>
      </c>
      <c r="C925" s="43" t="e">
        <f>VLOOKUP($A925,'[2]Team lists'!$A$2:$L$800,3,FALSE)</f>
        <v>#N/A</v>
      </c>
      <c r="D925" s="43" t="e">
        <f>VLOOKUP($A925,'[2]Team lists'!$A$2:$L$800,4,FALSE)</f>
        <v>#N/A</v>
      </c>
      <c r="E925" s="43" t="e">
        <f>VLOOKUP($A925,'[2]Team lists'!$A$2:$L$800,5,FALSE)</f>
        <v>#N/A</v>
      </c>
      <c r="F925" s="43" t="e">
        <f>VLOOKUP($A925,'[2]Team lists'!$A$2:$L$800,6,FALSE)</f>
        <v>#N/A</v>
      </c>
      <c r="G925" s="43" t="e">
        <f>VLOOKUP($A925,'[2]Team lists'!$A$2:$L$800,7,FALSE)</f>
        <v>#N/A</v>
      </c>
      <c r="H925" s="43" t="e">
        <f>VLOOKUP($A925,'[2]Team lists'!$A$2:$L$800,8,FALSE)</f>
        <v>#N/A</v>
      </c>
      <c r="I925" s="43" t="e">
        <f>VLOOKUP($A925,'[2]Team lists'!$A$2:$L$800,9,FALSE)</f>
        <v>#N/A</v>
      </c>
      <c r="J925" s="43" t="e">
        <f>VLOOKUP($A925,'[2]Team lists'!$A$2:$L$800,9,FALSE)</f>
        <v>#N/A</v>
      </c>
      <c r="K925" s="43" t="e">
        <f>VLOOKUP($A925,'[2]Team lists'!$A$2:$L$800,10,FALSE)</f>
        <v>#N/A</v>
      </c>
      <c r="L925" s="43" t="e">
        <f>VLOOKUP($A925,'[2]Team lists'!$A$2:$L$800,11,FALSE)</f>
        <v>#N/A</v>
      </c>
    </row>
    <row r="926" spans="2:13">
      <c r="B926" s="43" t="e">
        <f>VLOOKUP($A926,'[2]Team lists'!$A$2:$L$800,2,FALSE)</f>
        <v>#N/A</v>
      </c>
      <c r="C926" s="43" t="e">
        <f>VLOOKUP($A926,'[2]Team lists'!$A$2:$L$800,3,FALSE)</f>
        <v>#N/A</v>
      </c>
      <c r="D926" s="43" t="e">
        <f>VLOOKUP($A926,'[2]Team lists'!$A$2:$L$800,4,FALSE)</f>
        <v>#N/A</v>
      </c>
      <c r="E926" s="43" t="e">
        <f>VLOOKUP($A926,'[2]Team lists'!$A$2:$L$800,5,FALSE)</f>
        <v>#N/A</v>
      </c>
      <c r="F926" s="43" t="e">
        <f>VLOOKUP($A926,'[2]Team lists'!$A$2:$L$800,6,FALSE)</f>
        <v>#N/A</v>
      </c>
      <c r="G926" s="43" t="e">
        <f>VLOOKUP($A926,'[2]Team lists'!$A$2:$L$800,7,FALSE)</f>
        <v>#N/A</v>
      </c>
      <c r="H926" s="43" t="e">
        <f>VLOOKUP($A926,'[2]Team lists'!$A$2:$L$800,8,FALSE)</f>
        <v>#N/A</v>
      </c>
      <c r="I926" s="43" t="e">
        <f>VLOOKUP($A926,'[2]Team lists'!$A$2:$L$800,9,FALSE)</f>
        <v>#N/A</v>
      </c>
      <c r="J926" s="43" t="e">
        <f>VLOOKUP($A926,'[2]Team lists'!$A$2:$L$800,9,FALSE)</f>
        <v>#N/A</v>
      </c>
      <c r="K926" s="43" t="e">
        <f>VLOOKUP($A926,'[2]Team lists'!$A$2:$L$800,10,FALSE)</f>
        <v>#N/A</v>
      </c>
      <c r="L926" s="43" t="e">
        <f>VLOOKUP($A926,'[2]Team lists'!$A$2:$L$800,11,FALSE)</f>
        <v>#N/A</v>
      </c>
    </row>
    <row r="927" spans="2:13" ht="18" thickBot="1">
      <c r="B927" s="45" t="s">
        <v>3210</v>
      </c>
      <c r="C927" s="46"/>
      <c r="D927" s="47"/>
      <c r="E927" s="48" t="e">
        <f t="shared" ref="E927:L927" si="57">SUM(E916:E926)</f>
        <v>#N/A</v>
      </c>
      <c r="F927" s="49" t="e">
        <f t="shared" si="57"/>
        <v>#N/A</v>
      </c>
      <c r="G927" s="49" t="e">
        <f t="shared" si="57"/>
        <v>#N/A</v>
      </c>
      <c r="H927" s="49" t="e">
        <f t="shared" si="57"/>
        <v>#N/A</v>
      </c>
      <c r="I927" s="49" t="e">
        <f t="shared" si="57"/>
        <v>#N/A</v>
      </c>
      <c r="J927" s="49" t="e">
        <f t="shared" si="57"/>
        <v>#N/A</v>
      </c>
      <c r="K927" s="49" t="e">
        <f t="shared" si="57"/>
        <v>#N/A</v>
      </c>
      <c r="L927" s="50" t="e">
        <f t="shared" si="57"/>
        <v>#N/A</v>
      </c>
    </row>
    <row r="928" spans="2:13" ht="18.600000000000001" thickTop="1" thickBot="1"/>
    <row r="929" spans="2:13" ht="18" thickTop="1">
      <c r="B929" s="23" t="s">
        <v>3204</v>
      </c>
      <c r="C929" s="24" t="s">
        <v>3205</v>
      </c>
      <c r="D929" s="25"/>
      <c r="E929" s="25"/>
      <c r="F929" s="53"/>
      <c r="G929" s="28" t="s">
        <v>3206</v>
      </c>
      <c r="H929" s="54"/>
      <c r="I929" s="54"/>
      <c r="J929" s="54"/>
      <c r="K929" s="28" t="s">
        <v>3207</v>
      </c>
      <c r="L929" s="29"/>
      <c r="M929" s="22" t="str">
        <f>G929</f>
        <v>Manager:</v>
      </c>
    </row>
    <row r="930" spans="2:13" ht="18" thickBot="1">
      <c r="B930" s="30">
        <v>59</v>
      </c>
      <c r="C930" s="57"/>
      <c r="D930" s="31"/>
      <c r="E930" s="31"/>
      <c r="F930" s="33"/>
      <c r="G930" s="55"/>
      <c r="H930" s="55"/>
      <c r="I930" s="55"/>
      <c r="J930" s="55"/>
      <c r="K930" s="34" t="e">
        <f>SUM(F943:L943)</f>
        <v>#N/A</v>
      </c>
      <c r="L930" s="35"/>
      <c r="M930" s="22">
        <f>G930</f>
        <v>0</v>
      </c>
    </row>
    <row r="931" spans="2:13" ht="18.600000000000001" thickTop="1">
      <c r="B931" s="58" t="s">
        <v>913</v>
      </c>
      <c r="C931" s="59" t="s">
        <v>912</v>
      </c>
      <c r="D931" s="60" t="s">
        <v>911</v>
      </c>
      <c r="E931" s="61" t="s">
        <v>3209</v>
      </c>
      <c r="F931" s="62" t="s">
        <v>3162</v>
      </c>
      <c r="G931" s="62" t="s">
        <v>3163</v>
      </c>
      <c r="H931" s="62" t="s">
        <v>3164</v>
      </c>
      <c r="I931" s="62" t="s">
        <v>3165</v>
      </c>
      <c r="J931" s="62" t="s">
        <v>3166</v>
      </c>
      <c r="K931" s="62" t="s">
        <v>3167</v>
      </c>
      <c r="L931" s="63" t="s">
        <v>3168</v>
      </c>
    </row>
    <row r="932" spans="2:13">
      <c r="B932" s="43" t="e">
        <f>VLOOKUP($A932,'[2]Team lists'!$A$2:$L$800,2,FALSE)</f>
        <v>#N/A</v>
      </c>
      <c r="C932" s="43" t="e">
        <f>VLOOKUP($A932,'[2]Team lists'!$A$2:$L$800,3,FALSE)</f>
        <v>#N/A</v>
      </c>
      <c r="D932" s="43" t="e">
        <f>VLOOKUP($A932,'[2]Team lists'!$A$2:$L$800,4,FALSE)</f>
        <v>#N/A</v>
      </c>
      <c r="E932" s="43" t="e">
        <f>VLOOKUP($A932,'[2]Team lists'!$A$2:$L$800,5,FALSE)</f>
        <v>#N/A</v>
      </c>
      <c r="F932" s="43" t="e">
        <f>VLOOKUP($A932,'[2]Team lists'!$A$2:$L$800,6,FALSE)</f>
        <v>#N/A</v>
      </c>
      <c r="G932" s="43" t="e">
        <f>VLOOKUP($A932,'[2]Team lists'!$A$2:$L$800,7,FALSE)</f>
        <v>#N/A</v>
      </c>
      <c r="H932" s="43" t="e">
        <f>VLOOKUP($A932,'[2]Team lists'!$A$2:$L$800,8,FALSE)</f>
        <v>#N/A</v>
      </c>
      <c r="I932" s="43" t="e">
        <f>VLOOKUP($A932,'[2]Team lists'!$A$2:$L$800,9,FALSE)</f>
        <v>#N/A</v>
      </c>
      <c r="J932" s="43" t="e">
        <f>VLOOKUP($A932,'[2]Team lists'!$A$2:$L$800,9,FALSE)</f>
        <v>#N/A</v>
      </c>
      <c r="K932" s="43" t="e">
        <f>VLOOKUP($A932,'[2]Team lists'!$A$2:$L$800,10,FALSE)</f>
        <v>#N/A</v>
      </c>
      <c r="L932" s="43" t="e">
        <f>VLOOKUP($A932,'[2]Team lists'!$A$2:$L$800,11,FALSE)</f>
        <v>#N/A</v>
      </c>
    </row>
    <row r="933" spans="2:13">
      <c r="B933" s="43" t="e">
        <f>VLOOKUP($A933,'[2]Team lists'!$A$2:$L$800,2,FALSE)</f>
        <v>#N/A</v>
      </c>
      <c r="C933" s="43" t="e">
        <f>VLOOKUP($A933,'[2]Team lists'!$A$2:$L$800,3,FALSE)</f>
        <v>#N/A</v>
      </c>
      <c r="D933" s="43" t="e">
        <f>VLOOKUP($A933,'[2]Team lists'!$A$2:$L$800,4,FALSE)</f>
        <v>#N/A</v>
      </c>
      <c r="E933" s="43" t="e">
        <f>VLOOKUP($A933,'[2]Team lists'!$A$2:$L$800,5,FALSE)</f>
        <v>#N/A</v>
      </c>
      <c r="F933" s="43" t="e">
        <f>VLOOKUP($A933,'[2]Team lists'!$A$2:$L$800,6,FALSE)</f>
        <v>#N/A</v>
      </c>
      <c r="G933" s="43" t="e">
        <f>VLOOKUP($A933,'[2]Team lists'!$A$2:$L$800,7,FALSE)</f>
        <v>#N/A</v>
      </c>
      <c r="H933" s="43" t="e">
        <f>VLOOKUP($A933,'[2]Team lists'!$A$2:$L$800,8,FALSE)</f>
        <v>#N/A</v>
      </c>
      <c r="I933" s="43" t="e">
        <f>VLOOKUP($A933,'[2]Team lists'!$A$2:$L$800,9,FALSE)</f>
        <v>#N/A</v>
      </c>
      <c r="J933" s="43" t="e">
        <f>VLOOKUP($A933,'[2]Team lists'!$A$2:$L$800,9,FALSE)</f>
        <v>#N/A</v>
      </c>
      <c r="K933" s="43" t="e">
        <f>VLOOKUP($A933,'[2]Team lists'!$A$2:$L$800,10,FALSE)</f>
        <v>#N/A</v>
      </c>
      <c r="L933" s="43" t="e">
        <f>VLOOKUP($A933,'[2]Team lists'!$A$2:$L$800,11,FALSE)</f>
        <v>#N/A</v>
      </c>
    </row>
    <row r="934" spans="2:13">
      <c r="B934" s="43" t="e">
        <f>VLOOKUP($A934,'[2]Team lists'!$A$2:$L$800,2,FALSE)</f>
        <v>#N/A</v>
      </c>
      <c r="C934" s="43" t="e">
        <f>VLOOKUP($A934,'[2]Team lists'!$A$2:$L$800,3,FALSE)</f>
        <v>#N/A</v>
      </c>
      <c r="D934" s="43" t="e">
        <f>VLOOKUP($A934,'[2]Team lists'!$A$2:$L$800,4,FALSE)</f>
        <v>#N/A</v>
      </c>
      <c r="E934" s="43" t="e">
        <f>VLOOKUP($A934,'[2]Team lists'!$A$2:$L$800,5,FALSE)</f>
        <v>#N/A</v>
      </c>
      <c r="F934" s="43" t="e">
        <f>VLOOKUP($A934,'[2]Team lists'!$A$2:$L$800,6,FALSE)</f>
        <v>#N/A</v>
      </c>
      <c r="G934" s="43" t="e">
        <f>VLOOKUP($A934,'[2]Team lists'!$A$2:$L$800,7,FALSE)</f>
        <v>#N/A</v>
      </c>
      <c r="H934" s="43" t="e">
        <f>VLOOKUP($A934,'[2]Team lists'!$A$2:$L$800,8,FALSE)</f>
        <v>#N/A</v>
      </c>
      <c r="I934" s="43" t="e">
        <f>VLOOKUP($A934,'[2]Team lists'!$A$2:$L$800,9,FALSE)</f>
        <v>#N/A</v>
      </c>
      <c r="J934" s="43" t="e">
        <f>VLOOKUP($A934,'[2]Team lists'!$A$2:$L$800,9,FALSE)</f>
        <v>#N/A</v>
      </c>
      <c r="K934" s="43" t="e">
        <f>VLOOKUP($A934,'[2]Team lists'!$A$2:$L$800,10,FALSE)</f>
        <v>#N/A</v>
      </c>
      <c r="L934" s="43" t="e">
        <f>VLOOKUP($A934,'[2]Team lists'!$A$2:$L$800,11,FALSE)</f>
        <v>#N/A</v>
      </c>
    </row>
    <row r="935" spans="2:13">
      <c r="B935" s="43" t="e">
        <f>VLOOKUP($A935,'[2]Team lists'!$A$2:$L$800,2,FALSE)</f>
        <v>#N/A</v>
      </c>
      <c r="C935" s="43" t="e">
        <f>VLOOKUP($A935,'[2]Team lists'!$A$2:$L$800,3,FALSE)</f>
        <v>#N/A</v>
      </c>
      <c r="D935" s="43" t="e">
        <f>VLOOKUP($A935,'[2]Team lists'!$A$2:$L$800,4,FALSE)</f>
        <v>#N/A</v>
      </c>
      <c r="E935" s="43" t="e">
        <f>VLOOKUP($A935,'[2]Team lists'!$A$2:$L$800,5,FALSE)</f>
        <v>#N/A</v>
      </c>
      <c r="F935" s="43" t="e">
        <f>VLOOKUP($A935,'[2]Team lists'!$A$2:$L$800,6,FALSE)</f>
        <v>#N/A</v>
      </c>
      <c r="G935" s="43" t="e">
        <f>VLOOKUP($A935,'[2]Team lists'!$A$2:$L$800,7,FALSE)</f>
        <v>#N/A</v>
      </c>
      <c r="H935" s="43" t="e">
        <f>VLOOKUP($A935,'[2]Team lists'!$A$2:$L$800,8,FALSE)</f>
        <v>#N/A</v>
      </c>
      <c r="I935" s="43" t="e">
        <f>VLOOKUP($A935,'[2]Team lists'!$A$2:$L$800,9,FALSE)</f>
        <v>#N/A</v>
      </c>
      <c r="J935" s="43" t="e">
        <f>VLOOKUP($A935,'[2]Team lists'!$A$2:$L$800,9,FALSE)</f>
        <v>#N/A</v>
      </c>
      <c r="K935" s="43" t="e">
        <f>VLOOKUP($A935,'[2]Team lists'!$A$2:$L$800,10,FALSE)</f>
        <v>#N/A</v>
      </c>
      <c r="L935" s="43" t="e">
        <f>VLOOKUP($A935,'[2]Team lists'!$A$2:$L$800,11,FALSE)</f>
        <v>#N/A</v>
      </c>
    </row>
    <row r="936" spans="2:13">
      <c r="B936" s="43" t="e">
        <f>VLOOKUP($A936,'[2]Team lists'!$A$2:$L$800,2,FALSE)</f>
        <v>#N/A</v>
      </c>
      <c r="C936" s="43" t="e">
        <f>VLOOKUP($A936,'[2]Team lists'!$A$2:$L$800,3,FALSE)</f>
        <v>#N/A</v>
      </c>
      <c r="D936" s="43" t="e">
        <f>VLOOKUP($A936,'[2]Team lists'!$A$2:$L$800,4,FALSE)</f>
        <v>#N/A</v>
      </c>
      <c r="E936" s="43" t="e">
        <f>VLOOKUP($A936,'[2]Team lists'!$A$2:$L$800,5,FALSE)</f>
        <v>#N/A</v>
      </c>
      <c r="F936" s="43" t="e">
        <f>VLOOKUP($A936,'[2]Team lists'!$A$2:$L$800,6,FALSE)</f>
        <v>#N/A</v>
      </c>
      <c r="G936" s="43" t="e">
        <f>VLOOKUP($A936,'[2]Team lists'!$A$2:$L$800,7,FALSE)</f>
        <v>#N/A</v>
      </c>
      <c r="H936" s="43" t="e">
        <f>VLOOKUP($A936,'[2]Team lists'!$A$2:$L$800,8,FALSE)</f>
        <v>#N/A</v>
      </c>
      <c r="I936" s="43" t="e">
        <f>VLOOKUP($A936,'[2]Team lists'!$A$2:$L$800,9,FALSE)</f>
        <v>#N/A</v>
      </c>
      <c r="J936" s="43" t="e">
        <f>VLOOKUP($A936,'[2]Team lists'!$A$2:$L$800,9,FALSE)</f>
        <v>#N/A</v>
      </c>
      <c r="K936" s="43" t="e">
        <f>VLOOKUP($A936,'[2]Team lists'!$A$2:$L$800,10,FALSE)</f>
        <v>#N/A</v>
      </c>
      <c r="L936" s="43" t="e">
        <f>VLOOKUP($A936,'[2]Team lists'!$A$2:$L$800,11,FALSE)</f>
        <v>#N/A</v>
      </c>
    </row>
    <row r="937" spans="2:13">
      <c r="B937" s="43" t="e">
        <f>VLOOKUP($A937,'[2]Team lists'!$A$2:$L$800,2,FALSE)</f>
        <v>#N/A</v>
      </c>
      <c r="C937" s="43" t="e">
        <f>VLOOKUP($A937,'[2]Team lists'!$A$2:$L$800,3,FALSE)</f>
        <v>#N/A</v>
      </c>
      <c r="D937" s="43" t="e">
        <f>VLOOKUP($A937,'[2]Team lists'!$A$2:$L$800,4,FALSE)</f>
        <v>#N/A</v>
      </c>
      <c r="E937" s="43" t="e">
        <f>VLOOKUP($A937,'[2]Team lists'!$A$2:$L$800,5,FALSE)</f>
        <v>#N/A</v>
      </c>
      <c r="F937" s="43" t="e">
        <f>VLOOKUP($A937,'[2]Team lists'!$A$2:$L$800,6,FALSE)</f>
        <v>#N/A</v>
      </c>
      <c r="G937" s="43" t="e">
        <f>VLOOKUP($A937,'[2]Team lists'!$A$2:$L$800,7,FALSE)</f>
        <v>#N/A</v>
      </c>
      <c r="H937" s="43" t="e">
        <f>VLOOKUP($A937,'[2]Team lists'!$A$2:$L$800,8,FALSE)</f>
        <v>#N/A</v>
      </c>
      <c r="I937" s="43" t="e">
        <f>VLOOKUP($A937,'[2]Team lists'!$A$2:$L$800,9,FALSE)</f>
        <v>#N/A</v>
      </c>
      <c r="J937" s="43" t="e">
        <f>VLOOKUP($A937,'[2]Team lists'!$A$2:$L$800,9,FALSE)</f>
        <v>#N/A</v>
      </c>
      <c r="K937" s="43" t="e">
        <f>VLOOKUP($A937,'[2]Team lists'!$A$2:$L$800,10,FALSE)</f>
        <v>#N/A</v>
      </c>
      <c r="L937" s="43" t="e">
        <f>VLOOKUP($A937,'[2]Team lists'!$A$2:$L$800,11,FALSE)</f>
        <v>#N/A</v>
      </c>
    </row>
    <row r="938" spans="2:13">
      <c r="B938" s="43" t="e">
        <f>VLOOKUP($A938,'[2]Team lists'!$A$2:$L$800,2,FALSE)</f>
        <v>#N/A</v>
      </c>
      <c r="C938" s="43" t="e">
        <f>VLOOKUP($A938,'[2]Team lists'!$A$2:$L$800,3,FALSE)</f>
        <v>#N/A</v>
      </c>
      <c r="D938" s="43" t="e">
        <f>VLOOKUP($A938,'[2]Team lists'!$A$2:$L$800,4,FALSE)</f>
        <v>#N/A</v>
      </c>
      <c r="E938" s="43" t="e">
        <f>VLOOKUP($A938,'[2]Team lists'!$A$2:$L$800,5,FALSE)</f>
        <v>#N/A</v>
      </c>
      <c r="F938" s="43" t="e">
        <f>VLOOKUP($A938,'[2]Team lists'!$A$2:$L$800,6,FALSE)</f>
        <v>#N/A</v>
      </c>
      <c r="G938" s="43" t="e">
        <f>VLOOKUP($A938,'[2]Team lists'!$A$2:$L$800,7,FALSE)</f>
        <v>#N/A</v>
      </c>
      <c r="H938" s="43" t="e">
        <f>VLOOKUP($A938,'[2]Team lists'!$A$2:$L$800,8,FALSE)</f>
        <v>#N/A</v>
      </c>
      <c r="I938" s="43" t="e">
        <f>VLOOKUP($A938,'[2]Team lists'!$A$2:$L$800,9,FALSE)</f>
        <v>#N/A</v>
      </c>
      <c r="J938" s="43" t="e">
        <f>VLOOKUP($A938,'[2]Team lists'!$A$2:$L$800,9,FALSE)</f>
        <v>#N/A</v>
      </c>
      <c r="K938" s="43" t="e">
        <f>VLOOKUP($A938,'[2]Team lists'!$A$2:$L$800,10,FALSE)</f>
        <v>#N/A</v>
      </c>
      <c r="L938" s="43" t="e">
        <f>VLOOKUP($A938,'[2]Team lists'!$A$2:$L$800,11,FALSE)</f>
        <v>#N/A</v>
      </c>
    </row>
    <row r="939" spans="2:13">
      <c r="B939" s="43" t="e">
        <f>VLOOKUP($A939,'[2]Team lists'!$A$2:$L$800,2,FALSE)</f>
        <v>#N/A</v>
      </c>
      <c r="C939" s="43" t="e">
        <f>VLOOKUP($A939,'[2]Team lists'!$A$2:$L$800,3,FALSE)</f>
        <v>#N/A</v>
      </c>
      <c r="D939" s="43" t="e">
        <f>VLOOKUP($A939,'[2]Team lists'!$A$2:$L$800,4,FALSE)</f>
        <v>#N/A</v>
      </c>
      <c r="E939" s="43" t="e">
        <f>VLOOKUP($A939,'[2]Team lists'!$A$2:$L$800,5,FALSE)</f>
        <v>#N/A</v>
      </c>
      <c r="F939" s="43" t="e">
        <f>VLOOKUP($A939,'[2]Team lists'!$A$2:$L$800,6,FALSE)</f>
        <v>#N/A</v>
      </c>
      <c r="G939" s="43" t="e">
        <f>VLOOKUP($A939,'[2]Team lists'!$A$2:$L$800,7,FALSE)</f>
        <v>#N/A</v>
      </c>
      <c r="H939" s="43" t="e">
        <f>VLOOKUP($A939,'[2]Team lists'!$A$2:$L$800,8,FALSE)</f>
        <v>#N/A</v>
      </c>
      <c r="I939" s="43" t="e">
        <f>VLOOKUP($A939,'[2]Team lists'!$A$2:$L$800,9,FALSE)</f>
        <v>#N/A</v>
      </c>
      <c r="J939" s="43" t="e">
        <f>VLOOKUP($A939,'[2]Team lists'!$A$2:$L$800,9,FALSE)</f>
        <v>#N/A</v>
      </c>
      <c r="K939" s="43" t="e">
        <f>VLOOKUP($A939,'[2]Team lists'!$A$2:$L$800,10,FALSE)</f>
        <v>#N/A</v>
      </c>
      <c r="L939" s="43" t="e">
        <f>VLOOKUP($A939,'[2]Team lists'!$A$2:$L$800,11,FALSE)</f>
        <v>#N/A</v>
      </c>
    </row>
    <row r="940" spans="2:13">
      <c r="B940" s="43" t="e">
        <f>VLOOKUP($A940,'[2]Team lists'!$A$2:$L$800,2,FALSE)</f>
        <v>#N/A</v>
      </c>
      <c r="C940" s="43" t="e">
        <f>VLOOKUP($A940,'[2]Team lists'!$A$2:$L$800,3,FALSE)</f>
        <v>#N/A</v>
      </c>
      <c r="D940" s="43" t="e">
        <f>VLOOKUP($A940,'[2]Team lists'!$A$2:$L$800,4,FALSE)</f>
        <v>#N/A</v>
      </c>
      <c r="E940" s="43" t="e">
        <f>VLOOKUP($A940,'[2]Team lists'!$A$2:$L$800,5,FALSE)</f>
        <v>#N/A</v>
      </c>
      <c r="F940" s="43" t="e">
        <f>VLOOKUP($A940,'[2]Team lists'!$A$2:$L$800,6,FALSE)</f>
        <v>#N/A</v>
      </c>
      <c r="G940" s="43" t="e">
        <f>VLOOKUP($A940,'[2]Team lists'!$A$2:$L$800,7,FALSE)</f>
        <v>#N/A</v>
      </c>
      <c r="H940" s="43" t="e">
        <f>VLOOKUP($A940,'[2]Team lists'!$A$2:$L$800,8,FALSE)</f>
        <v>#N/A</v>
      </c>
      <c r="I940" s="43" t="e">
        <f>VLOOKUP($A940,'[2]Team lists'!$A$2:$L$800,9,FALSE)</f>
        <v>#N/A</v>
      </c>
      <c r="J940" s="43" t="e">
        <f>VLOOKUP($A940,'[2]Team lists'!$A$2:$L$800,9,FALSE)</f>
        <v>#N/A</v>
      </c>
      <c r="K940" s="43" t="e">
        <f>VLOOKUP($A940,'[2]Team lists'!$A$2:$L$800,10,FALSE)</f>
        <v>#N/A</v>
      </c>
      <c r="L940" s="43" t="e">
        <f>VLOOKUP($A940,'[2]Team lists'!$A$2:$L$800,11,FALSE)</f>
        <v>#N/A</v>
      </c>
    </row>
    <row r="941" spans="2:13">
      <c r="B941" s="43" t="e">
        <f>VLOOKUP($A941,'[2]Team lists'!$A$2:$L$800,2,FALSE)</f>
        <v>#N/A</v>
      </c>
      <c r="C941" s="43" t="e">
        <f>VLOOKUP($A941,'[2]Team lists'!$A$2:$L$800,3,FALSE)</f>
        <v>#N/A</v>
      </c>
      <c r="D941" s="43" t="e">
        <f>VLOOKUP($A941,'[2]Team lists'!$A$2:$L$800,4,FALSE)</f>
        <v>#N/A</v>
      </c>
      <c r="E941" s="43" t="e">
        <f>VLOOKUP($A941,'[2]Team lists'!$A$2:$L$800,5,FALSE)</f>
        <v>#N/A</v>
      </c>
      <c r="F941" s="43" t="e">
        <f>VLOOKUP($A941,'[2]Team lists'!$A$2:$L$800,6,FALSE)</f>
        <v>#N/A</v>
      </c>
      <c r="G941" s="43" t="e">
        <f>VLOOKUP($A941,'[2]Team lists'!$A$2:$L$800,7,FALSE)</f>
        <v>#N/A</v>
      </c>
      <c r="H941" s="43" t="e">
        <f>VLOOKUP($A941,'[2]Team lists'!$A$2:$L$800,8,FALSE)</f>
        <v>#N/A</v>
      </c>
      <c r="I941" s="43" t="e">
        <f>VLOOKUP($A941,'[2]Team lists'!$A$2:$L$800,9,FALSE)</f>
        <v>#N/A</v>
      </c>
      <c r="J941" s="43" t="e">
        <f>VLOOKUP($A941,'[2]Team lists'!$A$2:$L$800,9,FALSE)</f>
        <v>#N/A</v>
      </c>
      <c r="K941" s="43" t="e">
        <f>VLOOKUP($A941,'[2]Team lists'!$A$2:$L$800,10,FALSE)</f>
        <v>#N/A</v>
      </c>
      <c r="L941" s="43" t="e">
        <f>VLOOKUP($A941,'[2]Team lists'!$A$2:$L$800,11,FALSE)</f>
        <v>#N/A</v>
      </c>
    </row>
    <row r="942" spans="2:13">
      <c r="B942" s="43" t="e">
        <f>VLOOKUP($A942,'[2]Team lists'!$A$2:$L$800,2,FALSE)</f>
        <v>#N/A</v>
      </c>
      <c r="C942" s="43" t="e">
        <f>VLOOKUP($A942,'[2]Team lists'!$A$2:$L$800,3,FALSE)</f>
        <v>#N/A</v>
      </c>
      <c r="D942" s="43" t="e">
        <f>VLOOKUP($A942,'[2]Team lists'!$A$2:$L$800,4,FALSE)</f>
        <v>#N/A</v>
      </c>
      <c r="E942" s="43" t="e">
        <f>VLOOKUP($A942,'[2]Team lists'!$A$2:$L$800,5,FALSE)</f>
        <v>#N/A</v>
      </c>
      <c r="F942" s="43" t="e">
        <f>VLOOKUP($A942,'[2]Team lists'!$A$2:$L$800,6,FALSE)</f>
        <v>#N/A</v>
      </c>
      <c r="G942" s="43" t="e">
        <f>VLOOKUP($A942,'[2]Team lists'!$A$2:$L$800,7,FALSE)</f>
        <v>#N/A</v>
      </c>
      <c r="H942" s="43" t="e">
        <f>VLOOKUP($A942,'[2]Team lists'!$A$2:$L$800,8,FALSE)</f>
        <v>#N/A</v>
      </c>
      <c r="I942" s="43" t="e">
        <f>VLOOKUP($A942,'[2]Team lists'!$A$2:$L$800,9,FALSE)</f>
        <v>#N/A</v>
      </c>
      <c r="J942" s="43" t="e">
        <f>VLOOKUP($A942,'[2]Team lists'!$A$2:$L$800,9,FALSE)</f>
        <v>#N/A</v>
      </c>
      <c r="K942" s="43" t="e">
        <f>VLOOKUP($A942,'[2]Team lists'!$A$2:$L$800,10,FALSE)</f>
        <v>#N/A</v>
      </c>
      <c r="L942" s="43" t="e">
        <f>VLOOKUP($A942,'[2]Team lists'!$A$2:$L$800,11,FALSE)</f>
        <v>#N/A</v>
      </c>
    </row>
    <row r="943" spans="2:13" ht="18" thickBot="1">
      <c r="B943" s="45" t="s">
        <v>3210</v>
      </c>
      <c r="C943" s="46"/>
      <c r="D943" s="47"/>
      <c r="E943" s="48" t="e">
        <f t="shared" ref="E943:L943" si="58">SUM(E932:E942)</f>
        <v>#N/A</v>
      </c>
      <c r="F943" s="49" t="e">
        <f t="shared" si="58"/>
        <v>#N/A</v>
      </c>
      <c r="G943" s="49" t="e">
        <f t="shared" si="58"/>
        <v>#N/A</v>
      </c>
      <c r="H943" s="49" t="e">
        <f t="shared" si="58"/>
        <v>#N/A</v>
      </c>
      <c r="I943" s="49" t="e">
        <f t="shared" si="58"/>
        <v>#N/A</v>
      </c>
      <c r="J943" s="49" t="e">
        <f t="shared" si="58"/>
        <v>#N/A</v>
      </c>
      <c r="K943" s="49" t="e">
        <f t="shared" si="58"/>
        <v>#N/A</v>
      </c>
      <c r="L943" s="50" t="e">
        <f t="shared" si="58"/>
        <v>#N/A</v>
      </c>
    </row>
    <row r="944" spans="2:13" ht="18.600000000000001" thickTop="1" thickBot="1"/>
    <row r="945" spans="2:13" ht="18" thickTop="1">
      <c r="B945" s="23" t="s">
        <v>3204</v>
      </c>
      <c r="C945" s="24" t="s">
        <v>3205</v>
      </c>
      <c r="D945" s="25"/>
      <c r="E945" s="25"/>
      <c r="F945" s="53"/>
      <c r="G945" s="28" t="s">
        <v>3206</v>
      </c>
      <c r="H945" s="54"/>
      <c r="I945" s="54"/>
      <c r="J945" s="54"/>
      <c r="K945" s="28" t="s">
        <v>3207</v>
      </c>
      <c r="L945" s="29"/>
      <c r="M945" s="22" t="str">
        <f>G945</f>
        <v>Manager:</v>
      </c>
    </row>
    <row r="946" spans="2:13" ht="18" thickBot="1">
      <c r="B946" s="30">
        <v>60</v>
      </c>
      <c r="C946" s="57"/>
      <c r="D946" s="31"/>
      <c r="E946" s="31"/>
      <c r="F946" s="33"/>
      <c r="G946" s="55"/>
      <c r="H946" s="55"/>
      <c r="I946" s="55"/>
      <c r="J946" s="55"/>
      <c r="K946" s="34" t="e">
        <f>SUM(F959:L959)</f>
        <v>#N/A</v>
      </c>
      <c r="L946" s="35"/>
      <c r="M946" s="22">
        <f>G946</f>
        <v>0</v>
      </c>
    </row>
    <row r="947" spans="2:13" ht="18.600000000000001" thickTop="1">
      <c r="B947" s="58" t="s">
        <v>913</v>
      </c>
      <c r="C947" s="59" t="s">
        <v>912</v>
      </c>
      <c r="D947" s="60" t="s">
        <v>911</v>
      </c>
      <c r="E947" s="61" t="s">
        <v>3209</v>
      </c>
      <c r="F947" s="62" t="s">
        <v>3162</v>
      </c>
      <c r="G947" s="62" t="s">
        <v>3163</v>
      </c>
      <c r="H947" s="62" t="s">
        <v>3164</v>
      </c>
      <c r="I947" s="62" t="s">
        <v>3165</v>
      </c>
      <c r="J947" s="62" t="s">
        <v>3166</v>
      </c>
      <c r="K947" s="62" t="s">
        <v>3167</v>
      </c>
      <c r="L947" s="63" t="s">
        <v>3168</v>
      </c>
    </row>
    <row r="948" spans="2:13">
      <c r="B948" s="43" t="e">
        <f>VLOOKUP($A948,'[2]Team lists'!$A$2:$L$800,2,FALSE)</f>
        <v>#N/A</v>
      </c>
      <c r="C948" s="43" t="e">
        <f>VLOOKUP($A948,'[2]Team lists'!$A$2:$L$800,3,FALSE)</f>
        <v>#N/A</v>
      </c>
      <c r="D948" s="43" t="e">
        <f>VLOOKUP($A948,'[2]Team lists'!$A$2:$L$800,4,FALSE)</f>
        <v>#N/A</v>
      </c>
      <c r="E948" s="43" t="e">
        <f>VLOOKUP($A948,'[2]Team lists'!$A$2:$L$800,5,FALSE)</f>
        <v>#N/A</v>
      </c>
      <c r="F948" s="43" t="e">
        <f>VLOOKUP($A948,'[2]Team lists'!$A$2:$L$800,6,FALSE)</f>
        <v>#N/A</v>
      </c>
      <c r="G948" s="43" t="e">
        <f>VLOOKUP($A948,'[2]Team lists'!$A$2:$L$800,7,FALSE)</f>
        <v>#N/A</v>
      </c>
      <c r="H948" s="43" t="e">
        <f>VLOOKUP($A948,'[2]Team lists'!$A$2:$L$800,8,FALSE)</f>
        <v>#N/A</v>
      </c>
      <c r="I948" s="43" t="e">
        <f>VLOOKUP($A948,'[2]Team lists'!$A$2:$L$800,9,FALSE)</f>
        <v>#N/A</v>
      </c>
      <c r="J948" s="43" t="e">
        <f>VLOOKUP($A948,'[2]Team lists'!$A$2:$L$800,9,FALSE)</f>
        <v>#N/A</v>
      </c>
      <c r="K948" s="43" t="e">
        <f>VLOOKUP($A948,'[2]Team lists'!$A$2:$L$800,10,FALSE)</f>
        <v>#N/A</v>
      </c>
      <c r="L948" s="43" t="e">
        <f>VLOOKUP($A948,'[2]Team lists'!$A$2:$L$800,11,FALSE)</f>
        <v>#N/A</v>
      </c>
    </row>
    <row r="949" spans="2:13">
      <c r="B949" s="43" t="e">
        <f>VLOOKUP($A949,'[2]Team lists'!$A$2:$L$800,2,FALSE)</f>
        <v>#N/A</v>
      </c>
      <c r="C949" s="43" t="e">
        <f>VLOOKUP($A949,'[2]Team lists'!$A$2:$L$800,3,FALSE)</f>
        <v>#N/A</v>
      </c>
      <c r="D949" s="43" t="e">
        <f>VLOOKUP($A949,'[2]Team lists'!$A$2:$L$800,4,FALSE)</f>
        <v>#N/A</v>
      </c>
      <c r="E949" s="43" t="e">
        <f>VLOOKUP($A949,'[2]Team lists'!$A$2:$L$800,5,FALSE)</f>
        <v>#N/A</v>
      </c>
      <c r="F949" s="43" t="e">
        <f>VLOOKUP($A949,'[2]Team lists'!$A$2:$L$800,6,FALSE)</f>
        <v>#N/A</v>
      </c>
      <c r="G949" s="43" t="e">
        <f>VLOOKUP($A949,'[2]Team lists'!$A$2:$L$800,7,FALSE)</f>
        <v>#N/A</v>
      </c>
      <c r="H949" s="43" t="e">
        <f>VLOOKUP($A949,'[2]Team lists'!$A$2:$L$800,8,FALSE)</f>
        <v>#N/A</v>
      </c>
      <c r="I949" s="43" t="e">
        <f>VLOOKUP($A949,'[2]Team lists'!$A$2:$L$800,9,FALSE)</f>
        <v>#N/A</v>
      </c>
      <c r="J949" s="43" t="e">
        <f>VLOOKUP($A949,'[2]Team lists'!$A$2:$L$800,9,FALSE)</f>
        <v>#N/A</v>
      </c>
      <c r="K949" s="43" t="e">
        <f>VLOOKUP($A949,'[2]Team lists'!$A$2:$L$800,10,FALSE)</f>
        <v>#N/A</v>
      </c>
      <c r="L949" s="43" t="e">
        <f>VLOOKUP($A949,'[2]Team lists'!$A$2:$L$800,11,FALSE)</f>
        <v>#N/A</v>
      </c>
    </row>
    <row r="950" spans="2:13">
      <c r="B950" s="43" t="e">
        <f>VLOOKUP($A950,'[2]Team lists'!$A$2:$L$800,2,FALSE)</f>
        <v>#N/A</v>
      </c>
      <c r="C950" s="43" t="e">
        <f>VLOOKUP($A950,'[2]Team lists'!$A$2:$L$800,3,FALSE)</f>
        <v>#N/A</v>
      </c>
      <c r="D950" s="43" t="e">
        <f>VLOOKUP($A950,'[2]Team lists'!$A$2:$L$800,4,FALSE)</f>
        <v>#N/A</v>
      </c>
      <c r="E950" s="43" t="e">
        <f>VLOOKUP($A950,'[2]Team lists'!$A$2:$L$800,5,FALSE)</f>
        <v>#N/A</v>
      </c>
      <c r="F950" s="43" t="e">
        <f>VLOOKUP($A950,'[2]Team lists'!$A$2:$L$800,6,FALSE)</f>
        <v>#N/A</v>
      </c>
      <c r="G950" s="43" t="e">
        <f>VLOOKUP($A950,'[2]Team lists'!$A$2:$L$800,7,FALSE)</f>
        <v>#N/A</v>
      </c>
      <c r="H950" s="43" t="e">
        <f>VLOOKUP($A950,'[2]Team lists'!$A$2:$L$800,8,FALSE)</f>
        <v>#N/A</v>
      </c>
      <c r="I950" s="43" t="e">
        <f>VLOOKUP($A950,'[2]Team lists'!$A$2:$L$800,9,FALSE)</f>
        <v>#N/A</v>
      </c>
      <c r="J950" s="43" t="e">
        <f>VLOOKUP($A950,'[2]Team lists'!$A$2:$L$800,9,FALSE)</f>
        <v>#N/A</v>
      </c>
      <c r="K950" s="43" t="e">
        <f>VLOOKUP($A950,'[2]Team lists'!$A$2:$L$800,10,FALSE)</f>
        <v>#N/A</v>
      </c>
      <c r="L950" s="43" t="e">
        <f>VLOOKUP($A950,'[2]Team lists'!$A$2:$L$800,11,FALSE)</f>
        <v>#N/A</v>
      </c>
    </row>
    <row r="951" spans="2:13">
      <c r="B951" s="43" t="e">
        <f>VLOOKUP($A951,'[2]Team lists'!$A$2:$L$800,2,FALSE)</f>
        <v>#N/A</v>
      </c>
      <c r="C951" s="43" t="e">
        <f>VLOOKUP($A951,'[2]Team lists'!$A$2:$L$800,3,FALSE)</f>
        <v>#N/A</v>
      </c>
      <c r="D951" s="43" t="e">
        <f>VLOOKUP($A951,'[2]Team lists'!$A$2:$L$800,4,FALSE)</f>
        <v>#N/A</v>
      </c>
      <c r="E951" s="43" t="e">
        <f>VLOOKUP($A951,'[2]Team lists'!$A$2:$L$800,5,FALSE)</f>
        <v>#N/A</v>
      </c>
      <c r="F951" s="43" t="e">
        <f>VLOOKUP($A951,'[2]Team lists'!$A$2:$L$800,6,FALSE)</f>
        <v>#N/A</v>
      </c>
      <c r="G951" s="43" t="e">
        <f>VLOOKUP($A951,'[2]Team lists'!$A$2:$L$800,7,FALSE)</f>
        <v>#N/A</v>
      </c>
      <c r="H951" s="43" t="e">
        <f>VLOOKUP($A951,'[2]Team lists'!$A$2:$L$800,8,FALSE)</f>
        <v>#N/A</v>
      </c>
      <c r="I951" s="43" t="e">
        <f>VLOOKUP($A951,'[2]Team lists'!$A$2:$L$800,9,FALSE)</f>
        <v>#N/A</v>
      </c>
      <c r="J951" s="43" t="e">
        <f>VLOOKUP($A951,'[2]Team lists'!$A$2:$L$800,9,FALSE)</f>
        <v>#N/A</v>
      </c>
      <c r="K951" s="43" t="e">
        <f>VLOOKUP($A951,'[2]Team lists'!$A$2:$L$800,10,FALSE)</f>
        <v>#N/A</v>
      </c>
      <c r="L951" s="43" t="e">
        <f>VLOOKUP($A951,'[2]Team lists'!$A$2:$L$800,11,FALSE)</f>
        <v>#N/A</v>
      </c>
    </row>
    <row r="952" spans="2:13">
      <c r="B952" s="43" t="e">
        <f>VLOOKUP($A952,'[2]Team lists'!$A$2:$L$800,2,FALSE)</f>
        <v>#N/A</v>
      </c>
      <c r="C952" s="43" t="e">
        <f>VLOOKUP($A952,'[2]Team lists'!$A$2:$L$800,3,FALSE)</f>
        <v>#N/A</v>
      </c>
      <c r="D952" s="43" t="e">
        <f>VLOOKUP($A952,'[2]Team lists'!$A$2:$L$800,4,FALSE)</f>
        <v>#N/A</v>
      </c>
      <c r="E952" s="43" t="e">
        <f>VLOOKUP($A952,'[2]Team lists'!$A$2:$L$800,5,FALSE)</f>
        <v>#N/A</v>
      </c>
      <c r="F952" s="43" t="e">
        <f>VLOOKUP($A952,'[2]Team lists'!$A$2:$L$800,6,FALSE)</f>
        <v>#N/A</v>
      </c>
      <c r="G952" s="43" t="e">
        <f>VLOOKUP($A952,'[2]Team lists'!$A$2:$L$800,7,FALSE)</f>
        <v>#N/A</v>
      </c>
      <c r="H952" s="43" t="e">
        <f>VLOOKUP($A952,'[2]Team lists'!$A$2:$L$800,8,FALSE)</f>
        <v>#N/A</v>
      </c>
      <c r="I952" s="43" t="e">
        <f>VLOOKUP($A952,'[2]Team lists'!$A$2:$L$800,9,FALSE)</f>
        <v>#N/A</v>
      </c>
      <c r="J952" s="43" t="e">
        <f>VLOOKUP($A952,'[2]Team lists'!$A$2:$L$800,9,FALSE)</f>
        <v>#N/A</v>
      </c>
      <c r="K952" s="43" t="e">
        <f>VLOOKUP($A952,'[2]Team lists'!$A$2:$L$800,10,FALSE)</f>
        <v>#N/A</v>
      </c>
      <c r="L952" s="43" t="e">
        <f>VLOOKUP($A952,'[2]Team lists'!$A$2:$L$800,11,FALSE)</f>
        <v>#N/A</v>
      </c>
    </row>
    <row r="953" spans="2:13">
      <c r="B953" s="43" t="e">
        <f>VLOOKUP($A953,'[2]Team lists'!$A$2:$L$800,2,FALSE)</f>
        <v>#N/A</v>
      </c>
      <c r="C953" s="43" t="e">
        <f>VLOOKUP($A953,'[2]Team lists'!$A$2:$L$800,3,FALSE)</f>
        <v>#N/A</v>
      </c>
      <c r="D953" s="43" t="e">
        <f>VLOOKUP($A953,'[2]Team lists'!$A$2:$L$800,4,FALSE)</f>
        <v>#N/A</v>
      </c>
      <c r="E953" s="43" t="e">
        <f>VLOOKUP($A953,'[2]Team lists'!$A$2:$L$800,5,FALSE)</f>
        <v>#N/A</v>
      </c>
      <c r="F953" s="43" t="e">
        <f>VLOOKUP($A953,'[2]Team lists'!$A$2:$L$800,6,FALSE)</f>
        <v>#N/A</v>
      </c>
      <c r="G953" s="43" t="e">
        <f>VLOOKUP($A953,'[2]Team lists'!$A$2:$L$800,7,FALSE)</f>
        <v>#N/A</v>
      </c>
      <c r="H953" s="43" t="e">
        <f>VLOOKUP($A953,'[2]Team lists'!$A$2:$L$800,8,FALSE)</f>
        <v>#N/A</v>
      </c>
      <c r="I953" s="43" t="e">
        <f>VLOOKUP($A953,'[2]Team lists'!$A$2:$L$800,9,FALSE)</f>
        <v>#N/A</v>
      </c>
      <c r="J953" s="43" t="e">
        <f>VLOOKUP($A953,'[2]Team lists'!$A$2:$L$800,9,FALSE)</f>
        <v>#N/A</v>
      </c>
      <c r="K953" s="43" t="e">
        <f>VLOOKUP($A953,'[2]Team lists'!$A$2:$L$800,10,FALSE)</f>
        <v>#N/A</v>
      </c>
      <c r="L953" s="43" t="e">
        <f>VLOOKUP($A953,'[2]Team lists'!$A$2:$L$800,11,FALSE)</f>
        <v>#N/A</v>
      </c>
    </row>
    <row r="954" spans="2:13">
      <c r="B954" s="43" t="e">
        <f>VLOOKUP($A954,'[2]Team lists'!$A$2:$L$800,2,FALSE)</f>
        <v>#N/A</v>
      </c>
      <c r="C954" s="43" t="e">
        <f>VLOOKUP($A954,'[2]Team lists'!$A$2:$L$800,3,FALSE)</f>
        <v>#N/A</v>
      </c>
      <c r="D954" s="43" t="e">
        <f>VLOOKUP($A954,'[2]Team lists'!$A$2:$L$800,4,FALSE)</f>
        <v>#N/A</v>
      </c>
      <c r="E954" s="43" t="e">
        <f>VLOOKUP($A954,'[2]Team lists'!$A$2:$L$800,5,FALSE)</f>
        <v>#N/A</v>
      </c>
      <c r="F954" s="43" t="e">
        <f>VLOOKUP($A954,'[2]Team lists'!$A$2:$L$800,6,FALSE)</f>
        <v>#N/A</v>
      </c>
      <c r="G954" s="43" t="e">
        <f>VLOOKUP($A954,'[2]Team lists'!$A$2:$L$800,7,FALSE)</f>
        <v>#N/A</v>
      </c>
      <c r="H954" s="43" t="e">
        <f>VLOOKUP($A954,'[2]Team lists'!$A$2:$L$800,8,FALSE)</f>
        <v>#N/A</v>
      </c>
      <c r="I954" s="43" t="e">
        <f>VLOOKUP($A954,'[2]Team lists'!$A$2:$L$800,9,FALSE)</f>
        <v>#N/A</v>
      </c>
      <c r="J954" s="43" t="e">
        <f>VLOOKUP($A954,'[2]Team lists'!$A$2:$L$800,9,FALSE)</f>
        <v>#N/A</v>
      </c>
      <c r="K954" s="43" t="e">
        <f>VLOOKUP($A954,'[2]Team lists'!$A$2:$L$800,10,FALSE)</f>
        <v>#N/A</v>
      </c>
      <c r="L954" s="43" t="e">
        <f>VLOOKUP($A954,'[2]Team lists'!$A$2:$L$800,11,FALSE)</f>
        <v>#N/A</v>
      </c>
    </row>
    <row r="955" spans="2:13">
      <c r="B955" s="43" t="e">
        <f>VLOOKUP($A955,'[2]Team lists'!$A$2:$L$800,2,FALSE)</f>
        <v>#N/A</v>
      </c>
      <c r="C955" s="43" t="e">
        <f>VLOOKUP($A955,'[2]Team lists'!$A$2:$L$800,3,FALSE)</f>
        <v>#N/A</v>
      </c>
      <c r="D955" s="43" t="e">
        <f>VLOOKUP($A955,'[2]Team lists'!$A$2:$L$800,4,FALSE)</f>
        <v>#N/A</v>
      </c>
      <c r="E955" s="43" t="e">
        <f>VLOOKUP($A955,'[2]Team lists'!$A$2:$L$800,5,FALSE)</f>
        <v>#N/A</v>
      </c>
      <c r="F955" s="43" t="e">
        <f>VLOOKUP($A955,'[2]Team lists'!$A$2:$L$800,6,FALSE)</f>
        <v>#N/A</v>
      </c>
      <c r="G955" s="43" t="e">
        <f>VLOOKUP($A955,'[2]Team lists'!$A$2:$L$800,7,FALSE)</f>
        <v>#N/A</v>
      </c>
      <c r="H955" s="43" t="e">
        <f>VLOOKUP($A955,'[2]Team lists'!$A$2:$L$800,8,FALSE)</f>
        <v>#N/A</v>
      </c>
      <c r="I955" s="43" t="e">
        <f>VLOOKUP($A955,'[2]Team lists'!$A$2:$L$800,9,FALSE)</f>
        <v>#N/A</v>
      </c>
      <c r="J955" s="43" t="e">
        <f>VLOOKUP($A955,'[2]Team lists'!$A$2:$L$800,9,FALSE)</f>
        <v>#N/A</v>
      </c>
      <c r="K955" s="43" t="e">
        <f>VLOOKUP($A955,'[2]Team lists'!$A$2:$L$800,10,FALSE)</f>
        <v>#N/A</v>
      </c>
      <c r="L955" s="43" t="e">
        <f>VLOOKUP($A955,'[2]Team lists'!$A$2:$L$800,11,FALSE)</f>
        <v>#N/A</v>
      </c>
    </row>
    <row r="956" spans="2:13">
      <c r="B956" s="43" t="e">
        <f>VLOOKUP($A956,'[2]Team lists'!$A$2:$L$800,2,FALSE)</f>
        <v>#N/A</v>
      </c>
      <c r="C956" s="43" t="e">
        <f>VLOOKUP($A956,'[2]Team lists'!$A$2:$L$800,3,FALSE)</f>
        <v>#N/A</v>
      </c>
      <c r="D956" s="43" t="e">
        <f>VLOOKUP($A956,'[2]Team lists'!$A$2:$L$800,4,FALSE)</f>
        <v>#N/A</v>
      </c>
      <c r="E956" s="43" t="e">
        <f>VLOOKUP($A956,'[2]Team lists'!$A$2:$L$800,5,FALSE)</f>
        <v>#N/A</v>
      </c>
      <c r="F956" s="43" t="e">
        <f>VLOOKUP($A956,'[2]Team lists'!$A$2:$L$800,6,FALSE)</f>
        <v>#N/A</v>
      </c>
      <c r="G956" s="43" t="e">
        <f>VLOOKUP($A956,'[2]Team lists'!$A$2:$L$800,7,FALSE)</f>
        <v>#N/A</v>
      </c>
      <c r="H956" s="43" t="e">
        <f>VLOOKUP($A956,'[2]Team lists'!$A$2:$L$800,8,FALSE)</f>
        <v>#N/A</v>
      </c>
      <c r="I956" s="43" t="e">
        <f>VLOOKUP($A956,'[2]Team lists'!$A$2:$L$800,9,FALSE)</f>
        <v>#N/A</v>
      </c>
      <c r="J956" s="43" t="e">
        <f>VLOOKUP($A956,'[2]Team lists'!$A$2:$L$800,9,FALSE)</f>
        <v>#N/A</v>
      </c>
      <c r="K956" s="43" t="e">
        <f>VLOOKUP($A956,'[2]Team lists'!$A$2:$L$800,10,FALSE)</f>
        <v>#N/A</v>
      </c>
      <c r="L956" s="43" t="e">
        <f>VLOOKUP($A956,'[2]Team lists'!$A$2:$L$800,11,FALSE)</f>
        <v>#N/A</v>
      </c>
    </row>
    <row r="957" spans="2:13">
      <c r="B957" s="43" t="e">
        <f>VLOOKUP($A957,'[2]Team lists'!$A$2:$L$800,2,FALSE)</f>
        <v>#N/A</v>
      </c>
      <c r="C957" s="43" t="e">
        <f>VLOOKUP($A957,'[2]Team lists'!$A$2:$L$800,3,FALSE)</f>
        <v>#N/A</v>
      </c>
      <c r="D957" s="43" t="e">
        <f>VLOOKUP($A957,'[2]Team lists'!$A$2:$L$800,4,FALSE)</f>
        <v>#N/A</v>
      </c>
      <c r="E957" s="43" t="e">
        <f>VLOOKUP($A957,'[2]Team lists'!$A$2:$L$800,5,FALSE)</f>
        <v>#N/A</v>
      </c>
      <c r="F957" s="43" t="e">
        <f>VLOOKUP($A957,'[2]Team lists'!$A$2:$L$800,6,FALSE)</f>
        <v>#N/A</v>
      </c>
      <c r="G957" s="43" t="e">
        <f>VLOOKUP($A957,'[2]Team lists'!$A$2:$L$800,7,FALSE)</f>
        <v>#N/A</v>
      </c>
      <c r="H957" s="43" t="e">
        <f>VLOOKUP($A957,'[2]Team lists'!$A$2:$L$800,8,FALSE)</f>
        <v>#N/A</v>
      </c>
      <c r="I957" s="43" t="e">
        <f>VLOOKUP($A957,'[2]Team lists'!$A$2:$L$800,9,FALSE)</f>
        <v>#N/A</v>
      </c>
      <c r="J957" s="43" t="e">
        <f>VLOOKUP($A957,'[2]Team lists'!$A$2:$L$800,9,FALSE)</f>
        <v>#N/A</v>
      </c>
      <c r="K957" s="43" t="e">
        <f>VLOOKUP($A957,'[2]Team lists'!$A$2:$L$800,10,FALSE)</f>
        <v>#N/A</v>
      </c>
      <c r="L957" s="43" t="e">
        <f>VLOOKUP($A957,'[2]Team lists'!$A$2:$L$800,11,FALSE)</f>
        <v>#N/A</v>
      </c>
    </row>
    <row r="958" spans="2:13">
      <c r="B958" s="43" t="e">
        <f>VLOOKUP($A958,'[2]Team lists'!$A$2:$L$800,2,FALSE)</f>
        <v>#N/A</v>
      </c>
      <c r="C958" s="43" t="e">
        <f>VLOOKUP($A958,'[2]Team lists'!$A$2:$L$800,3,FALSE)</f>
        <v>#N/A</v>
      </c>
      <c r="D958" s="43" t="e">
        <f>VLOOKUP($A958,'[2]Team lists'!$A$2:$L$800,4,FALSE)</f>
        <v>#N/A</v>
      </c>
      <c r="E958" s="43" t="e">
        <f>VLOOKUP($A958,'[2]Team lists'!$A$2:$L$800,5,FALSE)</f>
        <v>#N/A</v>
      </c>
      <c r="F958" s="43" t="e">
        <f>VLOOKUP($A958,'[2]Team lists'!$A$2:$L$800,6,FALSE)</f>
        <v>#N/A</v>
      </c>
      <c r="G958" s="43" t="e">
        <f>VLOOKUP($A958,'[2]Team lists'!$A$2:$L$800,7,FALSE)</f>
        <v>#N/A</v>
      </c>
      <c r="H958" s="43" t="e">
        <f>VLOOKUP($A958,'[2]Team lists'!$A$2:$L$800,8,FALSE)</f>
        <v>#N/A</v>
      </c>
      <c r="I958" s="43" t="e">
        <f>VLOOKUP($A958,'[2]Team lists'!$A$2:$L$800,9,FALSE)</f>
        <v>#N/A</v>
      </c>
      <c r="J958" s="43" t="e">
        <f>VLOOKUP($A958,'[2]Team lists'!$A$2:$L$800,9,FALSE)</f>
        <v>#N/A</v>
      </c>
      <c r="K958" s="43" t="e">
        <f>VLOOKUP($A958,'[2]Team lists'!$A$2:$L$800,10,FALSE)</f>
        <v>#N/A</v>
      </c>
      <c r="L958" s="43" t="e">
        <f>VLOOKUP($A958,'[2]Team lists'!$A$2:$L$800,11,FALSE)</f>
        <v>#N/A</v>
      </c>
    </row>
    <row r="959" spans="2:13" ht="18" thickBot="1">
      <c r="B959" s="45" t="s">
        <v>3210</v>
      </c>
      <c r="C959" s="46"/>
      <c r="D959" s="47"/>
      <c r="E959" s="48" t="e">
        <f t="shared" ref="E959:L959" si="59">SUM(E948:E958)</f>
        <v>#N/A</v>
      </c>
      <c r="F959" s="49" t="e">
        <f t="shared" si="59"/>
        <v>#N/A</v>
      </c>
      <c r="G959" s="49" t="e">
        <f t="shared" si="59"/>
        <v>#N/A</v>
      </c>
      <c r="H959" s="49" t="e">
        <f t="shared" si="59"/>
        <v>#N/A</v>
      </c>
      <c r="I959" s="49" t="e">
        <f t="shared" si="59"/>
        <v>#N/A</v>
      </c>
      <c r="J959" s="49" t="e">
        <f t="shared" si="59"/>
        <v>#N/A</v>
      </c>
      <c r="K959" s="49" t="e">
        <f t="shared" si="59"/>
        <v>#N/A</v>
      </c>
      <c r="L959" s="50" t="e">
        <f t="shared" si="59"/>
        <v>#N/A</v>
      </c>
    </row>
    <row r="960" spans="2:13" ht="18.600000000000001" thickTop="1" thickBot="1"/>
    <row r="961" spans="2:13" ht="18" thickTop="1">
      <c r="B961" s="23" t="s">
        <v>3204</v>
      </c>
      <c r="C961" s="24" t="s">
        <v>3205</v>
      </c>
      <c r="D961" s="25"/>
      <c r="E961" s="25"/>
      <c r="F961" s="53"/>
      <c r="G961" s="28" t="s">
        <v>3206</v>
      </c>
      <c r="H961" s="54"/>
      <c r="I961" s="54"/>
      <c r="J961" s="54"/>
      <c r="K961" s="28" t="s">
        <v>3207</v>
      </c>
      <c r="L961" s="29"/>
      <c r="M961" s="22" t="str">
        <f>G961</f>
        <v>Manager:</v>
      </c>
    </row>
    <row r="962" spans="2:13" ht="18" thickBot="1">
      <c r="B962" s="30">
        <v>61</v>
      </c>
      <c r="C962" s="57"/>
      <c r="D962" s="31"/>
      <c r="E962" s="31"/>
      <c r="F962" s="33"/>
      <c r="G962" s="55"/>
      <c r="H962" s="55"/>
      <c r="I962" s="55"/>
      <c r="J962" s="55"/>
      <c r="K962" s="34" t="e">
        <f>SUM(F975:L975)</f>
        <v>#N/A</v>
      </c>
      <c r="L962" s="35"/>
      <c r="M962" s="22">
        <f>G962</f>
        <v>0</v>
      </c>
    </row>
    <row r="963" spans="2:13" ht="18.600000000000001" thickTop="1">
      <c r="B963" s="58" t="s">
        <v>913</v>
      </c>
      <c r="C963" s="59" t="s">
        <v>912</v>
      </c>
      <c r="D963" s="60" t="s">
        <v>911</v>
      </c>
      <c r="E963" s="61" t="s">
        <v>3209</v>
      </c>
      <c r="F963" s="62" t="s">
        <v>3162</v>
      </c>
      <c r="G963" s="62" t="s">
        <v>3163</v>
      </c>
      <c r="H963" s="62" t="s">
        <v>3164</v>
      </c>
      <c r="I963" s="62" t="s">
        <v>3165</v>
      </c>
      <c r="J963" s="62" t="s">
        <v>3166</v>
      </c>
      <c r="K963" s="62" t="s">
        <v>3167</v>
      </c>
      <c r="L963" s="63" t="s">
        <v>3168</v>
      </c>
    </row>
    <row r="964" spans="2:13">
      <c r="B964" s="43" t="e">
        <f>VLOOKUP($A964,'[2]Team lists'!$A$2:$L$800,2,FALSE)</f>
        <v>#N/A</v>
      </c>
      <c r="C964" s="43" t="e">
        <f>VLOOKUP($A964,'[2]Team lists'!$A$2:$L$800,3,FALSE)</f>
        <v>#N/A</v>
      </c>
      <c r="D964" s="43" t="e">
        <f>VLOOKUP($A964,'[2]Team lists'!$A$2:$L$800,4,FALSE)</f>
        <v>#N/A</v>
      </c>
      <c r="E964" s="43" t="e">
        <f>VLOOKUP($A964,'[2]Team lists'!$A$2:$L$800,5,FALSE)</f>
        <v>#N/A</v>
      </c>
      <c r="F964" s="43" t="e">
        <f>VLOOKUP($A964,'[2]Team lists'!$A$2:$L$800,6,FALSE)</f>
        <v>#N/A</v>
      </c>
      <c r="G964" s="43" t="e">
        <f>VLOOKUP($A964,'[2]Team lists'!$A$2:$L$800,7,FALSE)</f>
        <v>#N/A</v>
      </c>
      <c r="H964" s="43" t="e">
        <f>VLOOKUP($A964,'[2]Team lists'!$A$2:$L$800,8,FALSE)</f>
        <v>#N/A</v>
      </c>
      <c r="I964" s="43" t="e">
        <f>VLOOKUP($A964,'[2]Team lists'!$A$2:$L$800,9,FALSE)</f>
        <v>#N/A</v>
      </c>
      <c r="J964" s="43" t="e">
        <f>VLOOKUP($A964,'[2]Team lists'!$A$2:$L$800,9,FALSE)</f>
        <v>#N/A</v>
      </c>
      <c r="K964" s="43" t="e">
        <f>VLOOKUP($A964,'[2]Team lists'!$A$2:$L$800,10,FALSE)</f>
        <v>#N/A</v>
      </c>
      <c r="L964" s="43" t="e">
        <f>VLOOKUP($A964,'[2]Team lists'!$A$2:$L$800,11,FALSE)</f>
        <v>#N/A</v>
      </c>
    </row>
    <row r="965" spans="2:13">
      <c r="B965" s="43" t="e">
        <f>VLOOKUP($A965,'[2]Team lists'!$A$2:$L$800,2,FALSE)</f>
        <v>#N/A</v>
      </c>
      <c r="C965" s="43" t="e">
        <f>VLOOKUP($A965,'[2]Team lists'!$A$2:$L$800,3,FALSE)</f>
        <v>#N/A</v>
      </c>
      <c r="D965" s="43" t="e">
        <f>VLOOKUP($A965,'[2]Team lists'!$A$2:$L$800,4,FALSE)</f>
        <v>#N/A</v>
      </c>
      <c r="E965" s="43" t="e">
        <f>VLOOKUP($A965,'[2]Team lists'!$A$2:$L$800,5,FALSE)</f>
        <v>#N/A</v>
      </c>
      <c r="F965" s="43" t="e">
        <f>VLOOKUP($A965,'[2]Team lists'!$A$2:$L$800,6,FALSE)</f>
        <v>#N/A</v>
      </c>
      <c r="G965" s="43" t="e">
        <f>VLOOKUP($A965,'[2]Team lists'!$A$2:$L$800,7,FALSE)</f>
        <v>#N/A</v>
      </c>
      <c r="H965" s="43" t="e">
        <f>VLOOKUP($A965,'[2]Team lists'!$A$2:$L$800,8,FALSE)</f>
        <v>#N/A</v>
      </c>
      <c r="I965" s="43" t="e">
        <f>VLOOKUP($A965,'[2]Team lists'!$A$2:$L$800,9,FALSE)</f>
        <v>#N/A</v>
      </c>
      <c r="J965" s="43" t="e">
        <f>VLOOKUP($A965,'[2]Team lists'!$A$2:$L$800,9,FALSE)</f>
        <v>#N/A</v>
      </c>
      <c r="K965" s="43" t="e">
        <f>VLOOKUP($A965,'[2]Team lists'!$A$2:$L$800,10,FALSE)</f>
        <v>#N/A</v>
      </c>
      <c r="L965" s="43" t="e">
        <f>VLOOKUP($A965,'[2]Team lists'!$A$2:$L$800,11,FALSE)</f>
        <v>#N/A</v>
      </c>
    </row>
    <row r="966" spans="2:13">
      <c r="B966" s="43" t="e">
        <f>VLOOKUP($A966,'[2]Team lists'!$A$2:$L$800,2,FALSE)</f>
        <v>#N/A</v>
      </c>
      <c r="C966" s="43" t="e">
        <f>VLOOKUP($A966,'[2]Team lists'!$A$2:$L$800,3,FALSE)</f>
        <v>#N/A</v>
      </c>
      <c r="D966" s="43" t="e">
        <f>VLOOKUP($A966,'[2]Team lists'!$A$2:$L$800,4,FALSE)</f>
        <v>#N/A</v>
      </c>
      <c r="E966" s="43" t="e">
        <f>VLOOKUP($A966,'[2]Team lists'!$A$2:$L$800,5,FALSE)</f>
        <v>#N/A</v>
      </c>
      <c r="F966" s="43" t="e">
        <f>VLOOKUP($A966,'[2]Team lists'!$A$2:$L$800,6,FALSE)</f>
        <v>#N/A</v>
      </c>
      <c r="G966" s="43" t="e">
        <f>VLOOKUP($A966,'[2]Team lists'!$A$2:$L$800,7,FALSE)</f>
        <v>#N/A</v>
      </c>
      <c r="H966" s="43" t="e">
        <f>VLOOKUP($A966,'[2]Team lists'!$A$2:$L$800,8,FALSE)</f>
        <v>#N/A</v>
      </c>
      <c r="I966" s="43" t="e">
        <f>VLOOKUP($A966,'[2]Team lists'!$A$2:$L$800,9,FALSE)</f>
        <v>#N/A</v>
      </c>
      <c r="J966" s="43" t="e">
        <f>VLOOKUP($A966,'[2]Team lists'!$A$2:$L$800,9,FALSE)</f>
        <v>#N/A</v>
      </c>
      <c r="K966" s="43" t="e">
        <f>VLOOKUP($A966,'[2]Team lists'!$A$2:$L$800,10,FALSE)</f>
        <v>#N/A</v>
      </c>
      <c r="L966" s="43" t="e">
        <f>VLOOKUP($A966,'[2]Team lists'!$A$2:$L$800,11,FALSE)</f>
        <v>#N/A</v>
      </c>
    </row>
    <row r="967" spans="2:13">
      <c r="B967" s="43" t="e">
        <f>VLOOKUP($A967,'[2]Team lists'!$A$2:$L$800,2,FALSE)</f>
        <v>#N/A</v>
      </c>
      <c r="C967" s="43" t="e">
        <f>VLOOKUP($A967,'[2]Team lists'!$A$2:$L$800,3,FALSE)</f>
        <v>#N/A</v>
      </c>
      <c r="D967" s="43" t="e">
        <f>VLOOKUP($A967,'[2]Team lists'!$A$2:$L$800,4,FALSE)</f>
        <v>#N/A</v>
      </c>
      <c r="E967" s="43" t="e">
        <f>VLOOKUP($A967,'[2]Team lists'!$A$2:$L$800,5,FALSE)</f>
        <v>#N/A</v>
      </c>
      <c r="F967" s="43" t="e">
        <f>VLOOKUP($A967,'[2]Team lists'!$A$2:$L$800,6,FALSE)</f>
        <v>#N/A</v>
      </c>
      <c r="G967" s="43" t="e">
        <f>VLOOKUP($A967,'[2]Team lists'!$A$2:$L$800,7,FALSE)</f>
        <v>#N/A</v>
      </c>
      <c r="H967" s="43" t="e">
        <f>VLOOKUP($A967,'[2]Team lists'!$A$2:$L$800,8,FALSE)</f>
        <v>#N/A</v>
      </c>
      <c r="I967" s="43" t="e">
        <f>VLOOKUP($A967,'[2]Team lists'!$A$2:$L$800,9,FALSE)</f>
        <v>#N/A</v>
      </c>
      <c r="J967" s="43" t="e">
        <f>VLOOKUP($A967,'[2]Team lists'!$A$2:$L$800,9,FALSE)</f>
        <v>#N/A</v>
      </c>
      <c r="K967" s="43" t="e">
        <f>VLOOKUP($A967,'[2]Team lists'!$A$2:$L$800,10,FALSE)</f>
        <v>#N/A</v>
      </c>
      <c r="L967" s="43" t="e">
        <f>VLOOKUP($A967,'[2]Team lists'!$A$2:$L$800,11,FALSE)</f>
        <v>#N/A</v>
      </c>
    </row>
    <row r="968" spans="2:13">
      <c r="B968" s="43" t="e">
        <f>VLOOKUP($A968,'[2]Team lists'!$A$2:$L$800,2,FALSE)</f>
        <v>#N/A</v>
      </c>
      <c r="C968" s="43" t="e">
        <f>VLOOKUP($A968,'[2]Team lists'!$A$2:$L$800,3,FALSE)</f>
        <v>#N/A</v>
      </c>
      <c r="D968" s="43" t="e">
        <f>VLOOKUP($A968,'[2]Team lists'!$A$2:$L$800,4,FALSE)</f>
        <v>#N/A</v>
      </c>
      <c r="E968" s="43" t="e">
        <f>VLOOKUP($A968,'[2]Team lists'!$A$2:$L$800,5,FALSE)</f>
        <v>#N/A</v>
      </c>
      <c r="F968" s="43" t="e">
        <f>VLOOKUP($A968,'[2]Team lists'!$A$2:$L$800,6,FALSE)</f>
        <v>#N/A</v>
      </c>
      <c r="G968" s="43" t="e">
        <f>VLOOKUP($A968,'[2]Team lists'!$A$2:$L$800,7,FALSE)</f>
        <v>#N/A</v>
      </c>
      <c r="H968" s="43" t="e">
        <f>VLOOKUP($A968,'[2]Team lists'!$A$2:$L$800,8,FALSE)</f>
        <v>#N/A</v>
      </c>
      <c r="I968" s="43" t="e">
        <f>VLOOKUP($A968,'[2]Team lists'!$A$2:$L$800,9,FALSE)</f>
        <v>#N/A</v>
      </c>
      <c r="J968" s="43" t="e">
        <f>VLOOKUP($A968,'[2]Team lists'!$A$2:$L$800,9,FALSE)</f>
        <v>#N/A</v>
      </c>
      <c r="K968" s="43" t="e">
        <f>VLOOKUP($A968,'[2]Team lists'!$A$2:$L$800,10,FALSE)</f>
        <v>#N/A</v>
      </c>
      <c r="L968" s="43" t="e">
        <f>VLOOKUP($A968,'[2]Team lists'!$A$2:$L$800,11,FALSE)</f>
        <v>#N/A</v>
      </c>
    </row>
    <row r="969" spans="2:13">
      <c r="B969" s="43" t="e">
        <f>VLOOKUP($A969,'[2]Team lists'!$A$2:$L$800,2,FALSE)</f>
        <v>#N/A</v>
      </c>
      <c r="C969" s="43" t="e">
        <f>VLOOKUP($A969,'[2]Team lists'!$A$2:$L$800,3,FALSE)</f>
        <v>#N/A</v>
      </c>
      <c r="D969" s="43" t="e">
        <f>VLOOKUP($A969,'[2]Team lists'!$A$2:$L$800,4,FALSE)</f>
        <v>#N/A</v>
      </c>
      <c r="E969" s="43" t="e">
        <f>VLOOKUP($A969,'[2]Team lists'!$A$2:$L$800,5,FALSE)</f>
        <v>#N/A</v>
      </c>
      <c r="F969" s="43" t="e">
        <f>VLOOKUP($A969,'[2]Team lists'!$A$2:$L$800,6,FALSE)</f>
        <v>#N/A</v>
      </c>
      <c r="G969" s="43" t="e">
        <f>VLOOKUP($A969,'[2]Team lists'!$A$2:$L$800,7,FALSE)</f>
        <v>#N/A</v>
      </c>
      <c r="H969" s="43" t="e">
        <f>VLOOKUP($A969,'[2]Team lists'!$A$2:$L$800,8,FALSE)</f>
        <v>#N/A</v>
      </c>
      <c r="I969" s="43" t="e">
        <f>VLOOKUP($A969,'[2]Team lists'!$A$2:$L$800,9,FALSE)</f>
        <v>#N/A</v>
      </c>
      <c r="J969" s="43" t="e">
        <f>VLOOKUP($A969,'[2]Team lists'!$A$2:$L$800,9,FALSE)</f>
        <v>#N/A</v>
      </c>
      <c r="K969" s="43" t="e">
        <f>VLOOKUP($A969,'[2]Team lists'!$A$2:$L$800,10,FALSE)</f>
        <v>#N/A</v>
      </c>
      <c r="L969" s="43" t="e">
        <f>VLOOKUP($A969,'[2]Team lists'!$A$2:$L$800,11,FALSE)</f>
        <v>#N/A</v>
      </c>
    </row>
    <row r="970" spans="2:13">
      <c r="B970" s="43" t="e">
        <f>VLOOKUP($A970,'[2]Team lists'!$A$2:$L$800,2,FALSE)</f>
        <v>#N/A</v>
      </c>
      <c r="C970" s="43" t="e">
        <f>VLOOKUP($A970,'[2]Team lists'!$A$2:$L$800,3,FALSE)</f>
        <v>#N/A</v>
      </c>
      <c r="D970" s="43" t="e">
        <f>VLOOKUP($A970,'[2]Team lists'!$A$2:$L$800,4,FALSE)</f>
        <v>#N/A</v>
      </c>
      <c r="E970" s="43" t="e">
        <f>VLOOKUP($A970,'[2]Team lists'!$A$2:$L$800,5,FALSE)</f>
        <v>#N/A</v>
      </c>
      <c r="F970" s="43" t="e">
        <f>VLOOKUP($A970,'[2]Team lists'!$A$2:$L$800,6,FALSE)</f>
        <v>#N/A</v>
      </c>
      <c r="G970" s="43" t="e">
        <f>VLOOKUP($A970,'[2]Team lists'!$A$2:$L$800,7,FALSE)</f>
        <v>#N/A</v>
      </c>
      <c r="H970" s="43" t="e">
        <f>VLOOKUP($A970,'[2]Team lists'!$A$2:$L$800,8,FALSE)</f>
        <v>#N/A</v>
      </c>
      <c r="I970" s="43" t="e">
        <f>VLOOKUP($A970,'[2]Team lists'!$A$2:$L$800,9,FALSE)</f>
        <v>#N/A</v>
      </c>
      <c r="J970" s="43" t="e">
        <f>VLOOKUP($A970,'[2]Team lists'!$A$2:$L$800,9,FALSE)</f>
        <v>#N/A</v>
      </c>
      <c r="K970" s="43" t="e">
        <f>VLOOKUP($A970,'[2]Team lists'!$A$2:$L$800,10,FALSE)</f>
        <v>#N/A</v>
      </c>
      <c r="L970" s="43" t="e">
        <f>VLOOKUP($A970,'[2]Team lists'!$A$2:$L$800,11,FALSE)</f>
        <v>#N/A</v>
      </c>
    </row>
    <row r="971" spans="2:13">
      <c r="B971" s="43" t="e">
        <f>VLOOKUP($A971,'[2]Team lists'!$A$2:$L$800,2,FALSE)</f>
        <v>#N/A</v>
      </c>
      <c r="C971" s="43" t="e">
        <f>VLOOKUP($A971,'[2]Team lists'!$A$2:$L$800,3,FALSE)</f>
        <v>#N/A</v>
      </c>
      <c r="D971" s="43" t="e">
        <f>VLOOKUP($A971,'[2]Team lists'!$A$2:$L$800,4,FALSE)</f>
        <v>#N/A</v>
      </c>
      <c r="E971" s="43" t="e">
        <f>VLOOKUP($A971,'[2]Team lists'!$A$2:$L$800,5,FALSE)</f>
        <v>#N/A</v>
      </c>
      <c r="F971" s="43" t="e">
        <f>VLOOKUP($A971,'[2]Team lists'!$A$2:$L$800,6,FALSE)</f>
        <v>#N/A</v>
      </c>
      <c r="G971" s="43" t="e">
        <f>VLOOKUP($A971,'[2]Team lists'!$A$2:$L$800,7,FALSE)</f>
        <v>#N/A</v>
      </c>
      <c r="H971" s="43" t="e">
        <f>VLOOKUP($A971,'[2]Team lists'!$A$2:$L$800,8,FALSE)</f>
        <v>#N/A</v>
      </c>
      <c r="I971" s="43" t="e">
        <f>VLOOKUP($A971,'[2]Team lists'!$A$2:$L$800,9,FALSE)</f>
        <v>#N/A</v>
      </c>
      <c r="J971" s="43" t="e">
        <f>VLOOKUP($A971,'[2]Team lists'!$A$2:$L$800,9,FALSE)</f>
        <v>#N/A</v>
      </c>
      <c r="K971" s="43" t="e">
        <f>VLOOKUP($A971,'[2]Team lists'!$A$2:$L$800,10,FALSE)</f>
        <v>#N/A</v>
      </c>
      <c r="L971" s="43" t="e">
        <f>VLOOKUP($A971,'[2]Team lists'!$A$2:$L$800,11,FALSE)</f>
        <v>#N/A</v>
      </c>
    </row>
    <row r="972" spans="2:13">
      <c r="B972" s="43" t="e">
        <f>VLOOKUP($A972,'[2]Team lists'!$A$2:$L$800,2,FALSE)</f>
        <v>#N/A</v>
      </c>
      <c r="C972" s="43" t="e">
        <f>VLOOKUP($A972,'[2]Team lists'!$A$2:$L$800,3,FALSE)</f>
        <v>#N/A</v>
      </c>
      <c r="D972" s="43" t="e">
        <f>VLOOKUP($A972,'[2]Team lists'!$A$2:$L$800,4,FALSE)</f>
        <v>#N/A</v>
      </c>
      <c r="E972" s="43" t="e">
        <f>VLOOKUP($A972,'[2]Team lists'!$A$2:$L$800,5,FALSE)</f>
        <v>#N/A</v>
      </c>
      <c r="F972" s="43" t="e">
        <f>VLOOKUP($A972,'[2]Team lists'!$A$2:$L$800,6,FALSE)</f>
        <v>#N/A</v>
      </c>
      <c r="G972" s="43" t="e">
        <f>VLOOKUP($A972,'[2]Team lists'!$A$2:$L$800,7,FALSE)</f>
        <v>#N/A</v>
      </c>
      <c r="H972" s="43" t="e">
        <f>VLOOKUP($A972,'[2]Team lists'!$A$2:$L$800,8,FALSE)</f>
        <v>#N/A</v>
      </c>
      <c r="I972" s="43" t="e">
        <f>VLOOKUP($A972,'[2]Team lists'!$A$2:$L$800,9,FALSE)</f>
        <v>#N/A</v>
      </c>
      <c r="J972" s="43" t="e">
        <f>VLOOKUP($A972,'[2]Team lists'!$A$2:$L$800,9,FALSE)</f>
        <v>#N/A</v>
      </c>
      <c r="K972" s="43" t="e">
        <f>VLOOKUP($A972,'[2]Team lists'!$A$2:$L$800,10,FALSE)</f>
        <v>#N/A</v>
      </c>
      <c r="L972" s="43" t="e">
        <f>VLOOKUP($A972,'[2]Team lists'!$A$2:$L$800,11,FALSE)</f>
        <v>#N/A</v>
      </c>
    </row>
    <row r="973" spans="2:13">
      <c r="B973" s="43" t="e">
        <f>VLOOKUP($A973,'[2]Team lists'!$A$2:$L$800,2,FALSE)</f>
        <v>#N/A</v>
      </c>
      <c r="C973" s="43" t="e">
        <f>VLOOKUP($A973,'[2]Team lists'!$A$2:$L$800,3,FALSE)</f>
        <v>#N/A</v>
      </c>
      <c r="D973" s="43" t="e">
        <f>VLOOKUP($A973,'[2]Team lists'!$A$2:$L$800,4,FALSE)</f>
        <v>#N/A</v>
      </c>
      <c r="E973" s="43" t="e">
        <f>VLOOKUP($A973,'[2]Team lists'!$A$2:$L$800,5,FALSE)</f>
        <v>#N/A</v>
      </c>
      <c r="F973" s="43" t="e">
        <f>VLOOKUP($A973,'[2]Team lists'!$A$2:$L$800,6,FALSE)</f>
        <v>#N/A</v>
      </c>
      <c r="G973" s="43" t="e">
        <f>VLOOKUP($A973,'[2]Team lists'!$A$2:$L$800,7,FALSE)</f>
        <v>#N/A</v>
      </c>
      <c r="H973" s="43" t="e">
        <f>VLOOKUP($A973,'[2]Team lists'!$A$2:$L$800,8,FALSE)</f>
        <v>#N/A</v>
      </c>
      <c r="I973" s="43" t="e">
        <f>VLOOKUP($A973,'[2]Team lists'!$A$2:$L$800,9,FALSE)</f>
        <v>#N/A</v>
      </c>
      <c r="J973" s="43" t="e">
        <f>VLOOKUP($A973,'[2]Team lists'!$A$2:$L$800,9,FALSE)</f>
        <v>#N/A</v>
      </c>
      <c r="K973" s="43" t="e">
        <f>VLOOKUP($A973,'[2]Team lists'!$A$2:$L$800,10,FALSE)</f>
        <v>#N/A</v>
      </c>
      <c r="L973" s="43" t="e">
        <f>VLOOKUP($A973,'[2]Team lists'!$A$2:$L$800,11,FALSE)</f>
        <v>#N/A</v>
      </c>
    </row>
    <row r="974" spans="2:13">
      <c r="B974" s="43" t="e">
        <f>VLOOKUP($A974,'[2]Team lists'!$A$2:$L$800,2,FALSE)</f>
        <v>#N/A</v>
      </c>
      <c r="C974" s="43" t="e">
        <f>VLOOKUP($A974,'[2]Team lists'!$A$2:$L$800,3,FALSE)</f>
        <v>#N/A</v>
      </c>
      <c r="D974" s="43" t="e">
        <f>VLOOKUP($A974,'[2]Team lists'!$A$2:$L$800,4,FALSE)</f>
        <v>#N/A</v>
      </c>
      <c r="E974" s="43" t="e">
        <f>VLOOKUP($A974,'[2]Team lists'!$A$2:$L$800,5,FALSE)</f>
        <v>#N/A</v>
      </c>
      <c r="F974" s="43" t="e">
        <f>VLOOKUP($A974,'[2]Team lists'!$A$2:$L$800,6,FALSE)</f>
        <v>#N/A</v>
      </c>
      <c r="G974" s="43" t="e">
        <f>VLOOKUP($A974,'[2]Team lists'!$A$2:$L$800,7,FALSE)</f>
        <v>#N/A</v>
      </c>
      <c r="H974" s="43" t="e">
        <f>VLOOKUP($A974,'[2]Team lists'!$A$2:$L$800,8,FALSE)</f>
        <v>#N/A</v>
      </c>
      <c r="I974" s="43" t="e">
        <f>VLOOKUP($A974,'[2]Team lists'!$A$2:$L$800,9,FALSE)</f>
        <v>#N/A</v>
      </c>
      <c r="J974" s="43" t="e">
        <f>VLOOKUP($A974,'[2]Team lists'!$A$2:$L$800,9,FALSE)</f>
        <v>#N/A</v>
      </c>
      <c r="K974" s="43" t="e">
        <f>VLOOKUP($A974,'[2]Team lists'!$A$2:$L$800,10,FALSE)</f>
        <v>#N/A</v>
      </c>
      <c r="L974" s="43" t="e">
        <f>VLOOKUP($A974,'[2]Team lists'!$A$2:$L$800,11,FALSE)</f>
        <v>#N/A</v>
      </c>
    </row>
    <row r="975" spans="2:13" ht="18" thickBot="1">
      <c r="B975" s="45" t="s">
        <v>3210</v>
      </c>
      <c r="C975" s="46"/>
      <c r="D975" s="47"/>
      <c r="E975" s="48" t="e">
        <f t="shared" ref="E975:L975" si="60">SUM(E964:E974)</f>
        <v>#N/A</v>
      </c>
      <c r="F975" s="49" t="e">
        <f t="shared" si="60"/>
        <v>#N/A</v>
      </c>
      <c r="G975" s="49" t="e">
        <f t="shared" si="60"/>
        <v>#N/A</v>
      </c>
      <c r="H975" s="49" t="e">
        <f t="shared" si="60"/>
        <v>#N/A</v>
      </c>
      <c r="I975" s="49" t="e">
        <f t="shared" si="60"/>
        <v>#N/A</v>
      </c>
      <c r="J975" s="49" t="e">
        <f t="shared" si="60"/>
        <v>#N/A</v>
      </c>
      <c r="K975" s="49" t="e">
        <f t="shared" si="60"/>
        <v>#N/A</v>
      </c>
      <c r="L975" s="50" t="e">
        <f t="shared" si="60"/>
        <v>#N/A</v>
      </c>
    </row>
    <row r="976" spans="2:13" ht="18.600000000000001" thickTop="1" thickBot="1"/>
    <row r="977" spans="2:13" ht="18" thickTop="1">
      <c r="B977" s="23" t="s">
        <v>3204</v>
      </c>
      <c r="C977" s="24" t="s">
        <v>3205</v>
      </c>
      <c r="D977" s="25"/>
      <c r="E977" s="25"/>
      <c r="F977" s="53"/>
      <c r="G977" s="28" t="s">
        <v>3206</v>
      </c>
      <c r="H977" s="54"/>
      <c r="I977" s="54"/>
      <c r="J977" s="54"/>
      <c r="K977" s="28" t="s">
        <v>3207</v>
      </c>
      <c r="L977" s="29"/>
      <c r="M977" s="22" t="str">
        <f>G977</f>
        <v>Manager:</v>
      </c>
    </row>
    <row r="978" spans="2:13" ht="18" thickBot="1">
      <c r="B978" s="30">
        <v>62</v>
      </c>
      <c r="C978" s="57"/>
      <c r="D978" s="31"/>
      <c r="E978" s="31"/>
      <c r="F978" s="33"/>
      <c r="G978" s="55"/>
      <c r="H978" s="55"/>
      <c r="I978" s="55"/>
      <c r="J978" s="55"/>
      <c r="K978" s="34" t="e">
        <f>SUM(F991:L991)</f>
        <v>#N/A</v>
      </c>
      <c r="L978" s="35"/>
      <c r="M978" s="22">
        <f>G978</f>
        <v>0</v>
      </c>
    </row>
    <row r="979" spans="2:13" ht="18.600000000000001" thickTop="1">
      <c r="B979" s="58" t="s">
        <v>913</v>
      </c>
      <c r="C979" s="59" t="s">
        <v>912</v>
      </c>
      <c r="D979" s="60" t="s">
        <v>911</v>
      </c>
      <c r="E979" s="61" t="s">
        <v>3209</v>
      </c>
      <c r="F979" s="62" t="s">
        <v>3162</v>
      </c>
      <c r="G979" s="62" t="s">
        <v>3163</v>
      </c>
      <c r="H979" s="62" t="s">
        <v>3164</v>
      </c>
      <c r="I979" s="62" t="s">
        <v>3165</v>
      </c>
      <c r="J979" s="62" t="s">
        <v>3166</v>
      </c>
      <c r="K979" s="62" t="s">
        <v>3167</v>
      </c>
      <c r="L979" s="63" t="s">
        <v>3168</v>
      </c>
    </row>
    <row r="980" spans="2:13">
      <c r="B980" s="43" t="e">
        <f>VLOOKUP($A980,'[2]Team lists'!$A$2:$L$800,2,FALSE)</f>
        <v>#N/A</v>
      </c>
      <c r="C980" s="43" t="e">
        <f>VLOOKUP($A980,'[2]Team lists'!$A$2:$L$800,3,FALSE)</f>
        <v>#N/A</v>
      </c>
      <c r="D980" s="43" t="e">
        <f>VLOOKUP($A980,'[2]Team lists'!$A$2:$L$800,4,FALSE)</f>
        <v>#N/A</v>
      </c>
      <c r="E980" s="43" t="e">
        <f>VLOOKUP($A980,'[2]Team lists'!$A$2:$L$800,5,FALSE)</f>
        <v>#N/A</v>
      </c>
      <c r="F980" s="43" t="e">
        <f>VLOOKUP($A980,'[2]Team lists'!$A$2:$L$800,6,FALSE)</f>
        <v>#N/A</v>
      </c>
      <c r="G980" s="43" t="e">
        <f>VLOOKUP($A980,'[2]Team lists'!$A$2:$L$800,7,FALSE)</f>
        <v>#N/A</v>
      </c>
      <c r="H980" s="43" t="e">
        <f>VLOOKUP($A980,'[2]Team lists'!$A$2:$L$800,8,FALSE)</f>
        <v>#N/A</v>
      </c>
      <c r="I980" s="43" t="e">
        <f>VLOOKUP($A980,'[2]Team lists'!$A$2:$L$800,9,FALSE)</f>
        <v>#N/A</v>
      </c>
      <c r="J980" s="43" t="e">
        <f>VLOOKUP($A980,'[2]Team lists'!$A$2:$L$800,9,FALSE)</f>
        <v>#N/A</v>
      </c>
      <c r="K980" s="43" t="e">
        <f>VLOOKUP($A980,'[2]Team lists'!$A$2:$L$800,10,FALSE)</f>
        <v>#N/A</v>
      </c>
      <c r="L980" s="43" t="e">
        <f>VLOOKUP($A980,'[2]Team lists'!$A$2:$L$800,11,FALSE)</f>
        <v>#N/A</v>
      </c>
    </row>
    <row r="981" spans="2:13">
      <c r="B981" s="43" t="e">
        <f>VLOOKUP($A981,'[2]Team lists'!$A$2:$L$800,2,FALSE)</f>
        <v>#N/A</v>
      </c>
      <c r="C981" s="43" t="e">
        <f>VLOOKUP($A981,'[2]Team lists'!$A$2:$L$800,3,FALSE)</f>
        <v>#N/A</v>
      </c>
      <c r="D981" s="43" t="e">
        <f>VLOOKUP($A981,'[2]Team lists'!$A$2:$L$800,4,FALSE)</f>
        <v>#N/A</v>
      </c>
      <c r="E981" s="43" t="e">
        <f>VLOOKUP($A981,'[2]Team lists'!$A$2:$L$800,5,FALSE)</f>
        <v>#N/A</v>
      </c>
      <c r="F981" s="43" t="e">
        <f>VLOOKUP($A981,'[2]Team lists'!$A$2:$L$800,6,FALSE)</f>
        <v>#N/A</v>
      </c>
      <c r="G981" s="43" t="e">
        <f>VLOOKUP($A981,'[2]Team lists'!$A$2:$L$800,7,FALSE)</f>
        <v>#N/A</v>
      </c>
      <c r="H981" s="43" t="e">
        <f>VLOOKUP($A981,'[2]Team lists'!$A$2:$L$800,8,FALSE)</f>
        <v>#N/A</v>
      </c>
      <c r="I981" s="43" t="e">
        <f>VLOOKUP($A981,'[2]Team lists'!$A$2:$L$800,9,FALSE)</f>
        <v>#N/A</v>
      </c>
      <c r="J981" s="43" t="e">
        <f>VLOOKUP($A981,'[2]Team lists'!$A$2:$L$800,9,FALSE)</f>
        <v>#N/A</v>
      </c>
      <c r="K981" s="43" t="e">
        <f>VLOOKUP($A981,'[2]Team lists'!$A$2:$L$800,10,FALSE)</f>
        <v>#N/A</v>
      </c>
      <c r="L981" s="43" t="e">
        <f>VLOOKUP($A981,'[2]Team lists'!$A$2:$L$800,11,FALSE)</f>
        <v>#N/A</v>
      </c>
    </row>
    <row r="982" spans="2:13">
      <c r="B982" s="43" t="e">
        <f>VLOOKUP($A982,'[2]Team lists'!$A$2:$L$800,2,FALSE)</f>
        <v>#N/A</v>
      </c>
      <c r="C982" s="43" t="e">
        <f>VLOOKUP($A982,'[2]Team lists'!$A$2:$L$800,3,FALSE)</f>
        <v>#N/A</v>
      </c>
      <c r="D982" s="43" t="e">
        <f>VLOOKUP($A982,'[2]Team lists'!$A$2:$L$800,4,FALSE)</f>
        <v>#N/A</v>
      </c>
      <c r="E982" s="43" t="e">
        <f>VLOOKUP($A982,'[2]Team lists'!$A$2:$L$800,5,FALSE)</f>
        <v>#N/A</v>
      </c>
      <c r="F982" s="43" t="e">
        <f>VLOOKUP($A982,'[2]Team lists'!$A$2:$L$800,6,FALSE)</f>
        <v>#N/A</v>
      </c>
      <c r="G982" s="43" t="e">
        <f>VLOOKUP($A982,'[2]Team lists'!$A$2:$L$800,7,FALSE)</f>
        <v>#N/A</v>
      </c>
      <c r="H982" s="43" t="e">
        <f>VLOOKUP($A982,'[2]Team lists'!$A$2:$L$800,8,FALSE)</f>
        <v>#N/A</v>
      </c>
      <c r="I982" s="43" t="e">
        <f>VLOOKUP($A982,'[2]Team lists'!$A$2:$L$800,9,FALSE)</f>
        <v>#N/A</v>
      </c>
      <c r="J982" s="43" t="e">
        <f>VLOOKUP($A982,'[2]Team lists'!$A$2:$L$800,9,FALSE)</f>
        <v>#N/A</v>
      </c>
      <c r="K982" s="43" t="e">
        <f>VLOOKUP($A982,'[2]Team lists'!$A$2:$L$800,10,FALSE)</f>
        <v>#N/A</v>
      </c>
      <c r="L982" s="43" t="e">
        <f>VLOOKUP($A982,'[2]Team lists'!$A$2:$L$800,11,FALSE)</f>
        <v>#N/A</v>
      </c>
    </row>
    <row r="983" spans="2:13">
      <c r="B983" s="43" t="e">
        <f>VLOOKUP($A983,'[2]Team lists'!$A$2:$L$800,2,FALSE)</f>
        <v>#N/A</v>
      </c>
      <c r="C983" s="43" t="e">
        <f>VLOOKUP($A983,'[2]Team lists'!$A$2:$L$800,3,FALSE)</f>
        <v>#N/A</v>
      </c>
      <c r="D983" s="43" t="e">
        <f>VLOOKUP($A983,'[2]Team lists'!$A$2:$L$800,4,FALSE)</f>
        <v>#N/A</v>
      </c>
      <c r="E983" s="43" t="e">
        <f>VLOOKUP($A983,'[2]Team lists'!$A$2:$L$800,5,FALSE)</f>
        <v>#N/A</v>
      </c>
      <c r="F983" s="43" t="e">
        <f>VLOOKUP($A983,'[2]Team lists'!$A$2:$L$800,6,FALSE)</f>
        <v>#N/A</v>
      </c>
      <c r="G983" s="43" t="e">
        <f>VLOOKUP($A983,'[2]Team lists'!$A$2:$L$800,7,FALSE)</f>
        <v>#N/A</v>
      </c>
      <c r="H983" s="43" t="e">
        <f>VLOOKUP($A983,'[2]Team lists'!$A$2:$L$800,8,FALSE)</f>
        <v>#N/A</v>
      </c>
      <c r="I983" s="43" t="e">
        <f>VLOOKUP($A983,'[2]Team lists'!$A$2:$L$800,9,FALSE)</f>
        <v>#N/A</v>
      </c>
      <c r="J983" s="43" t="e">
        <f>VLOOKUP($A983,'[2]Team lists'!$A$2:$L$800,9,FALSE)</f>
        <v>#N/A</v>
      </c>
      <c r="K983" s="43" t="e">
        <f>VLOOKUP($A983,'[2]Team lists'!$A$2:$L$800,10,FALSE)</f>
        <v>#N/A</v>
      </c>
      <c r="L983" s="43" t="e">
        <f>VLOOKUP($A983,'[2]Team lists'!$A$2:$L$800,11,FALSE)</f>
        <v>#N/A</v>
      </c>
    </row>
    <row r="984" spans="2:13">
      <c r="B984" s="43" t="e">
        <f>VLOOKUP($A984,'[2]Team lists'!$A$2:$L$800,2,FALSE)</f>
        <v>#N/A</v>
      </c>
      <c r="C984" s="43" t="e">
        <f>VLOOKUP($A984,'[2]Team lists'!$A$2:$L$800,3,FALSE)</f>
        <v>#N/A</v>
      </c>
      <c r="D984" s="43" t="e">
        <f>VLOOKUP($A984,'[2]Team lists'!$A$2:$L$800,4,FALSE)</f>
        <v>#N/A</v>
      </c>
      <c r="E984" s="43" t="e">
        <f>VLOOKUP($A984,'[2]Team lists'!$A$2:$L$800,5,FALSE)</f>
        <v>#N/A</v>
      </c>
      <c r="F984" s="43" t="e">
        <f>VLOOKUP($A984,'[2]Team lists'!$A$2:$L$800,6,FALSE)</f>
        <v>#N/A</v>
      </c>
      <c r="G984" s="43" t="e">
        <f>VLOOKUP($A984,'[2]Team lists'!$A$2:$L$800,7,FALSE)</f>
        <v>#N/A</v>
      </c>
      <c r="H984" s="43" t="e">
        <f>VLOOKUP($A984,'[2]Team lists'!$A$2:$L$800,8,FALSE)</f>
        <v>#N/A</v>
      </c>
      <c r="I984" s="43" t="e">
        <f>VLOOKUP($A984,'[2]Team lists'!$A$2:$L$800,9,FALSE)</f>
        <v>#N/A</v>
      </c>
      <c r="J984" s="43" t="e">
        <f>VLOOKUP($A984,'[2]Team lists'!$A$2:$L$800,9,FALSE)</f>
        <v>#N/A</v>
      </c>
      <c r="K984" s="43" t="e">
        <f>VLOOKUP($A984,'[2]Team lists'!$A$2:$L$800,10,FALSE)</f>
        <v>#N/A</v>
      </c>
      <c r="L984" s="43" t="e">
        <f>VLOOKUP($A984,'[2]Team lists'!$A$2:$L$800,11,FALSE)</f>
        <v>#N/A</v>
      </c>
    </row>
    <row r="985" spans="2:13">
      <c r="B985" s="43" t="e">
        <f>VLOOKUP($A985,'[2]Team lists'!$A$2:$L$800,2,FALSE)</f>
        <v>#N/A</v>
      </c>
      <c r="C985" s="43" t="e">
        <f>VLOOKUP($A985,'[2]Team lists'!$A$2:$L$800,3,FALSE)</f>
        <v>#N/A</v>
      </c>
      <c r="D985" s="43" t="e">
        <f>VLOOKUP($A985,'[2]Team lists'!$A$2:$L$800,4,FALSE)</f>
        <v>#N/A</v>
      </c>
      <c r="E985" s="43" t="e">
        <f>VLOOKUP($A985,'[2]Team lists'!$A$2:$L$800,5,FALSE)</f>
        <v>#N/A</v>
      </c>
      <c r="F985" s="43" t="e">
        <f>VLOOKUP($A985,'[2]Team lists'!$A$2:$L$800,6,FALSE)</f>
        <v>#N/A</v>
      </c>
      <c r="G985" s="43" t="e">
        <f>VLOOKUP($A985,'[2]Team lists'!$A$2:$L$800,7,FALSE)</f>
        <v>#N/A</v>
      </c>
      <c r="H985" s="43" t="e">
        <f>VLOOKUP($A985,'[2]Team lists'!$A$2:$L$800,8,FALSE)</f>
        <v>#N/A</v>
      </c>
      <c r="I985" s="43" t="e">
        <f>VLOOKUP($A985,'[2]Team lists'!$A$2:$L$800,9,FALSE)</f>
        <v>#N/A</v>
      </c>
      <c r="J985" s="43" t="e">
        <f>VLOOKUP($A985,'[2]Team lists'!$A$2:$L$800,9,FALSE)</f>
        <v>#N/A</v>
      </c>
      <c r="K985" s="43" t="e">
        <f>VLOOKUP($A985,'[2]Team lists'!$A$2:$L$800,10,FALSE)</f>
        <v>#N/A</v>
      </c>
      <c r="L985" s="43" t="e">
        <f>VLOOKUP($A985,'[2]Team lists'!$A$2:$L$800,11,FALSE)</f>
        <v>#N/A</v>
      </c>
    </row>
    <row r="986" spans="2:13">
      <c r="B986" s="43" t="e">
        <f>VLOOKUP($A986,'[2]Team lists'!$A$2:$L$800,2,FALSE)</f>
        <v>#N/A</v>
      </c>
      <c r="C986" s="43" t="e">
        <f>VLOOKUP($A986,'[2]Team lists'!$A$2:$L$800,3,FALSE)</f>
        <v>#N/A</v>
      </c>
      <c r="D986" s="43" t="e">
        <f>VLOOKUP($A986,'[2]Team lists'!$A$2:$L$800,4,FALSE)</f>
        <v>#N/A</v>
      </c>
      <c r="E986" s="43" t="e">
        <f>VLOOKUP($A986,'[2]Team lists'!$A$2:$L$800,5,FALSE)</f>
        <v>#N/A</v>
      </c>
      <c r="F986" s="43" t="e">
        <f>VLOOKUP($A986,'[2]Team lists'!$A$2:$L$800,6,FALSE)</f>
        <v>#N/A</v>
      </c>
      <c r="G986" s="43" t="e">
        <f>VLOOKUP($A986,'[2]Team lists'!$A$2:$L$800,7,FALSE)</f>
        <v>#N/A</v>
      </c>
      <c r="H986" s="43" t="e">
        <f>VLOOKUP($A986,'[2]Team lists'!$A$2:$L$800,8,FALSE)</f>
        <v>#N/A</v>
      </c>
      <c r="I986" s="43" t="e">
        <f>VLOOKUP($A986,'[2]Team lists'!$A$2:$L$800,9,FALSE)</f>
        <v>#N/A</v>
      </c>
      <c r="J986" s="43" t="e">
        <f>VLOOKUP($A986,'[2]Team lists'!$A$2:$L$800,9,FALSE)</f>
        <v>#N/A</v>
      </c>
      <c r="K986" s="43" t="e">
        <f>VLOOKUP($A986,'[2]Team lists'!$A$2:$L$800,10,FALSE)</f>
        <v>#N/A</v>
      </c>
      <c r="L986" s="43" t="e">
        <f>VLOOKUP($A986,'[2]Team lists'!$A$2:$L$800,11,FALSE)</f>
        <v>#N/A</v>
      </c>
    </row>
    <row r="987" spans="2:13">
      <c r="B987" s="43" t="e">
        <f>VLOOKUP($A987,'[2]Team lists'!$A$2:$L$800,2,FALSE)</f>
        <v>#N/A</v>
      </c>
      <c r="C987" s="43" t="e">
        <f>VLOOKUP($A987,'[2]Team lists'!$A$2:$L$800,3,FALSE)</f>
        <v>#N/A</v>
      </c>
      <c r="D987" s="43" t="e">
        <f>VLOOKUP($A987,'[2]Team lists'!$A$2:$L$800,4,FALSE)</f>
        <v>#N/A</v>
      </c>
      <c r="E987" s="43" t="e">
        <f>VLOOKUP($A987,'[2]Team lists'!$A$2:$L$800,5,FALSE)</f>
        <v>#N/A</v>
      </c>
      <c r="F987" s="43" t="e">
        <f>VLOOKUP($A987,'[2]Team lists'!$A$2:$L$800,6,FALSE)</f>
        <v>#N/A</v>
      </c>
      <c r="G987" s="43" t="e">
        <f>VLOOKUP($A987,'[2]Team lists'!$A$2:$L$800,7,FALSE)</f>
        <v>#N/A</v>
      </c>
      <c r="H987" s="43" t="e">
        <f>VLOOKUP($A987,'[2]Team lists'!$A$2:$L$800,8,FALSE)</f>
        <v>#N/A</v>
      </c>
      <c r="I987" s="43" t="e">
        <f>VLOOKUP($A987,'[2]Team lists'!$A$2:$L$800,9,FALSE)</f>
        <v>#N/A</v>
      </c>
      <c r="J987" s="43" t="e">
        <f>VLOOKUP($A987,'[2]Team lists'!$A$2:$L$800,9,FALSE)</f>
        <v>#N/A</v>
      </c>
      <c r="K987" s="43" t="e">
        <f>VLOOKUP($A987,'[2]Team lists'!$A$2:$L$800,10,FALSE)</f>
        <v>#N/A</v>
      </c>
      <c r="L987" s="43" t="e">
        <f>VLOOKUP($A987,'[2]Team lists'!$A$2:$L$800,11,FALSE)</f>
        <v>#N/A</v>
      </c>
    </row>
    <row r="988" spans="2:13">
      <c r="B988" s="43" t="e">
        <f>VLOOKUP($A988,'[2]Team lists'!$A$2:$L$800,2,FALSE)</f>
        <v>#N/A</v>
      </c>
      <c r="C988" s="43" t="e">
        <f>VLOOKUP($A988,'[2]Team lists'!$A$2:$L$800,3,FALSE)</f>
        <v>#N/A</v>
      </c>
      <c r="D988" s="43" t="e">
        <f>VLOOKUP($A988,'[2]Team lists'!$A$2:$L$800,4,FALSE)</f>
        <v>#N/A</v>
      </c>
      <c r="E988" s="43" t="e">
        <f>VLOOKUP($A988,'[2]Team lists'!$A$2:$L$800,5,FALSE)</f>
        <v>#N/A</v>
      </c>
      <c r="F988" s="43" t="e">
        <f>VLOOKUP($A988,'[2]Team lists'!$A$2:$L$800,6,FALSE)</f>
        <v>#N/A</v>
      </c>
      <c r="G988" s="43" t="e">
        <f>VLOOKUP($A988,'[2]Team lists'!$A$2:$L$800,7,FALSE)</f>
        <v>#N/A</v>
      </c>
      <c r="H988" s="43" t="e">
        <f>VLOOKUP($A988,'[2]Team lists'!$A$2:$L$800,8,FALSE)</f>
        <v>#N/A</v>
      </c>
      <c r="I988" s="43" t="e">
        <f>VLOOKUP($A988,'[2]Team lists'!$A$2:$L$800,9,FALSE)</f>
        <v>#N/A</v>
      </c>
      <c r="J988" s="43" t="e">
        <f>VLOOKUP($A988,'[2]Team lists'!$A$2:$L$800,9,FALSE)</f>
        <v>#N/A</v>
      </c>
      <c r="K988" s="43" t="e">
        <f>VLOOKUP($A988,'[2]Team lists'!$A$2:$L$800,10,FALSE)</f>
        <v>#N/A</v>
      </c>
      <c r="L988" s="43" t="e">
        <f>VLOOKUP($A988,'[2]Team lists'!$A$2:$L$800,11,FALSE)</f>
        <v>#N/A</v>
      </c>
    </row>
    <row r="989" spans="2:13">
      <c r="B989" s="43" t="e">
        <f>VLOOKUP($A989,'[2]Team lists'!$A$2:$L$800,2,FALSE)</f>
        <v>#N/A</v>
      </c>
      <c r="C989" s="43" t="e">
        <f>VLOOKUP($A989,'[2]Team lists'!$A$2:$L$800,3,FALSE)</f>
        <v>#N/A</v>
      </c>
      <c r="D989" s="43" t="e">
        <f>VLOOKUP($A989,'[2]Team lists'!$A$2:$L$800,4,FALSE)</f>
        <v>#N/A</v>
      </c>
      <c r="E989" s="43" t="e">
        <f>VLOOKUP($A989,'[2]Team lists'!$A$2:$L$800,5,FALSE)</f>
        <v>#N/A</v>
      </c>
      <c r="F989" s="43" t="e">
        <f>VLOOKUP($A989,'[2]Team lists'!$A$2:$L$800,6,FALSE)</f>
        <v>#N/A</v>
      </c>
      <c r="G989" s="43" t="e">
        <f>VLOOKUP($A989,'[2]Team lists'!$A$2:$L$800,7,FALSE)</f>
        <v>#N/A</v>
      </c>
      <c r="H989" s="43" t="e">
        <f>VLOOKUP($A989,'[2]Team lists'!$A$2:$L$800,8,FALSE)</f>
        <v>#N/A</v>
      </c>
      <c r="I989" s="43" t="e">
        <f>VLOOKUP($A989,'[2]Team lists'!$A$2:$L$800,9,FALSE)</f>
        <v>#N/A</v>
      </c>
      <c r="J989" s="43" t="e">
        <f>VLOOKUP($A989,'[2]Team lists'!$A$2:$L$800,9,FALSE)</f>
        <v>#N/A</v>
      </c>
      <c r="K989" s="43" t="e">
        <f>VLOOKUP($A989,'[2]Team lists'!$A$2:$L$800,10,FALSE)</f>
        <v>#N/A</v>
      </c>
      <c r="L989" s="43" t="e">
        <f>VLOOKUP($A989,'[2]Team lists'!$A$2:$L$800,11,FALSE)</f>
        <v>#N/A</v>
      </c>
    </row>
    <row r="990" spans="2:13">
      <c r="B990" s="43" t="e">
        <f>VLOOKUP($A990,'[2]Team lists'!$A$2:$L$800,2,FALSE)</f>
        <v>#N/A</v>
      </c>
      <c r="C990" s="43" t="e">
        <f>VLOOKUP($A990,'[2]Team lists'!$A$2:$L$800,3,FALSE)</f>
        <v>#N/A</v>
      </c>
      <c r="D990" s="43" t="e">
        <f>VLOOKUP($A990,'[2]Team lists'!$A$2:$L$800,4,FALSE)</f>
        <v>#N/A</v>
      </c>
      <c r="E990" s="43" t="e">
        <f>VLOOKUP($A990,'[2]Team lists'!$A$2:$L$800,5,FALSE)</f>
        <v>#N/A</v>
      </c>
      <c r="F990" s="43" t="e">
        <f>VLOOKUP($A990,'[2]Team lists'!$A$2:$L$800,6,FALSE)</f>
        <v>#N/A</v>
      </c>
      <c r="G990" s="43" t="e">
        <f>VLOOKUP($A990,'[2]Team lists'!$A$2:$L$800,7,FALSE)</f>
        <v>#N/A</v>
      </c>
      <c r="H990" s="43" t="e">
        <f>VLOOKUP($A990,'[2]Team lists'!$A$2:$L$800,8,FALSE)</f>
        <v>#N/A</v>
      </c>
      <c r="I990" s="43" t="e">
        <f>VLOOKUP($A990,'[2]Team lists'!$A$2:$L$800,9,FALSE)</f>
        <v>#N/A</v>
      </c>
      <c r="J990" s="43" t="e">
        <f>VLOOKUP($A990,'[2]Team lists'!$A$2:$L$800,9,FALSE)</f>
        <v>#N/A</v>
      </c>
      <c r="K990" s="43" t="e">
        <f>VLOOKUP($A990,'[2]Team lists'!$A$2:$L$800,10,FALSE)</f>
        <v>#N/A</v>
      </c>
      <c r="L990" s="43" t="e">
        <f>VLOOKUP($A990,'[2]Team lists'!$A$2:$L$800,11,FALSE)</f>
        <v>#N/A</v>
      </c>
    </row>
    <row r="991" spans="2:13" ht="18" thickBot="1">
      <c r="B991" s="45" t="s">
        <v>3210</v>
      </c>
      <c r="C991" s="46"/>
      <c r="D991" s="47"/>
      <c r="E991" s="48" t="e">
        <f t="shared" ref="E991:L991" si="61">SUM(E980:E990)</f>
        <v>#N/A</v>
      </c>
      <c r="F991" s="49" t="e">
        <f t="shared" si="61"/>
        <v>#N/A</v>
      </c>
      <c r="G991" s="49" t="e">
        <f t="shared" si="61"/>
        <v>#N/A</v>
      </c>
      <c r="H991" s="49" t="e">
        <f t="shared" si="61"/>
        <v>#N/A</v>
      </c>
      <c r="I991" s="49" t="e">
        <f t="shared" si="61"/>
        <v>#N/A</v>
      </c>
      <c r="J991" s="49" t="e">
        <f t="shared" si="61"/>
        <v>#N/A</v>
      </c>
      <c r="K991" s="49" t="e">
        <f t="shared" si="61"/>
        <v>#N/A</v>
      </c>
      <c r="L991" s="50" t="e">
        <f t="shared" si="61"/>
        <v>#N/A</v>
      </c>
    </row>
    <row r="992" spans="2:13" ht="18.600000000000001" thickTop="1" thickBot="1"/>
    <row r="993" spans="2:13" ht="18" thickTop="1">
      <c r="B993" s="23" t="s">
        <v>3204</v>
      </c>
      <c r="C993" s="24" t="s">
        <v>3205</v>
      </c>
      <c r="D993" s="25"/>
      <c r="E993" s="25"/>
      <c r="F993" s="53"/>
      <c r="G993" s="28" t="s">
        <v>3206</v>
      </c>
      <c r="H993" s="54"/>
      <c r="I993" s="54"/>
      <c r="J993" s="54"/>
      <c r="K993" s="28" t="s">
        <v>3207</v>
      </c>
      <c r="L993" s="29"/>
      <c r="M993" s="22" t="str">
        <f>G993</f>
        <v>Manager:</v>
      </c>
    </row>
    <row r="994" spans="2:13" ht="18" thickBot="1">
      <c r="B994" s="30">
        <v>63</v>
      </c>
      <c r="C994" s="57"/>
      <c r="D994" s="31"/>
      <c r="E994" s="31"/>
      <c r="F994" s="33"/>
      <c r="G994" s="55"/>
      <c r="H994" s="55"/>
      <c r="I994" s="55"/>
      <c r="J994" s="55"/>
      <c r="K994" s="34" t="e">
        <f>SUM(F1007:L1007)</f>
        <v>#N/A</v>
      </c>
      <c r="L994" s="35"/>
      <c r="M994" s="22">
        <f>G994</f>
        <v>0</v>
      </c>
    </row>
    <row r="995" spans="2:13" ht="18.600000000000001" thickTop="1">
      <c r="B995" s="58" t="s">
        <v>913</v>
      </c>
      <c r="C995" s="59" t="s">
        <v>912</v>
      </c>
      <c r="D995" s="60" t="s">
        <v>911</v>
      </c>
      <c r="E995" s="61" t="s">
        <v>3209</v>
      </c>
      <c r="F995" s="62" t="s">
        <v>3162</v>
      </c>
      <c r="G995" s="62" t="s">
        <v>3163</v>
      </c>
      <c r="H995" s="62" t="s">
        <v>3164</v>
      </c>
      <c r="I995" s="62" t="s">
        <v>3165</v>
      </c>
      <c r="J995" s="62" t="s">
        <v>3166</v>
      </c>
      <c r="K995" s="62" t="s">
        <v>3167</v>
      </c>
      <c r="L995" s="63" t="s">
        <v>3168</v>
      </c>
    </row>
    <row r="996" spans="2:13">
      <c r="B996" s="43" t="e">
        <f>VLOOKUP($A996,'[2]Team lists'!$A$2:$L$800,2,FALSE)</f>
        <v>#N/A</v>
      </c>
      <c r="C996" s="43" t="e">
        <f>VLOOKUP($A996,'[2]Team lists'!$A$2:$L$800,3,FALSE)</f>
        <v>#N/A</v>
      </c>
      <c r="D996" s="43" t="e">
        <f>VLOOKUP($A996,'[2]Team lists'!$A$2:$L$800,4,FALSE)</f>
        <v>#N/A</v>
      </c>
      <c r="E996" s="43" t="e">
        <f>VLOOKUP($A996,'[2]Team lists'!$A$2:$L$800,5,FALSE)</f>
        <v>#N/A</v>
      </c>
      <c r="F996" s="43" t="e">
        <f>VLOOKUP($A996,'[2]Team lists'!$A$2:$L$800,6,FALSE)</f>
        <v>#N/A</v>
      </c>
      <c r="G996" s="43" t="e">
        <f>VLOOKUP($A996,'[2]Team lists'!$A$2:$L$800,7,FALSE)</f>
        <v>#N/A</v>
      </c>
      <c r="H996" s="43" t="e">
        <f>VLOOKUP($A996,'[2]Team lists'!$A$2:$L$800,8,FALSE)</f>
        <v>#N/A</v>
      </c>
      <c r="I996" s="43" t="e">
        <f>VLOOKUP($A996,'[2]Team lists'!$A$2:$L$800,9,FALSE)</f>
        <v>#N/A</v>
      </c>
      <c r="J996" s="43" t="e">
        <f>VLOOKUP($A996,'[2]Team lists'!$A$2:$L$800,9,FALSE)</f>
        <v>#N/A</v>
      </c>
      <c r="K996" s="43" t="e">
        <f>VLOOKUP($A996,'[2]Team lists'!$A$2:$L$800,10,FALSE)</f>
        <v>#N/A</v>
      </c>
      <c r="L996" s="43" t="e">
        <f>VLOOKUP($A996,'[2]Team lists'!$A$2:$L$800,11,FALSE)</f>
        <v>#N/A</v>
      </c>
    </row>
    <row r="997" spans="2:13">
      <c r="B997" s="43" t="e">
        <f>VLOOKUP($A997,'[2]Team lists'!$A$2:$L$800,2,FALSE)</f>
        <v>#N/A</v>
      </c>
      <c r="C997" s="43" t="e">
        <f>VLOOKUP($A997,'[2]Team lists'!$A$2:$L$800,3,FALSE)</f>
        <v>#N/A</v>
      </c>
      <c r="D997" s="43" t="e">
        <f>VLOOKUP($A997,'[2]Team lists'!$A$2:$L$800,4,FALSE)</f>
        <v>#N/A</v>
      </c>
      <c r="E997" s="43" t="e">
        <f>VLOOKUP($A997,'[2]Team lists'!$A$2:$L$800,5,FALSE)</f>
        <v>#N/A</v>
      </c>
      <c r="F997" s="43" t="e">
        <f>VLOOKUP($A997,'[2]Team lists'!$A$2:$L$800,6,FALSE)</f>
        <v>#N/A</v>
      </c>
      <c r="G997" s="43" t="e">
        <f>VLOOKUP($A997,'[2]Team lists'!$A$2:$L$800,7,FALSE)</f>
        <v>#N/A</v>
      </c>
      <c r="H997" s="43" t="e">
        <f>VLOOKUP($A997,'[2]Team lists'!$A$2:$L$800,8,FALSE)</f>
        <v>#N/A</v>
      </c>
      <c r="I997" s="43" t="e">
        <f>VLOOKUP($A997,'[2]Team lists'!$A$2:$L$800,9,FALSE)</f>
        <v>#N/A</v>
      </c>
      <c r="J997" s="43" t="e">
        <f>VLOOKUP($A997,'[2]Team lists'!$A$2:$L$800,9,FALSE)</f>
        <v>#N/A</v>
      </c>
      <c r="K997" s="43" t="e">
        <f>VLOOKUP($A997,'[2]Team lists'!$A$2:$L$800,10,FALSE)</f>
        <v>#N/A</v>
      </c>
      <c r="L997" s="43" t="e">
        <f>VLOOKUP($A997,'[2]Team lists'!$A$2:$L$800,11,FALSE)</f>
        <v>#N/A</v>
      </c>
    </row>
    <row r="998" spans="2:13">
      <c r="B998" s="43" t="e">
        <f>VLOOKUP($A998,'[2]Team lists'!$A$2:$L$800,2,FALSE)</f>
        <v>#N/A</v>
      </c>
      <c r="C998" s="43" t="e">
        <f>VLOOKUP($A998,'[2]Team lists'!$A$2:$L$800,3,FALSE)</f>
        <v>#N/A</v>
      </c>
      <c r="D998" s="43" t="e">
        <f>VLOOKUP($A998,'[2]Team lists'!$A$2:$L$800,4,FALSE)</f>
        <v>#N/A</v>
      </c>
      <c r="E998" s="43" t="e">
        <f>VLOOKUP($A998,'[2]Team lists'!$A$2:$L$800,5,FALSE)</f>
        <v>#N/A</v>
      </c>
      <c r="F998" s="43" t="e">
        <f>VLOOKUP($A998,'[2]Team lists'!$A$2:$L$800,6,FALSE)</f>
        <v>#N/A</v>
      </c>
      <c r="G998" s="43" t="e">
        <f>VLOOKUP($A998,'[2]Team lists'!$A$2:$L$800,7,FALSE)</f>
        <v>#N/A</v>
      </c>
      <c r="H998" s="43" t="e">
        <f>VLOOKUP($A998,'[2]Team lists'!$A$2:$L$800,8,FALSE)</f>
        <v>#N/A</v>
      </c>
      <c r="I998" s="43" t="e">
        <f>VLOOKUP($A998,'[2]Team lists'!$A$2:$L$800,9,FALSE)</f>
        <v>#N/A</v>
      </c>
      <c r="J998" s="43" t="e">
        <f>VLOOKUP($A998,'[2]Team lists'!$A$2:$L$800,9,FALSE)</f>
        <v>#N/A</v>
      </c>
      <c r="K998" s="43" t="e">
        <f>VLOOKUP($A998,'[2]Team lists'!$A$2:$L$800,10,FALSE)</f>
        <v>#N/A</v>
      </c>
      <c r="L998" s="43" t="e">
        <f>VLOOKUP($A998,'[2]Team lists'!$A$2:$L$800,11,FALSE)</f>
        <v>#N/A</v>
      </c>
    </row>
    <row r="999" spans="2:13">
      <c r="B999" s="43" t="e">
        <f>VLOOKUP($A999,'[2]Team lists'!$A$2:$L$800,2,FALSE)</f>
        <v>#N/A</v>
      </c>
      <c r="C999" s="43" t="e">
        <f>VLOOKUP($A999,'[2]Team lists'!$A$2:$L$800,3,FALSE)</f>
        <v>#N/A</v>
      </c>
      <c r="D999" s="43" t="e">
        <f>VLOOKUP($A999,'[2]Team lists'!$A$2:$L$800,4,FALSE)</f>
        <v>#N/A</v>
      </c>
      <c r="E999" s="43" t="e">
        <f>VLOOKUP($A999,'[2]Team lists'!$A$2:$L$800,5,FALSE)</f>
        <v>#N/A</v>
      </c>
      <c r="F999" s="43" t="e">
        <f>VLOOKUP($A999,'[2]Team lists'!$A$2:$L$800,6,FALSE)</f>
        <v>#N/A</v>
      </c>
      <c r="G999" s="43" t="e">
        <f>VLOOKUP($A999,'[2]Team lists'!$A$2:$L$800,7,FALSE)</f>
        <v>#N/A</v>
      </c>
      <c r="H999" s="43" t="e">
        <f>VLOOKUP($A999,'[2]Team lists'!$A$2:$L$800,8,FALSE)</f>
        <v>#N/A</v>
      </c>
      <c r="I999" s="43" t="e">
        <f>VLOOKUP($A999,'[2]Team lists'!$A$2:$L$800,9,FALSE)</f>
        <v>#N/A</v>
      </c>
      <c r="J999" s="43" t="e">
        <f>VLOOKUP($A999,'[2]Team lists'!$A$2:$L$800,9,FALSE)</f>
        <v>#N/A</v>
      </c>
      <c r="K999" s="43" t="e">
        <f>VLOOKUP($A999,'[2]Team lists'!$A$2:$L$800,10,FALSE)</f>
        <v>#N/A</v>
      </c>
      <c r="L999" s="43" t="e">
        <f>VLOOKUP($A999,'[2]Team lists'!$A$2:$L$800,11,FALSE)</f>
        <v>#N/A</v>
      </c>
    </row>
    <row r="1000" spans="2:13">
      <c r="B1000" s="43" t="e">
        <f>VLOOKUP($A1000,'[2]Team lists'!$A$2:$L$800,2,FALSE)</f>
        <v>#N/A</v>
      </c>
      <c r="C1000" s="43" t="e">
        <f>VLOOKUP($A1000,'[2]Team lists'!$A$2:$L$800,3,FALSE)</f>
        <v>#N/A</v>
      </c>
      <c r="D1000" s="43" t="e">
        <f>VLOOKUP($A1000,'[2]Team lists'!$A$2:$L$800,4,FALSE)</f>
        <v>#N/A</v>
      </c>
      <c r="E1000" s="43" t="e">
        <f>VLOOKUP($A1000,'[2]Team lists'!$A$2:$L$800,5,FALSE)</f>
        <v>#N/A</v>
      </c>
      <c r="F1000" s="43" t="e">
        <f>VLOOKUP($A1000,'[2]Team lists'!$A$2:$L$800,6,FALSE)</f>
        <v>#N/A</v>
      </c>
      <c r="G1000" s="43" t="e">
        <f>VLOOKUP($A1000,'[2]Team lists'!$A$2:$L$800,7,FALSE)</f>
        <v>#N/A</v>
      </c>
      <c r="H1000" s="43" t="e">
        <f>VLOOKUP($A1000,'[2]Team lists'!$A$2:$L$800,8,FALSE)</f>
        <v>#N/A</v>
      </c>
      <c r="I1000" s="43" t="e">
        <f>VLOOKUP($A1000,'[2]Team lists'!$A$2:$L$800,9,FALSE)</f>
        <v>#N/A</v>
      </c>
      <c r="J1000" s="43" t="e">
        <f>VLOOKUP($A1000,'[2]Team lists'!$A$2:$L$800,9,FALSE)</f>
        <v>#N/A</v>
      </c>
      <c r="K1000" s="43" t="e">
        <f>VLOOKUP($A1000,'[2]Team lists'!$A$2:$L$800,10,FALSE)</f>
        <v>#N/A</v>
      </c>
      <c r="L1000" s="43" t="e">
        <f>VLOOKUP($A1000,'[2]Team lists'!$A$2:$L$800,11,FALSE)</f>
        <v>#N/A</v>
      </c>
    </row>
    <row r="1001" spans="2:13">
      <c r="B1001" s="43" t="e">
        <f>VLOOKUP($A1001,'[2]Team lists'!$A$2:$L$800,2,FALSE)</f>
        <v>#N/A</v>
      </c>
      <c r="C1001" s="43" t="e">
        <f>VLOOKUP($A1001,'[2]Team lists'!$A$2:$L$800,3,FALSE)</f>
        <v>#N/A</v>
      </c>
      <c r="D1001" s="43" t="e">
        <f>VLOOKUP($A1001,'[2]Team lists'!$A$2:$L$800,4,FALSE)</f>
        <v>#N/A</v>
      </c>
      <c r="E1001" s="43" t="e">
        <f>VLOOKUP($A1001,'[2]Team lists'!$A$2:$L$800,5,FALSE)</f>
        <v>#N/A</v>
      </c>
      <c r="F1001" s="43" t="e">
        <f>VLOOKUP($A1001,'[2]Team lists'!$A$2:$L$800,6,FALSE)</f>
        <v>#N/A</v>
      </c>
      <c r="G1001" s="43" t="e">
        <f>VLOOKUP($A1001,'[2]Team lists'!$A$2:$L$800,7,FALSE)</f>
        <v>#N/A</v>
      </c>
      <c r="H1001" s="43" t="e">
        <f>VLOOKUP($A1001,'[2]Team lists'!$A$2:$L$800,8,FALSE)</f>
        <v>#N/A</v>
      </c>
      <c r="I1001" s="43" t="e">
        <f>VLOOKUP($A1001,'[2]Team lists'!$A$2:$L$800,9,FALSE)</f>
        <v>#N/A</v>
      </c>
      <c r="J1001" s="43" t="e">
        <f>VLOOKUP($A1001,'[2]Team lists'!$A$2:$L$800,9,FALSE)</f>
        <v>#N/A</v>
      </c>
      <c r="K1001" s="43" t="e">
        <f>VLOOKUP($A1001,'[2]Team lists'!$A$2:$L$800,10,FALSE)</f>
        <v>#N/A</v>
      </c>
      <c r="L1001" s="43" t="e">
        <f>VLOOKUP($A1001,'[2]Team lists'!$A$2:$L$800,11,FALSE)</f>
        <v>#N/A</v>
      </c>
    </row>
    <row r="1002" spans="2:13">
      <c r="B1002" s="43" t="e">
        <f>VLOOKUP($A1002,'[2]Team lists'!$A$2:$L$800,2,FALSE)</f>
        <v>#N/A</v>
      </c>
      <c r="C1002" s="43" t="e">
        <f>VLOOKUP($A1002,'[2]Team lists'!$A$2:$L$800,3,FALSE)</f>
        <v>#N/A</v>
      </c>
      <c r="D1002" s="43" t="e">
        <f>VLOOKUP($A1002,'[2]Team lists'!$A$2:$L$800,4,FALSE)</f>
        <v>#N/A</v>
      </c>
      <c r="E1002" s="43" t="e">
        <f>VLOOKUP($A1002,'[2]Team lists'!$A$2:$L$800,5,FALSE)</f>
        <v>#N/A</v>
      </c>
      <c r="F1002" s="43" t="e">
        <f>VLOOKUP($A1002,'[2]Team lists'!$A$2:$L$800,6,FALSE)</f>
        <v>#N/A</v>
      </c>
      <c r="G1002" s="43" t="e">
        <f>VLOOKUP($A1002,'[2]Team lists'!$A$2:$L$800,7,FALSE)</f>
        <v>#N/A</v>
      </c>
      <c r="H1002" s="43" t="e">
        <f>VLOOKUP($A1002,'[2]Team lists'!$A$2:$L$800,8,FALSE)</f>
        <v>#N/A</v>
      </c>
      <c r="I1002" s="43" t="e">
        <f>VLOOKUP($A1002,'[2]Team lists'!$A$2:$L$800,9,FALSE)</f>
        <v>#N/A</v>
      </c>
      <c r="J1002" s="43" t="e">
        <f>VLOOKUP($A1002,'[2]Team lists'!$A$2:$L$800,9,FALSE)</f>
        <v>#N/A</v>
      </c>
      <c r="K1002" s="43" t="e">
        <f>VLOOKUP($A1002,'[2]Team lists'!$A$2:$L$800,10,FALSE)</f>
        <v>#N/A</v>
      </c>
      <c r="L1002" s="43" t="e">
        <f>VLOOKUP($A1002,'[2]Team lists'!$A$2:$L$800,11,FALSE)</f>
        <v>#N/A</v>
      </c>
    </row>
    <row r="1003" spans="2:13">
      <c r="B1003" s="43" t="e">
        <f>VLOOKUP($A1003,'[2]Team lists'!$A$2:$L$800,2,FALSE)</f>
        <v>#N/A</v>
      </c>
      <c r="C1003" s="43" t="e">
        <f>VLOOKUP($A1003,'[2]Team lists'!$A$2:$L$800,3,FALSE)</f>
        <v>#N/A</v>
      </c>
      <c r="D1003" s="43" t="e">
        <f>VLOOKUP($A1003,'[2]Team lists'!$A$2:$L$800,4,FALSE)</f>
        <v>#N/A</v>
      </c>
      <c r="E1003" s="43" t="e">
        <f>VLOOKUP($A1003,'[2]Team lists'!$A$2:$L$800,5,FALSE)</f>
        <v>#N/A</v>
      </c>
      <c r="F1003" s="43" t="e">
        <f>VLOOKUP($A1003,'[2]Team lists'!$A$2:$L$800,6,FALSE)</f>
        <v>#N/A</v>
      </c>
      <c r="G1003" s="43" t="e">
        <f>VLOOKUP($A1003,'[2]Team lists'!$A$2:$L$800,7,FALSE)</f>
        <v>#N/A</v>
      </c>
      <c r="H1003" s="43" t="e">
        <f>VLOOKUP($A1003,'[2]Team lists'!$A$2:$L$800,8,FALSE)</f>
        <v>#N/A</v>
      </c>
      <c r="I1003" s="43" t="e">
        <f>VLOOKUP($A1003,'[2]Team lists'!$A$2:$L$800,9,FALSE)</f>
        <v>#N/A</v>
      </c>
      <c r="J1003" s="43" t="e">
        <f>VLOOKUP($A1003,'[2]Team lists'!$A$2:$L$800,9,FALSE)</f>
        <v>#N/A</v>
      </c>
      <c r="K1003" s="43" t="e">
        <f>VLOOKUP($A1003,'[2]Team lists'!$A$2:$L$800,10,FALSE)</f>
        <v>#N/A</v>
      </c>
      <c r="L1003" s="43" t="e">
        <f>VLOOKUP($A1003,'[2]Team lists'!$A$2:$L$800,11,FALSE)</f>
        <v>#N/A</v>
      </c>
    </row>
    <row r="1004" spans="2:13">
      <c r="B1004" s="43" t="e">
        <f>VLOOKUP($A1004,'[2]Team lists'!$A$2:$L$800,2,FALSE)</f>
        <v>#N/A</v>
      </c>
      <c r="C1004" s="43" t="e">
        <f>VLOOKUP($A1004,'[2]Team lists'!$A$2:$L$800,3,FALSE)</f>
        <v>#N/A</v>
      </c>
      <c r="D1004" s="43" t="e">
        <f>VLOOKUP($A1004,'[2]Team lists'!$A$2:$L$800,4,FALSE)</f>
        <v>#N/A</v>
      </c>
      <c r="E1004" s="43" t="e">
        <f>VLOOKUP($A1004,'[2]Team lists'!$A$2:$L$800,5,FALSE)</f>
        <v>#N/A</v>
      </c>
      <c r="F1004" s="43" t="e">
        <f>VLOOKUP($A1004,'[2]Team lists'!$A$2:$L$800,6,FALSE)</f>
        <v>#N/A</v>
      </c>
      <c r="G1004" s="43" t="e">
        <f>VLOOKUP($A1004,'[2]Team lists'!$A$2:$L$800,7,FALSE)</f>
        <v>#N/A</v>
      </c>
      <c r="H1004" s="43" t="e">
        <f>VLOOKUP($A1004,'[2]Team lists'!$A$2:$L$800,8,FALSE)</f>
        <v>#N/A</v>
      </c>
      <c r="I1004" s="43" t="e">
        <f>VLOOKUP($A1004,'[2]Team lists'!$A$2:$L$800,9,FALSE)</f>
        <v>#N/A</v>
      </c>
      <c r="J1004" s="43" t="e">
        <f>VLOOKUP($A1004,'[2]Team lists'!$A$2:$L$800,9,FALSE)</f>
        <v>#N/A</v>
      </c>
      <c r="K1004" s="43" t="e">
        <f>VLOOKUP($A1004,'[2]Team lists'!$A$2:$L$800,10,FALSE)</f>
        <v>#N/A</v>
      </c>
      <c r="L1004" s="43" t="e">
        <f>VLOOKUP($A1004,'[2]Team lists'!$A$2:$L$800,11,FALSE)</f>
        <v>#N/A</v>
      </c>
    </row>
    <row r="1005" spans="2:13">
      <c r="B1005" s="43" t="e">
        <f>VLOOKUP($A1005,'[2]Team lists'!$A$2:$L$800,2,FALSE)</f>
        <v>#N/A</v>
      </c>
      <c r="C1005" s="43" t="e">
        <f>VLOOKUP($A1005,'[2]Team lists'!$A$2:$L$800,3,FALSE)</f>
        <v>#N/A</v>
      </c>
      <c r="D1005" s="43" t="e">
        <f>VLOOKUP($A1005,'[2]Team lists'!$A$2:$L$800,4,FALSE)</f>
        <v>#N/A</v>
      </c>
      <c r="E1005" s="43" t="e">
        <f>VLOOKUP($A1005,'[2]Team lists'!$A$2:$L$800,5,FALSE)</f>
        <v>#N/A</v>
      </c>
      <c r="F1005" s="43" t="e">
        <f>VLOOKUP($A1005,'[2]Team lists'!$A$2:$L$800,6,FALSE)</f>
        <v>#N/A</v>
      </c>
      <c r="G1005" s="43" t="e">
        <f>VLOOKUP($A1005,'[2]Team lists'!$A$2:$L$800,7,FALSE)</f>
        <v>#N/A</v>
      </c>
      <c r="H1005" s="43" t="e">
        <f>VLOOKUP($A1005,'[2]Team lists'!$A$2:$L$800,8,FALSE)</f>
        <v>#N/A</v>
      </c>
      <c r="I1005" s="43" t="e">
        <f>VLOOKUP($A1005,'[2]Team lists'!$A$2:$L$800,9,FALSE)</f>
        <v>#N/A</v>
      </c>
      <c r="J1005" s="43" t="e">
        <f>VLOOKUP($A1005,'[2]Team lists'!$A$2:$L$800,9,FALSE)</f>
        <v>#N/A</v>
      </c>
      <c r="K1005" s="43" t="e">
        <f>VLOOKUP($A1005,'[2]Team lists'!$A$2:$L$800,10,FALSE)</f>
        <v>#N/A</v>
      </c>
      <c r="L1005" s="43" t="e">
        <f>VLOOKUP($A1005,'[2]Team lists'!$A$2:$L$800,11,FALSE)</f>
        <v>#N/A</v>
      </c>
    </row>
    <row r="1006" spans="2:13">
      <c r="B1006" s="43" t="e">
        <f>VLOOKUP($A1006,'[2]Team lists'!$A$2:$L$800,2,FALSE)</f>
        <v>#N/A</v>
      </c>
      <c r="C1006" s="43" t="e">
        <f>VLOOKUP($A1006,'[2]Team lists'!$A$2:$L$800,3,FALSE)</f>
        <v>#N/A</v>
      </c>
      <c r="D1006" s="43" t="e">
        <f>VLOOKUP($A1006,'[2]Team lists'!$A$2:$L$800,4,FALSE)</f>
        <v>#N/A</v>
      </c>
      <c r="E1006" s="43" t="e">
        <f>VLOOKUP($A1006,'[2]Team lists'!$A$2:$L$800,5,FALSE)</f>
        <v>#N/A</v>
      </c>
      <c r="F1006" s="43" t="e">
        <f>VLOOKUP($A1006,'[2]Team lists'!$A$2:$L$800,6,FALSE)</f>
        <v>#N/A</v>
      </c>
      <c r="G1006" s="43" t="e">
        <f>VLOOKUP($A1006,'[2]Team lists'!$A$2:$L$800,7,FALSE)</f>
        <v>#N/A</v>
      </c>
      <c r="H1006" s="43" t="e">
        <f>VLOOKUP($A1006,'[2]Team lists'!$A$2:$L$800,8,FALSE)</f>
        <v>#N/A</v>
      </c>
      <c r="I1006" s="43" t="e">
        <f>VLOOKUP($A1006,'[2]Team lists'!$A$2:$L$800,9,FALSE)</f>
        <v>#N/A</v>
      </c>
      <c r="J1006" s="43" t="e">
        <f>VLOOKUP($A1006,'[2]Team lists'!$A$2:$L$800,9,FALSE)</f>
        <v>#N/A</v>
      </c>
      <c r="K1006" s="43" t="e">
        <f>VLOOKUP($A1006,'[2]Team lists'!$A$2:$L$800,10,FALSE)</f>
        <v>#N/A</v>
      </c>
      <c r="L1006" s="43" t="e">
        <f>VLOOKUP($A1006,'[2]Team lists'!$A$2:$L$800,11,FALSE)</f>
        <v>#N/A</v>
      </c>
    </row>
    <row r="1007" spans="2:13" ht="18" thickBot="1">
      <c r="B1007" s="45" t="s">
        <v>3210</v>
      </c>
      <c r="C1007" s="46"/>
      <c r="D1007" s="47"/>
      <c r="E1007" s="48" t="e">
        <f t="shared" ref="E1007:L1007" si="62">SUM(E996:E1006)</f>
        <v>#N/A</v>
      </c>
      <c r="F1007" s="49" t="e">
        <f t="shared" si="62"/>
        <v>#N/A</v>
      </c>
      <c r="G1007" s="49" t="e">
        <f t="shared" si="62"/>
        <v>#N/A</v>
      </c>
      <c r="H1007" s="49" t="e">
        <f t="shared" si="62"/>
        <v>#N/A</v>
      </c>
      <c r="I1007" s="49" t="e">
        <f t="shared" si="62"/>
        <v>#N/A</v>
      </c>
      <c r="J1007" s="49" t="e">
        <f t="shared" si="62"/>
        <v>#N/A</v>
      </c>
      <c r="K1007" s="49" t="e">
        <f t="shared" si="62"/>
        <v>#N/A</v>
      </c>
      <c r="L1007" s="50" t="e">
        <f t="shared" si="62"/>
        <v>#N/A</v>
      </c>
    </row>
    <row r="1008" spans="2:13" ht="18.600000000000001" thickTop="1" thickBot="1"/>
    <row r="1009" spans="2:13" ht="18" thickTop="1">
      <c r="B1009" s="23" t="s">
        <v>3204</v>
      </c>
      <c r="C1009" s="24" t="s">
        <v>3205</v>
      </c>
      <c r="D1009" s="25"/>
      <c r="E1009" s="25"/>
      <c r="F1009" s="53"/>
      <c r="G1009" s="28" t="s">
        <v>3206</v>
      </c>
      <c r="H1009" s="54"/>
      <c r="I1009" s="54"/>
      <c r="J1009" s="54"/>
      <c r="K1009" s="28" t="s">
        <v>3207</v>
      </c>
      <c r="L1009" s="29"/>
      <c r="M1009" s="22" t="str">
        <f>G1009</f>
        <v>Manager:</v>
      </c>
    </row>
    <row r="1010" spans="2:13" ht="18" thickBot="1">
      <c r="B1010" s="30">
        <v>64</v>
      </c>
      <c r="C1010" s="57"/>
      <c r="D1010" s="31"/>
      <c r="E1010" s="31"/>
      <c r="F1010" s="33"/>
      <c r="G1010" s="55"/>
      <c r="H1010" s="55"/>
      <c r="I1010" s="55"/>
      <c r="J1010" s="55"/>
      <c r="K1010" s="34" t="e">
        <f>SUM(F1023:L1023)</f>
        <v>#N/A</v>
      </c>
      <c r="L1010" s="35"/>
      <c r="M1010" s="22">
        <f>G1010</f>
        <v>0</v>
      </c>
    </row>
    <row r="1011" spans="2:13" ht="18.600000000000001" thickTop="1">
      <c r="B1011" s="58" t="s">
        <v>913</v>
      </c>
      <c r="C1011" s="59" t="s">
        <v>912</v>
      </c>
      <c r="D1011" s="60" t="s">
        <v>911</v>
      </c>
      <c r="E1011" s="61" t="s">
        <v>3209</v>
      </c>
      <c r="F1011" s="62" t="s">
        <v>3162</v>
      </c>
      <c r="G1011" s="62" t="s">
        <v>3163</v>
      </c>
      <c r="H1011" s="62" t="s">
        <v>3164</v>
      </c>
      <c r="I1011" s="62" t="s">
        <v>3165</v>
      </c>
      <c r="J1011" s="62" t="s">
        <v>3166</v>
      </c>
      <c r="K1011" s="62" t="s">
        <v>3167</v>
      </c>
      <c r="L1011" s="63" t="s">
        <v>3168</v>
      </c>
    </row>
    <row r="1012" spans="2:13">
      <c r="B1012" s="43" t="e">
        <f>VLOOKUP($A1012,'[2]Team lists'!$A$2:$L$800,2,FALSE)</f>
        <v>#N/A</v>
      </c>
      <c r="C1012" s="43" t="e">
        <f>VLOOKUP($A1012,'[2]Team lists'!$A$2:$L$800,3,FALSE)</f>
        <v>#N/A</v>
      </c>
      <c r="D1012" s="43" t="e">
        <f>VLOOKUP($A1012,'[2]Team lists'!$A$2:$L$800,4,FALSE)</f>
        <v>#N/A</v>
      </c>
      <c r="E1012" s="43" t="e">
        <f>VLOOKUP($A1012,'[2]Team lists'!$A$2:$L$800,5,FALSE)</f>
        <v>#N/A</v>
      </c>
      <c r="F1012" s="43" t="e">
        <f>VLOOKUP($A1012,'[2]Team lists'!$A$2:$L$800,6,FALSE)</f>
        <v>#N/A</v>
      </c>
      <c r="G1012" s="43" t="e">
        <f>VLOOKUP($A1012,'[2]Team lists'!$A$2:$L$800,7,FALSE)</f>
        <v>#N/A</v>
      </c>
      <c r="H1012" s="43" t="e">
        <f>VLOOKUP($A1012,'[2]Team lists'!$A$2:$L$800,8,FALSE)</f>
        <v>#N/A</v>
      </c>
      <c r="I1012" s="43" t="e">
        <f>VLOOKUP($A1012,'[2]Team lists'!$A$2:$L$800,9,FALSE)</f>
        <v>#N/A</v>
      </c>
      <c r="J1012" s="43" t="e">
        <f>VLOOKUP($A1012,'[2]Team lists'!$A$2:$L$800,9,FALSE)</f>
        <v>#N/A</v>
      </c>
      <c r="K1012" s="43" t="e">
        <f>VLOOKUP($A1012,'[2]Team lists'!$A$2:$L$800,10,FALSE)</f>
        <v>#N/A</v>
      </c>
      <c r="L1012" s="43" t="e">
        <f>VLOOKUP($A1012,'[2]Team lists'!$A$2:$L$800,11,FALSE)</f>
        <v>#N/A</v>
      </c>
    </row>
    <row r="1013" spans="2:13">
      <c r="B1013" s="43" t="e">
        <f>VLOOKUP($A1013,'[2]Team lists'!$A$2:$L$800,2,FALSE)</f>
        <v>#N/A</v>
      </c>
      <c r="C1013" s="43" t="e">
        <f>VLOOKUP($A1013,'[2]Team lists'!$A$2:$L$800,3,FALSE)</f>
        <v>#N/A</v>
      </c>
      <c r="D1013" s="43" t="e">
        <f>VLOOKUP($A1013,'[2]Team lists'!$A$2:$L$800,4,FALSE)</f>
        <v>#N/A</v>
      </c>
      <c r="E1013" s="43" t="e">
        <f>VLOOKUP($A1013,'[2]Team lists'!$A$2:$L$800,5,FALSE)</f>
        <v>#N/A</v>
      </c>
      <c r="F1013" s="43" t="e">
        <f>VLOOKUP($A1013,'[2]Team lists'!$A$2:$L$800,6,FALSE)</f>
        <v>#N/A</v>
      </c>
      <c r="G1013" s="43" t="e">
        <f>VLOOKUP($A1013,'[2]Team lists'!$A$2:$L$800,7,FALSE)</f>
        <v>#N/A</v>
      </c>
      <c r="H1013" s="43" t="e">
        <f>VLOOKUP($A1013,'[2]Team lists'!$A$2:$L$800,8,FALSE)</f>
        <v>#N/A</v>
      </c>
      <c r="I1013" s="43" t="e">
        <f>VLOOKUP($A1013,'[2]Team lists'!$A$2:$L$800,9,FALSE)</f>
        <v>#N/A</v>
      </c>
      <c r="J1013" s="43" t="e">
        <f>VLOOKUP($A1013,'[2]Team lists'!$A$2:$L$800,9,FALSE)</f>
        <v>#N/A</v>
      </c>
      <c r="K1013" s="43" t="e">
        <f>VLOOKUP($A1013,'[2]Team lists'!$A$2:$L$800,10,FALSE)</f>
        <v>#N/A</v>
      </c>
      <c r="L1013" s="43" t="e">
        <f>VLOOKUP($A1013,'[2]Team lists'!$A$2:$L$800,11,FALSE)</f>
        <v>#N/A</v>
      </c>
    </row>
    <row r="1014" spans="2:13">
      <c r="B1014" s="43" t="e">
        <f>VLOOKUP($A1014,'[2]Team lists'!$A$2:$L$800,2,FALSE)</f>
        <v>#N/A</v>
      </c>
      <c r="C1014" s="43" t="e">
        <f>VLOOKUP($A1014,'[2]Team lists'!$A$2:$L$800,3,FALSE)</f>
        <v>#N/A</v>
      </c>
      <c r="D1014" s="43" t="e">
        <f>VLOOKUP($A1014,'[2]Team lists'!$A$2:$L$800,4,FALSE)</f>
        <v>#N/A</v>
      </c>
      <c r="E1014" s="43" t="e">
        <f>VLOOKUP($A1014,'[2]Team lists'!$A$2:$L$800,5,FALSE)</f>
        <v>#N/A</v>
      </c>
      <c r="F1014" s="43" t="e">
        <f>VLOOKUP($A1014,'[2]Team lists'!$A$2:$L$800,6,FALSE)</f>
        <v>#N/A</v>
      </c>
      <c r="G1014" s="43" t="e">
        <f>VLOOKUP($A1014,'[2]Team lists'!$A$2:$L$800,7,FALSE)</f>
        <v>#N/A</v>
      </c>
      <c r="H1014" s="43" t="e">
        <f>VLOOKUP($A1014,'[2]Team lists'!$A$2:$L$800,8,FALSE)</f>
        <v>#N/A</v>
      </c>
      <c r="I1014" s="43" t="e">
        <f>VLOOKUP($A1014,'[2]Team lists'!$A$2:$L$800,9,FALSE)</f>
        <v>#N/A</v>
      </c>
      <c r="J1014" s="43" t="e">
        <f>VLOOKUP($A1014,'[2]Team lists'!$A$2:$L$800,9,FALSE)</f>
        <v>#N/A</v>
      </c>
      <c r="K1014" s="43" t="e">
        <f>VLOOKUP($A1014,'[2]Team lists'!$A$2:$L$800,10,FALSE)</f>
        <v>#N/A</v>
      </c>
      <c r="L1014" s="43" t="e">
        <f>VLOOKUP($A1014,'[2]Team lists'!$A$2:$L$800,11,FALSE)</f>
        <v>#N/A</v>
      </c>
    </row>
    <row r="1015" spans="2:13">
      <c r="B1015" s="43" t="e">
        <f>VLOOKUP($A1015,'[2]Team lists'!$A$2:$L$800,2,FALSE)</f>
        <v>#N/A</v>
      </c>
      <c r="C1015" s="43" t="e">
        <f>VLOOKUP($A1015,'[2]Team lists'!$A$2:$L$800,3,FALSE)</f>
        <v>#N/A</v>
      </c>
      <c r="D1015" s="43" t="e">
        <f>VLOOKUP($A1015,'[2]Team lists'!$A$2:$L$800,4,FALSE)</f>
        <v>#N/A</v>
      </c>
      <c r="E1015" s="43" t="e">
        <f>VLOOKUP($A1015,'[2]Team lists'!$A$2:$L$800,5,FALSE)</f>
        <v>#N/A</v>
      </c>
      <c r="F1015" s="43" t="e">
        <f>VLOOKUP($A1015,'[2]Team lists'!$A$2:$L$800,6,FALSE)</f>
        <v>#N/A</v>
      </c>
      <c r="G1015" s="43" t="e">
        <f>VLOOKUP($A1015,'[2]Team lists'!$A$2:$L$800,7,FALSE)</f>
        <v>#N/A</v>
      </c>
      <c r="H1015" s="43" t="e">
        <f>VLOOKUP($A1015,'[2]Team lists'!$A$2:$L$800,8,FALSE)</f>
        <v>#N/A</v>
      </c>
      <c r="I1015" s="43" t="e">
        <f>VLOOKUP($A1015,'[2]Team lists'!$A$2:$L$800,9,FALSE)</f>
        <v>#N/A</v>
      </c>
      <c r="J1015" s="43" t="e">
        <f>VLOOKUP($A1015,'[2]Team lists'!$A$2:$L$800,9,FALSE)</f>
        <v>#N/A</v>
      </c>
      <c r="K1015" s="43" t="e">
        <f>VLOOKUP($A1015,'[2]Team lists'!$A$2:$L$800,10,FALSE)</f>
        <v>#N/A</v>
      </c>
      <c r="L1015" s="43" t="e">
        <f>VLOOKUP($A1015,'[2]Team lists'!$A$2:$L$800,11,FALSE)</f>
        <v>#N/A</v>
      </c>
    </row>
    <row r="1016" spans="2:13">
      <c r="B1016" s="43" t="e">
        <f>VLOOKUP($A1016,'[2]Team lists'!$A$2:$L$800,2,FALSE)</f>
        <v>#N/A</v>
      </c>
      <c r="C1016" s="43" t="e">
        <f>VLOOKUP($A1016,'[2]Team lists'!$A$2:$L$800,3,FALSE)</f>
        <v>#N/A</v>
      </c>
      <c r="D1016" s="43" t="e">
        <f>VLOOKUP($A1016,'[2]Team lists'!$A$2:$L$800,4,FALSE)</f>
        <v>#N/A</v>
      </c>
      <c r="E1016" s="43" t="e">
        <f>VLOOKUP($A1016,'[2]Team lists'!$A$2:$L$800,5,FALSE)</f>
        <v>#N/A</v>
      </c>
      <c r="F1016" s="43" t="e">
        <f>VLOOKUP($A1016,'[2]Team lists'!$A$2:$L$800,6,FALSE)</f>
        <v>#N/A</v>
      </c>
      <c r="G1016" s="43" t="e">
        <f>VLOOKUP($A1016,'[2]Team lists'!$A$2:$L$800,7,FALSE)</f>
        <v>#N/A</v>
      </c>
      <c r="H1016" s="43" t="e">
        <f>VLOOKUP($A1016,'[2]Team lists'!$A$2:$L$800,8,FALSE)</f>
        <v>#N/A</v>
      </c>
      <c r="I1016" s="43" t="e">
        <f>VLOOKUP($A1016,'[2]Team lists'!$A$2:$L$800,9,FALSE)</f>
        <v>#N/A</v>
      </c>
      <c r="J1016" s="43" t="e">
        <f>VLOOKUP($A1016,'[2]Team lists'!$A$2:$L$800,9,FALSE)</f>
        <v>#N/A</v>
      </c>
      <c r="K1016" s="43" t="e">
        <f>VLOOKUP($A1016,'[2]Team lists'!$A$2:$L$800,10,FALSE)</f>
        <v>#N/A</v>
      </c>
      <c r="L1016" s="43" t="e">
        <f>VLOOKUP($A1016,'[2]Team lists'!$A$2:$L$800,11,FALSE)</f>
        <v>#N/A</v>
      </c>
    </row>
    <row r="1017" spans="2:13">
      <c r="B1017" s="43" t="e">
        <f>VLOOKUP($A1017,'[2]Team lists'!$A$2:$L$800,2,FALSE)</f>
        <v>#N/A</v>
      </c>
      <c r="C1017" s="43" t="e">
        <f>VLOOKUP($A1017,'[2]Team lists'!$A$2:$L$800,3,FALSE)</f>
        <v>#N/A</v>
      </c>
      <c r="D1017" s="43" t="e">
        <f>VLOOKUP($A1017,'[2]Team lists'!$A$2:$L$800,4,FALSE)</f>
        <v>#N/A</v>
      </c>
      <c r="E1017" s="43" t="e">
        <f>VLOOKUP($A1017,'[2]Team lists'!$A$2:$L$800,5,FALSE)</f>
        <v>#N/A</v>
      </c>
      <c r="F1017" s="43" t="e">
        <f>VLOOKUP($A1017,'[2]Team lists'!$A$2:$L$800,6,FALSE)</f>
        <v>#N/A</v>
      </c>
      <c r="G1017" s="43" t="e">
        <f>VLOOKUP($A1017,'[2]Team lists'!$A$2:$L$800,7,FALSE)</f>
        <v>#N/A</v>
      </c>
      <c r="H1017" s="43" t="e">
        <f>VLOOKUP($A1017,'[2]Team lists'!$A$2:$L$800,8,FALSE)</f>
        <v>#N/A</v>
      </c>
      <c r="I1017" s="43" t="e">
        <f>VLOOKUP($A1017,'[2]Team lists'!$A$2:$L$800,9,FALSE)</f>
        <v>#N/A</v>
      </c>
      <c r="J1017" s="43" t="e">
        <f>VLOOKUP($A1017,'[2]Team lists'!$A$2:$L$800,9,FALSE)</f>
        <v>#N/A</v>
      </c>
      <c r="K1017" s="43" t="e">
        <f>VLOOKUP($A1017,'[2]Team lists'!$A$2:$L$800,10,FALSE)</f>
        <v>#N/A</v>
      </c>
      <c r="L1017" s="43" t="e">
        <f>VLOOKUP($A1017,'[2]Team lists'!$A$2:$L$800,11,FALSE)</f>
        <v>#N/A</v>
      </c>
    </row>
    <row r="1018" spans="2:13">
      <c r="B1018" s="43" t="e">
        <f>VLOOKUP($A1018,'[2]Team lists'!$A$2:$L$800,2,FALSE)</f>
        <v>#N/A</v>
      </c>
      <c r="C1018" s="43" t="e">
        <f>VLOOKUP($A1018,'[2]Team lists'!$A$2:$L$800,3,FALSE)</f>
        <v>#N/A</v>
      </c>
      <c r="D1018" s="43" t="e">
        <f>VLOOKUP($A1018,'[2]Team lists'!$A$2:$L$800,4,FALSE)</f>
        <v>#N/A</v>
      </c>
      <c r="E1018" s="43" t="e">
        <f>VLOOKUP($A1018,'[2]Team lists'!$A$2:$L$800,5,FALSE)</f>
        <v>#N/A</v>
      </c>
      <c r="F1018" s="43" t="e">
        <f>VLOOKUP($A1018,'[2]Team lists'!$A$2:$L$800,6,FALSE)</f>
        <v>#N/A</v>
      </c>
      <c r="G1018" s="43" t="e">
        <f>VLOOKUP($A1018,'[2]Team lists'!$A$2:$L$800,7,FALSE)</f>
        <v>#N/A</v>
      </c>
      <c r="H1018" s="43" t="e">
        <f>VLOOKUP($A1018,'[2]Team lists'!$A$2:$L$800,8,FALSE)</f>
        <v>#N/A</v>
      </c>
      <c r="I1018" s="43" t="e">
        <f>VLOOKUP($A1018,'[2]Team lists'!$A$2:$L$800,9,FALSE)</f>
        <v>#N/A</v>
      </c>
      <c r="J1018" s="43" t="e">
        <f>VLOOKUP($A1018,'[2]Team lists'!$A$2:$L$800,9,FALSE)</f>
        <v>#N/A</v>
      </c>
      <c r="K1018" s="43" t="e">
        <f>VLOOKUP($A1018,'[2]Team lists'!$A$2:$L$800,10,FALSE)</f>
        <v>#N/A</v>
      </c>
      <c r="L1018" s="43" t="e">
        <f>VLOOKUP($A1018,'[2]Team lists'!$A$2:$L$800,11,FALSE)</f>
        <v>#N/A</v>
      </c>
    </row>
    <row r="1019" spans="2:13">
      <c r="B1019" s="43" t="e">
        <f>VLOOKUP($A1019,'[2]Team lists'!$A$2:$L$800,2,FALSE)</f>
        <v>#N/A</v>
      </c>
      <c r="C1019" s="43" t="e">
        <f>VLOOKUP($A1019,'[2]Team lists'!$A$2:$L$800,3,FALSE)</f>
        <v>#N/A</v>
      </c>
      <c r="D1019" s="43" t="e">
        <f>VLOOKUP($A1019,'[2]Team lists'!$A$2:$L$800,4,FALSE)</f>
        <v>#N/A</v>
      </c>
      <c r="E1019" s="43" t="e">
        <f>VLOOKUP($A1019,'[2]Team lists'!$A$2:$L$800,5,FALSE)</f>
        <v>#N/A</v>
      </c>
      <c r="F1019" s="43" t="e">
        <f>VLOOKUP($A1019,'[2]Team lists'!$A$2:$L$800,6,FALSE)</f>
        <v>#N/A</v>
      </c>
      <c r="G1019" s="43" t="e">
        <f>VLOOKUP($A1019,'[2]Team lists'!$A$2:$L$800,7,FALSE)</f>
        <v>#N/A</v>
      </c>
      <c r="H1019" s="43" t="e">
        <f>VLOOKUP($A1019,'[2]Team lists'!$A$2:$L$800,8,FALSE)</f>
        <v>#N/A</v>
      </c>
      <c r="I1019" s="43" t="e">
        <f>VLOOKUP($A1019,'[2]Team lists'!$A$2:$L$800,9,FALSE)</f>
        <v>#N/A</v>
      </c>
      <c r="J1019" s="43" t="e">
        <f>VLOOKUP($A1019,'[2]Team lists'!$A$2:$L$800,9,FALSE)</f>
        <v>#N/A</v>
      </c>
      <c r="K1019" s="43" t="e">
        <f>VLOOKUP($A1019,'[2]Team lists'!$A$2:$L$800,10,FALSE)</f>
        <v>#N/A</v>
      </c>
      <c r="L1019" s="43" t="e">
        <f>VLOOKUP($A1019,'[2]Team lists'!$A$2:$L$800,11,FALSE)</f>
        <v>#N/A</v>
      </c>
    </row>
    <row r="1020" spans="2:13">
      <c r="B1020" s="43" t="e">
        <f>VLOOKUP($A1020,'[2]Team lists'!$A$2:$L$800,2,FALSE)</f>
        <v>#N/A</v>
      </c>
      <c r="C1020" s="43" t="e">
        <f>VLOOKUP($A1020,'[2]Team lists'!$A$2:$L$800,3,FALSE)</f>
        <v>#N/A</v>
      </c>
      <c r="D1020" s="43" t="e">
        <f>VLOOKUP($A1020,'[2]Team lists'!$A$2:$L$800,4,FALSE)</f>
        <v>#N/A</v>
      </c>
      <c r="E1020" s="43" t="e">
        <f>VLOOKUP($A1020,'[2]Team lists'!$A$2:$L$800,5,FALSE)</f>
        <v>#N/A</v>
      </c>
      <c r="F1020" s="43" t="e">
        <f>VLOOKUP($A1020,'[2]Team lists'!$A$2:$L$800,6,FALSE)</f>
        <v>#N/A</v>
      </c>
      <c r="G1020" s="43" t="e">
        <f>VLOOKUP($A1020,'[2]Team lists'!$A$2:$L$800,7,FALSE)</f>
        <v>#N/A</v>
      </c>
      <c r="H1020" s="43" t="e">
        <f>VLOOKUP($A1020,'[2]Team lists'!$A$2:$L$800,8,FALSE)</f>
        <v>#N/A</v>
      </c>
      <c r="I1020" s="43" t="e">
        <f>VLOOKUP($A1020,'[2]Team lists'!$A$2:$L$800,9,FALSE)</f>
        <v>#N/A</v>
      </c>
      <c r="J1020" s="43" t="e">
        <f>VLOOKUP($A1020,'[2]Team lists'!$A$2:$L$800,9,FALSE)</f>
        <v>#N/A</v>
      </c>
      <c r="K1020" s="43" t="e">
        <f>VLOOKUP($A1020,'[2]Team lists'!$A$2:$L$800,10,FALSE)</f>
        <v>#N/A</v>
      </c>
      <c r="L1020" s="43" t="e">
        <f>VLOOKUP($A1020,'[2]Team lists'!$A$2:$L$800,11,FALSE)</f>
        <v>#N/A</v>
      </c>
    </row>
    <row r="1021" spans="2:13">
      <c r="B1021" s="43" t="e">
        <f>VLOOKUP($A1021,'[2]Team lists'!$A$2:$L$800,2,FALSE)</f>
        <v>#N/A</v>
      </c>
      <c r="C1021" s="43" t="e">
        <f>VLOOKUP($A1021,'[2]Team lists'!$A$2:$L$800,3,FALSE)</f>
        <v>#N/A</v>
      </c>
      <c r="D1021" s="43" t="e">
        <f>VLOOKUP($A1021,'[2]Team lists'!$A$2:$L$800,4,FALSE)</f>
        <v>#N/A</v>
      </c>
      <c r="E1021" s="43" t="e">
        <f>VLOOKUP($A1021,'[2]Team lists'!$A$2:$L$800,5,FALSE)</f>
        <v>#N/A</v>
      </c>
      <c r="F1021" s="43" t="e">
        <f>VLOOKUP($A1021,'[2]Team lists'!$A$2:$L$800,6,FALSE)</f>
        <v>#N/A</v>
      </c>
      <c r="G1021" s="43" t="e">
        <f>VLOOKUP($A1021,'[2]Team lists'!$A$2:$L$800,7,FALSE)</f>
        <v>#N/A</v>
      </c>
      <c r="H1021" s="43" t="e">
        <f>VLOOKUP($A1021,'[2]Team lists'!$A$2:$L$800,8,FALSE)</f>
        <v>#N/A</v>
      </c>
      <c r="I1021" s="43" t="e">
        <f>VLOOKUP($A1021,'[2]Team lists'!$A$2:$L$800,9,FALSE)</f>
        <v>#N/A</v>
      </c>
      <c r="J1021" s="43" t="e">
        <f>VLOOKUP($A1021,'[2]Team lists'!$A$2:$L$800,9,FALSE)</f>
        <v>#N/A</v>
      </c>
      <c r="K1021" s="43" t="e">
        <f>VLOOKUP($A1021,'[2]Team lists'!$A$2:$L$800,10,FALSE)</f>
        <v>#N/A</v>
      </c>
      <c r="L1021" s="43" t="e">
        <f>VLOOKUP($A1021,'[2]Team lists'!$A$2:$L$800,11,FALSE)</f>
        <v>#N/A</v>
      </c>
    </row>
    <row r="1022" spans="2:13">
      <c r="B1022" s="43" t="e">
        <f>VLOOKUP($A1022,'[2]Team lists'!$A$2:$L$800,2,FALSE)</f>
        <v>#N/A</v>
      </c>
      <c r="C1022" s="43" t="e">
        <f>VLOOKUP($A1022,'[2]Team lists'!$A$2:$L$800,3,FALSE)</f>
        <v>#N/A</v>
      </c>
      <c r="D1022" s="43" t="e">
        <f>VLOOKUP($A1022,'[2]Team lists'!$A$2:$L$800,4,FALSE)</f>
        <v>#N/A</v>
      </c>
      <c r="E1022" s="43" t="e">
        <f>VLOOKUP($A1022,'[2]Team lists'!$A$2:$L$800,5,FALSE)</f>
        <v>#N/A</v>
      </c>
      <c r="F1022" s="43" t="e">
        <f>VLOOKUP($A1022,'[2]Team lists'!$A$2:$L$800,6,FALSE)</f>
        <v>#N/A</v>
      </c>
      <c r="G1022" s="43" t="e">
        <f>VLOOKUP($A1022,'[2]Team lists'!$A$2:$L$800,7,FALSE)</f>
        <v>#N/A</v>
      </c>
      <c r="H1022" s="43" t="e">
        <f>VLOOKUP($A1022,'[2]Team lists'!$A$2:$L$800,8,FALSE)</f>
        <v>#N/A</v>
      </c>
      <c r="I1022" s="43" t="e">
        <f>VLOOKUP($A1022,'[2]Team lists'!$A$2:$L$800,9,FALSE)</f>
        <v>#N/A</v>
      </c>
      <c r="J1022" s="43" t="e">
        <f>VLOOKUP($A1022,'[2]Team lists'!$A$2:$L$800,9,FALSE)</f>
        <v>#N/A</v>
      </c>
      <c r="K1022" s="43" t="e">
        <f>VLOOKUP($A1022,'[2]Team lists'!$A$2:$L$800,10,FALSE)</f>
        <v>#N/A</v>
      </c>
      <c r="L1022" s="43" t="e">
        <f>VLOOKUP($A1022,'[2]Team lists'!$A$2:$L$800,11,FALSE)</f>
        <v>#N/A</v>
      </c>
    </row>
    <row r="1023" spans="2:13" ht="18" thickBot="1">
      <c r="B1023" s="45" t="s">
        <v>3210</v>
      </c>
      <c r="C1023" s="46"/>
      <c r="D1023" s="47"/>
      <c r="E1023" s="48" t="e">
        <f t="shared" ref="E1023:L1023" si="63">SUM(E1012:E1022)</f>
        <v>#N/A</v>
      </c>
      <c r="F1023" s="49" t="e">
        <f t="shared" si="63"/>
        <v>#N/A</v>
      </c>
      <c r="G1023" s="49" t="e">
        <f t="shared" si="63"/>
        <v>#N/A</v>
      </c>
      <c r="H1023" s="49" t="e">
        <f t="shared" si="63"/>
        <v>#N/A</v>
      </c>
      <c r="I1023" s="49" t="e">
        <f t="shared" si="63"/>
        <v>#N/A</v>
      </c>
      <c r="J1023" s="49" t="e">
        <f t="shared" si="63"/>
        <v>#N/A</v>
      </c>
      <c r="K1023" s="49" t="e">
        <f t="shared" si="63"/>
        <v>#N/A</v>
      </c>
      <c r="L1023" s="50" t="e">
        <f t="shared" si="63"/>
        <v>#N/A</v>
      </c>
    </row>
    <row r="1024" spans="2:13" ht="18.600000000000001" thickTop="1" thickBot="1"/>
    <row r="1025" spans="2:13" ht="18" thickTop="1">
      <c r="B1025" s="23" t="s">
        <v>3204</v>
      </c>
      <c r="C1025" s="24" t="s">
        <v>3205</v>
      </c>
      <c r="D1025" s="25"/>
      <c r="E1025" s="25"/>
      <c r="F1025" s="53"/>
      <c r="G1025" s="28" t="s">
        <v>3206</v>
      </c>
      <c r="H1025" s="54"/>
      <c r="I1025" s="54"/>
      <c r="J1025" s="54"/>
      <c r="K1025" s="28" t="s">
        <v>3207</v>
      </c>
      <c r="L1025" s="29"/>
      <c r="M1025" s="22" t="str">
        <f>G1025</f>
        <v>Manager:</v>
      </c>
    </row>
    <row r="1026" spans="2:13" ht="18" thickBot="1">
      <c r="B1026" s="30">
        <v>65</v>
      </c>
      <c r="C1026" s="57"/>
      <c r="D1026" s="31"/>
      <c r="E1026" s="31"/>
      <c r="F1026" s="33"/>
      <c r="G1026" s="55"/>
      <c r="H1026" s="55"/>
      <c r="I1026" s="55"/>
      <c r="J1026" s="55"/>
      <c r="K1026" s="34" t="e">
        <f>SUM(F1039:L1039)</f>
        <v>#N/A</v>
      </c>
      <c r="L1026" s="35"/>
      <c r="M1026" s="22">
        <f>G1026</f>
        <v>0</v>
      </c>
    </row>
    <row r="1027" spans="2:13" ht="18.600000000000001" thickTop="1">
      <c r="B1027" s="58" t="s">
        <v>913</v>
      </c>
      <c r="C1027" s="59" t="s">
        <v>912</v>
      </c>
      <c r="D1027" s="60" t="s">
        <v>911</v>
      </c>
      <c r="E1027" s="61" t="s">
        <v>3209</v>
      </c>
      <c r="F1027" s="62" t="s">
        <v>3162</v>
      </c>
      <c r="G1027" s="62" t="s">
        <v>3163</v>
      </c>
      <c r="H1027" s="62" t="s">
        <v>3164</v>
      </c>
      <c r="I1027" s="62" t="s">
        <v>3165</v>
      </c>
      <c r="J1027" s="62" t="s">
        <v>3166</v>
      </c>
      <c r="K1027" s="62" t="s">
        <v>3167</v>
      </c>
      <c r="L1027" s="63" t="s">
        <v>3168</v>
      </c>
    </row>
    <row r="1028" spans="2:13">
      <c r="B1028" s="43" t="e">
        <f>VLOOKUP($A1028,'[2]Team lists'!$A$2:$L$800,2,FALSE)</f>
        <v>#N/A</v>
      </c>
      <c r="C1028" s="43" t="e">
        <f>VLOOKUP($A1028,'[2]Team lists'!$A$2:$L$800,3,FALSE)</f>
        <v>#N/A</v>
      </c>
      <c r="D1028" s="43" t="e">
        <f>VLOOKUP($A1028,'[2]Team lists'!$A$2:$L$800,4,FALSE)</f>
        <v>#N/A</v>
      </c>
      <c r="E1028" s="43" t="e">
        <f>VLOOKUP($A1028,'[2]Team lists'!$A$2:$L$800,5,FALSE)</f>
        <v>#N/A</v>
      </c>
      <c r="F1028" s="43" t="e">
        <f>VLOOKUP($A1028,'[2]Team lists'!$A$2:$L$800,6,FALSE)</f>
        <v>#N/A</v>
      </c>
      <c r="G1028" s="43" t="e">
        <f>VLOOKUP($A1028,'[2]Team lists'!$A$2:$L$800,7,FALSE)</f>
        <v>#N/A</v>
      </c>
      <c r="H1028" s="43" t="e">
        <f>VLOOKUP($A1028,'[2]Team lists'!$A$2:$L$800,8,FALSE)</f>
        <v>#N/A</v>
      </c>
      <c r="I1028" s="43" t="e">
        <f>VLOOKUP($A1028,'[2]Team lists'!$A$2:$L$800,9,FALSE)</f>
        <v>#N/A</v>
      </c>
      <c r="J1028" s="43" t="e">
        <f>VLOOKUP($A1028,'[2]Team lists'!$A$2:$L$800,9,FALSE)</f>
        <v>#N/A</v>
      </c>
      <c r="K1028" s="43" t="e">
        <f>VLOOKUP($A1028,'[2]Team lists'!$A$2:$L$800,10,FALSE)</f>
        <v>#N/A</v>
      </c>
      <c r="L1028" s="43" t="e">
        <f>VLOOKUP($A1028,'[2]Team lists'!$A$2:$L$800,11,FALSE)</f>
        <v>#N/A</v>
      </c>
    </row>
    <row r="1029" spans="2:13">
      <c r="B1029" s="43" t="e">
        <f>VLOOKUP($A1029,'[2]Team lists'!$A$2:$L$800,2,FALSE)</f>
        <v>#N/A</v>
      </c>
      <c r="C1029" s="43" t="e">
        <f>VLOOKUP($A1029,'[2]Team lists'!$A$2:$L$800,3,FALSE)</f>
        <v>#N/A</v>
      </c>
      <c r="D1029" s="43" t="e">
        <f>VLOOKUP($A1029,'[2]Team lists'!$A$2:$L$800,4,FALSE)</f>
        <v>#N/A</v>
      </c>
      <c r="E1029" s="43" t="e">
        <f>VLOOKUP($A1029,'[2]Team lists'!$A$2:$L$800,5,FALSE)</f>
        <v>#N/A</v>
      </c>
      <c r="F1029" s="43" t="e">
        <f>VLOOKUP($A1029,'[2]Team lists'!$A$2:$L$800,6,FALSE)</f>
        <v>#N/A</v>
      </c>
      <c r="G1029" s="43" t="e">
        <f>VLOOKUP($A1029,'[2]Team lists'!$A$2:$L$800,7,FALSE)</f>
        <v>#N/A</v>
      </c>
      <c r="H1029" s="43" t="e">
        <f>VLOOKUP($A1029,'[2]Team lists'!$A$2:$L$800,8,FALSE)</f>
        <v>#N/A</v>
      </c>
      <c r="I1029" s="43" t="e">
        <f>VLOOKUP($A1029,'[2]Team lists'!$A$2:$L$800,9,FALSE)</f>
        <v>#N/A</v>
      </c>
      <c r="J1029" s="43" t="e">
        <f>VLOOKUP($A1029,'[2]Team lists'!$A$2:$L$800,9,FALSE)</f>
        <v>#N/A</v>
      </c>
      <c r="K1029" s="43" t="e">
        <f>VLOOKUP($A1029,'[2]Team lists'!$A$2:$L$800,10,FALSE)</f>
        <v>#N/A</v>
      </c>
      <c r="L1029" s="43" t="e">
        <f>VLOOKUP($A1029,'[2]Team lists'!$A$2:$L$800,11,FALSE)</f>
        <v>#N/A</v>
      </c>
    </row>
    <row r="1030" spans="2:13">
      <c r="B1030" s="43" t="e">
        <f>VLOOKUP($A1030,'[2]Team lists'!$A$2:$L$800,2,FALSE)</f>
        <v>#N/A</v>
      </c>
      <c r="C1030" s="43" t="e">
        <f>VLOOKUP($A1030,'[2]Team lists'!$A$2:$L$800,3,FALSE)</f>
        <v>#N/A</v>
      </c>
      <c r="D1030" s="43" t="e">
        <f>VLOOKUP($A1030,'[2]Team lists'!$A$2:$L$800,4,FALSE)</f>
        <v>#N/A</v>
      </c>
      <c r="E1030" s="43" t="e">
        <f>VLOOKUP($A1030,'[2]Team lists'!$A$2:$L$800,5,FALSE)</f>
        <v>#N/A</v>
      </c>
      <c r="F1030" s="43" t="e">
        <f>VLOOKUP($A1030,'[2]Team lists'!$A$2:$L$800,6,FALSE)</f>
        <v>#N/A</v>
      </c>
      <c r="G1030" s="43" t="e">
        <f>VLOOKUP($A1030,'[2]Team lists'!$A$2:$L$800,7,FALSE)</f>
        <v>#N/A</v>
      </c>
      <c r="H1030" s="43" t="e">
        <f>VLOOKUP($A1030,'[2]Team lists'!$A$2:$L$800,8,FALSE)</f>
        <v>#N/A</v>
      </c>
      <c r="I1030" s="43" t="e">
        <f>VLOOKUP($A1030,'[2]Team lists'!$A$2:$L$800,9,FALSE)</f>
        <v>#N/A</v>
      </c>
      <c r="J1030" s="43" t="e">
        <f>VLOOKUP($A1030,'[2]Team lists'!$A$2:$L$800,9,FALSE)</f>
        <v>#N/A</v>
      </c>
      <c r="K1030" s="43" t="e">
        <f>VLOOKUP($A1030,'[2]Team lists'!$A$2:$L$800,10,FALSE)</f>
        <v>#N/A</v>
      </c>
      <c r="L1030" s="43" t="e">
        <f>VLOOKUP($A1030,'[2]Team lists'!$A$2:$L$800,11,FALSE)</f>
        <v>#N/A</v>
      </c>
    </row>
    <row r="1031" spans="2:13">
      <c r="B1031" s="43" t="e">
        <f>VLOOKUP($A1031,'[2]Team lists'!$A$2:$L$800,2,FALSE)</f>
        <v>#N/A</v>
      </c>
      <c r="C1031" s="43" t="e">
        <f>VLOOKUP($A1031,'[2]Team lists'!$A$2:$L$800,3,FALSE)</f>
        <v>#N/A</v>
      </c>
      <c r="D1031" s="43" t="e">
        <f>VLOOKUP($A1031,'[2]Team lists'!$A$2:$L$800,4,FALSE)</f>
        <v>#N/A</v>
      </c>
      <c r="E1031" s="43" t="e">
        <f>VLOOKUP($A1031,'[2]Team lists'!$A$2:$L$800,5,FALSE)</f>
        <v>#N/A</v>
      </c>
      <c r="F1031" s="43" t="e">
        <f>VLOOKUP($A1031,'[2]Team lists'!$A$2:$L$800,6,FALSE)</f>
        <v>#N/A</v>
      </c>
      <c r="G1031" s="43" t="e">
        <f>VLOOKUP($A1031,'[2]Team lists'!$A$2:$L$800,7,FALSE)</f>
        <v>#N/A</v>
      </c>
      <c r="H1031" s="43" t="e">
        <f>VLOOKUP($A1031,'[2]Team lists'!$A$2:$L$800,8,FALSE)</f>
        <v>#N/A</v>
      </c>
      <c r="I1031" s="43" t="e">
        <f>VLOOKUP($A1031,'[2]Team lists'!$A$2:$L$800,9,FALSE)</f>
        <v>#N/A</v>
      </c>
      <c r="J1031" s="43" t="e">
        <f>VLOOKUP($A1031,'[2]Team lists'!$A$2:$L$800,9,FALSE)</f>
        <v>#N/A</v>
      </c>
      <c r="K1031" s="43" t="e">
        <f>VLOOKUP($A1031,'[2]Team lists'!$A$2:$L$800,10,FALSE)</f>
        <v>#N/A</v>
      </c>
      <c r="L1031" s="43" t="e">
        <f>VLOOKUP($A1031,'[2]Team lists'!$A$2:$L$800,11,FALSE)</f>
        <v>#N/A</v>
      </c>
    </row>
    <row r="1032" spans="2:13">
      <c r="B1032" s="43" t="e">
        <f>VLOOKUP($A1032,'[2]Team lists'!$A$2:$L$800,2,FALSE)</f>
        <v>#N/A</v>
      </c>
      <c r="C1032" s="43" t="e">
        <f>VLOOKUP($A1032,'[2]Team lists'!$A$2:$L$800,3,FALSE)</f>
        <v>#N/A</v>
      </c>
      <c r="D1032" s="43" t="e">
        <f>VLOOKUP($A1032,'[2]Team lists'!$A$2:$L$800,4,FALSE)</f>
        <v>#N/A</v>
      </c>
      <c r="E1032" s="43" t="e">
        <f>VLOOKUP($A1032,'[2]Team lists'!$A$2:$L$800,5,FALSE)</f>
        <v>#N/A</v>
      </c>
      <c r="F1032" s="43" t="e">
        <f>VLOOKUP($A1032,'[2]Team lists'!$A$2:$L$800,6,FALSE)</f>
        <v>#N/A</v>
      </c>
      <c r="G1032" s="43" t="e">
        <f>VLOOKUP($A1032,'[2]Team lists'!$A$2:$L$800,7,FALSE)</f>
        <v>#N/A</v>
      </c>
      <c r="H1032" s="43" t="e">
        <f>VLOOKUP($A1032,'[2]Team lists'!$A$2:$L$800,8,FALSE)</f>
        <v>#N/A</v>
      </c>
      <c r="I1032" s="43" t="e">
        <f>VLOOKUP($A1032,'[2]Team lists'!$A$2:$L$800,9,FALSE)</f>
        <v>#N/A</v>
      </c>
      <c r="J1032" s="43" t="e">
        <f>VLOOKUP($A1032,'[2]Team lists'!$A$2:$L$800,9,FALSE)</f>
        <v>#N/A</v>
      </c>
      <c r="K1032" s="43" t="e">
        <f>VLOOKUP($A1032,'[2]Team lists'!$A$2:$L$800,10,FALSE)</f>
        <v>#N/A</v>
      </c>
      <c r="L1032" s="43" t="e">
        <f>VLOOKUP($A1032,'[2]Team lists'!$A$2:$L$800,11,FALSE)</f>
        <v>#N/A</v>
      </c>
    </row>
    <row r="1033" spans="2:13">
      <c r="B1033" s="43" t="e">
        <f>VLOOKUP($A1033,'[2]Team lists'!$A$2:$L$800,2,FALSE)</f>
        <v>#N/A</v>
      </c>
      <c r="C1033" s="43" t="e">
        <f>VLOOKUP($A1033,'[2]Team lists'!$A$2:$L$800,3,FALSE)</f>
        <v>#N/A</v>
      </c>
      <c r="D1033" s="43" t="e">
        <f>VLOOKUP($A1033,'[2]Team lists'!$A$2:$L$800,4,FALSE)</f>
        <v>#N/A</v>
      </c>
      <c r="E1033" s="43" t="e">
        <f>VLOOKUP($A1033,'[2]Team lists'!$A$2:$L$800,5,FALSE)</f>
        <v>#N/A</v>
      </c>
      <c r="F1033" s="43" t="e">
        <f>VLOOKUP($A1033,'[2]Team lists'!$A$2:$L$800,6,FALSE)</f>
        <v>#N/A</v>
      </c>
      <c r="G1033" s="43" t="e">
        <f>VLOOKUP($A1033,'[2]Team lists'!$A$2:$L$800,7,FALSE)</f>
        <v>#N/A</v>
      </c>
      <c r="H1033" s="43" t="e">
        <f>VLOOKUP($A1033,'[2]Team lists'!$A$2:$L$800,8,FALSE)</f>
        <v>#N/A</v>
      </c>
      <c r="I1033" s="43" t="e">
        <f>VLOOKUP($A1033,'[2]Team lists'!$A$2:$L$800,9,FALSE)</f>
        <v>#N/A</v>
      </c>
      <c r="J1033" s="43" t="e">
        <f>VLOOKUP($A1033,'[2]Team lists'!$A$2:$L$800,9,FALSE)</f>
        <v>#N/A</v>
      </c>
      <c r="K1033" s="43" t="e">
        <f>VLOOKUP($A1033,'[2]Team lists'!$A$2:$L$800,10,FALSE)</f>
        <v>#N/A</v>
      </c>
      <c r="L1033" s="43" t="e">
        <f>VLOOKUP($A1033,'[2]Team lists'!$A$2:$L$800,11,FALSE)</f>
        <v>#N/A</v>
      </c>
    </row>
    <row r="1034" spans="2:13">
      <c r="B1034" s="43" t="e">
        <f>VLOOKUP($A1034,'[2]Team lists'!$A$2:$L$800,2,FALSE)</f>
        <v>#N/A</v>
      </c>
      <c r="C1034" s="43" t="e">
        <f>VLOOKUP($A1034,'[2]Team lists'!$A$2:$L$800,3,FALSE)</f>
        <v>#N/A</v>
      </c>
      <c r="D1034" s="43" t="e">
        <f>VLOOKUP($A1034,'[2]Team lists'!$A$2:$L$800,4,FALSE)</f>
        <v>#N/A</v>
      </c>
      <c r="E1034" s="43" t="e">
        <f>VLOOKUP($A1034,'[2]Team lists'!$A$2:$L$800,5,FALSE)</f>
        <v>#N/A</v>
      </c>
      <c r="F1034" s="43" t="e">
        <f>VLOOKUP($A1034,'[2]Team lists'!$A$2:$L$800,6,FALSE)</f>
        <v>#N/A</v>
      </c>
      <c r="G1034" s="43" t="e">
        <f>VLOOKUP($A1034,'[2]Team lists'!$A$2:$L$800,7,FALSE)</f>
        <v>#N/A</v>
      </c>
      <c r="H1034" s="43" t="e">
        <f>VLOOKUP($A1034,'[2]Team lists'!$A$2:$L$800,8,FALSE)</f>
        <v>#N/A</v>
      </c>
      <c r="I1034" s="43" t="e">
        <f>VLOOKUP($A1034,'[2]Team lists'!$A$2:$L$800,9,FALSE)</f>
        <v>#N/A</v>
      </c>
      <c r="J1034" s="43" t="e">
        <f>VLOOKUP($A1034,'[2]Team lists'!$A$2:$L$800,9,FALSE)</f>
        <v>#N/A</v>
      </c>
      <c r="K1034" s="43" t="e">
        <f>VLOOKUP($A1034,'[2]Team lists'!$A$2:$L$800,10,FALSE)</f>
        <v>#N/A</v>
      </c>
      <c r="L1034" s="43" t="e">
        <f>VLOOKUP($A1034,'[2]Team lists'!$A$2:$L$800,11,FALSE)</f>
        <v>#N/A</v>
      </c>
    </row>
    <row r="1035" spans="2:13">
      <c r="B1035" s="43" t="e">
        <f>VLOOKUP($A1035,'[2]Team lists'!$A$2:$L$800,2,FALSE)</f>
        <v>#N/A</v>
      </c>
      <c r="C1035" s="43" t="e">
        <f>VLOOKUP($A1035,'[2]Team lists'!$A$2:$L$800,3,FALSE)</f>
        <v>#N/A</v>
      </c>
      <c r="D1035" s="43" t="e">
        <f>VLOOKUP($A1035,'[2]Team lists'!$A$2:$L$800,4,FALSE)</f>
        <v>#N/A</v>
      </c>
      <c r="E1035" s="43" t="e">
        <f>VLOOKUP($A1035,'[2]Team lists'!$A$2:$L$800,5,FALSE)</f>
        <v>#N/A</v>
      </c>
      <c r="F1035" s="43" t="e">
        <f>VLOOKUP($A1035,'[2]Team lists'!$A$2:$L$800,6,FALSE)</f>
        <v>#N/A</v>
      </c>
      <c r="G1035" s="43" t="e">
        <f>VLOOKUP($A1035,'[2]Team lists'!$A$2:$L$800,7,FALSE)</f>
        <v>#N/A</v>
      </c>
      <c r="H1035" s="43" t="e">
        <f>VLOOKUP($A1035,'[2]Team lists'!$A$2:$L$800,8,FALSE)</f>
        <v>#N/A</v>
      </c>
      <c r="I1035" s="43" t="e">
        <f>VLOOKUP($A1035,'[2]Team lists'!$A$2:$L$800,9,FALSE)</f>
        <v>#N/A</v>
      </c>
      <c r="J1035" s="43" t="e">
        <f>VLOOKUP($A1035,'[2]Team lists'!$A$2:$L$800,9,FALSE)</f>
        <v>#N/A</v>
      </c>
      <c r="K1035" s="43" t="e">
        <f>VLOOKUP($A1035,'[2]Team lists'!$A$2:$L$800,10,FALSE)</f>
        <v>#N/A</v>
      </c>
      <c r="L1035" s="43" t="e">
        <f>VLOOKUP($A1035,'[2]Team lists'!$A$2:$L$800,11,FALSE)</f>
        <v>#N/A</v>
      </c>
    </row>
    <row r="1036" spans="2:13">
      <c r="B1036" s="43" t="e">
        <f>VLOOKUP($A1036,'[2]Team lists'!$A$2:$L$800,2,FALSE)</f>
        <v>#N/A</v>
      </c>
      <c r="C1036" s="43" t="e">
        <f>VLOOKUP($A1036,'[2]Team lists'!$A$2:$L$800,3,FALSE)</f>
        <v>#N/A</v>
      </c>
      <c r="D1036" s="43" t="e">
        <f>VLOOKUP($A1036,'[2]Team lists'!$A$2:$L$800,4,FALSE)</f>
        <v>#N/A</v>
      </c>
      <c r="E1036" s="43" t="e">
        <f>VLOOKUP($A1036,'[2]Team lists'!$A$2:$L$800,5,FALSE)</f>
        <v>#N/A</v>
      </c>
      <c r="F1036" s="43" t="e">
        <f>VLOOKUP($A1036,'[2]Team lists'!$A$2:$L$800,6,FALSE)</f>
        <v>#N/A</v>
      </c>
      <c r="G1036" s="43" t="e">
        <f>VLOOKUP($A1036,'[2]Team lists'!$A$2:$L$800,7,FALSE)</f>
        <v>#N/A</v>
      </c>
      <c r="H1036" s="43" t="e">
        <f>VLOOKUP($A1036,'[2]Team lists'!$A$2:$L$800,8,FALSE)</f>
        <v>#N/A</v>
      </c>
      <c r="I1036" s="43" t="e">
        <f>VLOOKUP($A1036,'[2]Team lists'!$A$2:$L$800,9,FALSE)</f>
        <v>#N/A</v>
      </c>
      <c r="J1036" s="43" t="e">
        <f>VLOOKUP($A1036,'[2]Team lists'!$A$2:$L$800,9,FALSE)</f>
        <v>#N/A</v>
      </c>
      <c r="K1036" s="43" t="e">
        <f>VLOOKUP($A1036,'[2]Team lists'!$A$2:$L$800,10,FALSE)</f>
        <v>#N/A</v>
      </c>
      <c r="L1036" s="43" t="e">
        <f>VLOOKUP($A1036,'[2]Team lists'!$A$2:$L$800,11,FALSE)</f>
        <v>#N/A</v>
      </c>
    </row>
    <row r="1037" spans="2:13">
      <c r="B1037" s="43" t="e">
        <f>VLOOKUP($A1037,'[2]Team lists'!$A$2:$L$800,2,FALSE)</f>
        <v>#N/A</v>
      </c>
      <c r="C1037" s="43" t="e">
        <f>VLOOKUP($A1037,'[2]Team lists'!$A$2:$L$800,3,FALSE)</f>
        <v>#N/A</v>
      </c>
      <c r="D1037" s="43" t="e">
        <f>VLOOKUP($A1037,'[2]Team lists'!$A$2:$L$800,4,FALSE)</f>
        <v>#N/A</v>
      </c>
      <c r="E1037" s="43" t="e">
        <f>VLOOKUP($A1037,'[2]Team lists'!$A$2:$L$800,5,FALSE)</f>
        <v>#N/A</v>
      </c>
      <c r="F1037" s="43" t="e">
        <f>VLOOKUP($A1037,'[2]Team lists'!$A$2:$L$800,6,FALSE)</f>
        <v>#N/A</v>
      </c>
      <c r="G1037" s="43" t="e">
        <f>VLOOKUP($A1037,'[2]Team lists'!$A$2:$L$800,7,FALSE)</f>
        <v>#N/A</v>
      </c>
      <c r="H1037" s="43" t="e">
        <f>VLOOKUP($A1037,'[2]Team lists'!$A$2:$L$800,8,FALSE)</f>
        <v>#N/A</v>
      </c>
      <c r="I1037" s="43" t="e">
        <f>VLOOKUP($A1037,'[2]Team lists'!$A$2:$L$800,9,FALSE)</f>
        <v>#N/A</v>
      </c>
      <c r="J1037" s="43" t="e">
        <f>VLOOKUP($A1037,'[2]Team lists'!$A$2:$L$800,9,FALSE)</f>
        <v>#N/A</v>
      </c>
      <c r="K1037" s="43" t="e">
        <f>VLOOKUP($A1037,'[2]Team lists'!$A$2:$L$800,10,FALSE)</f>
        <v>#N/A</v>
      </c>
      <c r="L1037" s="43" t="e">
        <f>VLOOKUP($A1037,'[2]Team lists'!$A$2:$L$800,11,FALSE)</f>
        <v>#N/A</v>
      </c>
    </row>
    <row r="1038" spans="2:13">
      <c r="B1038" s="43" t="e">
        <f>VLOOKUP($A1038,'[2]Team lists'!$A$2:$L$800,2,FALSE)</f>
        <v>#N/A</v>
      </c>
      <c r="C1038" s="43" t="e">
        <f>VLOOKUP($A1038,'[2]Team lists'!$A$2:$L$800,3,FALSE)</f>
        <v>#N/A</v>
      </c>
      <c r="D1038" s="43" t="e">
        <f>VLOOKUP($A1038,'[2]Team lists'!$A$2:$L$800,4,FALSE)</f>
        <v>#N/A</v>
      </c>
      <c r="E1038" s="43" t="e">
        <f>VLOOKUP($A1038,'[2]Team lists'!$A$2:$L$800,5,FALSE)</f>
        <v>#N/A</v>
      </c>
      <c r="F1038" s="43" t="e">
        <f>VLOOKUP($A1038,'[2]Team lists'!$A$2:$L$800,6,FALSE)</f>
        <v>#N/A</v>
      </c>
      <c r="G1038" s="43" t="e">
        <f>VLOOKUP($A1038,'[2]Team lists'!$A$2:$L$800,7,FALSE)</f>
        <v>#N/A</v>
      </c>
      <c r="H1038" s="43" t="e">
        <f>VLOOKUP($A1038,'[2]Team lists'!$A$2:$L$800,8,FALSE)</f>
        <v>#N/A</v>
      </c>
      <c r="I1038" s="43" t="e">
        <f>VLOOKUP($A1038,'[2]Team lists'!$A$2:$L$800,9,FALSE)</f>
        <v>#N/A</v>
      </c>
      <c r="J1038" s="43" t="e">
        <f>VLOOKUP($A1038,'[2]Team lists'!$A$2:$L$800,9,FALSE)</f>
        <v>#N/A</v>
      </c>
      <c r="K1038" s="43" t="e">
        <f>VLOOKUP($A1038,'[2]Team lists'!$A$2:$L$800,10,FALSE)</f>
        <v>#N/A</v>
      </c>
      <c r="L1038" s="43" t="e">
        <f>VLOOKUP($A1038,'[2]Team lists'!$A$2:$L$800,11,FALSE)</f>
        <v>#N/A</v>
      </c>
    </row>
    <row r="1039" spans="2:13" ht="18" thickBot="1">
      <c r="B1039" s="45" t="s">
        <v>3210</v>
      </c>
      <c r="C1039" s="46"/>
      <c r="D1039" s="47"/>
      <c r="E1039" s="48" t="e">
        <f t="shared" ref="E1039:L1039" si="64">SUM(E1028:E1038)</f>
        <v>#N/A</v>
      </c>
      <c r="F1039" s="49" t="e">
        <f t="shared" si="64"/>
        <v>#N/A</v>
      </c>
      <c r="G1039" s="49" t="e">
        <f t="shared" si="64"/>
        <v>#N/A</v>
      </c>
      <c r="H1039" s="49" t="e">
        <f t="shared" si="64"/>
        <v>#N/A</v>
      </c>
      <c r="I1039" s="49" t="e">
        <f t="shared" si="64"/>
        <v>#N/A</v>
      </c>
      <c r="J1039" s="49" t="e">
        <f t="shared" si="64"/>
        <v>#N/A</v>
      </c>
      <c r="K1039" s="49" t="e">
        <f t="shared" si="64"/>
        <v>#N/A</v>
      </c>
      <c r="L1039" s="50" t="e">
        <f t="shared" si="64"/>
        <v>#N/A</v>
      </c>
    </row>
    <row r="1040" spans="2:13" ht="18.600000000000001" thickTop="1" thickBot="1"/>
    <row r="1041" spans="2:13" ht="18" thickTop="1">
      <c r="B1041" s="23" t="s">
        <v>3204</v>
      </c>
      <c r="C1041" s="24" t="s">
        <v>3205</v>
      </c>
      <c r="D1041" s="25"/>
      <c r="E1041" s="25"/>
      <c r="F1041" s="53"/>
      <c r="G1041" s="28" t="s">
        <v>3206</v>
      </c>
      <c r="H1041" s="54"/>
      <c r="I1041" s="54"/>
      <c r="J1041" s="54"/>
      <c r="K1041" s="28" t="s">
        <v>3207</v>
      </c>
      <c r="L1041" s="29"/>
      <c r="M1041" s="22" t="str">
        <f>G1041</f>
        <v>Manager:</v>
      </c>
    </row>
    <row r="1042" spans="2:13" ht="18" thickBot="1">
      <c r="B1042" s="30">
        <v>66</v>
      </c>
      <c r="C1042" s="57"/>
      <c r="D1042" s="31"/>
      <c r="E1042" s="31"/>
      <c r="F1042" s="33"/>
      <c r="G1042" s="55"/>
      <c r="H1042" s="55"/>
      <c r="I1042" s="55"/>
      <c r="J1042" s="55"/>
      <c r="K1042" s="34" t="e">
        <f>SUM(F1055:L1055)</f>
        <v>#N/A</v>
      </c>
      <c r="L1042" s="35"/>
      <c r="M1042" s="22">
        <f>G1042</f>
        <v>0</v>
      </c>
    </row>
    <row r="1043" spans="2:13" ht="18.600000000000001" thickTop="1">
      <c r="B1043" s="58" t="s">
        <v>913</v>
      </c>
      <c r="C1043" s="59" t="s">
        <v>912</v>
      </c>
      <c r="D1043" s="60" t="s">
        <v>911</v>
      </c>
      <c r="E1043" s="61" t="s">
        <v>3209</v>
      </c>
      <c r="F1043" s="62" t="s">
        <v>3162</v>
      </c>
      <c r="G1043" s="62" t="s">
        <v>3163</v>
      </c>
      <c r="H1043" s="62" t="s">
        <v>3164</v>
      </c>
      <c r="I1043" s="62" t="s">
        <v>3165</v>
      </c>
      <c r="J1043" s="62" t="s">
        <v>3166</v>
      </c>
      <c r="K1043" s="62" t="s">
        <v>3167</v>
      </c>
      <c r="L1043" s="63" t="s">
        <v>3168</v>
      </c>
    </row>
    <row r="1044" spans="2:13">
      <c r="B1044" s="43" t="e">
        <f>VLOOKUP($A1044,'[2]Team lists'!$A$2:$L$800,2,FALSE)</f>
        <v>#N/A</v>
      </c>
      <c r="C1044" s="43" t="e">
        <f>VLOOKUP($A1044,'[2]Team lists'!$A$2:$L$800,3,FALSE)</f>
        <v>#N/A</v>
      </c>
      <c r="D1044" s="43" t="e">
        <f>VLOOKUP($A1044,'[2]Team lists'!$A$2:$L$800,4,FALSE)</f>
        <v>#N/A</v>
      </c>
      <c r="E1044" s="43" t="e">
        <f>VLOOKUP($A1044,'[2]Team lists'!$A$2:$L$800,5,FALSE)</f>
        <v>#N/A</v>
      </c>
      <c r="F1044" s="43" t="e">
        <f>VLOOKUP($A1044,'[2]Team lists'!$A$2:$L$800,6,FALSE)</f>
        <v>#N/A</v>
      </c>
      <c r="G1044" s="43" t="e">
        <f>VLOOKUP($A1044,'[2]Team lists'!$A$2:$L$800,7,FALSE)</f>
        <v>#N/A</v>
      </c>
      <c r="H1044" s="43" t="e">
        <f>VLOOKUP($A1044,'[2]Team lists'!$A$2:$L$800,8,FALSE)</f>
        <v>#N/A</v>
      </c>
      <c r="I1044" s="43" t="e">
        <f>VLOOKUP($A1044,'[2]Team lists'!$A$2:$L$800,9,FALSE)</f>
        <v>#N/A</v>
      </c>
      <c r="J1044" s="43" t="e">
        <f>VLOOKUP($A1044,'[2]Team lists'!$A$2:$L$800,9,FALSE)</f>
        <v>#N/A</v>
      </c>
      <c r="K1044" s="43" t="e">
        <f>VLOOKUP($A1044,'[2]Team lists'!$A$2:$L$800,10,FALSE)</f>
        <v>#N/A</v>
      </c>
      <c r="L1044" s="43" t="e">
        <f>VLOOKUP($A1044,'[2]Team lists'!$A$2:$L$800,11,FALSE)</f>
        <v>#N/A</v>
      </c>
    </row>
    <row r="1045" spans="2:13">
      <c r="B1045" s="43" t="e">
        <f>VLOOKUP($A1045,'[2]Team lists'!$A$2:$L$800,2,FALSE)</f>
        <v>#N/A</v>
      </c>
      <c r="C1045" s="43" t="e">
        <f>VLOOKUP($A1045,'[2]Team lists'!$A$2:$L$800,3,FALSE)</f>
        <v>#N/A</v>
      </c>
      <c r="D1045" s="43" t="e">
        <f>VLOOKUP($A1045,'[2]Team lists'!$A$2:$L$800,4,FALSE)</f>
        <v>#N/A</v>
      </c>
      <c r="E1045" s="43" t="e">
        <f>VLOOKUP($A1045,'[2]Team lists'!$A$2:$L$800,5,FALSE)</f>
        <v>#N/A</v>
      </c>
      <c r="F1045" s="43" t="e">
        <f>VLOOKUP($A1045,'[2]Team lists'!$A$2:$L$800,6,FALSE)</f>
        <v>#N/A</v>
      </c>
      <c r="G1045" s="43" t="e">
        <f>VLOOKUP($A1045,'[2]Team lists'!$A$2:$L$800,7,FALSE)</f>
        <v>#N/A</v>
      </c>
      <c r="H1045" s="43" t="e">
        <f>VLOOKUP($A1045,'[2]Team lists'!$A$2:$L$800,8,FALSE)</f>
        <v>#N/A</v>
      </c>
      <c r="I1045" s="43" t="e">
        <f>VLOOKUP($A1045,'[2]Team lists'!$A$2:$L$800,9,FALSE)</f>
        <v>#N/A</v>
      </c>
      <c r="J1045" s="43" t="e">
        <f>VLOOKUP($A1045,'[2]Team lists'!$A$2:$L$800,9,FALSE)</f>
        <v>#N/A</v>
      </c>
      <c r="K1045" s="43" t="e">
        <f>VLOOKUP($A1045,'[2]Team lists'!$A$2:$L$800,10,FALSE)</f>
        <v>#N/A</v>
      </c>
      <c r="L1045" s="43" t="e">
        <f>VLOOKUP($A1045,'[2]Team lists'!$A$2:$L$800,11,FALSE)</f>
        <v>#N/A</v>
      </c>
    </row>
    <row r="1046" spans="2:13">
      <c r="B1046" s="43" t="e">
        <f>VLOOKUP($A1046,'[2]Team lists'!$A$2:$L$800,2,FALSE)</f>
        <v>#N/A</v>
      </c>
      <c r="C1046" s="43" t="e">
        <f>VLOOKUP($A1046,'[2]Team lists'!$A$2:$L$800,3,FALSE)</f>
        <v>#N/A</v>
      </c>
      <c r="D1046" s="43" t="e">
        <f>VLOOKUP($A1046,'[2]Team lists'!$A$2:$L$800,4,FALSE)</f>
        <v>#N/A</v>
      </c>
      <c r="E1046" s="43" t="e">
        <f>VLOOKUP($A1046,'[2]Team lists'!$A$2:$L$800,5,FALSE)</f>
        <v>#N/A</v>
      </c>
      <c r="F1046" s="43" t="e">
        <f>VLOOKUP($A1046,'[2]Team lists'!$A$2:$L$800,6,FALSE)</f>
        <v>#N/A</v>
      </c>
      <c r="G1046" s="43" t="e">
        <f>VLOOKUP($A1046,'[2]Team lists'!$A$2:$L$800,7,FALSE)</f>
        <v>#N/A</v>
      </c>
      <c r="H1046" s="43" t="e">
        <f>VLOOKUP($A1046,'[2]Team lists'!$A$2:$L$800,8,FALSE)</f>
        <v>#N/A</v>
      </c>
      <c r="I1046" s="43" t="e">
        <f>VLOOKUP($A1046,'[2]Team lists'!$A$2:$L$800,9,FALSE)</f>
        <v>#N/A</v>
      </c>
      <c r="J1046" s="43" t="e">
        <f>VLOOKUP($A1046,'[2]Team lists'!$A$2:$L$800,9,FALSE)</f>
        <v>#N/A</v>
      </c>
      <c r="K1046" s="43" t="e">
        <f>VLOOKUP($A1046,'[2]Team lists'!$A$2:$L$800,10,FALSE)</f>
        <v>#N/A</v>
      </c>
      <c r="L1046" s="43" t="e">
        <f>VLOOKUP($A1046,'[2]Team lists'!$A$2:$L$800,11,FALSE)</f>
        <v>#N/A</v>
      </c>
    </row>
    <row r="1047" spans="2:13">
      <c r="B1047" s="43" t="e">
        <f>VLOOKUP($A1047,'[2]Team lists'!$A$2:$L$800,2,FALSE)</f>
        <v>#N/A</v>
      </c>
      <c r="C1047" s="43" t="e">
        <f>VLOOKUP($A1047,'[2]Team lists'!$A$2:$L$800,3,FALSE)</f>
        <v>#N/A</v>
      </c>
      <c r="D1047" s="43" t="e">
        <f>VLOOKUP($A1047,'[2]Team lists'!$A$2:$L$800,4,FALSE)</f>
        <v>#N/A</v>
      </c>
      <c r="E1047" s="43" t="e">
        <f>VLOOKUP($A1047,'[2]Team lists'!$A$2:$L$800,5,FALSE)</f>
        <v>#N/A</v>
      </c>
      <c r="F1047" s="43" t="e">
        <f>VLOOKUP($A1047,'[2]Team lists'!$A$2:$L$800,6,FALSE)</f>
        <v>#N/A</v>
      </c>
      <c r="G1047" s="43" t="e">
        <f>VLOOKUP($A1047,'[2]Team lists'!$A$2:$L$800,7,FALSE)</f>
        <v>#N/A</v>
      </c>
      <c r="H1047" s="43" t="e">
        <f>VLOOKUP($A1047,'[2]Team lists'!$A$2:$L$800,8,FALSE)</f>
        <v>#N/A</v>
      </c>
      <c r="I1047" s="43" t="e">
        <f>VLOOKUP($A1047,'[2]Team lists'!$A$2:$L$800,9,FALSE)</f>
        <v>#N/A</v>
      </c>
      <c r="J1047" s="43" t="e">
        <f>VLOOKUP($A1047,'[2]Team lists'!$A$2:$L$800,9,FALSE)</f>
        <v>#N/A</v>
      </c>
      <c r="K1047" s="43" t="e">
        <f>VLOOKUP($A1047,'[2]Team lists'!$A$2:$L$800,10,FALSE)</f>
        <v>#N/A</v>
      </c>
      <c r="L1047" s="43" t="e">
        <f>VLOOKUP($A1047,'[2]Team lists'!$A$2:$L$800,11,FALSE)</f>
        <v>#N/A</v>
      </c>
    </row>
    <row r="1048" spans="2:13">
      <c r="B1048" s="43" t="e">
        <f>VLOOKUP($A1048,'[2]Team lists'!$A$2:$L$800,2,FALSE)</f>
        <v>#N/A</v>
      </c>
      <c r="C1048" s="43" t="e">
        <f>VLOOKUP($A1048,'[2]Team lists'!$A$2:$L$800,3,FALSE)</f>
        <v>#N/A</v>
      </c>
      <c r="D1048" s="43" t="e">
        <f>VLOOKUP($A1048,'[2]Team lists'!$A$2:$L$800,4,FALSE)</f>
        <v>#N/A</v>
      </c>
      <c r="E1048" s="43" t="e">
        <f>VLOOKUP($A1048,'[2]Team lists'!$A$2:$L$800,5,FALSE)</f>
        <v>#N/A</v>
      </c>
      <c r="F1048" s="43" t="e">
        <f>VLOOKUP($A1048,'[2]Team lists'!$A$2:$L$800,6,FALSE)</f>
        <v>#N/A</v>
      </c>
      <c r="G1048" s="43" t="e">
        <f>VLOOKUP($A1048,'[2]Team lists'!$A$2:$L$800,7,FALSE)</f>
        <v>#N/A</v>
      </c>
      <c r="H1048" s="43" t="e">
        <f>VLOOKUP($A1048,'[2]Team lists'!$A$2:$L$800,8,FALSE)</f>
        <v>#N/A</v>
      </c>
      <c r="I1048" s="43" t="e">
        <f>VLOOKUP($A1048,'[2]Team lists'!$A$2:$L$800,9,FALSE)</f>
        <v>#N/A</v>
      </c>
      <c r="J1048" s="43" t="e">
        <f>VLOOKUP($A1048,'[2]Team lists'!$A$2:$L$800,9,FALSE)</f>
        <v>#N/A</v>
      </c>
      <c r="K1048" s="43" t="e">
        <f>VLOOKUP($A1048,'[2]Team lists'!$A$2:$L$800,10,FALSE)</f>
        <v>#N/A</v>
      </c>
      <c r="L1048" s="43" t="e">
        <f>VLOOKUP($A1048,'[2]Team lists'!$A$2:$L$800,11,FALSE)</f>
        <v>#N/A</v>
      </c>
    </row>
    <row r="1049" spans="2:13">
      <c r="B1049" s="43" t="e">
        <f>VLOOKUP($A1049,'[2]Team lists'!$A$2:$L$800,2,FALSE)</f>
        <v>#N/A</v>
      </c>
      <c r="C1049" s="43" t="e">
        <f>VLOOKUP($A1049,'[2]Team lists'!$A$2:$L$800,3,FALSE)</f>
        <v>#N/A</v>
      </c>
      <c r="D1049" s="43" t="e">
        <f>VLOOKUP($A1049,'[2]Team lists'!$A$2:$L$800,4,FALSE)</f>
        <v>#N/A</v>
      </c>
      <c r="E1049" s="43" t="e">
        <f>VLOOKUP($A1049,'[2]Team lists'!$A$2:$L$800,5,FALSE)</f>
        <v>#N/A</v>
      </c>
      <c r="F1049" s="43" t="e">
        <f>VLOOKUP($A1049,'[2]Team lists'!$A$2:$L$800,6,FALSE)</f>
        <v>#N/A</v>
      </c>
      <c r="G1049" s="43" t="e">
        <f>VLOOKUP($A1049,'[2]Team lists'!$A$2:$L$800,7,FALSE)</f>
        <v>#N/A</v>
      </c>
      <c r="H1049" s="43" t="e">
        <f>VLOOKUP($A1049,'[2]Team lists'!$A$2:$L$800,8,FALSE)</f>
        <v>#N/A</v>
      </c>
      <c r="I1049" s="43" t="e">
        <f>VLOOKUP($A1049,'[2]Team lists'!$A$2:$L$800,9,FALSE)</f>
        <v>#N/A</v>
      </c>
      <c r="J1049" s="43" t="e">
        <f>VLOOKUP($A1049,'[2]Team lists'!$A$2:$L$800,9,FALSE)</f>
        <v>#N/A</v>
      </c>
      <c r="K1049" s="43" t="e">
        <f>VLOOKUP($A1049,'[2]Team lists'!$A$2:$L$800,10,FALSE)</f>
        <v>#N/A</v>
      </c>
      <c r="L1049" s="43" t="e">
        <f>VLOOKUP($A1049,'[2]Team lists'!$A$2:$L$800,11,FALSE)</f>
        <v>#N/A</v>
      </c>
    </row>
    <row r="1050" spans="2:13">
      <c r="B1050" s="43" t="e">
        <f>VLOOKUP($A1050,'[2]Team lists'!$A$2:$L$800,2,FALSE)</f>
        <v>#N/A</v>
      </c>
      <c r="C1050" s="43" t="e">
        <f>VLOOKUP($A1050,'[2]Team lists'!$A$2:$L$800,3,FALSE)</f>
        <v>#N/A</v>
      </c>
      <c r="D1050" s="43" t="e">
        <f>VLOOKUP($A1050,'[2]Team lists'!$A$2:$L$800,4,FALSE)</f>
        <v>#N/A</v>
      </c>
      <c r="E1050" s="43" t="e">
        <f>VLOOKUP($A1050,'[2]Team lists'!$A$2:$L$800,5,FALSE)</f>
        <v>#N/A</v>
      </c>
      <c r="F1050" s="43" t="e">
        <f>VLOOKUP($A1050,'[2]Team lists'!$A$2:$L$800,6,FALSE)</f>
        <v>#N/A</v>
      </c>
      <c r="G1050" s="43" t="e">
        <f>VLOOKUP($A1050,'[2]Team lists'!$A$2:$L$800,7,FALSE)</f>
        <v>#N/A</v>
      </c>
      <c r="H1050" s="43" t="e">
        <f>VLOOKUP($A1050,'[2]Team lists'!$A$2:$L$800,8,FALSE)</f>
        <v>#N/A</v>
      </c>
      <c r="I1050" s="43" t="e">
        <f>VLOOKUP($A1050,'[2]Team lists'!$A$2:$L$800,9,FALSE)</f>
        <v>#N/A</v>
      </c>
      <c r="J1050" s="43" t="e">
        <f>VLOOKUP($A1050,'[2]Team lists'!$A$2:$L$800,9,FALSE)</f>
        <v>#N/A</v>
      </c>
      <c r="K1050" s="43" t="e">
        <f>VLOOKUP($A1050,'[2]Team lists'!$A$2:$L$800,10,FALSE)</f>
        <v>#N/A</v>
      </c>
      <c r="L1050" s="43" t="e">
        <f>VLOOKUP($A1050,'[2]Team lists'!$A$2:$L$800,11,FALSE)</f>
        <v>#N/A</v>
      </c>
    </row>
    <row r="1051" spans="2:13">
      <c r="B1051" s="43" t="e">
        <f>VLOOKUP($A1051,'[2]Team lists'!$A$2:$L$800,2,FALSE)</f>
        <v>#N/A</v>
      </c>
      <c r="C1051" s="43" t="e">
        <f>VLOOKUP($A1051,'[2]Team lists'!$A$2:$L$800,3,FALSE)</f>
        <v>#N/A</v>
      </c>
      <c r="D1051" s="43" t="e">
        <f>VLOOKUP($A1051,'[2]Team lists'!$A$2:$L$800,4,FALSE)</f>
        <v>#N/A</v>
      </c>
      <c r="E1051" s="43" t="e">
        <f>VLOOKUP($A1051,'[2]Team lists'!$A$2:$L$800,5,FALSE)</f>
        <v>#N/A</v>
      </c>
      <c r="F1051" s="43" t="e">
        <f>VLOOKUP($A1051,'[2]Team lists'!$A$2:$L$800,6,FALSE)</f>
        <v>#N/A</v>
      </c>
      <c r="G1051" s="43" t="e">
        <f>VLOOKUP($A1051,'[2]Team lists'!$A$2:$L$800,7,FALSE)</f>
        <v>#N/A</v>
      </c>
      <c r="H1051" s="43" t="e">
        <f>VLOOKUP($A1051,'[2]Team lists'!$A$2:$L$800,8,FALSE)</f>
        <v>#N/A</v>
      </c>
      <c r="I1051" s="43" t="e">
        <f>VLOOKUP($A1051,'[2]Team lists'!$A$2:$L$800,9,FALSE)</f>
        <v>#N/A</v>
      </c>
      <c r="J1051" s="43" t="e">
        <f>VLOOKUP($A1051,'[2]Team lists'!$A$2:$L$800,9,FALSE)</f>
        <v>#N/A</v>
      </c>
      <c r="K1051" s="43" t="e">
        <f>VLOOKUP($A1051,'[2]Team lists'!$A$2:$L$800,10,FALSE)</f>
        <v>#N/A</v>
      </c>
      <c r="L1051" s="43" t="e">
        <f>VLOOKUP($A1051,'[2]Team lists'!$A$2:$L$800,11,FALSE)</f>
        <v>#N/A</v>
      </c>
    </row>
    <row r="1052" spans="2:13">
      <c r="B1052" s="43" t="e">
        <f>VLOOKUP($A1052,'[2]Team lists'!$A$2:$L$800,2,FALSE)</f>
        <v>#N/A</v>
      </c>
      <c r="C1052" s="43" t="e">
        <f>VLOOKUP($A1052,'[2]Team lists'!$A$2:$L$800,3,FALSE)</f>
        <v>#N/A</v>
      </c>
      <c r="D1052" s="43" t="e">
        <f>VLOOKUP($A1052,'[2]Team lists'!$A$2:$L$800,4,FALSE)</f>
        <v>#N/A</v>
      </c>
      <c r="E1052" s="43" t="e">
        <f>VLOOKUP($A1052,'[2]Team lists'!$A$2:$L$800,5,FALSE)</f>
        <v>#N/A</v>
      </c>
      <c r="F1052" s="43" t="e">
        <f>VLOOKUP($A1052,'[2]Team lists'!$A$2:$L$800,6,FALSE)</f>
        <v>#N/A</v>
      </c>
      <c r="G1052" s="43" t="e">
        <f>VLOOKUP($A1052,'[2]Team lists'!$A$2:$L$800,7,FALSE)</f>
        <v>#N/A</v>
      </c>
      <c r="H1052" s="43" t="e">
        <f>VLOOKUP($A1052,'[2]Team lists'!$A$2:$L$800,8,FALSE)</f>
        <v>#N/A</v>
      </c>
      <c r="I1052" s="43" t="e">
        <f>VLOOKUP($A1052,'[2]Team lists'!$A$2:$L$800,9,FALSE)</f>
        <v>#N/A</v>
      </c>
      <c r="J1052" s="43" t="e">
        <f>VLOOKUP($A1052,'[2]Team lists'!$A$2:$L$800,9,FALSE)</f>
        <v>#N/A</v>
      </c>
      <c r="K1052" s="43" t="e">
        <f>VLOOKUP($A1052,'[2]Team lists'!$A$2:$L$800,10,FALSE)</f>
        <v>#N/A</v>
      </c>
      <c r="L1052" s="43" t="e">
        <f>VLOOKUP($A1052,'[2]Team lists'!$A$2:$L$800,11,FALSE)</f>
        <v>#N/A</v>
      </c>
    </row>
    <row r="1053" spans="2:13">
      <c r="B1053" s="43" t="e">
        <f>VLOOKUP($A1053,'[2]Team lists'!$A$2:$L$800,2,FALSE)</f>
        <v>#N/A</v>
      </c>
      <c r="C1053" s="43" t="e">
        <f>VLOOKUP($A1053,'[2]Team lists'!$A$2:$L$800,3,FALSE)</f>
        <v>#N/A</v>
      </c>
      <c r="D1053" s="43" t="e">
        <f>VLOOKUP($A1053,'[2]Team lists'!$A$2:$L$800,4,FALSE)</f>
        <v>#N/A</v>
      </c>
      <c r="E1053" s="43" t="e">
        <f>VLOOKUP($A1053,'[2]Team lists'!$A$2:$L$800,5,FALSE)</f>
        <v>#N/A</v>
      </c>
      <c r="F1053" s="43" t="e">
        <f>VLOOKUP($A1053,'[2]Team lists'!$A$2:$L$800,6,FALSE)</f>
        <v>#N/A</v>
      </c>
      <c r="G1053" s="43" t="e">
        <f>VLOOKUP($A1053,'[2]Team lists'!$A$2:$L$800,7,FALSE)</f>
        <v>#N/A</v>
      </c>
      <c r="H1053" s="43" t="e">
        <f>VLOOKUP($A1053,'[2]Team lists'!$A$2:$L$800,8,FALSE)</f>
        <v>#N/A</v>
      </c>
      <c r="I1053" s="43" t="e">
        <f>VLOOKUP($A1053,'[2]Team lists'!$A$2:$L$800,9,FALSE)</f>
        <v>#N/A</v>
      </c>
      <c r="J1053" s="43" t="e">
        <f>VLOOKUP($A1053,'[2]Team lists'!$A$2:$L$800,9,FALSE)</f>
        <v>#N/A</v>
      </c>
      <c r="K1053" s="43" t="e">
        <f>VLOOKUP($A1053,'[2]Team lists'!$A$2:$L$800,10,FALSE)</f>
        <v>#N/A</v>
      </c>
      <c r="L1053" s="43" t="e">
        <f>VLOOKUP($A1053,'[2]Team lists'!$A$2:$L$800,11,FALSE)</f>
        <v>#N/A</v>
      </c>
    </row>
    <row r="1054" spans="2:13">
      <c r="B1054" s="43" t="e">
        <f>VLOOKUP($A1054,'[2]Team lists'!$A$2:$L$800,2,FALSE)</f>
        <v>#N/A</v>
      </c>
      <c r="C1054" s="43" t="e">
        <f>VLOOKUP($A1054,'[2]Team lists'!$A$2:$L$800,3,FALSE)</f>
        <v>#N/A</v>
      </c>
      <c r="D1054" s="43" t="e">
        <f>VLOOKUP($A1054,'[2]Team lists'!$A$2:$L$800,4,FALSE)</f>
        <v>#N/A</v>
      </c>
      <c r="E1054" s="43" t="e">
        <f>VLOOKUP($A1054,'[2]Team lists'!$A$2:$L$800,5,FALSE)</f>
        <v>#N/A</v>
      </c>
      <c r="F1054" s="43" t="e">
        <f>VLOOKUP($A1054,'[2]Team lists'!$A$2:$L$800,6,FALSE)</f>
        <v>#N/A</v>
      </c>
      <c r="G1054" s="43" t="e">
        <f>VLOOKUP($A1054,'[2]Team lists'!$A$2:$L$800,7,FALSE)</f>
        <v>#N/A</v>
      </c>
      <c r="H1054" s="43" t="e">
        <f>VLOOKUP($A1054,'[2]Team lists'!$A$2:$L$800,8,FALSE)</f>
        <v>#N/A</v>
      </c>
      <c r="I1054" s="43" t="e">
        <f>VLOOKUP($A1054,'[2]Team lists'!$A$2:$L$800,9,FALSE)</f>
        <v>#N/A</v>
      </c>
      <c r="J1054" s="43" t="e">
        <f>VLOOKUP($A1054,'[2]Team lists'!$A$2:$L$800,9,FALSE)</f>
        <v>#N/A</v>
      </c>
      <c r="K1054" s="43" t="e">
        <f>VLOOKUP($A1054,'[2]Team lists'!$A$2:$L$800,10,FALSE)</f>
        <v>#N/A</v>
      </c>
      <c r="L1054" s="43" t="e">
        <f>VLOOKUP($A1054,'[2]Team lists'!$A$2:$L$800,11,FALSE)</f>
        <v>#N/A</v>
      </c>
    </row>
    <row r="1055" spans="2:13" ht="18" thickBot="1">
      <c r="B1055" s="45" t="s">
        <v>3210</v>
      </c>
      <c r="C1055" s="46"/>
      <c r="D1055" s="47"/>
      <c r="E1055" s="48" t="e">
        <f t="shared" ref="E1055:L1055" si="65">SUM(E1044:E1054)</f>
        <v>#N/A</v>
      </c>
      <c r="F1055" s="49" t="e">
        <f t="shared" si="65"/>
        <v>#N/A</v>
      </c>
      <c r="G1055" s="49" t="e">
        <f t="shared" si="65"/>
        <v>#N/A</v>
      </c>
      <c r="H1055" s="49" t="e">
        <f t="shared" si="65"/>
        <v>#N/A</v>
      </c>
      <c r="I1055" s="49" t="e">
        <f t="shared" si="65"/>
        <v>#N/A</v>
      </c>
      <c r="J1055" s="49" t="e">
        <f t="shared" si="65"/>
        <v>#N/A</v>
      </c>
      <c r="K1055" s="49" t="e">
        <f t="shared" si="65"/>
        <v>#N/A</v>
      </c>
      <c r="L1055" s="50" t="e">
        <f t="shared" si="65"/>
        <v>#N/A</v>
      </c>
    </row>
    <row r="1056" spans="2:13" ht="18.600000000000001" thickTop="1" thickBot="1"/>
    <row r="1057" spans="2:13" ht="18" thickTop="1">
      <c r="B1057" s="23" t="s">
        <v>3204</v>
      </c>
      <c r="C1057" s="24" t="s">
        <v>3205</v>
      </c>
      <c r="D1057" s="25"/>
      <c r="E1057" s="25"/>
      <c r="F1057" s="53"/>
      <c r="G1057" s="28" t="s">
        <v>3206</v>
      </c>
      <c r="H1057" s="54"/>
      <c r="I1057" s="54"/>
      <c r="J1057" s="54"/>
      <c r="K1057" s="28" t="s">
        <v>3207</v>
      </c>
      <c r="L1057" s="29"/>
      <c r="M1057" s="22" t="str">
        <f>G1057</f>
        <v>Manager:</v>
      </c>
    </row>
    <row r="1058" spans="2:13" ht="18" thickBot="1">
      <c r="B1058" s="30">
        <v>67</v>
      </c>
      <c r="C1058" s="57"/>
      <c r="D1058" s="31"/>
      <c r="E1058" s="31"/>
      <c r="F1058" s="33"/>
      <c r="G1058" s="55"/>
      <c r="H1058" s="55"/>
      <c r="I1058" s="55"/>
      <c r="J1058" s="55"/>
      <c r="K1058" s="34" t="e">
        <f>SUM(F1071:L1071)</f>
        <v>#N/A</v>
      </c>
      <c r="L1058" s="35"/>
      <c r="M1058" s="22">
        <f>G1058</f>
        <v>0</v>
      </c>
    </row>
    <row r="1059" spans="2:13" ht="18.600000000000001" thickTop="1">
      <c r="B1059" s="58" t="s">
        <v>913</v>
      </c>
      <c r="C1059" s="59" t="s">
        <v>912</v>
      </c>
      <c r="D1059" s="60" t="s">
        <v>911</v>
      </c>
      <c r="E1059" s="61" t="s">
        <v>3209</v>
      </c>
      <c r="F1059" s="62" t="s">
        <v>3162</v>
      </c>
      <c r="G1059" s="62" t="s">
        <v>3163</v>
      </c>
      <c r="H1059" s="62" t="s">
        <v>3164</v>
      </c>
      <c r="I1059" s="62" t="s">
        <v>3165</v>
      </c>
      <c r="J1059" s="62" t="s">
        <v>3166</v>
      </c>
      <c r="K1059" s="62" t="s">
        <v>3167</v>
      </c>
      <c r="L1059" s="63" t="s">
        <v>3168</v>
      </c>
    </row>
    <row r="1060" spans="2:13">
      <c r="B1060" s="43" t="e">
        <f>VLOOKUP($A1060,'[2]Team lists'!$A$2:$L$800,2,FALSE)</f>
        <v>#N/A</v>
      </c>
      <c r="C1060" s="43" t="e">
        <f>VLOOKUP($A1060,'[2]Team lists'!$A$2:$L$800,3,FALSE)</f>
        <v>#N/A</v>
      </c>
      <c r="D1060" s="43" t="e">
        <f>VLOOKUP($A1060,'[2]Team lists'!$A$2:$L$800,4,FALSE)</f>
        <v>#N/A</v>
      </c>
      <c r="E1060" s="43" t="e">
        <f>VLOOKUP($A1060,'[2]Team lists'!$A$2:$L$800,5,FALSE)</f>
        <v>#N/A</v>
      </c>
      <c r="F1060" s="43" t="e">
        <f>VLOOKUP($A1060,'[2]Team lists'!$A$2:$L$800,6,FALSE)</f>
        <v>#N/A</v>
      </c>
      <c r="G1060" s="43" t="e">
        <f>VLOOKUP($A1060,'[2]Team lists'!$A$2:$L$800,7,FALSE)</f>
        <v>#N/A</v>
      </c>
      <c r="H1060" s="43" t="e">
        <f>VLOOKUP($A1060,'[2]Team lists'!$A$2:$L$800,8,FALSE)</f>
        <v>#N/A</v>
      </c>
      <c r="I1060" s="43" t="e">
        <f>VLOOKUP($A1060,'[2]Team lists'!$A$2:$L$800,9,FALSE)</f>
        <v>#N/A</v>
      </c>
      <c r="J1060" s="43" t="e">
        <f>VLOOKUP($A1060,'[2]Team lists'!$A$2:$L$800,9,FALSE)</f>
        <v>#N/A</v>
      </c>
      <c r="K1060" s="43" t="e">
        <f>VLOOKUP($A1060,'[2]Team lists'!$A$2:$L$800,10,FALSE)</f>
        <v>#N/A</v>
      </c>
      <c r="L1060" s="43" t="e">
        <f>VLOOKUP($A1060,'[2]Team lists'!$A$2:$L$800,11,FALSE)</f>
        <v>#N/A</v>
      </c>
    </row>
    <row r="1061" spans="2:13">
      <c r="B1061" s="43" t="e">
        <f>VLOOKUP($A1061,'[2]Team lists'!$A$2:$L$800,2,FALSE)</f>
        <v>#N/A</v>
      </c>
      <c r="C1061" s="43" t="e">
        <f>VLOOKUP($A1061,'[2]Team lists'!$A$2:$L$800,3,FALSE)</f>
        <v>#N/A</v>
      </c>
      <c r="D1061" s="43" t="e">
        <f>VLOOKUP($A1061,'[2]Team lists'!$A$2:$L$800,4,FALSE)</f>
        <v>#N/A</v>
      </c>
      <c r="E1061" s="43" t="e">
        <f>VLOOKUP($A1061,'[2]Team lists'!$A$2:$L$800,5,FALSE)</f>
        <v>#N/A</v>
      </c>
      <c r="F1061" s="43" t="e">
        <f>VLOOKUP($A1061,'[2]Team lists'!$A$2:$L$800,6,FALSE)</f>
        <v>#N/A</v>
      </c>
      <c r="G1061" s="43" t="e">
        <f>VLOOKUP($A1061,'[2]Team lists'!$A$2:$L$800,7,FALSE)</f>
        <v>#N/A</v>
      </c>
      <c r="H1061" s="43" t="e">
        <f>VLOOKUP($A1061,'[2]Team lists'!$A$2:$L$800,8,FALSE)</f>
        <v>#N/A</v>
      </c>
      <c r="I1061" s="43" t="e">
        <f>VLOOKUP($A1061,'[2]Team lists'!$A$2:$L$800,9,FALSE)</f>
        <v>#N/A</v>
      </c>
      <c r="J1061" s="43" t="e">
        <f>VLOOKUP($A1061,'[2]Team lists'!$A$2:$L$800,9,FALSE)</f>
        <v>#N/A</v>
      </c>
      <c r="K1061" s="43" t="e">
        <f>VLOOKUP($A1061,'[2]Team lists'!$A$2:$L$800,10,FALSE)</f>
        <v>#N/A</v>
      </c>
      <c r="L1061" s="43" t="e">
        <f>VLOOKUP($A1061,'[2]Team lists'!$A$2:$L$800,11,FALSE)</f>
        <v>#N/A</v>
      </c>
    </row>
    <row r="1062" spans="2:13">
      <c r="B1062" s="43" t="e">
        <f>VLOOKUP($A1062,'[2]Team lists'!$A$2:$L$800,2,FALSE)</f>
        <v>#N/A</v>
      </c>
      <c r="C1062" s="43" t="e">
        <f>VLOOKUP($A1062,'[2]Team lists'!$A$2:$L$800,3,FALSE)</f>
        <v>#N/A</v>
      </c>
      <c r="D1062" s="43" t="e">
        <f>VLOOKUP($A1062,'[2]Team lists'!$A$2:$L$800,4,FALSE)</f>
        <v>#N/A</v>
      </c>
      <c r="E1062" s="43" t="e">
        <f>VLOOKUP($A1062,'[2]Team lists'!$A$2:$L$800,5,FALSE)</f>
        <v>#N/A</v>
      </c>
      <c r="F1062" s="43" t="e">
        <f>VLOOKUP($A1062,'[2]Team lists'!$A$2:$L$800,6,FALSE)</f>
        <v>#N/A</v>
      </c>
      <c r="G1062" s="43" t="e">
        <f>VLOOKUP($A1062,'[2]Team lists'!$A$2:$L$800,7,FALSE)</f>
        <v>#N/A</v>
      </c>
      <c r="H1062" s="43" t="e">
        <f>VLOOKUP($A1062,'[2]Team lists'!$A$2:$L$800,8,FALSE)</f>
        <v>#N/A</v>
      </c>
      <c r="I1062" s="43" t="e">
        <f>VLOOKUP($A1062,'[2]Team lists'!$A$2:$L$800,9,FALSE)</f>
        <v>#N/A</v>
      </c>
      <c r="J1062" s="43" t="e">
        <f>VLOOKUP($A1062,'[2]Team lists'!$A$2:$L$800,9,FALSE)</f>
        <v>#N/A</v>
      </c>
      <c r="K1062" s="43" t="e">
        <f>VLOOKUP($A1062,'[2]Team lists'!$A$2:$L$800,10,FALSE)</f>
        <v>#N/A</v>
      </c>
      <c r="L1062" s="43" t="e">
        <f>VLOOKUP($A1062,'[2]Team lists'!$A$2:$L$800,11,FALSE)</f>
        <v>#N/A</v>
      </c>
    </row>
    <row r="1063" spans="2:13">
      <c r="B1063" s="43" t="e">
        <f>VLOOKUP($A1063,'[2]Team lists'!$A$2:$L$800,2,FALSE)</f>
        <v>#N/A</v>
      </c>
      <c r="C1063" s="43" t="e">
        <f>VLOOKUP($A1063,'[2]Team lists'!$A$2:$L$800,3,FALSE)</f>
        <v>#N/A</v>
      </c>
      <c r="D1063" s="43" t="e">
        <f>VLOOKUP($A1063,'[2]Team lists'!$A$2:$L$800,4,FALSE)</f>
        <v>#N/A</v>
      </c>
      <c r="E1063" s="43" t="e">
        <f>VLOOKUP($A1063,'[2]Team lists'!$A$2:$L$800,5,FALSE)</f>
        <v>#N/A</v>
      </c>
      <c r="F1063" s="43" t="e">
        <f>VLOOKUP($A1063,'[2]Team lists'!$A$2:$L$800,6,FALSE)</f>
        <v>#N/A</v>
      </c>
      <c r="G1063" s="43" t="e">
        <f>VLOOKUP($A1063,'[2]Team lists'!$A$2:$L$800,7,FALSE)</f>
        <v>#N/A</v>
      </c>
      <c r="H1063" s="43" t="e">
        <f>VLOOKUP($A1063,'[2]Team lists'!$A$2:$L$800,8,FALSE)</f>
        <v>#N/A</v>
      </c>
      <c r="I1063" s="43" t="e">
        <f>VLOOKUP($A1063,'[2]Team lists'!$A$2:$L$800,9,FALSE)</f>
        <v>#N/A</v>
      </c>
      <c r="J1063" s="43" t="e">
        <f>VLOOKUP($A1063,'[2]Team lists'!$A$2:$L$800,9,FALSE)</f>
        <v>#N/A</v>
      </c>
      <c r="K1063" s="43" t="e">
        <f>VLOOKUP($A1063,'[2]Team lists'!$A$2:$L$800,10,FALSE)</f>
        <v>#N/A</v>
      </c>
      <c r="L1063" s="43" t="e">
        <f>VLOOKUP($A1063,'[2]Team lists'!$A$2:$L$800,11,FALSE)</f>
        <v>#N/A</v>
      </c>
    </row>
    <row r="1064" spans="2:13">
      <c r="B1064" s="43" t="e">
        <f>VLOOKUP($A1064,'[2]Team lists'!$A$2:$L$800,2,FALSE)</f>
        <v>#N/A</v>
      </c>
      <c r="C1064" s="43" t="e">
        <f>VLOOKUP($A1064,'[2]Team lists'!$A$2:$L$800,3,FALSE)</f>
        <v>#N/A</v>
      </c>
      <c r="D1064" s="43" t="e">
        <f>VLOOKUP($A1064,'[2]Team lists'!$A$2:$L$800,4,FALSE)</f>
        <v>#N/A</v>
      </c>
      <c r="E1064" s="43" t="e">
        <f>VLOOKUP($A1064,'[2]Team lists'!$A$2:$L$800,5,FALSE)</f>
        <v>#N/A</v>
      </c>
      <c r="F1064" s="43" t="e">
        <f>VLOOKUP($A1064,'[2]Team lists'!$A$2:$L$800,6,FALSE)</f>
        <v>#N/A</v>
      </c>
      <c r="G1064" s="43" t="e">
        <f>VLOOKUP($A1064,'[2]Team lists'!$A$2:$L$800,7,FALSE)</f>
        <v>#N/A</v>
      </c>
      <c r="H1064" s="43" t="e">
        <f>VLOOKUP($A1064,'[2]Team lists'!$A$2:$L$800,8,FALSE)</f>
        <v>#N/A</v>
      </c>
      <c r="I1064" s="43" t="e">
        <f>VLOOKUP($A1064,'[2]Team lists'!$A$2:$L$800,9,FALSE)</f>
        <v>#N/A</v>
      </c>
      <c r="J1064" s="43" t="e">
        <f>VLOOKUP($A1064,'[2]Team lists'!$A$2:$L$800,9,FALSE)</f>
        <v>#N/A</v>
      </c>
      <c r="K1064" s="43" t="e">
        <f>VLOOKUP($A1064,'[2]Team lists'!$A$2:$L$800,10,FALSE)</f>
        <v>#N/A</v>
      </c>
      <c r="L1064" s="43" t="e">
        <f>VLOOKUP($A1064,'[2]Team lists'!$A$2:$L$800,11,FALSE)</f>
        <v>#N/A</v>
      </c>
    </row>
    <row r="1065" spans="2:13">
      <c r="B1065" s="43" t="e">
        <f>VLOOKUP($A1065,'[2]Team lists'!$A$2:$L$800,2,FALSE)</f>
        <v>#N/A</v>
      </c>
      <c r="C1065" s="43" t="e">
        <f>VLOOKUP($A1065,'[2]Team lists'!$A$2:$L$800,3,FALSE)</f>
        <v>#N/A</v>
      </c>
      <c r="D1065" s="43" t="e">
        <f>VLOOKUP($A1065,'[2]Team lists'!$A$2:$L$800,4,FALSE)</f>
        <v>#N/A</v>
      </c>
      <c r="E1065" s="43" t="e">
        <f>VLOOKUP($A1065,'[2]Team lists'!$A$2:$L$800,5,FALSE)</f>
        <v>#N/A</v>
      </c>
      <c r="F1065" s="43" t="e">
        <f>VLOOKUP($A1065,'[2]Team lists'!$A$2:$L$800,6,FALSE)</f>
        <v>#N/A</v>
      </c>
      <c r="G1065" s="43" t="e">
        <f>VLOOKUP($A1065,'[2]Team lists'!$A$2:$L$800,7,FALSE)</f>
        <v>#N/A</v>
      </c>
      <c r="H1065" s="43" t="e">
        <f>VLOOKUP($A1065,'[2]Team lists'!$A$2:$L$800,8,FALSE)</f>
        <v>#N/A</v>
      </c>
      <c r="I1065" s="43" t="e">
        <f>VLOOKUP($A1065,'[2]Team lists'!$A$2:$L$800,9,FALSE)</f>
        <v>#N/A</v>
      </c>
      <c r="J1065" s="43" t="e">
        <f>VLOOKUP($A1065,'[2]Team lists'!$A$2:$L$800,9,FALSE)</f>
        <v>#N/A</v>
      </c>
      <c r="K1065" s="43" t="e">
        <f>VLOOKUP($A1065,'[2]Team lists'!$A$2:$L$800,10,FALSE)</f>
        <v>#N/A</v>
      </c>
      <c r="L1065" s="43" t="e">
        <f>VLOOKUP($A1065,'[2]Team lists'!$A$2:$L$800,11,FALSE)</f>
        <v>#N/A</v>
      </c>
    </row>
    <row r="1066" spans="2:13">
      <c r="B1066" s="43" t="e">
        <f>VLOOKUP($A1066,'[2]Team lists'!$A$2:$L$800,2,FALSE)</f>
        <v>#N/A</v>
      </c>
      <c r="C1066" s="43" t="e">
        <f>VLOOKUP($A1066,'[2]Team lists'!$A$2:$L$800,3,FALSE)</f>
        <v>#N/A</v>
      </c>
      <c r="D1066" s="43" t="e">
        <f>VLOOKUP($A1066,'[2]Team lists'!$A$2:$L$800,4,FALSE)</f>
        <v>#N/A</v>
      </c>
      <c r="E1066" s="43" t="e">
        <f>VLOOKUP($A1066,'[2]Team lists'!$A$2:$L$800,5,FALSE)</f>
        <v>#N/A</v>
      </c>
      <c r="F1066" s="43" t="e">
        <f>VLOOKUP($A1066,'[2]Team lists'!$A$2:$L$800,6,FALSE)</f>
        <v>#N/A</v>
      </c>
      <c r="G1066" s="43" t="e">
        <f>VLOOKUP($A1066,'[2]Team lists'!$A$2:$L$800,7,FALSE)</f>
        <v>#N/A</v>
      </c>
      <c r="H1066" s="43" t="e">
        <f>VLOOKUP($A1066,'[2]Team lists'!$A$2:$L$800,8,FALSE)</f>
        <v>#N/A</v>
      </c>
      <c r="I1066" s="43" t="e">
        <f>VLOOKUP($A1066,'[2]Team lists'!$A$2:$L$800,9,FALSE)</f>
        <v>#N/A</v>
      </c>
      <c r="J1066" s="43" t="e">
        <f>VLOOKUP($A1066,'[2]Team lists'!$A$2:$L$800,9,FALSE)</f>
        <v>#N/A</v>
      </c>
      <c r="K1066" s="43" t="e">
        <f>VLOOKUP($A1066,'[2]Team lists'!$A$2:$L$800,10,FALSE)</f>
        <v>#N/A</v>
      </c>
      <c r="L1066" s="43" t="e">
        <f>VLOOKUP($A1066,'[2]Team lists'!$A$2:$L$800,11,FALSE)</f>
        <v>#N/A</v>
      </c>
    </row>
    <row r="1067" spans="2:13">
      <c r="B1067" s="43" t="e">
        <f>VLOOKUP($A1067,'[2]Team lists'!$A$2:$L$800,2,FALSE)</f>
        <v>#N/A</v>
      </c>
      <c r="C1067" s="43" t="e">
        <f>VLOOKUP($A1067,'[2]Team lists'!$A$2:$L$800,3,FALSE)</f>
        <v>#N/A</v>
      </c>
      <c r="D1067" s="43" t="e">
        <f>VLOOKUP($A1067,'[2]Team lists'!$A$2:$L$800,4,FALSE)</f>
        <v>#N/A</v>
      </c>
      <c r="E1067" s="43" t="e">
        <f>VLOOKUP($A1067,'[2]Team lists'!$A$2:$L$800,5,FALSE)</f>
        <v>#N/A</v>
      </c>
      <c r="F1067" s="43" t="e">
        <f>VLOOKUP($A1067,'[2]Team lists'!$A$2:$L$800,6,FALSE)</f>
        <v>#N/A</v>
      </c>
      <c r="G1067" s="43" t="e">
        <f>VLOOKUP($A1067,'[2]Team lists'!$A$2:$L$800,7,FALSE)</f>
        <v>#N/A</v>
      </c>
      <c r="H1067" s="43" t="e">
        <f>VLOOKUP($A1067,'[2]Team lists'!$A$2:$L$800,8,FALSE)</f>
        <v>#N/A</v>
      </c>
      <c r="I1067" s="43" t="e">
        <f>VLOOKUP($A1067,'[2]Team lists'!$A$2:$L$800,9,FALSE)</f>
        <v>#N/A</v>
      </c>
      <c r="J1067" s="43" t="e">
        <f>VLOOKUP($A1067,'[2]Team lists'!$A$2:$L$800,9,FALSE)</f>
        <v>#N/A</v>
      </c>
      <c r="K1067" s="43" t="e">
        <f>VLOOKUP($A1067,'[2]Team lists'!$A$2:$L$800,10,FALSE)</f>
        <v>#N/A</v>
      </c>
      <c r="L1067" s="43" t="e">
        <f>VLOOKUP($A1067,'[2]Team lists'!$A$2:$L$800,11,FALSE)</f>
        <v>#N/A</v>
      </c>
    </row>
    <row r="1068" spans="2:13">
      <c r="B1068" s="43" t="e">
        <f>VLOOKUP($A1068,'[2]Team lists'!$A$2:$L$800,2,FALSE)</f>
        <v>#N/A</v>
      </c>
      <c r="C1068" s="43" t="e">
        <f>VLOOKUP($A1068,'[2]Team lists'!$A$2:$L$800,3,FALSE)</f>
        <v>#N/A</v>
      </c>
      <c r="D1068" s="43" t="e">
        <f>VLOOKUP($A1068,'[2]Team lists'!$A$2:$L$800,4,FALSE)</f>
        <v>#N/A</v>
      </c>
      <c r="E1068" s="43" t="e">
        <f>VLOOKUP($A1068,'[2]Team lists'!$A$2:$L$800,5,FALSE)</f>
        <v>#N/A</v>
      </c>
      <c r="F1068" s="43" t="e">
        <f>VLOOKUP($A1068,'[2]Team lists'!$A$2:$L$800,6,FALSE)</f>
        <v>#N/A</v>
      </c>
      <c r="G1068" s="43" t="e">
        <f>VLOOKUP($A1068,'[2]Team lists'!$A$2:$L$800,7,FALSE)</f>
        <v>#N/A</v>
      </c>
      <c r="H1068" s="43" t="e">
        <f>VLOOKUP($A1068,'[2]Team lists'!$A$2:$L$800,8,FALSE)</f>
        <v>#N/A</v>
      </c>
      <c r="I1068" s="43" t="e">
        <f>VLOOKUP($A1068,'[2]Team lists'!$A$2:$L$800,9,FALSE)</f>
        <v>#N/A</v>
      </c>
      <c r="J1068" s="43" t="e">
        <f>VLOOKUP($A1068,'[2]Team lists'!$A$2:$L$800,9,FALSE)</f>
        <v>#N/A</v>
      </c>
      <c r="K1068" s="43" t="e">
        <f>VLOOKUP($A1068,'[2]Team lists'!$A$2:$L$800,10,FALSE)</f>
        <v>#N/A</v>
      </c>
      <c r="L1068" s="43" t="e">
        <f>VLOOKUP($A1068,'[2]Team lists'!$A$2:$L$800,11,FALSE)</f>
        <v>#N/A</v>
      </c>
    </row>
    <row r="1069" spans="2:13">
      <c r="B1069" s="43" t="e">
        <f>VLOOKUP($A1069,'[2]Team lists'!$A$2:$L$800,2,FALSE)</f>
        <v>#N/A</v>
      </c>
      <c r="C1069" s="43" t="e">
        <f>VLOOKUP($A1069,'[2]Team lists'!$A$2:$L$800,3,FALSE)</f>
        <v>#N/A</v>
      </c>
      <c r="D1069" s="43" t="e">
        <f>VLOOKUP($A1069,'[2]Team lists'!$A$2:$L$800,4,FALSE)</f>
        <v>#N/A</v>
      </c>
      <c r="E1069" s="43" t="e">
        <f>VLOOKUP($A1069,'[2]Team lists'!$A$2:$L$800,5,FALSE)</f>
        <v>#N/A</v>
      </c>
      <c r="F1069" s="43" t="e">
        <f>VLOOKUP($A1069,'[2]Team lists'!$A$2:$L$800,6,FALSE)</f>
        <v>#N/A</v>
      </c>
      <c r="G1069" s="43" t="e">
        <f>VLOOKUP($A1069,'[2]Team lists'!$A$2:$L$800,7,FALSE)</f>
        <v>#N/A</v>
      </c>
      <c r="H1069" s="43" t="e">
        <f>VLOOKUP($A1069,'[2]Team lists'!$A$2:$L$800,8,FALSE)</f>
        <v>#N/A</v>
      </c>
      <c r="I1069" s="43" t="e">
        <f>VLOOKUP($A1069,'[2]Team lists'!$A$2:$L$800,9,FALSE)</f>
        <v>#N/A</v>
      </c>
      <c r="J1069" s="43" t="e">
        <f>VLOOKUP($A1069,'[2]Team lists'!$A$2:$L$800,9,FALSE)</f>
        <v>#N/A</v>
      </c>
      <c r="K1069" s="43" t="e">
        <f>VLOOKUP($A1069,'[2]Team lists'!$A$2:$L$800,10,FALSE)</f>
        <v>#N/A</v>
      </c>
      <c r="L1069" s="43" t="e">
        <f>VLOOKUP($A1069,'[2]Team lists'!$A$2:$L$800,11,FALSE)</f>
        <v>#N/A</v>
      </c>
    </row>
    <row r="1070" spans="2:13">
      <c r="B1070" s="43" t="e">
        <f>VLOOKUP($A1070,'[2]Team lists'!$A$2:$L$800,2,FALSE)</f>
        <v>#N/A</v>
      </c>
      <c r="C1070" s="43" t="e">
        <f>VLOOKUP($A1070,'[2]Team lists'!$A$2:$L$800,3,FALSE)</f>
        <v>#N/A</v>
      </c>
      <c r="D1070" s="43" t="e">
        <f>VLOOKUP($A1070,'[2]Team lists'!$A$2:$L$800,4,FALSE)</f>
        <v>#N/A</v>
      </c>
      <c r="E1070" s="43" t="e">
        <f>VLOOKUP($A1070,'[2]Team lists'!$A$2:$L$800,5,FALSE)</f>
        <v>#N/A</v>
      </c>
      <c r="F1070" s="43" t="e">
        <f>VLOOKUP($A1070,'[2]Team lists'!$A$2:$L$800,6,FALSE)</f>
        <v>#N/A</v>
      </c>
      <c r="G1070" s="43" t="e">
        <f>VLOOKUP($A1070,'[2]Team lists'!$A$2:$L$800,7,FALSE)</f>
        <v>#N/A</v>
      </c>
      <c r="H1070" s="43" t="e">
        <f>VLOOKUP($A1070,'[2]Team lists'!$A$2:$L$800,8,FALSE)</f>
        <v>#N/A</v>
      </c>
      <c r="I1070" s="43" t="e">
        <f>VLOOKUP($A1070,'[2]Team lists'!$A$2:$L$800,9,FALSE)</f>
        <v>#N/A</v>
      </c>
      <c r="J1070" s="43" t="e">
        <f>VLOOKUP($A1070,'[2]Team lists'!$A$2:$L$800,9,FALSE)</f>
        <v>#N/A</v>
      </c>
      <c r="K1070" s="43" t="e">
        <f>VLOOKUP($A1070,'[2]Team lists'!$A$2:$L$800,10,FALSE)</f>
        <v>#N/A</v>
      </c>
      <c r="L1070" s="43" t="e">
        <f>VLOOKUP($A1070,'[2]Team lists'!$A$2:$L$800,11,FALSE)</f>
        <v>#N/A</v>
      </c>
    </row>
    <row r="1071" spans="2:13" ht="18" thickBot="1">
      <c r="B1071" s="45" t="s">
        <v>3210</v>
      </c>
      <c r="C1071" s="46"/>
      <c r="D1071" s="47"/>
      <c r="E1071" s="48" t="e">
        <f t="shared" ref="E1071:L1071" si="66">SUM(E1060:E1070)</f>
        <v>#N/A</v>
      </c>
      <c r="F1071" s="49" t="e">
        <f t="shared" si="66"/>
        <v>#N/A</v>
      </c>
      <c r="G1071" s="49" t="e">
        <f t="shared" si="66"/>
        <v>#N/A</v>
      </c>
      <c r="H1071" s="49" t="e">
        <f t="shared" si="66"/>
        <v>#N/A</v>
      </c>
      <c r="I1071" s="49" t="e">
        <f t="shared" si="66"/>
        <v>#N/A</v>
      </c>
      <c r="J1071" s="49" t="e">
        <f t="shared" si="66"/>
        <v>#N/A</v>
      </c>
      <c r="K1071" s="49" t="e">
        <f t="shared" si="66"/>
        <v>#N/A</v>
      </c>
      <c r="L1071" s="50" t="e">
        <f t="shared" si="66"/>
        <v>#N/A</v>
      </c>
    </row>
    <row r="1072" spans="2:13" ht="18.600000000000001" thickTop="1" thickBot="1"/>
    <row r="1073" spans="2:13" ht="18" thickTop="1">
      <c r="B1073" s="23" t="s">
        <v>3204</v>
      </c>
      <c r="C1073" s="24" t="s">
        <v>3205</v>
      </c>
      <c r="D1073" s="25"/>
      <c r="E1073" s="25"/>
      <c r="F1073" s="53"/>
      <c r="G1073" s="28" t="s">
        <v>3206</v>
      </c>
      <c r="H1073" s="54"/>
      <c r="I1073" s="54"/>
      <c r="J1073" s="54"/>
      <c r="K1073" s="28" t="s">
        <v>3207</v>
      </c>
      <c r="L1073" s="29"/>
      <c r="M1073" s="22" t="str">
        <f>G1073</f>
        <v>Manager:</v>
      </c>
    </row>
    <row r="1074" spans="2:13" ht="18" thickBot="1">
      <c r="B1074" s="30">
        <v>68</v>
      </c>
      <c r="C1074" s="57"/>
      <c r="D1074" s="31"/>
      <c r="E1074" s="31"/>
      <c r="F1074" s="33"/>
      <c r="G1074" s="55"/>
      <c r="H1074" s="55"/>
      <c r="I1074" s="55"/>
      <c r="J1074" s="55"/>
      <c r="K1074" s="34" t="e">
        <f>SUM(F1087:L1087)</f>
        <v>#N/A</v>
      </c>
      <c r="L1074" s="35"/>
      <c r="M1074" s="22">
        <f>G1074</f>
        <v>0</v>
      </c>
    </row>
    <row r="1075" spans="2:13" ht="18.600000000000001" thickTop="1">
      <c r="B1075" s="58" t="s">
        <v>913</v>
      </c>
      <c r="C1075" s="59" t="s">
        <v>912</v>
      </c>
      <c r="D1075" s="60" t="s">
        <v>911</v>
      </c>
      <c r="E1075" s="61" t="s">
        <v>3209</v>
      </c>
      <c r="F1075" s="62" t="s">
        <v>3162</v>
      </c>
      <c r="G1075" s="62" t="s">
        <v>3163</v>
      </c>
      <c r="H1075" s="62" t="s">
        <v>3164</v>
      </c>
      <c r="I1075" s="62" t="s">
        <v>3165</v>
      </c>
      <c r="J1075" s="62" t="s">
        <v>3166</v>
      </c>
      <c r="K1075" s="62" t="s">
        <v>3167</v>
      </c>
      <c r="L1075" s="63" t="s">
        <v>3168</v>
      </c>
    </row>
    <row r="1076" spans="2:13">
      <c r="B1076" s="43" t="e">
        <f>VLOOKUP($A1076,'[2]Team lists'!$A$2:$L$800,2,FALSE)</f>
        <v>#N/A</v>
      </c>
      <c r="C1076" s="43" t="e">
        <f>VLOOKUP($A1076,'[2]Team lists'!$A$2:$L$800,3,FALSE)</f>
        <v>#N/A</v>
      </c>
      <c r="D1076" s="43" t="e">
        <f>VLOOKUP($A1076,'[2]Team lists'!$A$2:$L$800,4,FALSE)</f>
        <v>#N/A</v>
      </c>
      <c r="E1076" s="43" t="e">
        <f>VLOOKUP($A1076,'[2]Team lists'!$A$2:$L$800,5,FALSE)</f>
        <v>#N/A</v>
      </c>
      <c r="F1076" s="43" t="e">
        <f>VLOOKUP($A1076,'[2]Team lists'!$A$2:$L$800,6,FALSE)</f>
        <v>#N/A</v>
      </c>
      <c r="G1076" s="43" t="e">
        <f>VLOOKUP($A1076,'[2]Team lists'!$A$2:$L$800,7,FALSE)</f>
        <v>#N/A</v>
      </c>
      <c r="H1076" s="43" t="e">
        <f>VLOOKUP($A1076,'[2]Team lists'!$A$2:$L$800,8,FALSE)</f>
        <v>#N/A</v>
      </c>
      <c r="I1076" s="43" t="e">
        <f>VLOOKUP($A1076,'[2]Team lists'!$A$2:$L$800,9,FALSE)</f>
        <v>#N/A</v>
      </c>
      <c r="J1076" s="43" t="e">
        <f>VLOOKUP($A1076,'[2]Team lists'!$A$2:$L$800,9,FALSE)</f>
        <v>#N/A</v>
      </c>
      <c r="K1076" s="43" t="e">
        <f>VLOOKUP($A1076,'[2]Team lists'!$A$2:$L$800,10,FALSE)</f>
        <v>#N/A</v>
      </c>
      <c r="L1076" s="43" t="e">
        <f>VLOOKUP($A1076,'[2]Team lists'!$A$2:$L$800,11,FALSE)</f>
        <v>#N/A</v>
      </c>
    </row>
    <row r="1077" spans="2:13">
      <c r="B1077" s="43" t="e">
        <f>VLOOKUP($A1077,'[2]Team lists'!$A$2:$L$800,2,FALSE)</f>
        <v>#N/A</v>
      </c>
      <c r="C1077" s="43" t="e">
        <f>VLOOKUP($A1077,'[2]Team lists'!$A$2:$L$800,3,FALSE)</f>
        <v>#N/A</v>
      </c>
      <c r="D1077" s="43" t="e">
        <f>VLOOKUP($A1077,'[2]Team lists'!$A$2:$L$800,4,FALSE)</f>
        <v>#N/A</v>
      </c>
      <c r="E1077" s="43" t="e">
        <f>VLOOKUP($A1077,'[2]Team lists'!$A$2:$L$800,5,FALSE)</f>
        <v>#N/A</v>
      </c>
      <c r="F1077" s="43" t="e">
        <f>VLOOKUP($A1077,'[2]Team lists'!$A$2:$L$800,6,FALSE)</f>
        <v>#N/A</v>
      </c>
      <c r="G1077" s="43" t="e">
        <f>VLOOKUP($A1077,'[2]Team lists'!$A$2:$L$800,7,FALSE)</f>
        <v>#N/A</v>
      </c>
      <c r="H1077" s="43" t="e">
        <f>VLOOKUP($A1077,'[2]Team lists'!$A$2:$L$800,8,FALSE)</f>
        <v>#N/A</v>
      </c>
      <c r="I1077" s="43" t="e">
        <f>VLOOKUP($A1077,'[2]Team lists'!$A$2:$L$800,9,FALSE)</f>
        <v>#N/A</v>
      </c>
      <c r="J1077" s="43" t="e">
        <f>VLOOKUP($A1077,'[2]Team lists'!$A$2:$L$800,9,FALSE)</f>
        <v>#N/A</v>
      </c>
      <c r="K1077" s="43" t="e">
        <f>VLOOKUP($A1077,'[2]Team lists'!$A$2:$L$800,10,FALSE)</f>
        <v>#N/A</v>
      </c>
      <c r="L1077" s="43" t="e">
        <f>VLOOKUP($A1077,'[2]Team lists'!$A$2:$L$800,11,FALSE)</f>
        <v>#N/A</v>
      </c>
    </row>
    <row r="1078" spans="2:13">
      <c r="B1078" s="43" t="e">
        <f>VLOOKUP($A1078,'[2]Team lists'!$A$2:$L$800,2,FALSE)</f>
        <v>#N/A</v>
      </c>
      <c r="C1078" s="43" t="e">
        <f>VLOOKUP($A1078,'[2]Team lists'!$A$2:$L$800,3,FALSE)</f>
        <v>#N/A</v>
      </c>
      <c r="D1078" s="43" t="e">
        <f>VLOOKUP($A1078,'[2]Team lists'!$A$2:$L$800,4,FALSE)</f>
        <v>#N/A</v>
      </c>
      <c r="E1078" s="43" t="e">
        <f>VLOOKUP($A1078,'[2]Team lists'!$A$2:$L$800,5,FALSE)</f>
        <v>#N/A</v>
      </c>
      <c r="F1078" s="43" t="e">
        <f>VLOOKUP($A1078,'[2]Team lists'!$A$2:$L$800,6,FALSE)</f>
        <v>#N/A</v>
      </c>
      <c r="G1078" s="43" t="e">
        <f>VLOOKUP($A1078,'[2]Team lists'!$A$2:$L$800,7,FALSE)</f>
        <v>#N/A</v>
      </c>
      <c r="H1078" s="43" t="e">
        <f>VLOOKUP($A1078,'[2]Team lists'!$A$2:$L$800,8,FALSE)</f>
        <v>#N/A</v>
      </c>
      <c r="I1078" s="43" t="e">
        <f>VLOOKUP($A1078,'[2]Team lists'!$A$2:$L$800,9,FALSE)</f>
        <v>#N/A</v>
      </c>
      <c r="J1078" s="43" t="e">
        <f>VLOOKUP($A1078,'[2]Team lists'!$A$2:$L$800,9,FALSE)</f>
        <v>#N/A</v>
      </c>
      <c r="K1078" s="43" t="e">
        <f>VLOOKUP($A1078,'[2]Team lists'!$A$2:$L$800,10,FALSE)</f>
        <v>#N/A</v>
      </c>
      <c r="L1078" s="43" t="e">
        <f>VLOOKUP($A1078,'[2]Team lists'!$A$2:$L$800,11,FALSE)</f>
        <v>#N/A</v>
      </c>
    </row>
    <row r="1079" spans="2:13">
      <c r="B1079" s="43" t="e">
        <f>VLOOKUP($A1079,'[2]Team lists'!$A$2:$L$800,2,FALSE)</f>
        <v>#N/A</v>
      </c>
      <c r="C1079" s="43" t="e">
        <f>VLOOKUP($A1079,'[2]Team lists'!$A$2:$L$800,3,FALSE)</f>
        <v>#N/A</v>
      </c>
      <c r="D1079" s="43" t="e">
        <f>VLOOKUP($A1079,'[2]Team lists'!$A$2:$L$800,4,FALSE)</f>
        <v>#N/A</v>
      </c>
      <c r="E1079" s="43" t="e">
        <f>VLOOKUP($A1079,'[2]Team lists'!$A$2:$L$800,5,FALSE)</f>
        <v>#N/A</v>
      </c>
      <c r="F1079" s="43" t="e">
        <f>VLOOKUP($A1079,'[2]Team lists'!$A$2:$L$800,6,FALSE)</f>
        <v>#N/A</v>
      </c>
      <c r="G1079" s="43" t="e">
        <f>VLOOKUP($A1079,'[2]Team lists'!$A$2:$L$800,7,FALSE)</f>
        <v>#N/A</v>
      </c>
      <c r="H1079" s="43" t="e">
        <f>VLOOKUP($A1079,'[2]Team lists'!$A$2:$L$800,8,FALSE)</f>
        <v>#N/A</v>
      </c>
      <c r="I1079" s="43" t="e">
        <f>VLOOKUP($A1079,'[2]Team lists'!$A$2:$L$800,9,FALSE)</f>
        <v>#N/A</v>
      </c>
      <c r="J1079" s="43" t="e">
        <f>VLOOKUP($A1079,'[2]Team lists'!$A$2:$L$800,9,FALSE)</f>
        <v>#N/A</v>
      </c>
      <c r="K1079" s="43" t="e">
        <f>VLOOKUP($A1079,'[2]Team lists'!$A$2:$L$800,10,FALSE)</f>
        <v>#N/A</v>
      </c>
      <c r="L1079" s="43" t="e">
        <f>VLOOKUP($A1079,'[2]Team lists'!$A$2:$L$800,11,FALSE)</f>
        <v>#N/A</v>
      </c>
    </row>
    <row r="1080" spans="2:13">
      <c r="B1080" s="43" t="e">
        <f>VLOOKUP($A1080,'[2]Team lists'!$A$2:$L$800,2,FALSE)</f>
        <v>#N/A</v>
      </c>
      <c r="C1080" s="43" t="e">
        <f>VLOOKUP($A1080,'[2]Team lists'!$A$2:$L$800,3,FALSE)</f>
        <v>#N/A</v>
      </c>
      <c r="D1080" s="43" t="e">
        <f>VLOOKUP($A1080,'[2]Team lists'!$A$2:$L$800,4,FALSE)</f>
        <v>#N/A</v>
      </c>
      <c r="E1080" s="43" t="e">
        <f>VLOOKUP($A1080,'[2]Team lists'!$A$2:$L$800,5,FALSE)</f>
        <v>#N/A</v>
      </c>
      <c r="F1080" s="43" t="e">
        <f>VLOOKUP($A1080,'[2]Team lists'!$A$2:$L$800,6,FALSE)</f>
        <v>#N/A</v>
      </c>
      <c r="G1080" s="43" t="e">
        <f>VLOOKUP($A1080,'[2]Team lists'!$A$2:$L$800,7,FALSE)</f>
        <v>#N/A</v>
      </c>
      <c r="H1080" s="43" t="e">
        <f>VLOOKUP($A1080,'[2]Team lists'!$A$2:$L$800,8,FALSE)</f>
        <v>#N/A</v>
      </c>
      <c r="I1080" s="43" t="e">
        <f>VLOOKUP($A1080,'[2]Team lists'!$A$2:$L$800,9,FALSE)</f>
        <v>#N/A</v>
      </c>
      <c r="J1080" s="43" t="e">
        <f>VLOOKUP($A1080,'[2]Team lists'!$A$2:$L$800,9,FALSE)</f>
        <v>#N/A</v>
      </c>
      <c r="K1080" s="43" t="e">
        <f>VLOOKUP($A1080,'[2]Team lists'!$A$2:$L$800,10,FALSE)</f>
        <v>#N/A</v>
      </c>
      <c r="L1080" s="43" t="e">
        <f>VLOOKUP($A1080,'[2]Team lists'!$A$2:$L$800,11,FALSE)</f>
        <v>#N/A</v>
      </c>
    </row>
    <row r="1081" spans="2:13">
      <c r="B1081" s="43" t="e">
        <f>VLOOKUP($A1081,'[2]Team lists'!$A$2:$L$800,2,FALSE)</f>
        <v>#N/A</v>
      </c>
      <c r="C1081" s="43" t="e">
        <f>VLOOKUP($A1081,'[2]Team lists'!$A$2:$L$800,3,FALSE)</f>
        <v>#N/A</v>
      </c>
      <c r="D1081" s="43" t="e">
        <f>VLOOKUP($A1081,'[2]Team lists'!$A$2:$L$800,4,FALSE)</f>
        <v>#N/A</v>
      </c>
      <c r="E1081" s="43" t="e">
        <f>VLOOKUP($A1081,'[2]Team lists'!$A$2:$L$800,5,FALSE)</f>
        <v>#N/A</v>
      </c>
      <c r="F1081" s="43" t="e">
        <f>VLOOKUP($A1081,'[2]Team lists'!$A$2:$L$800,6,FALSE)</f>
        <v>#N/A</v>
      </c>
      <c r="G1081" s="43" t="e">
        <f>VLOOKUP($A1081,'[2]Team lists'!$A$2:$L$800,7,FALSE)</f>
        <v>#N/A</v>
      </c>
      <c r="H1081" s="43" t="e">
        <f>VLOOKUP($A1081,'[2]Team lists'!$A$2:$L$800,8,FALSE)</f>
        <v>#N/A</v>
      </c>
      <c r="I1081" s="43" t="e">
        <f>VLOOKUP($A1081,'[2]Team lists'!$A$2:$L$800,9,FALSE)</f>
        <v>#N/A</v>
      </c>
      <c r="J1081" s="43" t="e">
        <f>VLOOKUP($A1081,'[2]Team lists'!$A$2:$L$800,9,FALSE)</f>
        <v>#N/A</v>
      </c>
      <c r="K1081" s="43" t="e">
        <f>VLOOKUP($A1081,'[2]Team lists'!$A$2:$L$800,10,FALSE)</f>
        <v>#N/A</v>
      </c>
      <c r="L1081" s="43" t="e">
        <f>VLOOKUP($A1081,'[2]Team lists'!$A$2:$L$800,11,FALSE)</f>
        <v>#N/A</v>
      </c>
    </row>
    <row r="1082" spans="2:13">
      <c r="B1082" s="43" t="e">
        <f>VLOOKUP($A1082,'[2]Team lists'!$A$2:$L$800,2,FALSE)</f>
        <v>#N/A</v>
      </c>
      <c r="C1082" s="43" t="e">
        <f>VLOOKUP($A1082,'[2]Team lists'!$A$2:$L$800,3,FALSE)</f>
        <v>#N/A</v>
      </c>
      <c r="D1082" s="43" t="e">
        <f>VLOOKUP($A1082,'[2]Team lists'!$A$2:$L$800,4,FALSE)</f>
        <v>#N/A</v>
      </c>
      <c r="E1082" s="43" t="e">
        <f>VLOOKUP($A1082,'[2]Team lists'!$A$2:$L$800,5,FALSE)</f>
        <v>#N/A</v>
      </c>
      <c r="F1082" s="43" t="e">
        <f>VLOOKUP($A1082,'[2]Team lists'!$A$2:$L$800,6,FALSE)</f>
        <v>#N/A</v>
      </c>
      <c r="G1082" s="43" t="e">
        <f>VLOOKUP($A1082,'[2]Team lists'!$A$2:$L$800,7,FALSE)</f>
        <v>#N/A</v>
      </c>
      <c r="H1082" s="43" t="e">
        <f>VLOOKUP($A1082,'[2]Team lists'!$A$2:$L$800,8,FALSE)</f>
        <v>#N/A</v>
      </c>
      <c r="I1082" s="43" t="e">
        <f>VLOOKUP($A1082,'[2]Team lists'!$A$2:$L$800,9,FALSE)</f>
        <v>#N/A</v>
      </c>
      <c r="J1082" s="43" t="e">
        <f>VLOOKUP($A1082,'[2]Team lists'!$A$2:$L$800,9,FALSE)</f>
        <v>#N/A</v>
      </c>
      <c r="K1082" s="43" t="e">
        <f>VLOOKUP($A1082,'[2]Team lists'!$A$2:$L$800,10,FALSE)</f>
        <v>#N/A</v>
      </c>
      <c r="L1082" s="43" t="e">
        <f>VLOOKUP($A1082,'[2]Team lists'!$A$2:$L$800,11,FALSE)</f>
        <v>#N/A</v>
      </c>
    </row>
    <row r="1083" spans="2:13">
      <c r="B1083" s="43" t="e">
        <f>VLOOKUP($A1083,'[2]Team lists'!$A$2:$L$800,2,FALSE)</f>
        <v>#N/A</v>
      </c>
      <c r="C1083" s="43" t="e">
        <f>VLOOKUP($A1083,'[2]Team lists'!$A$2:$L$800,3,FALSE)</f>
        <v>#N/A</v>
      </c>
      <c r="D1083" s="43" t="e">
        <f>VLOOKUP($A1083,'[2]Team lists'!$A$2:$L$800,4,FALSE)</f>
        <v>#N/A</v>
      </c>
      <c r="E1083" s="43" t="e">
        <f>VLOOKUP($A1083,'[2]Team lists'!$A$2:$L$800,5,FALSE)</f>
        <v>#N/A</v>
      </c>
      <c r="F1083" s="43" t="e">
        <f>VLOOKUP($A1083,'[2]Team lists'!$A$2:$L$800,6,FALSE)</f>
        <v>#N/A</v>
      </c>
      <c r="G1083" s="43" t="e">
        <f>VLOOKUP($A1083,'[2]Team lists'!$A$2:$L$800,7,FALSE)</f>
        <v>#N/A</v>
      </c>
      <c r="H1083" s="43" t="e">
        <f>VLOOKUP($A1083,'[2]Team lists'!$A$2:$L$800,8,FALSE)</f>
        <v>#N/A</v>
      </c>
      <c r="I1083" s="43" t="e">
        <f>VLOOKUP($A1083,'[2]Team lists'!$A$2:$L$800,9,FALSE)</f>
        <v>#N/A</v>
      </c>
      <c r="J1083" s="43" t="e">
        <f>VLOOKUP($A1083,'[2]Team lists'!$A$2:$L$800,9,FALSE)</f>
        <v>#N/A</v>
      </c>
      <c r="K1083" s="43" t="e">
        <f>VLOOKUP($A1083,'[2]Team lists'!$A$2:$L$800,10,FALSE)</f>
        <v>#N/A</v>
      </c>
      <c r="L1083" s="43" t="e">
        <f>VLOOKUP($A1083,'[2]Team lists'!$A$2:$L$800,11,FALSE)</f>
        <v>#N/A</v>
      </c>
    </row>
    <row r="1084" spans="2:13">
      <c r="B1084" s="43" t="e">
        <f>VLOOKUP($A1084,'[2]Team lists'!$A$2:$L$800,2,FALSE)</f>
        <v>#N/A</v>
      </c>
      <c r="C1084" s="43" t="e">
        <f>VLOOKUP($A1084,'[2]Team lists'!$A$2:$L$800,3,FALSE)</f>
        <v>#N/A</v>
      </c>
      <c r="D1084" s="43" t="e">
        <f>VLOOKUP($A1084,'[2]Team lists'!$A$2:$L$800,4,FALSE)</f>
        <v>#N/A</v>
      </c>
      <c r="E1084" s="43" t="e">
        <f>VLOOKUP($A1084,'[2]Team lists'!$A$2:$L$800,5,FALSE)</f>
        <v>#N/A</v>
      </c>
      <c r="F1084" s="43" t="e">
        <f>VLOOKUP($A1084,'[2]Team lists'!$A$2:$L$800,6,FALSE)</f>
        <v>#N/A</v>
      </c>
      <c r="G1084" s="43" t="e">
        <f>VLOOKUP($A1084,'[2]Team lists'!$A$2:$L$800,7,FALSE)</f>
        <v>#N/A</v>
      </c>
      <c r="H1084" s="43" t="e">
        <f>VLOOKUP($A1084,'[2]Team lists'!$A$2:$L$800,8,FALSE)</f>
        <v>#N/A</v>
      </c>
      <c r="I1084" s="43" t="e">
        <f>VLOOKUP($A1084,'[2]Team lists'!$A$2:$L$800,9,FALSE)</f>
        <v>#N/A</v>
      </c>
      <c r="J1084" s="43" t="e">
        <f>VLOOKUP($A1084,'[2]Team lists'!$A$2:$L$800,9,FALSE)</f>
        <v>#N/A</v>
      </c>
      <c r="K1084" s="43" t="e">
        <f>VLOOKUP($A1084,'[2]Team lists'!$A$2:$L$800,10,FALSE)</f>
        <v>#N/A</v>
      </c>
      <c r="L1084" s="43" t="e">
        <f>VLOOKUP($A1084,'[2]Team lists'!$A$2:$L$800,11,FALSE)</f>
        <v>#N/A</v>
      </c>
    </row>
    <row r="1085" spans="2:13">
      <c r="B1085" s="43" t="e">
        <f>VLOOKUP($A1085,'[2]Team lists'!$A$2:$L$800,2,FALSE)</f>
        <v>#N/A</v>
      </c>
      <c r="C1085" s="43" t="e">
        <f>VLOOKUP($A1085,'[2]Team lists'!$A$2:$L$800,3,FALSE)</f>
        <v>#N/A</v>
      </c>
      <c r="D1085" s="43" t="e">
        <f>VLOOKUP($A1085,'[2]Team lists'!$A$2:$L$800,4,FALSE)</f>
        <v>#N/A</v>
      </c>
      <c r="E1085" s="43" t="e">
        <f>VLOOKUP($A1085,'[2]Team lists'!$A$2:$L$800,5,FALSE)</f>
        <v>#N/A</v>
      </c>
      <c r="F1085" s="43" t="e">
        <f>VLOOKUP($A1085,'[2]Team lists'!$A$2:$L$800,6,FALSE)</f>
        <v>#N/A</v>
      </c>
      <c r="G1085" s="43" t="e">
        <f>VLOOKUP($A1085,'[2]Team lists'!$A$2:$L$800,7,FALSE)</f>
        <v>#N/A</v>
      </c>
      <c r="H1085" s="43" t="e">
        <f>VLOOKUP($A1085,'[2]Team lists'!$A$2:$L$800,8,FALSE)</f>
        <v>#N/A</v>
      </c>
      <c r="I1085" s="43" t="e">
        <f>VLOOKUP($A1085,'[2]Team lists'!$A$2:$L$800,9,FALSE)</f>
        <v>#N/A</v>
      </c>
      <c r="J1085" s="43" t="e">
        <f>VLOOKUP($A1085,'[2]Team lists'!$A$2:$L$800,9,FALSE)</f>
        <v>#N/A</v>
      </c>
      <c r="K1085" s="43" t="e">
        <f>VLOOKUP($A1085,'[2]Team lists'!$A$2:$L$800,10,FALSE)</f>
        <v>#N/A</v>
      </c>
      <c r="L1085" s="43" t="e">
        <f>VLOOKUP($A1085,'[2]Team lists'!$A$2:$L$800,11,FALSE)</f>
        <v>#N/A</v>
      </c>
    </row>
    <row r="1086" spans="2:13">
      <c r="B1086" s="43" t="e">
        <f>VLOOKUP($A1086,'[2]Team lists'!$A$2:$L$800,2,FALSE)</f>
        <v>#N/A</v>
      </c>
      <c r="C1086" s="43" t="e">
        <f>VLOOKUP($A1086,'[2]Team lists'!$A$2:$L$800,3,FALSE)</f>
        <v>#N/A</v>
      </c>
      <c r="D1086" s="43" t="e">
        <f>VLOOKUP($A1086,'[2]Team lists'!$A$2:$L$800,4,FALSE)</f>
        <v>#N/A</v>
      </c>
      <c r="E1086" s="43" t="e">
        <f>VLOOKUP($A1086,'[2]Team lists'!$A$2:$L$800,5,FALSE)</f>
        <v>#N/A</v>
      </c>
      <c r="F1086" s="43" t="e">
        <f>VLOOKUP($A1086,'[2]Team lists'!$A$2:$L$800,6,FALSE)</f>
        <v>#N/A</v>
      </c>
      <c r="G1086" s="43" t="e">
        <f>VLOOKUP($A1086,'[2]Team lists'!$A$2:$L$800,7,FALSE)</f>
        <v>#N/A</v>
      </c>
      <c r="H1086" s="43" t="e">
        <f>VLOOKUP($A1086,'[2]Team lists'!$A$2:$L$800,8,FALSE)</f>
        <v>#N/A</v>
      </c>
      <c r="I1086" s="43" t="e">
        <f>VLOOKUP($A1086,'[2]Team lists'!$A$2:$L$800,9,FALSE)</f>
        <v>#N/A</v>
      </c>
      <c r="J1086" s="43" t="e">
        <f>VLOOKUP($A1086,'[2]Team lists'!$A$2:$L$800,9,FALSE)</f>
        <v>#N/A</v>
      </c>
      <c r="K1086" s="43" t="e">
        <f>VLOOKUP($A1086,'[2]Team lists'!$A$2:$L$800,10,FALSE)</f>
        <v>#N/A</v>
      </c>
      <c r="L1086" s="43" t="e">
        <f>VLOOKUP($A1086,'[2]Team lists'!$A$2:$L$800,11,FALSE)</f>
        <v>#N/A</v>
      </c>
    </row>
    <row r="1087" spans="2:13" ht="18" thickBot="1">
      <c r="B1087" s="45" t="s">
        <v>3210</v>
      </c>
      <c r="C1087" s="46"/>
      <c r="D1087" s="47"/>
      <c r="E1087" s="48" t="e">
        <f t="shared" ref="E1087:L1087" si="67">SUM(E1076:E1086)</f>
        <v>#N/A</v>
      </c>
      <c r="F1087" s="49" t="e">
        <f t="shared" si="67"/>
        <v>#N/A</v>
      </c>
      <c r="G1087" s="49" t="e">
        <f t="shared" si="67"/>
        <v>#N/A</v>
      </c>
      <c r="H1087" s="49" t="e">
        <f t="shared" si="67"/>
        <v>#N/A</v>
      </c>
      <c r="I1087" s="49" t="e">
        <f t="shared" si="67"/>
        <v>#N/A</v>
      </c>
      <c r="J1087" s="49" t="e">
        <f t="shared" si="67"/>
        <v>#N/A</v>
      </c>
      <c r="K1087" s="49" t="e">
        <f t="shared" si="67"/>
        <v>#N/A</v>
      </c>
      <c r="L1087" s="50" t="e">
        <f t="shared" si="67"/>
        <v>#N/A</v>
      </c>
    </row>
    <row r="1088" spans="2:13" ht="18.600000000000001" thickTop="1" thickBot="1"/>
    <row r="1089" spans="2:13" ht="18" thickTop="1">
      <c r="B1089" s="23" t="s">
        <v>3204</v>
      </c>
      <c r="C1089" s="24" t="s">
        <v>3205</v>
      </c>
      <c r="D1089" s="25"/>
      <c r="E1089" s="25"/>
      <c r="F1089" s="53"/>
      <c r="G1089" s="28" t="s">
        <v>3206</v>
      </c>
      <c r="H1089" s="54"/>
      <c r="I1089" s="54"/>
      <c r="J1089" s="54"/>
      <c r="K1089" s="28" t="s">
        <v>3207</v>
      </c>
      <c r="L1089" s="29"/>
      <c r="M1089" s="22" t="str">
        <f>G1089</f>
        <v>Manager:</v>
      </c>
    </row>
    <row r="1090" spans="2:13" ht="18" thickBot="1">
      <c r="B1090" s="30">
        <v>69</v>
      </c>
      <c r="C1090" s="57"/>
      <c r="D1090" s="31"/>
      <c r="E1090" s="31"/>
      <c r="F1090" s="33"/>
      <c r="G1090" s="55"/>
      <c r="H1090" s="55"/>
      <c r="I1090" s="55"/>
      <c r="J1090" s="55"/>
      <c r="K1090" s="34" t="e">
        <f>SUM(F1103:L1103)</f>
        <v>#N/A</v>
      </c>
      <c r="L1090" s="35"/>
      <c r="M1090" s="22">
        <f>G1090</f>
        <v>0</v>
      </c>
    </row>
    <row r="1091" spans="2:13" ht="18.600000000000001" thickTop="1">
      <c r="B1091" s="58" t="s">
        <v>913</v>
      </c>
      <c r="C1091" s="59" t="s">
        <v>912</v>
      </c>
      <c r="D1091" s="60" t="s">
        <v>911</v>
      </c>
      <c r="E1091" s="61" t="s">
        <v>3209</v>
      </c>
      <c r="F1091" s="62" t="s">
        <v>3162</v>
      </c>
      <c r="G1091" s="62" t="s">
        <v>3163</v>
      </c>
      <c r="H1091" s="62" t="s">
        <v>3164</v>
      </c>
      <c r="I1091" s="62" t="s">
        <v>3165</v>
      </c>
      <c r="J1091" s="62" t="s">
        <v>3166</v>
      </c>
      <c r="K1091" s="62" t="s">
        <v>3167</v>
      </c>
      <c r="L1091" s="63" t="s">
        <v>3168</v>
      </c>
    </row>
    <row r="1092" spans="2:13">
      <c r="B1092" s="43" t="e">
        <f>VLOOKUP($A1092,'[2]Team lists'!$A$2:$L$800,2,FALSE)</f>
        <v>#N/A</v>
      </c>
      <c r="C1092" s="43" t="e">
        <f>VLOOKUP($A1092,'[2]Team lists'!$A$2:$L$800,3,FALSE)</f>
        <v>#N/A</v>
      </c>
      <c r="D1092" s="43" t="e">
        <f>VLOOKUP($A1092,'[2]Team lists'!$A$2:$L$800,4,FALSE)</f>
        <v>#N/A</v>
      </c>
      <c r="E1092" s="43" t="e">
        <f>VLOOKUP($A1092,'[2]Team lists'!$A$2:$L$800,5,FALSE)</f>
        <v>#N/A</v>
      </c>
      <c r="F1092" s="43" t="e">
        <f>VLOOKUP($A1092,'[2]Team lists'!$A$2:$L$800,6,FALSE)</f>
        <v>#N/A</v>
      </c>
      <c r="G1092" s="43" t="e">
        <f>VLOOKUP($A1092,'[2]Team lists'!$A$2:$L$800,7,FALSE)</f>
        <v>#N/A</v>
      </c>
      <c r="H1092" s="43" t="e">
        <f>VLOOKUP($A1092,'[2]Team lists'!$A$2:$L$800,8,FALSE)</f>
        <v>#N/A</v>
      </c>
      <c r="I1092" s="43" t="e">
        <f>VLOOKUP($A1092,'[2]Team lists'!$A$2:$L$800,9,FALSE)</f>
        <v>#N/A</v>
      </c>
      <c r="J1092" s="43" t="e">
        <f>VLOOKUP($A1092,'[2]Team lists'!$A$2:$L$800,9,FALSE)</f>
        <v>#N/A</v>
      </c>
      <c r="K1092" s="43" t="e">
        <f>VLOOKUP($A1092,'[2]Team lists'!$A$2:$L$800,10,FALSE)</f>
        <v>#N/A</v>
      </c>
      <c r="L1092" s="43" t="e">
        <f>VLOOKUP($A1092,'[2]Team lists'!$A$2:$L$800,11,FALSE)</f>
        <v>#N/A</v>
      </c>
    </row>
    <row r="1093" spans="2:13">
      <c r="B1093" s="43" t="e">
        <f>VLOOKUP($A1093,'[2]Team lists'!$A$2:$L$800,2,FALSE)</f>
        <v>#N/A</v>
      </c>
      <c r="C1093" s="43" t="e">
        <f>VLOOKUP($A1093,'[2]Team lists'!$A$2:$L$800,3,FALSE)</f>
        <v>#N/A</v>
      </c>
      <c r="D1093" s="43" t="e">
        <f>VLOOKUP($A1093,'[2]Team lists'!$A$2:$L$800,4,FALSE)</f>
        <v>#N/A</v>
      </c>
      <c r="E1093" s="43" t="e">
        <f>VLOOKUP($A1093,'[2]Team lists'!$A$2:$L$800,5,FALSE)</f>
        <v>#N/A</v>
      </c>
      <c r="F1093" s="43" t="e">
        <f>VLOOKUP($A1093,'[2]Team lists'!$A$2:$L$800,6,FALSE)</f>
        <v>#N/A</v>
      </c>
      <c r="G1093" s="43" t="e">
        <f>VLOOKUP($A1093,'[2]Team lists'!$A$2:$L$800,7,FALSE)</f>
        <v>#N/A</v>
      </c>
      <c r="H1093" s="43" t="e">
        <f>VLOOKUP($A1093,'[2]Team lists'!$A$2:$L$800,8,FALSE)</f>
        <v>#N/A</v>
      </c>
      <c r="I1093" s="43" t="e">
        <f>VLOOKUP($A1093,'[2]Team lists'!$A$2:$L$800,9,FALSE)</f>
        <v>#N/A</v>
      </c>
      <c r="J1093" s="43" t="e">
        <f>VLOOKUP($A1093,'[2]Team lists'!$A$2:$L$800,9,FALSE)</f>
        <v>#N/A</v>
      </c>
      <c r="K1093" s="43" t="e">
        <f>VLOOKUP($A1093,'[2]Team lists'!$A$2:$L$800,10,FALSE)</f>
        <v>#N/A</v>
      </c>
      <c r="L1093" s="43" t="e">
        <f>VLOOKUP($A1093,'[2]Team lists'!$A$2:$L$800,11,FALSE)</f>
        <v>#N/A</v>
      </c>
    </row>
    <row r="1094" spans="2:13">
      <c r="B1094" s="43" t="e">
        <f>VLOOKUP($A1094,'[2]Team lists'!$A$2:$L$800,2,FALSE)</f>
        <v>#N/A</v>
      </c>
      <c r="C1094" s="43" t="e">
        <f>VLOOKUP($A1094,'[2]Team lists'!$A$2:$L$800,3,FALSE)</f>
        <v>#N/A</v>
      </c>
      <c r="D1094" s="43" t="e">
        <f>VLOOKUP($A1094,'[2]Team lists'!$A$2:$L$800,4,FALSE)</f>
        <v>#N/A</v>
      </c>
      <c r="E1094" s="43" t="e">
        <f>VLOOKUP($A1094,'[2]Team lists'!$A$2:$L$800,5,FALSE)</f>
        <v>#N/A</v>
      </c>
      <c r="F1094" s="43" t="e">
        <f>VLOOKUP($A1094,'[2]Team lists'!$A$2:$L$800,6,FALSE)</f>
        <v>#N/A</v>
      </c>
      <c r="G1094" s="43" t="e">
        <f>VLOOKUP($A1094,'[2]Team lists'!$A$2:$L$800,7,FALSE)</f>
        <v>#N/A</v>
      </c>
      <c r="H1094" s="43" t="e">
        <f>VLOOKUP($A1094,'[2]Team lists'!$A$2:$L$800,8,FALSE)</f>
        <v>#N/A</v>
      </c>
      <c r="I1094" s="43" t="e">
        <f>VLOOKUP($A1094,'[2]Team lists'!$A$2:$L$800,9,FALSE)</f>
        <v>#N/A</v>
      </c>
      <c r="J1094" s="43" t="e">
        <f>VLOOKUP($A1094,'[2]Team lists'!$A$2:$L$800,9,FALSE)</f>
        <v>#N/A</v>
      </c>
      <c r="K1094" s="43" t="e">
        <f>VLOOKUP($A1094,'[2]Team lists'!$A$2:$L$800,10,FALSE)</f>
        <v>#N/A</v>
      </c>
      <c r="L1094" s="43" t="e">
        <f>VLOOKUP($A1094,'[2]Team lists'!$A$2:$L$800,11,FALSE)</f>
        <v>#N/A</v>
      </c>
    </row>
    <row r="1095" spans="2:13">
      <c r="B1095" s="43" t="e">
        <f>VLOOKUP($A1095,'[2]Team lists'!$A$2:$L$800,2,FALSE)</f>
        <v>#N/A</v>
      </c>
      <c r="C1095" s="43" t="e">
        <f>VLOOKUP($A1095,'[2]Team lists'!$A$2:$L$800,3,FALSE)</f>
        <v>#N/A</v>
      </c>
      <c r="D1095" s="43" t="e">
        <f>VLOOKUP($A1095,'[2]Team lists'!$A$2:$L$800,4,FALSE)</f>
        <v>#N/A</v>
      </c>
      <c r="E1095" s="43" t="e">
        <f>VLOOKUP($A1095,'[2]Team lists'!$A$2:$L$800,5,FALSE)</f>
        <v>#N/A</v>
      </c>
      <c r="F1095" s="43" t="e">
        <f>VLOOKUP($A1095,'[2]Team lists'!$A$2:$L$800,6,FALSE)</f>
        <v>#N/A</v>
      </c>
      <c r="G1095" s="43" t="e">
        <f>VLOOKUP($A1095,'[2]Team lists'!$A$2:$L$800,7,FALSE)</f>
        <v>#N/A</v>
      </c>
      <c r="H1095" s="43" t="e">
        <f>VLOOKUP($A1095,'[2]Team lists'!$A$2:$L$800,8,FALSE)</f>
        <v>#N/A</v>
      </c>
      <c r="I1095" s="43" t="e">
        <f>VLOOKUP($A1095,'[2]Team lists'!$A$2:$L$800,9,FALSE)</f>
        <v>#N/A</v>
      </c>
      <c r="J1095" s="43" t="e">
        <f>VLOOKUP($A1095,'[2]Team lists'!$A$2:$L$800,9,FALSE)</f>
        <v>#N/A</v>
      </c>
      <c r="K1095" s="43" t="e">
        <f>VLOOKUP($A1095,'[2]Team lists'!$A$2:$L$800,10,FALSE)</f>
        <v>#N/A</v>
      </c>
      <c r="L1095" s="43" t="e">
        <f>VLOOKUP($A1095,'[2]Team lists'!$A$2:$L$800,11,FALSE)</f>
        <v>#N/A</v>
      </c>
    </row>
    <row r="1096" spans="2:13">
      <c r="B1096" s="43" t="e">
        <f>VLOOKUP($A1096,'[2]Team lists'!$A$2:$L$800,2,FALSE)</f>
        <v>#N/A</v>
      </c>
      <c r="C1096" s="43" t="e">
        <f>VLOOKUP($A1096,'[2]Team lists'!$A$2:$L$800,3,FALSE)</f>
        <v>#N/A</v>
      </c>
      <c r="D1096" s="43" t="e">
        <f>VLOOKUP($A1096,'[2]Team lists'!$A$2:$L$800,4,FALSE)</f>
        <v>#N/A</v>
      </c>
      <c r="E1096" s="43" t="e">
        <f>VLOOKUP($A1096,'[2]Team lists'!$A$2:$L$800,5,FALSE)</f>
        <v>#N/A</v>
      </c>
      <c r="F1096" s="43" t="e">
        <f>VLOOKUP($A1096,'[2]Team lists'!$A$2:$L$800,6,FALSE)</f>
        <v>#N/A</v>
      </c>
      <c r="G1096" s="43" t="e">
        <f>VLOOKUP($A1096,'[2]Team lists'!$A$2:$L$800,7,FALSE)</f>
        <v>#N/A</v>
      </c>
      <c r="H1096" s="43" t="e">
        <f>VLOOKUP($A1096,'[2]Team lists'!$A$2:$L$800,8,FALSE)</f>
        <v>#N/A</v>
      </c>
      <c r="I1096" s="43" t="e">
        <f>VLOOKUP($A1096,'[2]Team lists'!$A$2:$L$800,9,FALSE)</f>
        <v>#N/A</v>
      </c>
      <c r="J1096" s="43" t="e">
        <f>VLOOKUP($A1096,'[2]Team lists'!$A$2:$L$800,9,FALSE)</f>
        <v>#N/A</v>
      </c>
      <c r="K1096" s="43" t="e">
        <f>VLOOKUP($A1096,'[2]Team lists'!$A$2:$L$800,10,FALSE)</f>
        <v>#N/A</v>
      </c>
      <c r="L1096" s="43" t="e">
        <f>VLOOKUP($A1096,'[2]Team lists'!$A$2:$L$800,11,FALSE)</f>
        <v>#N/A</v>
      </c>
    </row>
    <row r="1097" spans="2:13">
      <c r="B1097" s="43" t="e">
        <f>VLOOKUP($A1097,'[2]Team lists'!$A$2:$L$800,2,FALSE)</f>
        <v>#N/A</v>
      </c>
      <c r="C1097" s="43" t="e">
        <f>VLOOKUP($A1097,'[2]Team lists'!$A$2:$L$800,3,FALSE)</f>
        <v>#N/A</v>
      </c>
      <c r="D1097" s="43" t="e">
        <f>VLOOKUP($A1097,'[2]Team lists'!$A$2:$L$800,4,FALSE)</f>
        <v>#N/A</v>
      </c>
      <c r="E1097" s="43" t="e">
        <f>VLOOKUP($A1097,'[2]Team lists'!$A$2:$L$800,5,FALSE)</f>
        <v>#N/A</v>
      </c>
      <c r="F1097" s="43" t="e">
        <f>VLOOKUP($A1097,'[2]Team lists'!$A$2:$L$800,6,FALSE)</f>
        <v>#N/A</v>
      </c>
      <c r="G1097" s="43" t="e">
        <f>VLOOKUP($A1097,'[2]Team lists'!$A$2:$L$800,7,FALSE)</f>
        <v>#N/A</v>
      </c>
      <c r="H1097" s="43" t="e">
        <f>VLOOKUP($A1097,'[2]Team lists'!$A$2:$L$800,8,FALSE)</f>
        <v>#N/A</v>
      </c>
      <c r="I1097" s="43" t="e">
        <f>VLOOKUP($A1097,'[2]Team lists'!$A$2:$L$800,9,FALSE)</f>
        <v>#N/A</v>
      </c>
      <c r="J1097" s="43" t="e">
        <f>VLOOKUP($A1097,'[2]Team lists'!$A$2:$L$800,9,FALSE)</f>
        <v>#N/A</v>
      </c>
      <c r="K1097" s="43" t="e">
        <f>VLOOKUP($A1097,'[2]Team lists'!$A$2:$L$800,10,FALSE)</f>
        <v>#N/A</v>
      </c>
      <c r="L1097" s="43" t="e">
        <f>VLOOKUP($A1097,'[2]Team lists'!$A$2:$L$800,11,FALSE)</f>
        <v>#N/A</v>
      </c>
    </row>
    <row r="1098" spans="2:13">
      <c r="B1098" s="43" t="e">
        <f>VLOOKUP($A1098,'[2]Team lists'!$A$2:$L$800,2,FALSE)</f>
        <v>#N/A</v>
      </c>
      <c r="C1098" s="43" t="e">
        <f>VLOOKUP($A1098,'[2]Team lists'!$A$2:$L$800,3,FALSE)</f>
        <v>#N/A</v>
      </c>
      <c r="D1098" s="43" t="e">
        <f>VLOOKUP($A1098,'[2]Team lists'!$A$2:$L$800,4,FALSE)</f>
        <v>#N/A</v>
      </c>
      <c r="E1098" s="43" t="e">
        <f>VLOOKUP($A1098,'[2]Team lists'!$A$2:$L$800,5,FALSE)</f>
        <v>#N/A</v>
      </c>
      <c r="F1098" s="43" t="e">
        <f>VLOOKUP($A1098,'[2]Team lists'!$A$2:$L$800,6,FALSE)</f>
        <v>#N/A</v>
      </c>
      <c r="G1098" s="43" t="e">
        <f>VLOOKUP($A1098,'[2]Team lists'!$A$2:$L$800,7,FALSE)</f>
        <v>#N/A</v>
      </c>
      <c r="H1098" s="43" t="e">
        <f>VLOOKUP($A1098,'[2]Team lists'!$A$2:$L$800,8,FALSE)</f>
        <v>#N/A</v>
      </c>
      <c r="I1098" s="43" t="e">
        <f>VLOOKUP($A1098,'[2]Team lists'!$A$2:$L$800,9,FALSE)</f>
        <v>#N/A</v>
      </c>
      <c r="J1098" s="43" t="e">
        <f>VLOOKUP($A1098,'[2]Team lists'!$A$2:$L$800,9,FALSE)</f>
        <v>#N/A</v>
      </c>
      <c r="K1098" s="43" t="e">
        <f>VLOOKUP($A1098,'[2]Team lists'!$A$2:$L$800,10,FALSE)</f>
        <v>#N/A</v>
      </c>
      <c r="L1098" s="43" t="e">
        <f>VLOOKUP($A1098,'[2]Team lists'!$A$2:$L$800,11,FALSE)</f>
        <v>#N/A</v>
      </c>
    </row>
    <row r="1099" spans="2:13">
      <c r="B1099" s="43" t="e">
        <f>VLOOKUP($A1099,'[2]Team lists'!$A$2:$L$800,2,FALSE)</f>
        <v>#N/A</v>
      </c>
      <c r="C1099" s="43" t="e">
        <f>VLOOKUP($A1099,'[2]Team lists'!$A$2:$L$800,3,FALSE)</f>
        <v>#N/A</v>
      </c>
      <c r="D1099" s="43" t="e">
        <f>VLOOKUP($A1099,'[2]Team lists'!$A$2:$L$800,4,FALSE)</f>
        <v>#N/A</v>
      </c>
      <c r="E1099" s="43" t="e">
        <f>VLOOKUP($A1099,'[2]Team lists'!$A$2:$L$800,5,FALSE)</f>
        <v>#N/A</v>
      </c>
      <c r="F1099" s="43" t="e">
        <f>VLOOKUP($A1099,'[2]Team lists'!$A$2:$L$800,6,FALSE)</f>
        <v>#N/A</v>
      </c>
      <c r="G1099" s="43" t="e">
        <f>VLOOKUP($A1099,'[2]Team lists'!$A$2:$L$800,7,FALSE)</f>
        <v>#N/A</v>
      </c>
      <c r="H1099" s="43" t="e">
        <f>VLOOKUP($A1099,'[2]Team lists'!$A$2:$L$800,8,FALSE)</f>
        <v>#N/A</v>
      </c>
      <c r="I1099" s="43" t="e">
        <f>VLOOKUP($A1099,'[2]Team lists'!$A$2:$L$800,9,FALSE)</f>
        <v>#N/A</v>
      </c>
      <c r="J1099" s="43" t="e">
        <f>VLOOKUP($A1099,'[2]Team lists'!$A$2:$L$800,9,FALSE)</f>
        <v>#N/A</v>
      </c>
      <c r="K1099" s="43" t="e">
        <f>VLOOKUP($A1099,'[2]Team lists'!$A$2:$L$800,10,FALSE)</f>
        <v>#N/A</v>
      </c>
      <c r="L1099" s="43" t="e">
        <f>VLOOKUP($A1099,'[2]Team lists'!$A$2:$L$800,11,FALSE)</f>
        <v>#N/A</v>
      </c>
    </row>
    <row r="1100" spans="2:13">
      <c r="B1100" s="43" t="e">
        <f>VLOOKUP($A1100,'[2]Team lists'!$A$2:$L$800,2,FALSE)</f>
        <v>#N/A</v>
      </c>
      <c r="C1100" s="43" t="e">
        <f>VLOOKUP($A1100,'[2]Team lists'!$A$2:$L$800,3,FALSE)</f>
        <v>#N/A</v>
      </c>
      <c r="D1100" s="43" t="e">
        <f>VLOOKUP($A1100,'[2]Team lists'!$A$2:$L$800,4,FALSE)</f>
        <v>#N/A</v>
      </c>
      <c r="E1100" s="43" t="e">
        <f>VLOOKUP($A1100,'[2]Team lists'!$A$2:$L$800,5,FALSE)</f>
        <v>#N/A</v>
      </c>
      <c r="F1100" s="43" t="e">
        <f>VLOOKUP($A1100,'[2]Team lists'!$A$2:$L$800,6,FALSE)</f>
        <v>#N/A</v>
      </c>
      <c r="G1100" s="43" t="e">
        <f>VLOOKUP($A1100,'[2]Team lists'!$A$2:$L$800,7,FALSE)</f>
        <v>#N/A</v>
      </c>
      <c r="H1100" s="43" t="e">
        <f>VLOOKUP($A1100,'[2]Team lists'!$A$2:$L$800,8,FALSE)</f>
        <v>#N/A</v>
      </c>
      <c r="I1100" s="43" t="e">
        <f>VLOOKUP($A1100,'[2]Team lists'!$A$2:$L$800,9,FALSE)</f>
        <v>#N/A</v>
      </c>
      <c r="J1100" s="43" t="e">
        <f>VLOOKUP($A1100,'[2]Team lists'!$A$2:$L$800,9,FALSE)</f>
        <v>#N/A</v>
      </c>
      <c r="K1100" s="43" t="e">
        <f>VLOOKUP($A1100,'[2]Team lists'!$A$2:$L$800,10,FALSE)</f>
        <v>#N/A</v>
      </c>
      <c r="L1100" s="43" t="e">
        <f>VLOOKUP($A1100,'[2]Team lists'!$A$2:$L$800,11,FALSE)</f>
        <v>#N/A</v>
      </c>
    </row>
    <row r="1101" spans="2:13">
      <c r="B1101" s="43" t="e">
        <f>VLOOKUP($A1101,'[2]Team lists'!$A$2:$L$800,2,FALSE)</f>
        <v>#N/A</v>
      </c>
      <c r="C1101" s="43" t="e">
        <f>VLOOKUP($A1101,'[2]Team lists'!$A$2:$L$800,3,FALSE)</f>
        <v>#N/A</v>
      </c>
      <c r="D1101" s="43" t="e">
        <f>VLOOKUP($A1101,'[2]Team lists'!$A$2:$L$800,4,FALSE)</f>
        <v>#N/A</v>
      </c>
      <c r="E1101" s="43" t="e">
        <f>VLOOKUP($A1101,'[2]Team lists'!$A$2:$L$800,5,FALSE)</f>
        <v>#N/A</v>
      </c>
      <c r="F1101" s="43" t="e">
        <f>VLOOKUP($A1101,'[2]Team lists'!$A$2:$L$800,6,FALSE)</f>
        <v>#N/A</v>
      </c>
      <c r="G1101" s="43" t="e">
        <f>VLOOKUP($A1101,'[2]Team lists'!$A$2:$L$800,7,FALSE)</f>
        <v>#N/A</v>
      </c>
      <c r="H1101" s="43" t="e">
        <f>VLOOKUP($A1101,'[2]Team lists'!$A$2:$L$800,8,FALSE)</f>
        <v>#N/A</v>
      </c>
      <c r="I1101" s="43" t="e">
        <f>VLOOKUP($A1101,'[2]Team lists'!$A$2:$L$800,9,FALSE)</f>
        <v>#N/A</v>
      </c>
      <c r="J1101" s="43" t="e">
        <f>VLOOKUP($A1101,'[2]Team lists'!$A$2:$L$800,9,FALSE)</f>
        <v>#N/A</v>
      </c>
      <c r="K1101" s="43" t="e">
        <f>VLOOKUP($A1101,'[2]Team lists'!$A$2:$L$800,10,FALSE)</f>
        <v>#N/A</v>
      </c>
      <c r="L1101" s="43" t="e">
        <f>VLOOKUP($A1101,'[2]Team lists'!$A$2:$L$800,11,FALSE)</f>
        <v>#N/A</v>
      </c>
    </row>
    <row r="1102" spans="2:13">
      <c r="B1102" s="43" t="e">
        <f>VLOOKUP($A1102,'[2]Team lists'!$A$2:$L$800,2,FALSE)</f>
        <v>#N/A</v>
      </c>
      <c r="C1102" s="43" t="e">
        <f>VLOOKUP($A1102,'[2]Team lists'!$A$2:$L$800,3,FALSE)</f>
        <v>#N/A</v>
      </c>
      <c r="D1102" s="43" t="e">
        <f>VLOOKUP($A1102,'[2]Team lists'!$A$2:$L$800,4,FALSE)</f>
        <v>#N/A</v>
      </c>
      <c r="E1102" s="43" t="e">
        <f>VLOOKUP($A1102,'[2]Team lists'!$A$2:$L$800,5,FALSE)</f>
        <v>#N/A</v>
      </c>
      <c r="F1102" s="43" t="e">
        <f>VLOOKUP($A1102,'[2]Team lists'!$A$2:$L$800,6,FALSE)</f>
        <v>#N/A</v>
      </c>
      <c r="G1102" s="43" t="e">
        <f>VLOOKUP($A1102,'[2]Team lists'!$A$2:$L$800,7,FALSE)</f>
        <v>#N/A</v>
      </c>
      <c r="H1102" s="43" t="e">
        <f>VLOOKUP($A1102,'[2]Team lists'!$A$2:$L$800,8,FALSE)</f>
        <v>#N/A</v>
      </c>
      <c r="I1102" s="43" t="e">
        <f>VLOOKUP($A1102,'[2]Team lists'!$A$2:$L$800,9,FALSE)</f>
        <v>#N/A</v>
      </c>
      <c r="J1102" s="43" t="e">
        <f>VLOOKUP($A1102,'[2]Team lists'!$A$2:$L$800,9,FALSE)</f>
        <v>#N/A</v>
      </c>
      <c r="K1102" s="43" t="e">
        <f>VLOOKUP($A1102,'[2]Team lists'!$A$2:$L$800,10,FALSE)</f>
        <v>#N/A</v>
      </c>
      <c r="L1102" s="43" t="e">
        <f>VLOOKUP($A1102,'[2]Team lists'!$A$2:$L$800,11,FALSE)</f>
        <v>#N/A</v>
      </c>
    </row>
    <row r="1103" spans="2:13" ht="18" thickBot="1">
      <c r="B1103" s="45" t="s">
        <v>3210</v>
      </c>
      <c r="C1103" s="46"/>
      <c r="D1103" s="47"/>
      <c r="E1103" s="48" t="e">
        <f t="shared" ref="E1103:L1103" si="68">SUM(E1092:E1102)</f>
        <v>#N/A</v>
      </c>
      <c r="F1103" s="49" t="e">
        <f t="shared" si="68"/>
        <v>#N/A</v>
      </c>
      <c r="G1103" s="49" t="e">
        <f t="shared" si="68"/>
        <v>#N/A</v>
      </c>
      <c r="H1103" s="49" t="e">
        <f t="shared" si="68"/>
        <v>#N/A</v>
      </c>
      <c r="I1103" s="49" t="e">
        <f t="shared" si="68"/>
        <v>#N/A</v>
      </c>
      <c r="J1103" s="49" t="e">
        <f t="shared" si="68"/>
        <v>#N/A</v>
      </c>
      <c r="K1103" s="49" t="e">
        <f t="shared" si="68"/>
        <v>#N/A</v>
      </c>
      <c r="L1103" s="50" t="e">
        <f t="shared" si="68"/>
        <v>#N/A</v>
      </c>
    </row>
    <row r="1104" spans="2:13" ht="18.600000000000001" thickTop="1" thickBot="1"/>
    <row r="1105" spans="2:13" ht="18" thickTop="1">
      <c r="B1105" s="23" t="s">
        <v>3204</v>
      </c>
      <c r="C1105" s="24" t="s">
        <v>3205</v>
      </c>
      <c r="D1105" s="25"/>
      <c r="E1105" s="25"/>
      <c r="F1105" s="53"/>
      <c r="G1105" s="28" t="s">
        <v>3206</v>
      </c>
      <c r="H1105" s="54"/>
      <c r="I1105" s="54"/>
      <c r="J1105" s="54"/>
      <c r="K1105" s="28" t="s">
        <v>3207</v>
      </c>
      <c r="L1105" s="29"/>
      <c r="M1105" s="22" t="str">
        <f>G1105</f>
        <v>Manager:</v>
      </c>
    </row>
    <row r="1106" spans="2:13" ht="18" thickBot="1">
      <c r="B1106" s="30">
        <v>70</v>
      </c>
      <c r="C1106" s="57"/>
      <c r="D1106" s="31"/>
      <c r="E1106" s="31"/>
      <c r="F1106" s="33"/>
      <c r="G1106" s="55"/>
      <c r="H1106" s="55"/>
      <c r="I1106" s="55"/>
      <c r="J1106" s="55"/>
      <c r="K1106" s="34" t="e">
        <f>SUM(F1119:L1119)</f>
        <v>#N/A</v>
      </c>
      <c r="L1106" s="35"/>
      <c r="M1106" s="22">
        <f>G1106</f>
        <v>0</v>
      </c>
    </row>
    <row r="1107" spans="2:13" ht="18.600000000000001" thickTop="1">
      <c r="B1107" s="58" t="s">
        <v>913</v>
      </c>
      <c r="C1107" s="59" t="s">
        <v>912</v>
      </c>
      <c r="D1107" s="60" t="s">
        <v>911</v>
      </c>
      <c r="E1107" s="61" t="s">
        <v>3209</v>
      </c>
      <c r="F1107" s="62" t="s">
        <v>3162</v>
      </c>
      <c r="G1107" s="62" t="s">
        <v>3163</v>
      </c>
      <c r="H1107" s="62" t="s">
        <v>3164</v>
      </c>
      <c r="I1107" s="62" t="s">
        <v>3165</v>
      </c>
      <c r="J1107" s="62" t="s">
        <v>3166</v>
      </c>
      <c r="K1107" s="62" t="s">
        <v>3167</v>
      </c>
      <c r="L1107" s="63" t="s">
        <v>3168</v>
      </c>
    </row>
    <row r="1108" spans="2:13">
      <c r="B1108" s="43" t="e">
        <f>VLOOKUP($A1108,'[2]Team lists'!$A$2:$L$800,2,FALSE)</f>
        <v>#N/A</v>
      </c>
      <c r="C1108" s="43" t="e">
        <f>VLOOKUP($A1108,'[2]Team lists'!$A$2:$L$800,3,FALSE)</f>
        <v>#N/A</v>
      </c>
      <c r="D1108" s="43" t="e">
        <f>VLOOKUP($A1108,'[2]Team lists'!$A$2:$L$800,4,FALSE)</f>
        <v>#N/A</v>
      </c>
      <c r="E1108" s="43" t="e">
        <f>VLOOKUP($A1108,'[2]Team lists'!$A$2:$L$800,5,FALSE)</f>
        <v>#N/A</v>
      </c>
      <c r="F1108" s="43" t="e">
        <f>VLOOKUP($A1108,'[2]Team lists'!$A$2:$L$800,6,FALSE)</f>
        <v>#N/A</v>
      </c>
      <c r="G1108" s="43" t="e">
        <f>VLOOKUP($A1108,'[2]Team lists'!$A$2:$L$800,7,FALSE)</f>
        <v>#N/A</v>
      </c>
      <c r="H1108" s="43" t="e">
        <f>VLOOKUP($A1108,'[2]Team lists'!$A$2:$L$800,8,FALSE)</f>
        <v>#N/A</v>
      </c>
      <c r="I1108" s="43" t="e">
        <f>VLOOKUP($A1108,'[2]Team lists'!$A$2:$L$800,9,FALSE)</f>
        <v>#N/A</v>
      </c>
      <c r="J1108" s="43" t="e">
        <f>VLOOKUP($A1108,'[2]Team lists'!$A$2:$L$800,9,FALSE)</f>
        <v>#N/A</v>
      </c>
      <c r="K1108" s="43" t="e">
        <f>VLOOKUP($A1108,'[2]Team lists'!$A$2:$L$800,10,FALSE)</f>
        <v>#N/A</v>
      </c>
      <c r="L1108" s="43" t="e">
        <f>VLOOKUP($A1108,'[2]Team lists'!$A$2:$L$800,11,FALSE)</f>
        <v>#N/A</v>
      </c>
    </row>
    <row r="1109" spans="2:13">
      <c r="B1109" s="43" t="e">
        <f>VLOOKUP($A1109,'[2]Team lists'!$A$2:$L$800,2,FALSE)</f>
        <v>#N/A</v>
      </c>
      <c r="C1109" s="43" t="e">
        <f>VLOOKUP($A1109,'[2]Team lists'!$A$2:$L$800,3,FALSE)</f>
        <v>#N/A</v>
      </c>
      <c r="D1109" s="43" t="e">
        <f>VLOOKUP($A1109,'[2]Team lists'!$A$2:$L$800,4,FALSE)</f>
        <v>#N/A</v>
      </c>
      <c r="E1109" s="43" t="e">
        <f>VLOOKUP($A1109,'[2]Team lists'!$A$2:$L$800,5,FALSE)</f>
        <v>#N/A</v>
      </c>
      <c r="F1109" s="43" t="e">
        <f>VLOOKUP($A1109,'[2]Team lists'!$A$2:$L$800,6,FALSE)</f>
        <v>#N/A</v>
      </c>
      <c r="G1109" s="43" t="e">
        <f>VLOOKUP($A1109,'[2]Team lists'!$A$2:$L$800,7,FALSE)</f>
        <v>#N/A</v>
      </c>
      <c r="H1109" s="43" t="e">
        <f>VLOOKUP($A1109,'[2]Team lists'!$A$2:$L$800,8,FALSE)</f>
        <v>#N/A</v>
      </c>
      <c r="I1109" s="43" t="e">
        <f>VLOOKUP($A1109,'[2]Team lists'!$A$2:$L$800,9,FALSE)</f>
        <v>#N/A</v>
      </c>
      <c r="J1109" s="43" t="e">
        <f>VLOOKUP($A1109,'[2]Team lists'!$A$2:$L$800,9,FALSE)</f>
        <v>#N/A</v>
      </c>
      <c r="K1109" s="43" t="e">
        <f>VLOOKUP($A1109,'[2]Team lists'!$A$2:$L$800,10,FALSE)</f>
        <v>#N/A</v>
      </c>
      <c r="L1109" s="43" t="e">
        <f>VLOOKUP($A1109,'[2]Team lists'!$A$2:$L$800,11,FALSE)</f>
        <v>#N/A</v>
      </c>
    </row>
    <row r="1110" spans="2:13">
      <c r="B1110" s="43" t="e">
        <f>VLOOKUP($A1110,'[2]Team lists'!$A$2:$L$800,2,FALSE)</f>
        <v>#N/A</v>
      </c>
      <c r="C1110" s="43" t="e">
        <f>VLOOKUP($A1110,'[2]Team lists'!$A$2:$L$800,3,FALSE)</f>
        <v>#N/A</v>
      </c>
      <c r="D1110" s="43" t="e">
        <f>VLOOKUP($A1110,'[2]Team lists'!$A$2:$L$800,4,FALSE)</f>
        <v>#N/A</v>
      </c>
      <c r="E1110" s="43" t="e">
        <f>VLOOKUP($A1110,'[2]Team lists'!$A$2:$L$800,5,FALSE)</f>
        <v>#N/A</v>
      </c>
      <c r="F1110" s="43" t="e">
        <f>VLOOKUP($A1110,'[2]Team lists'!$A$2:$L$800,6,FALSE)</f>
        <v>#N/A</v>
      </c>
      <c r="G1110" s="43" t="e">
        <f>VLOOKUP($A1110,'[2]Team lists'!$A$2:$L$800,7,FALSE)</f>
        <v>#N/A</v>
      </c>
      <c r="H1110" s="43" t="e">
        <f>VLOOKUP($A1110,'[2]Team lists'!$A$2:$L$800,8,FALSE)</f>
        <v>#N/A</v>
      </c>
      <c r="I1110" s="43" t="e">
        <f>VLOOKUP($A1110,'[2]Team lists'!$A$2:$L$800,9,FALSE)</f>
        <v>#N/A</v>
      </c>
      <c r="J1110" s="43" t="e">
        <f>VLOOKUP($A1110,'[2]Team lists'!$A$2:$L$800,9,FALSE)</f>
        <v>#N/A</v>
      </c>
      <c r="K1110" s="43" t="e">
        <f>VLOOKUP($A1110,'[2]Team lists'!$A$2:$L$800,10,FALSE)</f>
        <v>#N/A</v>
      </c>
      <c r="L1110" s="43" t="e">
        <f>VLOOKUP($A1110,'[2]Team lists'!$A$2:$L$800,11,FALSE)</f>
        <v>#N/A</v>
      </c>
    </row>
    <row r="1111" spans="2:13">
      <c r="B1111" s="43" t="e">
        <f>VLOOKUP($A1111,'[2]Team lists'!$A$2:$L$800,2,FALSE)</f>
        <v>#N/A</v>
      </c>
      <c r="C1111" s="43" t="e">
        <f>VLOOKUP($A1111,'[2]Team lists'!$A$2:$L$800,3,FALSE)</f>
        <v>#N/A</v>
      </c>
      <c r="D1111" s="43" t="e">
        <f>VLOOKUP($A1111,'[2]Team lists'!$A$2:$L$800,4,FALSE)</f>
        <v>#N/A</v>
      </c>
      <c r="E1111" s="43" t="e">
        <f>VLOOKUP($A1111,'[2]Team lists'!$A$2:$L$800,5,FALSE)</f>
        <v>#N/A</v>
      </c>
      <c r="F1111" s="43" t="e">
        <f>VLOOKUP($A1111,'[2]Team lists'!$A$2:$L$800,6,FALSE)</f>
        <v>#N/A</v>
      </c>
      <c r="G1111" s="43" t="e">
        <f>VLOOKUP($A1111,'[2]Team lists'!$A$2:$L$800,7,FALSE)</f>
        <v>#N/A</v>
      </c>
      <c r="H1111" s="43" t="e">
        <f>VLOOKUP($A1111,'[2]Team lists'!$A$2:$L$800,8,FALSE)</f>
        <v>#N/A</v>
      </c>
      <c r="I1111" s="43" t="e">
        <f>VLOOKUP($A1111,'[2]Team lists'!$A$2:$L$800,9,FALSE)</f>
        <v>#N/A</v>
      </c>
      <c r="J1111" s="43" t="e">
        <f>VLOOKUP($A1111,'[2]Team lists'!$A$2:$L$800,9,FALSE)</f>
        <v>#N/A</v>
      </c>
      <c r="K1111" s="43" t="e">
        <f>VLOOKUP($A1111,'[2]Team lists'!$A$2:$L$800,10,FALSE)</f>
        <v>#N/A</v>
      </c>
      <c r="L1111" s="43" t="e">
        <f>VLOOKUP($A1111,'[2]Team lists'!$A$2:$L$800,11,FALSE)</f>
        <v>#N/A</v>
      </c>
    </row>
    <row r="1112" spans="2:13">
      <c r="B1112" s="43" t="e">
        <f>VLOOKUP($A1112,'[2]Team lists'!$A$2:$L$800,2,FALSE)</f>
        <v>#N/A</v>
      </c>
      <c r="C1112" s="43" t="e">
        <f>VLOOKUP($A1112,'[2]Team lists'!$A$2:$L$800,3,FALSE)</f>
        <v>#N/A</v>
      </c>
      <c r="D1112" s="43" t="e">
        <f>VLOOKUP($A1112,'[2]Team lists'!$A$2:$L$800,4,FALSE)</f>
        <v>#N/A</v>
      </c>
      <c r="E1112" s="43" t="e">
        <f>VLOOKUP($A1112,'[2]Team lists'!$A$2:$L$800,5,FALSE)</f>
        <v>#N/A</v>
      </c>
      <c r="F1112" s="43" t="e">
        <f>VLOOKUP($A1112,'[2]Team lists'!$A$2:$L$800,6,FALSE)</f>
        <v>#N/A</v>
      </c>
      <c r="G1112" s="43" t="e">
        <f>VLOOKUP($A1112,'[2]Team lists'!$A$2:$L$800,7,FALSE)</f>
        <v>#N/A</v>
      </c>
      <c r="H1112" s="43" t="e">
        <f>VLOOKUP($A1112,'[2]Team lists'!$A$2:$L$800,8,FALSE)</f>
        <v>#N/A</v>
      </c>
      <c r="I1112" s="43" t="e">
        <f>VLOOKUP($A1112,'[2]Team lists'!$A$2:$L$800,9,FALSE)</f>
        <v>#N/A</v>
      </c>
      <c r="J1112" s="43" t="e">
        <f>VLOOKUP($A1112,'[2]Team lists'!$A$2:$L$800,9,FALSE)</f>
        <v>#N/A</v>
      </c>
      <c r="K1112" s="43" t="e">
        <f>VLOOKUP($A1112,'[2]Team lists'!$A$2:$L$800,10,FALSE)</f>
        <v>#N/A</v>
      </c>
      <c r="L1112" s="43" t="e">
        <f>VLOOKUP($A1112,'[2]Team lists'!$A$2:$L$800,11,FALSE)</f>
        <v>#N/A</v>
      </c>
    </row>
    <row r="1113" spans="2:13">
      <c r="B1113" s="43" t="e">
        <f>VLOOKUP($A1113,'[2]Team lists'!$A$2:$L$800,2,FALSE)</f>
        <v>#N/A</v>
      </c>
      <c r="C1113" s="43" t="e">
        <f>VLOOKUP($A1113,'[2]Team lists'!$A$2:$L$800,3,FALSE)</f>
        <v>#N/A</v>
      </c>
      <c r="D1113" s="43" t="e">
        <f>VLOOKUP($A1113,'[2]Team lists'!$A$2:$L$800,4,FALSE)</f>
        <v>#N/A</v>
      </c>
      <c r="E1113" s="43" t="e">
        <f>VLOOKUP($A1113,'[2]Team lists'!$A$2:$L$800,5,FALSE)</f>
        <v>#N/A</v>
      </c>
      <c r="F1113" s="43" t="e">
        <f>VLOOKUP($A1113,'[2]Team lists'!$A$2:$L$800,6,FALSE)</f>
        <v>#N/A</v>
      </c>
      <c r="G1113" s="43" t="e">
        <f>VLOOKUP($A1113,'[2]Team lists'!$A$2:$L$800,7,FALSE)</f>
        <v>#N/A</v>
      </c>
      <c r="H1113" s="43" t="e">
        <f>VLOOKUP($A1113,'[2]Team lists'!$A$2:$L$800,8,FALSE)</f>
        <v>#N/A</v>
      </c>
      <c r="I1113" s="43" t="e">
        <f>VLOOKUP($A1113,'[2]Team lists'!$A$2:$L$800,9,FALSE)</f>
        <v>#N/A</v>
      </c>
      <c r="J1113" s="43" t="e">
        <f>VLOOKUP($A1113,'[2]Team lists'!$A$2:$L$800,9,FALSE)</f>
        <v>#N/A</v>
      </c>
      <c r="K1113" s="43" t="e">
        <f>VLOOKUP($A1113,'[2]Team lists'!$A$2:$L$800,10,FALSE)</f>
        <v>#N/A</v>
      </c>
      <c r="L1113" s="43" t="e">
        <f>VLOOKUP($A1113,'[2]Team lists'!$A$2:$L$800,11,FALSE)</f>
        <v>#N/A</v>
      </c>
    </row>
    <row r="1114" spans="2:13">
      <c r="B1114" s="43" t="e">
        <f>VLOOKUP($A1114,'[2]Team lists'!$A$2:$L$800,2,FALSE)</f>
        <v>#N/A</v>
      </c>
      <c r="C1114" s="43" t="e">
        <f>VLOOKUP($A1114,'[2]Team lists'!$A$2:$L$800,3,FALSE)</f>
        <v>#N/A</v>
      </c>
      <c r="D1114" s="43" t="e">
        <f>VLOOKUP($A1114,'[2]Team lists'!$A$2:$L$800,4,FALSE)</f>
        <v>#N/A</v>
      </c>
      <c r="E1114" s="43" t="e">
        <f>VLOOKUP($A1114,'[2]Team lists'!$A$2:$L$800,5,FALSE)</f>
        <v>#N/A</v>
      </c>
      <c r="F1114" s="43" t="e">
        <f>VLOOKUP($A1114,'[2]Team lists'!$A$2:$L$800,6,FALSE)</f>
        <v>#N/A</v>
      </c>
      <c r="G1114" s="43" t="e">
        <f>VLOOKUP($A1114,'[2]Team lists'!$A$2:$L$800,7,FALSE)</f>
        <v>#N/A</v>
      </c>
      <c r="H1114" s="43" t="e">
        <f>VLOOKUP($A1114,'[2]Team lists'!$A$2:$L$800,8,FALSE)</f>
        <v>#N/A</v>
      </c>
      <c r="I1114" s="43" t="e">
        <f>VLOOKUP($A1114,'[2]Team lists'!$A$2:$L$800,9,FALSE)</f>
        <v>#N/A</v>
      </c>
      <c r="J1114" s="43" t="e">
        <f>VLOOKUP($A1114,'[2]Team lists'!$A$2:$L$800,9,FALSE)</f>
        <v>#N/A</v>
      </c>
      <c r="K1114" s="43" t="e">
        <f>VLOOKUP($A1114,'[2]Team lists'!$A$2:$L$800,10,FALSE)</f>
        <v>#N/A</v>
      </c>
      <c r="L1114" s="43" t="e">
        <f>VLOOKUP($A1114,'[2]Team lists'!$A$2:$L$800,11,FALSE)</f>
        <v>#N/A</v>
      </c>
    </row>
    <row r="1115" spans="2:13">
      <c r="B1115" s="43" t="e">
        <f>VLOOKUP($A1115,'[2]Team lists'!$A$2:$L$800,2,FALSE)</f>
        <v>#N/A</v>
      </c>
      <c r="C1115" s="43" t="e">
        <f>VLOOKUP($A1115,'[2]Team lists'!$A$2:$L$800,3,FALSE)</f>
        <v>#N/A</v>
      </c>
      <c r="D1115" s="43" t="e">
        <f>VLOOKUP($A1115,'[2]Team lists'!$A$2:$L$800,4,FALSE)</f>
        <v>#N/A</v>
      </c>
      <c r="E1115" s="43" t="e">
        <f>VLOOKUP($A1115,'[2]Team lists'!$A$2:$L$800,5,FALSE)</f>
        <v>#N/A</v>
      </c>
      <c r="F1115" s="43" t="e">
        <f>VLOOKUP($A1115,'[2]Team lists'!$A$2:$L$800,6,FALSE)</f>
        <v>#N/A</v>
      </c>
      <c r="G1115" s="43" t="e">
        <f>VLOOKUP($A1115,'[2]Team lists'!$A$2:$L$800,7,FALSE)</f>
        <v>#N/A</v>
      </c>
      <c r="H1115" s="43" t="e">
        <f>VLOOKUP($A1115,'[2]Team lists'!$A$2:$L$800,8,FALSE)</f>
        <v>#N/A</v>
      </c>
      <c r="I1115" s="43" t="e">
        <f>VLOOKUP($A1115,'[2]Team lists'!$A$2:$L$800,9,FALSE)</f>
        <v>#N/A</v>
      </c>
      <c r="J1115" s="43" t="e">
        <f>VLOOKUP($A1115,'[2]Team lists'!$A$2:$L$800,9,FALSE)</f>
        <v>#N/A</v>
      </c>
      <c r="K1115" s="43" t="e">
        <f>VLOOKUP($A1115,'[2]Team lists'!$A$2:$L$800,10,FALSE)</f>
        <v>#N/A</v>
      </c>
      <c r="L1115" s="43" t="e">
        <f>VLOOKUP($A1115,'[2]Team lists'!$A$2:$L$800,11,FALSE)</f>
        <v>#N/A</v>
      </c>
    </row>
    <row r="1116" spans="2:13">
      <c r="B1116" s="43" t="e">
        <f>VLOOKUP($A1116,'[2]Team lists'!$A$2:$L$800,2,FALSE)</f>
        <v>#N/A</v>
      </c>
      <c r="C1116" s="43" t="e">
        <f>VLOOKUP($A1116,'[2]Team lists'!$A$2:$L$800,3,FALSE)</f>
        <v>#N/A</v>
      </c>
      <c r="D1116" s="43" t="e">
        <f>VLOOKUP($A1116,'[2]Team lists'!$A$2:$L$800,4,FALSE)</f>
        <v>#N/A</v>
      </c>
      <c r="E1116" s="43" t="e">
        <f>VLOOKUP($A1116,'[2]Team lists'!$A$2:$L$800,5,FALSE)</f>
        <v>#N/A</v>
      </c>
      <c r="F1116" s="43" t="e">
        <f>VLOOKUP($A1116,'[2]Team lists'!$A$2:$L$800,6,FALSE)</f>
        <v>#N/A</v>
      </c>
      <c r="G1116" s="43" t="e">
        <f>VLOOKUP($A1116,'[2]Team lists'!$A$2:$L$800,7,FALSE)</f>
        <v>#N/A</v>
      </c>
      <c r="H1116" s="43" t="e">
        <f>VLOOKUP($A1116,'[2]Team lists'!$A$2:$L$800,8,FALSE)</f>
        <v>#N/A</v>
      </c>
      <c r="I1116" s="43" t="e">
        <f>VLOOKUP($A1116,'[2]Team lists'!$A$2:$L$800,9,FALSE)</f>
        <v>#N/A</v>
      </c>
      <c r="J1116" s="43" t="e">
        <f>VLOOKUP($A1116,'[2]Team lists'!$A$2:$L$800,9,FALSE)</f>
        <v>#N/A</v>
      </c>
      <c r="K1116" s="43" t="e">
        <f>VLOOKUP($A1116,'[2]Team lists'!$A$2:$L$800,10,FALSE)</f>
        <v>#N/A</v>
      </c>
      <c r="L1116" s="43" t="e">
        <f>VLOOKUP($A1116,'[2]Team lists'!$A$2:$L$800,11,FALSE)</f>
        <v>#N/A</v>
      </c>
    </row>
    <row r="1117" spans="2:13">
      <c r="B1117" s="43" t="e">
        <f>VLOOKUP($A1117,'[2]Team lists'!$A$2:$L$800,2,FALSE)</f>
        <v>#N/A</v>
      </c>
      <c r="C1117" s="43" t="e">
        <f>VLOOKUP($A1117,'[2]Team lists'!$A$2:$L$800,3,FALSE)</f>
        <v>#N/A</v>
      </c>
      <c r="D1117" s="43" t="e">
        <f>VLOOKUP($A1117,'[2]Team lists'!$A$2:$L$800,4,FALSE)</f>
        <v>#N/A</v>
      </c>
      <c r="E1117" s="43" t="e">
        <f>VLOOKUP($A1117,'[2]Team lists'!$A$2:$L$800,5,FALSE)</f>
        <v>#N/A</v>
      </c>
      <c r="F1117" s="43" t="e">
        <f>VLOOKUP($A1117,'[2]Team lists'!$A$2:$L$800,6,FALSE)</f>
        <v>#N/A</v>
      </c>
      <c r="G1117" s="43" t="e">
        <f>VLOOKUP($A1117,'[2]Team lists'!$A$2:$L$800,7,FALSE)</f>
        <v>#N/A</v>
      </c>
      <c r="H1117" s="43" t="e">
        <f>VLOOKUP($A1117,'[2]Team lists'!$A$2:$L$800,8,FALSE)</f>
        <v>#N/A</v>
      </c>
      <c r="I1117" s="43" t="e">
        <f>VLOOKUP($A1117,'[2]Team lists'!$A$2:$L$800,9,FALSE)</f>
        <v>#N/A</v>
      </c>
      <c r="J1117" s="43" t="e">
        <f>VLOOKUP($A1117,'[2]Team lists'!$A$2:$L$800,9,FALSE)</f>
        <v>#N/A</v>
      </c>
      <c r="K1117" s="43" t="e">
        <f>VLOOKUP($A1117,'[2]Team lists'!$A$2:$L$800,10,FALSE)</f>
        <v>#N/A</v>
      </c>
      <c r="L1117" s="43" t="e">
        <f>VLOOKUP($A1117,'[2]Team lists'!$A$2:$L$800,11,FALSE)</f>
        <v>#N/A</v>
      </c>
    </row>
    <row r="1118" spans="2:13">
      <c r="B1118" s="43" t="e">
        <f>VLOOKUP($A1118,'[2]Team lists'!$A$2:$L$800,2,FALSE)</f>
        <v>#N/A</v>
      </c>
      <c r="C1118" s="43" t="e">
        <f>VLOOKUP($A1118,'[2]Team lists'!$A$2:$L$800,3,FALSE)</f>
        <v>#N/A</v>
      </c>
      <c r="D1118" s="43" t="e">
        <f>VLOOKUP($A1118,'[2]Team lists'!$A$2:$L$800,4,FALSE)</f>
        <v>#N/A</v>
      </c>
      <c r="E1118" s="43" t="e">
        <f>VLOOKUP($A1118,'[2]Team lists'!$A$2:$L$800,5,FALSE)</f>
        <v>#N/A</v>
      </c>
      <c r="F1118" s="43" t="e">
        <f>VLOOKUP($A1118,'[2]Team lists'!$A$2:$L$800,6,FALSE)</f>
        <v>#N/A</v>
      </c>
      <c r="G1118" s="43" t="e">
        <f>VLOOKUP($A1118,'[2]Team lists'!$A$2:$L$800,7,FALSE)</f>
        <v>#N/A</v>
      </c>
      <c r="H1118" s="43" t="e">
        <f>VLOOKUP($A1118,'[2]Team lists'!$A$2:$L$800,8,FALSE)</f>
        <v>#N/A</v>
      </c>
      <c r="I1118" s="43" t="e">
        <f>VLOOKUP($A1118,'[2]Team lists'!$A$2:$L$800,9,FALSE)</f>
        <v>#N/A</v>
      </c>
      <c r="J1118" s="43" t="e">
        <f>VLOOKUP($A1118,'[2]Team lists'!$A$2:$L$800,9,FALSE)</f>
        <v>#N/A</v>
      </c>
      <c r="K1118" s="43" t="e">
        <f>VLOOKUP($A1118,'[2]Team lists'!$A$2:$L$800,10,FALSE)</f>
        <v>#N/A</v>
      </c>
      <c r="L1118" s="43" t="e">
        <f>VLOOKUP($A1118,'[2]Team lists'!$A$2:$L$800,11,FALSE)</f>
        <v>#N/A</v>
      </c>
    </row>
    <row r="1119" spans="2:13" ht="18" thickBot="1">
      <c r="B1119" s="45" t="s">
        <v>3210</v>
      </c>
      <c r="C1119" s="46"/>
      <c r="D1119" s="47"/>
      <c r="E1119" s="48" t="e">
        <f t="shared" ref="E1119:L1119" si="69">SUM(E1108:E1118)</f>
        <v>#N/A</v>
      </c>
      <c r="F1119" s="49" t="e">
        <f t="shared" si="69"/>
        <v>#N/A</v>
      </c>
      <c r="G1119" s="49" t="e">
        <f t="shared" si="69"/>
        <v>#N/A</v>
      </c>
      <c r="H1119" s="49" t="e">
        <f t="shared" si="69"/>
        <v>#N/A</v>
      </c>
      <c r="I1119" s="49" t="e">
        <f t="shared" si="69"/>
        <v>#N/A</v>
      </c>
      <c r="J1119" s="49" t="e">
        <f t="shared" si="69"/>
        <v>#N/A</v>
      </c>
      <c r="K1119" s="49" t="e">
        <f t="shared" si="69"/>
        <v>#N/A</v>
      </c>
      <c r="L1119" s="50" t="e">
        <f t="shared" si="69"/>
        <v>#N/A</v>
      </c>
    </row>
    <row r="1120" spans="2:13" ht="18.600000000000001" thickTop="1" thickBot="1"/>
    <row r="1121" spans="2:13" ht="18" thickTop="1">
      <c r="B1121" s="23" t="s">
        <v>3204</v>
      </c>
      <c r="C1121" s="24" t="s">
        <v>3205</v>
      </c>
      <c r="D1121" s="25"/>
      <c r="E1121" s="25"/>
      <c r="F1121" s="53"/>
      <c r="G1121" s="28" t="s">
        <v>3206</v>
      </c>
      <c r="H1121" s="54"/>
      <c r="I1121" s="54"/>
      <c r="J1121" s="54"/>
      <c r="K1121" s="28" t="s">
        <v>3207</v>
      </c>
      <c r="L1121" s="29"/>
      <c r="M1121" s="22" t="str">
        <f>G1121</f>
        <v>Manager:</v>
      </c>
    </row>
    <row r="1122" spans="2:13" ht="18" thickBot="1">
      <c r="B1122" s="30">
        <v>71</v>
      </c>
      <c r="C1122" s="57"/>
      <c r="D1122" s="31"/>
      <c r="E1122" s="31"/>
      <c r="F1122" s="33"/>
      <c r="G1122" s="55"/>
      <c r="H1122" s="55"/>
      <c r="I1122" s="55"/>
      <c r="J1122" s="55"/>
      <c r="K1122" s="34" t="e">
        <f>SUM(F1135:L1135)</f>
        <v>#N/A</v>
      </c>
      <c r="L1122" s="35"/>
      <c r="M1122" s="22">
        <f>G1122</f>
        <v>0</v>
      </c>
    </row>
    <row r="1123" spans="2:13" ht="18.600000000000001" thickTop="1">
      <c r="B1123" s="58" t="s">
        <v>913</v>
      </c>
      <c r="C1123" s="59" t="s">
        <v>912</v>
      </c>
      <c r="D1123" s="60" t="s">
        <v>911</v>
      </c>
      <c r="E1123" s="61" t="s">
        <v>3209</v>
      </c>
      <c r="F1123" s="62" t="s">
        <v>3162</v>
      </c>
      <c r="G1123" s="62" t="s">
        <v>3163</v>
      </c>
      <c r="H1123" s="62" t="s">
        <v>3164</v>
      </c>
      <c r="I1123" s="62" t="s">
        <v>3165</v>
      </c>
      <c r="J1123" s="62" t="s">
        <v>3166</v>
      </c>
      <c r="K1123" s="62" t="s">
        <v>3167</v>
      </c>
      <c r="L1123" s="63" t="s">
        <v>3168</v>
      </c>
    </row>
    <row r="1124" spans="2:13">
      <c r="B1124" s="43" t="e">
        <f>VLOOKUP($A1124,'[2]Team lists'!$A$2:$L$800,2,FALSE)</f>
        <v>#N/A</v>
      </c>
      <c r="C1124" s="43" t="e">
        <f>VLOOKUP($A1124,'[2]Team lists'!$A$2:$L$800,3,FALSE)</f>
        <v>#N/A</v>
      </c>
      <c r="D1124" s="43" t="e">
        <f>VLOOKUP($A1124,'[2]Team lists'!$A$2:$L$800,4,FALSE)</f>
        <v>#N/A</v>
      </c>
      <c r="E1124" s="43" t="e">
        <f>VLOOKUP($A1124,'[2]Team lists'!$A$2:$L$800,5,FALSE)</f>
        <v>#N/A</v>
      </c>
      <c r="F1124" s="43" t="e">
        <f>VLOOKUP($A1124,'[2]Team lists'!$A$2:$L$800,6,FALSE)</f>
        <v>#N/A</v>
      </c>
      <c r="G1124" s="43" t="e">
        <f>VLOOKUP($A1124,'[2]Team lists'!$A$2:$L$800,7,FALSE)</f>
        <v>#N/A</v>
      </c>
      <c r="H1124" s="43" t="e">
        <f>VLOOKUP($A1124,'[2]Team lists'!$A$2:$L$800,8,FALSE)</f>
        <v>#N/A</v>
      </c>
      <c r="I1124" s="43" t="e">
        <f>VLOOKUP($A1124,'[2]Team lists'!$A$2:$L$800,9,FALSE)</f>
        <v>#N/A</v>
      </c>
      <c r="J1124" s="43" t="e">
        <f>VLOOKUP($A1124,'[2]Team lists'!$A$2:$L$800,9,FALSE)</f>
        <v>#N/A</v>
      </c>
      <c r="K1124" s="43" t="e">
        <f>VLOOKUP($A1124,'[2]Team lists'!$A$2:$L$800,10,FALSE)</f>
        <v>#N/A</v>
      </c>
      <c r="L1124" s="43" t="e">
        <f>VLOOKUP($A1124,'[2]Team lists'!$A$2:$L$800,11,FALSE)</f>
        <v>#N/A</v>
      </c>
    </row>
    <row r="1125" spans="2:13">
      <c r="B1125" s="43" t="e">
        <f>VLOOKUP($A1125,'[2]Team lists'!$A$2:$L$800,2,FALSE)</f>
        <v>#N/A</v>
      </c>
      <c r="C1125" s="43" t="e">
        <f>VLOOKUP($A1125,'[2]Team lists'!$A$2:$L$800,3,FALSE)</f>
        <v>#N/A</v>
      </c>
      <c r="D1125" s="43" t="e">
        <f>VLOOKUP($A1125,'[2]Team lists'!$A$2:$L$800,4,FALSE)</f>
        <v>#N/A</v>
      </c>
      <c r="E1125" s="43" t="e">
        <f>VLOOKUP($A1125,'[2]Team lists'!$A$2:$L$800,5,FALSE)</f>
        <v>#N/A</v>
      </c>
      <c r="F1125" s="43" t="e">
        <f>VLOOKUP($A1125,'[2]Team lists'!$A$2:$L$800,6,FALSE)</f>
        <v>#N/A</v>
      </c>
      <c r="G1125" s="43" t="e">
        <f>VLOOKUP($A1125,'[2]Team lists'!$A$2:$L$800,7,FALSE)</f>
        <v>#N/A</v>
      </c>
      <c r="H1125" s="43" t="e">
        <f>VLOOKUP($A1125,'[2]Team lists'!$A$2:$L$800,8,FALSE)</f>
        <v>#N/A</v>
      </c>
      <c r="I1125" s="43" t="e">
        <f>VLOOKUP($A1125,'[2]Team lists'!$A$2:$L$800,9,FALSE)</f>
        <v>#N/A</v>
      </c>
      <c r="J1125" s="43" t="e">
        <f>VLOOKUP($A1125,'[2]Team lists'!$A$2:$L$800,9,FALSE)</f>
        <v>#N/A</v>
      </c>
      <c r="K1125" s="43" t="e">
        <f>VLOOKUP($A1125,'[2]Team lists'!$A$2:$L$800,10,FALSE)</f>
        <v>#N/A</v>
      </c>
      <c r="L1125" s="43" t="e">
        <f>VLOOKUP($A1125,'[2]Team lists'!$A$2:$L$800,11,FALSE)</f>
        <v>#N/A</v>
      </c>
    </row>
    <row r="1126" spans="2:13">
      <c r="B1126" s="43" t="e">
        <f>VLOOKUP($A1126,'[2]Team lists'!$A$2:$L$800,2,FALSE)</f>
        <v>#N/A</v>
      </c>
      <c r="C1126" s="43" t="e">
        <f>VLOOKUP($A1126,'[2]Team lists'!$A$2:$L$800,3,FALSE)</f>
        <v>#N/A</v>
      </c>
      <c r="D1126" s="43" t="e">
        <f>VLOOKUP($A1126,'[2]Team lists'!$A$2:$L$800,4,FALSE)</f>
        <v>#N/A</v>
      </c>
      <c r="E1126" s="43" t="e">
        <f>VLOOKUP($A1126,'[2]Team lists'!$A$2:$L$800,5,FALSE)</f>
        <v>#N/A</v>
      </c>
      <c r="F1126" s="43" t="e">
        <f>VLOOKUP($A1126,'[2]Team lists'!$A$2:$L$800,6,FALSE)</f>
        <v>#N/A</v>
      </c>
      <c r="G1126" s="43" t="e">
        <f>VLOOKUP($A1126,'[2]Team lists'!$A$2:$L$800,7,FALSE)</f>
        <v>#N/A</v>
      </c>
      <c r="H1126" s="43" t="e">
        <f>VLOOKUP($A1126,'[2]Team lists'!$A$2:$L$800,8,FALSE)</f>
        <v>#N/A</v>
      </c>
      <c r="I1126" s="43" t="e">
        <f>VLOOKUP($A1126,'[2]Team lists'!$A$2:$L$800,9,FALSE)</f>
        <v>#N/A</v>
      </c>
      <c r="J1126" s="43" t="e">
        <f>VLOOKUP($A1126,'[2]Team lists'!$A$2:$L$800,9,FALSE)</f>
        <v>#N/A</v>
      </c>
      <c r="K1126" s="43" t="e">
        <f>VLOOKUP($A1126,'[2]Team lists'!$A$2:$L$800,10,FALSE)</f>
        <v>#N/A</v>
      </c>
      <c r="L1126" s="43" t="e">
        <f>VLOOKUP($A1126,'[2]Team lists'!$A$2:$L$800,11,FALSE)</f>
        <v>#N/A</v>
      </c>
    </row>
    <row r="1127" spans="2:13">
      <c r="B1127" s="43" t="e">
        <f>VLOOKUP($A1127,'[2]Team lists'!$A$2:$L$800,2,FALSE)</f>
        <v>#N/A</v>
      </c>
      <c r="C1127" s="43" t="e">
        <f>VLOOKUP($A1127,'[2]Team lists'!$A$2:$L$800,3,FALSE)</f>
        <v>#N/A</v>
      </c>
      <c r="D1127" s="43" t="e">
        <f>VLOOKUP($A1127,'[2]Team lists'!$A$2:$L$800,4,FALSE)</f>
        <v>#N/A</v>
      </c>
      <c r="E1127" s="43" t="e">
        <f>VLOOKUP($A1127,'[2]Team lists'!$A$2:$L$800,5,FALSE)</f>
        <v>#N/A</v>
      </c>
      <c r="F1127" s="43" t="e">
        <f>VLOOKUP($A1127,'[2]Team lists'!$A$2:$L$800,6,FALSE)</f>
        <v>#N/A</v>
      </c>
      <c r="G1127" s="43" t="e">
        <f>VLOOKUP($A1127,'[2]Team lists'!$A$2:$L$800,7,FALSE)</f>
        <v>#N/A</v>
      </c>
      <c r="H1127" s="43" t="e">
        <f>VLOOKUP($A1127,'[2]Team lists'!$A$2:$L$800,8,FALSE)</f>
        <v>#N/A</v>
      </c>
      <c r="I1127" s="43" t="e">
        <f>VLOOKUP($A1127,'[2]Team lists'!$A$2:$L$800,9,FALSE)</f>
        <v>#N/A</v>
      </c>
      <c r="J1127" s="43" t="e">
        <f>VLOOKUP($A1127,'[2]Team lists'!$A$2:$L$800,9,FALSE)</f>
        <v>#N/A</v>
      </c>
      <c r="K1127" s="43" t="e">
        <f>VLOOKUP($A1127,'[2]Team lists'!$A$2:$L$800,10,FALSE)</f>
        <v>#N/A</v>
      </c>
      <c r="L1127" s="43" t="e">
        <f>VLOOKUP($A1127,'[2]Team lists'!$A$2:$L$800,11,FALSE)</f>
        <v>#N/A</v>
      </c>
    </row>
    <row r="1128" spans="2:13">
      <c r="B1128" s="43" t="e">
        <f>VLOOKUP($A1128,'[2]Team lists'!$A$2:$L$800,2,FALSE)</f>
        <v>#N/A</v>
      </c>
      <c r="C1128" s="43" t="e">
        <f>VLOOKUP($A1128,'[2]Team lists'!$A$2:$L$800,3,FALSE)</f>
        <v>#N/A</v>
      </c>
      <c r="D1128" s="43" t="e">
        <f>VLOOKUP($A1128,'[2]Team lists'!$A$2:$L$800,4,FALSE)</f>
        <v>#N/A</v>
      </c>
      <c r="E1128" s="43" t="e">
        <f>VLOOKUP($A1128,'[2]Team lists'!$A$2:$L$800,5,FALSE)</f>
        <v>#N/A</v>
      </c>
      <c r="F1128" s="43" t="e">
        <f>VLOOKUP($A1128,'[2]Team lists'!$A$2:$L$800,6,FALSE)</f>
        <v>#N/A</v>
      </c>
      <c r="G1128" s="43" t="e">
        <f>VLOOKUP($A1128,'[2]Team lists'!$A$2:$L$800,7,FALSE)</f>
        <v>#N/A</v>
      </c>
      <c r="H1128" s="43" t="e">
        <f>VLOOKUP($A1128,'[2]Team lists'!$A$2:$L$800,8,FALSE)</f>
        <v>#N/A</v>
      </c>
      <c r="I1128" s="43" t="e">
        <f>VLOOKUP($A1128,'[2]Team lists'!$A$2:$L$800,9,FALSE)</f>
        <v>#N/A</v>
      </c>
      <c r="J1128" s="43" t="e">
        <f>VLOOKUP($A1128,'[2]Team lists'!$A$2:$L$800,9,FALSE)</f>
        <v>#N/A</v>
      </c>
      <c r="K1128" s="43" t="e">
        <f>VLOOKUP($A1128,'[2]Team lists'!$A$2:$L$800,10,FALSE)</f>
        <v>#N/A</v>
      </c>
      <c r="L1128" s="43" t="e">
        <f>VLOOKUP($A1128,'[2]Team lists'!$A$2:$L$800,11,FALSE)</f>
        <v>#N/A</v>
      </c>
    </row>
    <row r="1129" spans="2:13">
      <c r="B1129" s="43" t="e">
        <f>VLOOKUP($A1129,'[2]Team lists'!$A$2:$L$800,2,FALSE)</f>
        <v>#N/A</v>
      </c>
      <c r="C1129" s="43" t="e">
        <f>VLOOKUP($A1129,'[2]Team lists'!$A$2:$L$800,3,FALSE)</f>
        <v>#N/A</v>
      </c>
      <c r="D1129" s="43" t="e">
        <f>VLOOKUP($A1129,'[2]Team lists'!$A$2:$L$800,4,FALSE)</f>
        <v>#N/A</v>
      </c>
      <c r="E1129" s="43" t="e">
        <f>VLOOKUP($A1129,'[2]Team lists'!$A$2:$L$800,5,FALSE)</f>
        <v>#N/A</v>
      </c>
      <c r="F1129" s="43" t="e">
        <f>VLOOKUP($A1129,'[2]Team lists'!$A$2:$L$800,6,FALSE)</f>
        <v>#N/A</v>
      </c>
      <c r="G1129" s="43" t="e">
        <f>VLOOKUP($A1129,'[2]Team lists'!$A$2:$L$800,7,FALSE)</f>
        <v>#N/A</v>
      </c>
      <c r="H1129" s="43" t="e">
        <f>VLOOKUP($A1129,'[2]Team lists'!$A$2:$L$800,8,FALSE)</f>
        <v>#N/A</v>
      </c>
      <c r="I1129" s="43" t="e">
        <f>VLOOKUP($A1129,'[2]Team lists'!$A$2:$L$800,9,FALSE)</f>
        <v>#N/A</v>
      </c>
      <c r="J1129" s="43" t="e">
        <f>VLOOKUP($A1129,'[2]Team lists'!$A$2:$L$800,9,FALSE)</f>
        <v>#N/A</v>
      </c>
      <c r="K1129" s="43" t="e">
        <f>VLOOKUP($A1129,'[2]Team lists'!$A$2:$L$800,10,FALSE)</f>
        <v>#N/A</v>
      </c>
      <c r="L1129" s="43" t="e">
        <f>VLOOKUP($A1129,'[2]Team lists'!$A$2:$L$800,11,FALSE)</f>
        <v>#N/A</v>
      </c>
    </row>
    <row r="1130" spans="2:13">
      <c r="B1130" s="43" t="e">
        <f>VLOOKUP($A1130,'[2]Team lists'!$A$2:$L$800,2,FALSE)</f>
        <v>#N/A</v>
      </c>
      <c r="C1130" s="43" t="e">
        <f>VLOOKUP($A1130,'[2]Team lists'!$A$2:$L$800,3,FALSE)</f>
        <v>#N/A</v>
      </c>
      <c r="D1130" s="43" t="e">
        <f>VLOOKUP($A1130,'[2]Team lists'!$A$2:$L$800,4,FALSE)</f>
        <v>#N/A</v>
      </c>
      <c r="E1130" s="43" t="e">
        <f>VLOOKUP($A1130,'[2]Team lists'!$A$2:$L$800,5,FALSE)</f>
        <v>#N/A</v>
      </c>
      <c r="F1130" s="43" t="e">
        <f>VLOOKUP($A1130,'[2]Team lists'!$A$2:$L$800,6,FALSE)</f>
        <v>#N/A</v>
      </c>
      <c r="G1130" s="43" t="e">
        <f>VLOOKUP($A1130,'[2]Team lists'!$A$2:$L$800,7,FALSE)</f>
        <v>#N/A</v>
      </c>
      <c r="H1130" s="43" t="e">
        <f>VLOOKUP($A1130,'[2]Team lists'!$A$2:$L$800,8,FALSE)</f>
        <v>#N/A</v>
      </c>
      <c r="I1130" s="43" t="e">
        <f>VLOOKUP($A1130,'[2]Team lists'!$A$2:$L$800,9,FALSE)</f>
        <v>#N/A</v>
      </c>
      <c r="J1130" s="43" t="e">
        <f>VLOOKUP($A1130,'[2]Team lists'!$A$2:$L$800,9,FALSE)</f>
        <v>#N/A</v>
      </c>
      <c r="K1130" s="43" t="e">
        <f>VLOOKUP($A1130,'[2]Team lists'!$A$2:$L$800,10,FALSE)</f>
        <v>#N/A</v>
      </c>
      <c r="L1130" s="43" t="e">
        <f>VLOOKUP($A1130,'[2]Team lists'!$A$2:$L$800,11,FALSE)</f>
        <v>#N/A</v>
      </c>
    </row>
    <row r="1131" spans="2:13">
      <c r="B1131" s="43" t="e">
        <f>VLOOKUP($A1131,'[2]Team lists'!$A$2:$L$800,2,FALSE)</f>
        <v>#N/A</v>
      </c>
      <c r="C1131" s="43" t="e">
        <f>VLOOKUP($A1131,'[2]Team lists'!$A$2:$L$800,3,FALSE)</f>
        <v>#N/A</v>
      </c>
      <c r="D1131" s="43" t="e">
        <f>VLOOKUP($A1131,'[2]Team lists'!$A$2:$L$800,4,FALSE)</f>
        <v>#N/A</v>
      </c>
      <c r="E1131" s="43" t="e">
        <f>VLOOKUP($A1131,'[2]Team lists'!$A$2:$L$800,5,FALSE)</f>
        <v>#N/A</v>
      </c>
      <c r="F1131" s="43" t="e">
        <f>VLOOKUP($A1131,'[2]Team lists'!$A$2:$L$800,6,FALSE)</f>
        <v>#N/A</v>
      </c>
      <c r="G1131" s="43" t="e">
        <f>VLOOKUP($A1131,'[2]Team lists'!$A$2:$L$800,7,FALSE)</f>
        <v>#N/A</v>
      </c>
      <c r="H1131" s="43" t="e">
        <f>VLOOKUP($A1131,'[2]Team lists'!$A$2:$L$800,8,FALSE)</f>
        <v>#N/A</v>
      </c>
      <c r="I1131" s="43" t="e">
        <f>VLOOKUP($A1131,'[2]Team lists'!$A$2:$L$800,9,FALSE)</f>
        <v>#N/A</v>
      </c>
      <c r="J1131" s="43" t="e">
        <f>VLOOKUP($A1131,'[2]Team lists'!$A$2:$L$800,9,FALSE)</f>
        <v>#N/A</v>
      </c>
      <c r="K1131" s="43" t="e">
        <f>VLOOKUP($A1131,'[2]Team lists'!$A$2:$L$800,10,FALSE)</f>
        <v>#N/A</v>
      </c>
      <c r="L1131" s="43" t="e">
        <f>VLOOKUP($A1131,'[2]Team lists'!$A$2:$L$800,11,FALSE)</f>
        <v>#N/A</v>
      </c>
    </row>
    <row r="1132" spans="2:13">
      <c r="B1132" s="43" t="e">
        <f>VLOOKUP($A1132,'[2]Team lists'!$A$2:$L$800,2,FALSE)</f>
        <v>#N/A</v>
      </c>
      <c r="C1132" s="43" t="e">
        <f>VLOOKUP($A1132,'[2]Team lists'!$A$2:$L$800,3,FALSE)</f>
        <v>#N/A</v>
      </c>
      <c r="D1132" s="43" t="e">
        <f>VLOOKUP($A1132,'[2]Team lists'!$A$2:$L$800,4,FALSE)</f>
        <v>#N/A</v>
      </c>
      <c r="E1132" s="43" t="e">
        <f>VLOOKUP($A1132,'[2]Team lists'!$A$2:$L$800,5,FALSE)</f>
        <v>#N/A</v>
      </c>
      <c r="F1132" s="43" t="e">
        <f>VLOOKUP($A1132,'[2]Team lists'!$A$2:$L$800,6,FALSE)</f>
        <v>#N/A</v>
      </c>
      <c r="G1132" s="43" t="e">
        <f>VLOOKUP($A1132,'[2]Team lists'!$A$2:$L$800,7,FALSE)</f>
        <v>#N/A</v>
      </c>
      <c r="H1132" s="43" t="e">
        <f>VLOOKUP($A1132,'[2]Team lists'!$A$2:$L$800,8,FALSE)</f>
        <v>#N/A</v>
      </c>
      <c r="I1132" s="43" t="e">
        <f>VLOOKUP($A1132,'[2]Team lists'!$A$2:$L$800,9,FALSE)</f>
        <v>#N/A</v>
      </c>
      <c r="J1132" s="43" t="e">
        <f>VLOOKUP($A1132,'[2]Team lists'!$A$2:$L$800,9,FALSE)</f>
        <v>#N/A</v>
      </c>
      <c r="K1132" s="43" t="e">
        <f>VLOOKUP($A1132,'[2]Team lists'!$A$2:$L$800,10,FALSE)</f>
        <v>#N/A</v>
      </c>
      <c r="L1132" s="43" t="e">
        <f>VLOOKUP($A1132,'[2]Team lists'!$A$2:$L$800,11,FALSE)</f>
        <v>#N/A</v>
      </c>
    </row>
    <row r="1133" spans="2:13">
      <c r="B1133" s="43" t="e">
        <f>VLOOKUP($A1133,'[2]Team lists'!$A$2:$L$800,2,FALSE)</f>
        <v>#N/A</v>
      </c>
      <c r="C1133" s="43" t="e">
        <f>VLOOKUP($A1133,'[2]Team lists'!$A$2:$L$800,3,FALSE)</f>
        <v>#N/A</v>
      </c>
      <c r="D1133" s="43" t="e">
        <f>VLOOKUP($A1133,'[2]Team lists'!$A$2:$L$800,4,FALSE)</f>
        <v>#N/A</v>
      </c>
      <c r="E1133" s="43" t="e">
        <f>VLOOKUP($A1133,'[2]Team lists'!$A$2:$L$800,5,FALSE)</f>
        <v>#N/A</v>
      </c>
      <c r="F1133" s="43" t="e">
        <f>VLOOKUP($A1133,'[2]Team lists'!$A$2:$L$800,6,FALSE)</f>
        <v>#N/A</v>
      </c>
      <c r="G1133" s="43" t="e">
        <f>VLOOKUP($A1133,'[2]Team lists'!$A$2:$L$800,7,FALSE)</f>
        <v>#N/A</v>
      </c>
      <c r="H1133" s="43" t="e">
        <f>VLOOKUP($A1133,'[2]Team lists'!$A$2:$L$800,8,FALSE)</f>
        <v>#N/A</v>
      </c>
      <c r="I1133" s="43" t="e">
        <f>VLOOKUP($A1133,'[2]Team lists'!$A$2:$L$800,9,FALSE)</f>
        <v>#N/A</v>
      </c>
      <c r="J1133" s="43" t="e">
        <f>VLOOKUP($A1133,'[2]Team lists'!$A$2:$L$800,9,FALSE)</f>
        <v>#N/A</v>
      </c>
      <c r="K1133" s="43" t="e">
        <f>VLOOKUP($A1133,'[2]Team lists'!$A$2:$L$800,10,FALSE)</f>
        <v>#N/A</v>
      </c>
      <c r="L1133" s="43" t="e">
        <f>VLOOKUP($A1133,'[2]Team lists'!$A$2:$L$800,11,FALSE)</f>
        <v>#N/A</v>
      </c>
    </row>
    <row r="1134" spans="2:13">
      <c r="B1134" s="43" t="e">
        <f>VLOOKUP($A1134,'[2]Team lists'!$A$2:$L$800,2,FALSE)</f>
        <v>#N/A</v>
      </c>
      <c r="C1134" s="43" t="e">
        <f>VLOOKUP($A1134,'[2]Team lists'!$A$2:$L$800,3,FALSE)</f>
        <v>#N/A</v>
      </c>
      <c r="D1134" s="43" t="e">
        <f>VLOOKUP($A1134,'[2]Team lists'!$A$2:$L$800,4,FALSE)</f>
        <v>#N/A</v>
      </c>
      <c r="E1134" s="43" t="e">
        <f>VLOOKUP($A1134,'[2]Team lists'!$A$2:$L$800,5,FALSE)</f>
        <v>#N/A</v>
      </c>
      <c r="F1134" s="43" t="e">
        <f>VLOOKUP($A1134,'[2]Team lists'!$A$2:$L$800,6,FALSE)</f>
        <v>#N/A</v>
      </c>
      <c r="G1134" s="43" t="e">
        <f>VLOOKUP($A1134,'[2]Team lists'!$A$2:$L$800,7,FALSE)</f>
        <v>#N/A</v>
      </c>
      <c r="H1134" s="43" t="e">
        <f>VLOOKUP($A1134,'[2]Team lists'!$A$2:$L$800,8,FALSE)</f>
        <v>#N/A</v>
      </c>
      <c r="I1134" s="43" t="e">
        <f>VLOOKUP($A1134,'[2]Team lists'!$A$2:$L$800,9,FALSE)</f>
        <v>#N/A</v>
      </c>
      <c r="J1134" s="43" t="e">
        <f>VLOOKUP($A1134,'[2]Team lists'!$A$2:$L$800,9,FALSE)</f>
        <v>#N/A</v>
      </c>
      <c r="K1134" s="43" t="e">
        <f>VLOOKUP($A1134,'[2]Team lists'!$A$2:$L$800,10,FALSE)</f>
        <v>#N/A</v>
      </c>
      <c r="L1134" s="43" t="e">
        <f>VLOOKUP($A1134,'[2]Team lists'!$A$2:$L$800,11,FALSE)</f>
        <v>#N/A</v>
      </c>
    </row>
    <row r="1135" spans="2:13" ht="18" thickBot="1">
      <c r="B1135" s="45" t="s">
        <v>3210</v>
      </c>
      <c r="C1135" s="46"/>
      <c r="D1135" s="47"/>
      <c r="E1135" s="48" t="e">
        <f t="shared" ref="E1135:L1135" si="70">SUM(E1124:E1134)</f>
        <v>#N/A</v>
      </c>
      <c r="F1135" s="49" t="e">
        <f t="shared" si="70"/>
        <v>#N/A</v>
      </c>
      <c r="G1135" s="49" t="e">
        <f t="shared" si="70"/>
        <v>#N/A</v>
      </c>
      <c r="H1135" s="49" t="e">
        <f t="shared" si="70"/>
        <v>#N/A</v>
      </c>
      <c r="I1135" s="49" t="e">
        <f t="shared" si="70"/>
        <v>#N/A</v>
      </c>
      <c r="J1135" s="49" t="e">
        <f t="shared" si="70"/>
        <v>#N/A</v>
      </c>
      <c r="K1135" s="49" t="e">
        <f t="shared" si="70"/>
        <v>#N/A</v>
      </c>
      <c r="L1135" s="50" t="e">
        <f t="shared" si="70"/>
        <v>#N/A</v>
      </c>
    </row>
    <row r="1136" spans="2:13" ht="18.600000000000001" thickTop="1" thickBot="1"/>
    <row r="1137" spans="2:13" ht="18" thickTop="1">
      <c r="B1137" s="23" t="s">
        <v>3204</v>
      </c>
      <c r="C1137" s="24" t="s">
        <v>3205</v>
      </c>
      <c r="D1137" s="25"/>
      <c r="E1137" s="25"/>
      <c r="F1137" s="53"/>
      <c r="G1137" s="28" t="s">
        <v>3206</v>
      </c>
      <c r="H1137" s="54"/>
      <c r="I1137" s="54"/>
      <c r="J1137" s="54"/>
      <c r="K1137" s="28" t="s">
        <v>3207</v>
      </c>
      <c r="L1137" s="29"/>
      <c r="M1137" s="22" t="str">
        <f>G1137</f>
        <v>Manager:</v>
      </c>
    </row>
    <row r="1138" spans="2:13" ht="18" thickBot="1">
      <c r="B1138" s="30">
        <v>72</v>
      </c>
      <c r="C1138" s="57"/>
      <c r="D1138" s="31"/>
      <c r="E1138" s="31"/>
      <c r="F1138" s="33"/>
      <c r="G1138" s="55"/>
      <c r="H1138" s="55"/>
      <c r="I1138" s="55"/>
      <c r="J1138" s="55"/>
      <c r="K1138" s="34" t="e">
        <f>SUM(F1151:L1151)</f>
        <v>#N/A</v>
      </c>
      <c r="L1138" s="35"/>
      <c r="M1138" s="22">
        <f>G1138</f>
        <v>0</v>
      </c>
    </row>
    <row r="1139" spans="2:13" ht="18.600000000000001" thickTop="1">
      <c r="B1139" s="58" t="s">
        <v>913</v>
      </c>
      <c r="C1139" s="59" t="s">
        <v>912</v>
      </c>
      <c r="D1139" s="60" t="s">
        <v>911</v>
      </c>
      <c r="E1139" s="61" t="s">
        <v>3209</v>
      </c>
      <c r="F1139" s="62" t="s">
        <v>3162</v>
      </c>
      <c r="G1139" s="62" t="s">
        <v>3163</v>
      </c>
      <c r="H1139" s="62" t="s">
        <v>3164</v>
      </c>
      <c r="I1139" s="62" t="s">
        <v>3165</v>
      </c>
      <c r="J1139" s="62" t="s">
        <v>3166</v>
      </c>
      <c r="K1139" s="62" t="s">
        <v>3167</v>
      </c>
      <c r="L1139" s="63" t="s">
        <v>3168</v>
      </c>
    </row>
    <row r="1140" spans="2:13">
      <c r="B1140" s="43" t="e">
        <f>VLOOKUP($A1140,'[2]Team lists'!$A$2:$L$800,2,FALSE)</f>
        <v>#N/A</v>
      </c>
      <c r="C1140" s="43" t="e">
        <f>VLOOKUP($A1140,'[2]Team lists'!$A$2:$L$800,3,FALSE)</f>
        <v>#N/A</v>
      </c>
      <c r="D1140" s="43" t="e">
        <f>VLOOKUP($A1140,'[2]Team lists'!$A$2:$L$800,4,FALSE)</f>
        <v>#N/A</v>
      </c>
      <c r="E1140" s="43" t="e">
        <f>VLOOKUP($A1140,'[2]Team lists'!$A$2:$L$800,5,FALSE)</f>
        <v>#N/A</v>
      </c>
      <c r="F1140" s="43" t="e">
        <f>VLOOKUP($A1140,'[2]Team lists'!$A$2:$L$800,6,FALSE)</f>
        <v>#N/A</v>
      </c>
      <c r="G1140" s="43" t="e">
        <f>VLOOKUP($A1140,'[2]Team lists'!$A$2:$L$800,7,FALSE)</f>
        <v>#N/A</v>
      </c>
      <c r="H1140" s="43" t="e">
        <f>VLOOKUP($A1140,'[2]Team lists'!$A$2:$L$800,8,FALSE)</f>
        <v>#N/A</v>
      </c>
      <c r="I1140" s="43" t="e">
        <f>VLOOKUP($A1140,'[2]Team lists'!$A$2:$L$800,9,FALSE)</f>
        <v>#N/A</v>
      </c>
      <c r="J1140" s="43" t="e">
        <f>VLOOKUP($A1140,'[2]Team lists'!$A$2:$L$800,9,FALSE)</f>
        <v>#N/A</v>
      </c>
      <c r="K1140" s="43" t="e">
        <f>VLOOKUP($A1140,'[2]Team lists'!$A$2:$L$800,10,FALSE)</f>
        <v>#N/A</v>
      </c>
      <c r="L1140" s="43" t="e">
        <f>VLOOKUP($A1140,'[2]Team lists'!$A$2:$L$800,11,FALSE)</f>
        <v>#N/A</v>
      </c>
    </row>
    <row r="1141" spans="2:13">
      <c r="B1141" s="43" t="e">
        <f>VLOOKUP($A1141,'[2]Team lists'!$A$2:$L$800,2,FALSE)</f>
        <v>#N/A</v>
      </c>
      <c r="C1141" s="43" t="e">
        <f>VLOOKUP($A1141,'[2]Team lists'!$A$2:$L$800,3,FALSE)</f>
        <v>#N/A</v>
      </c>
      <c r="D1141" s="43" t="e">
        <f>VLOOKUP($A1141,'[2]Team lists'!$A$2:$L$800,4,FALSE)</f>
        <v>#N/A</v>
      </c>
      <c r="E1141" s="43" t="e">
        <f>VLOOKUP($A1141,'[2]Team lists'!$A$2:$L$800,5,FALSE)</f>
        <v>#N/A</v>
      </c>
      <c r="F1141" s="43" t="e">
        <f>VLOOKUP($A1141,'[2]Team lists'!$A$2:$L$800,6,FALSE)</f>
        <v>#N/A</v>
      </c>
      <c r="G1141" s="43" t="e">
        <f>VLOOKUP($A1141,'[2]Team lists'!$A$2:$L$800,7,FALSE)</f>
        <v>#N/A</v>
      </c>
      <c r="H1141" s="43" t="e">
        <f>VLOOKUP($A1141,'[2]Team lists'!$A$2:$L$800,8,FALSE)</f>
        <v>#N/A</v>
      </c>
      <c r="I1141" s="43" t="e">
        <f>VLOOKUP($A1141,'[2]Team lists'!$A$2:$L$800,9,FALSE)</f>
        <v>#N/A</v>
      </c>
      <c r="J1141" s="43" t="e">
        <f>VLOOKUP($A1141,'[2]Team lists'!$A$2:$L$800,9,FALSE)</f>
        <v>#N/A</v>
      </c>
      <c r="K1141" s="43" t="e">
        <f>VLOOKUP($A1141,'[2]Team lists'!$A$2:$L$800,10,FALSE)</f>
        <v>#N/A</v>
      </c>
      <c r="L1141" s="43" t="e">
        <f>VLOOKUP($A1141,'[2]Team lists'!$A$2:$L$800,11,FALSE)</f>
        <v>#N/A</v>
      </c>
    </row>
    <row r="1142" spans="2:13">
      <c r="B1142" s="43" t="e">
        <f>VLOOKUP($A1142,'[2]Team lists'!$A$2:$L$800,2,FALSE)</f>
        <v>#N/A</v>
      </c>
      <c r="C1142" s="43" t="e">
        <f>VLOOKUP($A1142,'[2]Team lists'!$A$2:$L$800,3,FALSE)</f>
        <v>#N/A</v>
      </c>
      <c r="D1142" s="43" t="e">
        <f>VLOOKUP($A1142,'[2]Team lists'!$A$2:$L$800,4,FALSE)</f>
        <v>#N/A</v>
      </c>
      <c r="E1142" s="43" t="e">
        <f>VLOOKUP($A1142,'[2]Team lists'!$A$2:$L$800,5,FALSE)</f>
        <v>#N/A</v>
      </c>
      <c r="F1142" s="43" t="e">
        <f>VLOOKUP($A1142,'[2]Team lists'!$A$2:$L$800,6,FALSE)</f>
        <v>#N/A</v>
      </c>
      <c r="G1142" s="43" t="e">
        <f>VLOOKUP($A1142,'[2]Team lists'!$A$2:$L$800,7,FALSE)</f>
        <v>#N/A</v>
      </c>
      <c r="H1142" s="43" t="e">
        <f>VLOOKUP($A1142,'[2]Team lists'!$A$2:$L$800,8,FALSE)</f>
        <v>#N/A</v>
      </c>
      <c r="I1142" s="43" t="e">
        <f>VLOOKUP($A1142,'[2]Team lists'!$A$2:$L$800,9,FALSE)</f>
        <v>#N/A</v>
      </c>
      <c r="J1142" s="43" t="e">
        <f>VLOOKUP($A1142,'[2]Team lists'!$A$2:$L$800,9,FALSE)</f>
        <v>#N/A</v>
      </c>
      <c r="K1142" s="43" t="e">
        <f>VLOOKUP($A1142,'[2]Team lists'!$A$2:$L$800,10,FALSE)</f>
        <v>#N/A</v>
      </c>
      <c r="L1142" s="43" t="e">
        <f>VLOOKUP($A1142,'[2]Team lists'!$A$2:$L$800,11,FALSE)</f>
        <v>#N/A</v>
      </c>
    </row>
    <row r="1143" spans="2:13">
      <c r="B1143" s="43" t="e">
        <f>VLOOKUP($A1143,'[2]Team lists'!$A$2:$L$800,2,FALSE)</f>
        <v>#N/A</v>
      </c>
      <c r="C1143" s="43" t="e">
        <f>VLOOKUP($A1143,'[2]Team lists'!$A$2:$L$800,3,FALSE)</f>
        <v>#N/A</v>
      </c>
      <c r="D1143" s="43" t="e">
        <f>VLOOKUP($A1143,'[2]Team lists'!$A$2:$L$800,4,FALSE)</f>
        <v>#N/A</v>
      </c>
      <c r="E1143" s="43" t="e">
        <f>VLOOKUP($A1143,'[2]Team lists'!$A$2:$L$800,5,FALSE)</f>
        <v>#N/A</v>
      </c>
      <c r="F1143" s="43" t="e">
        <f>VLOOKUP($A1143,'[2]Team lists'!$A$2:$L$800,6,FALSE)</f>
        <v>#N/A</v>
      </c>
      <c r="G1143" s="43" t="e">
        <f>VLOOKUP($A1143,'[2]Team lists'!$A$2:$L$800,7,FALSE)</f>
        <v>#N/A</v>
      </c>
      <c r="H1143" s="43" t="e">
        <f>VLOOKUP($A1143,'[2]Team lists'!$A$2:$L$800,8,FALSE)</f>
        <v>#N/A</v>
      </c>
      <c r="I1143" s="43" t="e">
        <f>VLOOKUP($A1143,'[2]Team lists'!$A$2:$L$800,9,FALSE)</f>
        <v>#N/A</v>
      </c>
      <c r="J1143" s="43" t="e">
        <f>VLOOKUP($A1143,'[2]Team lists'!$A$2:$L$800,9,FALSE)</f>
        <v>#N/A</v>
      </c>
      <c r="K1143" s="43" t="e">
        <f>VLOOKUP($A1143,'[2]Team lists'!$A$2:$L$800,10,FALSE)</f>
        <v>#N/A</v>
      </c>
      <c r="L1143" s="43" t="e">
        <f>VLOOKUP($A1143,'[2]Team lists'!$A$2:$L$800,11,FALSE)</f>
        <v>#N/A</v>
      </c>
    </row>
    <row r="1144" spans="2:13">
      <c r="B1144" s="43" t="e">
        <f>VLOOKUP($A1144,'[2]Team lists'!$A$2:$L$800,2,FALSE)</f>
        <v>#N/A</v>
      </c>
      <c r="C1144" s="43" t="e">
        <f>VLOOKUP($A1144,'[2]Team lists'!$A$2:$L$800,3,FALSE)</f>
        <v>#N/A</v>
      </c>
      <c r="D1144" s="43" t="e">
        <f>VLOOKUP($A1144,'[2]Team lists'!$A$2:$L$800,4,FALSE)</f>
        <v>#N/A</v>
      </c>
      <c r="E1144" s="43" t="e">
        <f>VLOOKUP($A1144,'[2]Team lists'!$A$2:$L$800,5,FALSE)</f>
        <v>#N/A</v>
      </c>
      <c r="F1144" s="43" t="e">
        <f>VLOOKUP($A1144,'[2]Team lists'!$A$2:$L$800,6,FALSE)</f>
        <v>#N/A</v>
      </c>
      <c r="G1144" s="43" t="e">
        <f>VLOOKUP($A1144,'[2]Team lists'!$A$2:$L$800,7,FALSE)</f>
        <v>#N/A</v>
      </c>
      <c r="H1144" s="43" t="e">
        <f>VLOOKUP($A1144,'[2]Team lists'!$A$2:$L$800,8,FALSE)</f>
        <v>#N/A</v>
      </c>
      <c r="I1144" s="43" t="e">
        <f>VLOOKUP($A1144,'[2]Team lists'!$A$2:$L$800,9,FALSE)</f>
        <v>#N/A</v>
      </c>
      <c r="J1144" s="43" t="e">
        <f>VLOOKUP($A1144,'[2]Team lists'!$A$2:$L$800,9,FALSE)</f>
        <v>#N/A</v>
      </c>
      <c r="K1144" s="43" t="e">
        <f>VLOOKUP($A1144,'[2]Team lists'!$A$2:$L$800,10,FALSE)</f>
        <v>#N/A</v>
      </c>
      <c r="L1144" s="43" t="e">
        <f>VLOOKUP($A1144,'[2]Team lists'!$A$2:$L$800,11,FALSE)</f>
        <v>#N/A</v>
      </c>
    </row>
    <row r="1145" spans="2:13">
      <c r="B1145" s="43" t="e">
        <f>VLOOKUP($A1145,'[2]Team lists'!$A$2:$L$800,2,FALSE)</f>
        <v>#N/A</v>
      </c>
      <c r="C1145" s="43" t="e">
        <f>VLOOKUP($A1145,'[2]Team lists'!$A$2:$L$800,3,FALSE)</f>
        <v>#N/A</v>
      </c>
      <c r="D1145" s="43" t="e">
        <f>VLOOKUP($A1145,'[2]Team lists'!$A$2:$L$800,4,FALSE)</f>
        <v>#N/A</v>
      </c>
      <c r="E1145" s="43" t="e">
        <f>VLOOKUP($A1145,'[2]Team lists'!$A$2:$L$800,5,FALSE)</f>
        <v>#N/A</v>
      </c>
      <c r="F1145" s="43" t="e">
        <f>VLOOKUP($A1145,'[2]Team lists'!$A$2:$L$800,6,FALSE)</f>
        <v>#N/A</v>
      </c>
      <c r="G1145" s="43" t="e">
        <f>VLOOKUP($A1145,'[2]Team lists'!$A$2:$L$800,7,FALSE)</f>
        <v>#N/A</v>
      </c>
      <c r="H1145" s="43" t="e">
        <f>VLOOKUP($A1145,'[2]Team lists'!$A$2:$L$800,8,FALSE)</f>
        <v>#N/A</v>
      </c>
      <c r="I1145" s="43" t="e">
        <f>VLOOKUP($A1145,'[2]Team lists'!$A$2:$L$800,9,FALSE)</f>
        <v>#N/A</v>
      </c>
      <c r="J1145" s="43" t="e">
        <f>VLOOKUP($A1145,'[2]Team lists'!$A$2:$L$800,9,FALSE)</f>
        <v>#N/A</v>
      </c>
      <c r="K1145" s="43" t="e">
        <f>VLOOKUP($A1145,'[2]Team lists'!$A$2:$L$800,10,FALSE)</f>
        <v>#N/A</v>
      </c>
      <c r="L1145" s="43" t="e">
        <f>VLOOKUP($A1145,'[2]Team lists'!$A$2:$L$800,11,FALSE)</f>
        <v>#N/A</v>
      </c>
    </row>
    <row r="1146" spans="2:13">
      <c r="B1146" s="43" t="e">
        <f>VLOOKUP($A1146,'[2]Team lists'!$A$2:$L$800,2,FALSE)</f>
        <v>#N/A</v>
      </c>
      <c r="C1146" s="43" t="e">
        <f>VLOOKUP($A1146,'[2]Team lists'!$A$2:$L$800,3,FALSE)</f>
        <v>#N/A</v>
      </c>
      <c r="D1146" s="43" t="e">
        <f>VLOOKUP($A1146,'[2]Team lists'!$A$2:$L$800,4,FALSE)</f>
        <v>#N/A</v>
      </c>
      <c r="E1146" s="43" t="e">
        <f>VLOOKUP($A1146,'[2]Team lists'!$A$2:$L$800,5,FALSE)</f>
        <v>#N/A</v>
      </c>
      <c r="F1146" s="43" t="e">
        <f>VLOOKUP($A1146,'[2]Team lists'!$A$2:$L$800,6,FALSE)</f>
        <v>#N/A</v>
      </c>
      <c r="G1146" s="43" t="e">
        <f>VLOOKUP($A1146,'[2]Team lists'!$A$2:$L$800,7,FALSE)</f>
        <v>#N/A</v>
      </c>
      <c r="H1146" s="43" t="e">
        <f>VLOOKUP($A1146,'[2]Team lists'!$A$2:$L$800,8,FALSE)</f>
        <v>#N/A</v>
      </c>
      <c r="I1146" s="43" t="e">
        <f>VLOOKUP($A1146,'[2]Team lists'!$A$2:$L$800,9,FALSE)</f>
        <v>#N/A</v>
      </c>
      <c r="J1146" s="43" t="e">
        <f>VLOOKUP($A1146,'[2]Team lists'!$A$2:$L$800,9,FALSE)</f>
        <v>#N/A</v>
      </c>
      <c r="K1146" s="43" t="e">
        <f>VLOOKUP($A1146,'[2]Team lists'!$A$2:$L$800,10,FALSE)</f>
        <v>#N/A</v>
      </c>
      <c r="L1146" s="43" t="e">
        <f>VLOOKUP($A1146,'[2]Team lists'!$A$2:$L$800,11,FALSE)</f>
        <v>#N/A</v>
      </c>
    </row>
    <row r="1147" spans="2:13">
      <c r="B1147" s="43" t="e">
        <f>VLOOKUP($A1147,'[2]Team lists'!$A$2:$L$800,2,FALSE)</f>
        <v>#N/A</v>
      </c>
      <c r="C1147" s="43" t="e">
        <f>VLOOKUP($A1147,'[2]Team lists'!$A$2:$L$800,3,FALSE)</f>
        <v>#N/A</v>
      </c>
      <c r="D1147" s="43" t="e">
        <f>VLOOKUP($A1147,'[2]Team lists'!$A$2:$L$800,4,FALSE)</f>
        <v>#N/A</v>
      </c>
      <c r="E1147" s="43" t="e">
        <f>VLOOKUP($A1147,'[2]Team lists'!$A$2:$L$800,5,FALSE)</f>
        <v>#N/A</v>
      </c>
      <c r="F1147" s="43" t="e">
        <f>VLOOKUP($A1147,'[2]Team lists'!$A$2:$L$800,6,FALSE)</f>
        <v>#N/A</v>
      </c>
      <c r="G1147" s="43" t="e">
        <f>VLOOKUP($A1147,'[2]Team lists'!$A$2:$L$800,7,FALSE)</f>
        <v>#N/A</v>
      </c>
      <c r="H1147" s="43" t="e">
        <f>VLOOKUP($A1147,'[2]Team lists'!$A$2:$L$800,8,FALSE)</f>
        <v>#N/A</v>
      </c>
      <c r="I1147" s="43" t="e">
        <f>VLOOKUP($A1147,'[2]Team lists'!$A$2:$L$800,9,FALSE)</f>
        <v>#N/A</v>
      </c>
      <c r="J1147" s="43" t="e">
        <f>VLOOKUP($A1147,'[2]Team lists'!$A$2:$L$800,9,FALSE)</f>
        <v>#N/A</v>
      </c>
      <c r="K1147" s="43" t="e">
        <f>VLOOKUP($A1147,'[2]Team lists'!$A$2:$L$800,10,FALSE)</f>
        <v>#N/A</v>
      </c>
      <c r="L1147" s="43" t="e">
        <f>VLOOKUP($A1147,'[2]Team lists'!$A$2:$L$800,11,FALSE)</f>
        <v>#N/A</v>
      </c>
    </row>
    <row r="1148" spans="2:13">
      <c r="B1148" s="43" t="e">
        <f>VLOOKUP($A1148,'[2]Team lists'!$A$2:$L$800,2,FALSE)</f>
        <v>#N/A</v>
      </c>
      <c r="C1148" s="43" t="e">
        <f>VLOOKUP($A1148,'[2]Team lists'!$A$2:$L$800,3,FALSE)</f>
        <v>#N/A</v>
      </c>
      <c r="D1148" s="43" t="e">
        <f>VLOOKUP($A1148,'[2]Team lists'!$A$2:$L$800,4,FALSE)</f>
        <v>#N/A</v>
      </c>
      <c r="E1148" s="43" t="e">
        <f>VLOOKUP($A1148,'[2]Team lists'!$A$2:$L$800,5,FALSE)</f>
        <v>#N/A</v>
      </c>
      <c r="F1148" s="43" t="e">
        <f>VLOOKUP($A1148,'[2]Team lists'!$A$2:$L$800,6,FALSE)</f>
        <v>#N/A</v>
      </c>
      <c r="G1148" s="43" t="e">
        <f>VLOOKUP($A1148,'[2]Team lists'!$A$2:$L$800,7,FALSE)</f>
        <v>#N/A</v>
      </c>
      <c r="H1148" s="43" t="e">
        <f>VLOOKUP($A1148,'[2]Team lists'!$A$2:$L$800,8,FALSE)</f>
        <v>#N/A</v>
      </c>
      <c r="I1148" s="43" t="e">
        <f>VLOOKUP($A1148,'[2]Team lists'!$A$2:$L$800,9,FALSE)</f>
        <v>#N/A</v>
      </c>
      <c r="J1148" s="43" t="e">
        <f>VLOOKUP($A1148,'[2]Team lists'!$A$2:$L$800,9,FALSE)</f>
        <v>#N/A</v>
      </c>
      <c r="K1148" s="43" t="e">
        <f>VLOOKUP($A1148,'[2]Team lists'!$A$2:$L$800,10,FALSE)</f>
        <v>#N/A</v>
      </c>
      <c r="L1148" s="43" t="e">
        <f>VLOOKUP($A1148,'[2]Team lists'!$A$2:$L$800,11,FALSE)</f>
        <v>#N/A</v>
      </c>
    </row>
    <row r="1149" spans="2:13">
      <c r="B1149" s="43" t="e">
        <f>VLOOKUP($A1149,'[2]Team lists'!$A$2:$L$800,2,FALSE)</f>
        <v>#N/A</v>
      </c>
      <c r="C1149" s="43" t="e">
        <f>VLOOKUP($A1149,'[2]Team lists'!$A$2:$L$800,3,FALSE)</f>
        <v>#N/A</v>
      </c>
      <c r="D1149" s="43" t="e">
        <f>VLOOKUP($A1149,'[2]Team lists'!$A$2:$L$800,4,FALSE)</f>
        <v>#N/A</v>
      </c>
      <c r="E1149" s="43" t="e">
        <f>VLOOKUP($A1149,'[2]Team lists'!$A$2:$L$800,5,FALSE)</f>
        <v>#N/A</v>
      </c>
      <c r="F1149" s="43" t="e">
        <f>VLOOKUP($A1149,'[2]Team lists'!$A$2:$L$800,6,FALSE)</f>
        <v>#N/A</v>
      </c>
      <c r="G1149" s="43" t="e">
        <f>VLOOKUP($A1149,'[2]Team lists'!$A$2:$L$800,7,FALSE)</f>
        <v>#N/A</v>
      </c>
      <c r="H1149" s="43" t="e">
        <f>VLOOKUP($A1149,'[2]Team lists'!$A$2:$L$800,8,FALSE)</f>
        <v>#N/A</v>
      </c>
      <c r="I1149" s="43" t="e">
        <f>VLOOKUP($A1149,'[2]Team lists'!$A$2:$L$800,9,FALSE)</f>
        <v>#N/A</v>
      </c>
      <c r="J1149" s="43" t="e">
        <f>VLOOKUP($A1149,'[2]Team lists'!$A$2:$L$800,9,FALSE)</f>
        <v>#N/A</v>
      </c>
      <c r="K1149" s="43" t="e">
        <f>VLOOKUP($A1149,'[2]Team lists'!$A$2:$L$800,10,FALSE)</f>
        <v>#N/A</v>
      </c>
      <c r="L1149" s="43" t="e">
        <f>VLOOKUP($A1149,'[2]Team lists'!$A$2:$L$800,11,FALSE)</f>
        <v>#N/A</v>
      </c>
    </row>
    <row r="1150" spans="2:13">
      <c r="B1150" s="43" t="e">
        <f>VLOOKUP($A1150,'[2]Team lists'!$A$2:$L$800,2,FALSE)</f>
        <v>#N/A</v>
      </c>
      <c r="C1150" s="43" t="e">
        <f>VLOOKUP($A1150,'[2]Team lists'!$A$2:$L$800,3,FALSE)</f>
        <v>#N/A</v>
      </c>
      <c r="D1150" s="43" t="e">
        <f>VLOOKUP($A1150,'[2]Team lists'!$A$2:$L$800,4,FALSE)</f>
        <v>#N/A</v>
      </c>
      <c r="E1150" s="43" t="e">
        <f>VLOOKUP($A1150,'[2]Team lists'!$A$2:$L$800,5,FALSE)</f>
        <v>#N/A</v>
      </c>
      <c r="F1150" s="43" t="e">
        <f>VLOOKUP($A1150,'[2]Team lists'!$A$2:$L$800,6,FALSE)</f>
        <v>#N/A</v>
      </c>
      <c r="G1150" s="43" t="e">
        <f>VLOOKUP($A1150,'[2]Team lists'!$A$2:$L$800,7,FALSE)</f>
        <v>#N/A</v>
      </c>
      <c r="H1150" s="43" t="e">
        <f>VLOOKUP($A1150,'[2]Team lists'!$A$2:$L$800,8,FALSE)</f>
        <v>#N/A</v>
      </c>
      <c r="I1150" s="43" t="e">
        <f>VLOOKUP($A1150,'[2]Team lists'!$A$2:$L$800,9,FALSE)</f>
        <v>#N/A</v>
      </c>
      <c r="J1150" s="43" t="e">
        <f>VLOOKUP($A1150,'[2]Team lists'!$A$2:$L$800,9,FALSE)</f>
        <v>#N/A</v>
      </c>
      <c r="K1150" s="43" t="e">
        <f>VLOOKUP($A1150,'[2]Team lists'!$A$2:$L$800,10,FALSE)</f>
        <v>#N/A</v>
      </c>
      <c r="L1150" s="43" t="e">
        <f>VLOOKUP($A1150,'[2]Team lists'!$A$2:$L$800,11,FALSE)</f>
        <v>#N/A</v>
      </c>
    </row>
    <row r="1151" spans="2:13" ht="18" thickBot="1">
      <c r="B1151" s="45" t="s">
        <v>3210</v>
      </c>
      <c r="C1151" s="46"/>
      <c r="D1151" s="47"/>
      <c r="E1151" s="48" t="e">
        <f t="shared" ref="E1151:L1151" si="71">SUM(E1140:E1150)</f>
        <v>#N/A</v>
      </c>
      <c r="F1151" s="49" t="e">
        <f t="shared" si="71"/>
        <v>#N/A</v>
      </c>
      <c r="G1151" s="49" t="e">
        <f t="shared" si="71"/>
        <v>#N/A</v>
      </c>
      <c r="H1151" s="49" t="e">
        <f t="shared" si="71"/>
        <v>#N/A</v>
      </c>
      <c r="I1151" s="49" t="e">
        <f t="shared" si="71"/>
        <v>#N/A</v>
      </c>
      <c r="J1151" s="49" t="e">
        <f t="shared" si="71"/>
        <v>#N/A</v>
      </c>
      <c r="K1151" s="49" t="e">
        <f t="shared" si="71"/>
        <v>#N/A</v>
      </c>
      <c r="L1151" s="50" t="e">
        <f t="shared" si="71"/>
        <v>#N/A</v>
      </c>
    </row>
    <row r="1152" spans="2:13" ht="18.600000000000001" thickTop="1" thickBot="1"/>
    <row r="1153" spans="2:13" ht="18" thickTop="1">
      <c r="B1153" s="23" t="s">
        <v>3204</v>
      </c>
      <c r="C1153" s="24" t="s">
        <v>3205</v>
      </c>
      <c r="D1153" s="25"/>
      <c r="E1153" s="25"/>
      <c r="F1153" s="53"/>
      <c r="G1153" s="28" t="s">
        <v>3206</v>
      </c>
      <c r="H1153" s="54"/>
      <c r="I1153" s="54"/>
      <c r="J1153" s="54"/>
      <c r="K1153" s="28" t="s">
        <v>3207</v>
      </c>
      <c r="L1153" s="29"/>
      <c r="M1153" s="22" t="str">
        <f>G1153</f>
        <v>Manager:</v>
      </c>
    </row>
    <row r="1154" spans="2:13" ht="18" thickBot="1">
      <c r="B1154" s="30">
        <v>73</v>
      </c>
      <c r="C1154" s="57"/>
      <c r="D1154" s="31"/>
      <c r="E1154" s="31"/>
      <c r="F1154" s="33"/>
      <c r="G1154" s="55"/>
      <c r="H1154" s="55"/>
      <c r="I1154" s="55"/>
      <c r="J1154" s="55"/>
      <c r="K1154" s="34" t="e">
        <f>SUM(F1167:L1167)</f>
        <v>#N/A</v>
      </c>
      <c r="L1154" s="35"/>
      <c r="M1154" s="22">
        <f>G1154</f>
        <v>0</v>
      </c>
    </row>
    <row r="1155" spans="2:13" ht="18.600000000000001" thickTop="1">
      <c r="B1155" s="58" t="s">
        <v>913</v>
      </c>
      <c r="C1155" s="59" t="s">
        <v>912</v>
      </c>
      <c r="D1155" s="60" t="s">
        <v>911</v>
      </c>
      <c r="E1155" s="61" t="s">
        <v>3209</v>
      </c>
      <c r="F1155" s="62" t="s">
        <v>3162</v>
      </c>
      <c r="G1155" s="62" t="s">
        <v>3163</v>
      </c>
      <c r="H1155" s="62" t="s">
        <v>3164</v>
      </c>
      <c r="I1155" s="62" t="s">
        <v>3165</v>
      </c>
      <c r="J1155" s="62" t="s">
        <v>3166</v>
      </c>
      <c r="K1155" s="62" t="s">
        <v>3167</v>
      </c>
      <c r="L1155" s="63" t="s">
        <v>3168</v>
      </c>
    </row>
    <row r="1156" spans="2:13">
      <c r="B1156" s="43" t="e">
        <f>VLOOKUP($A1156,'[2]Team lists'!$A$2:$L$800,2,FALSE)</f>
        <v>#N/A</v>
      </c>
      <c r="C1156" s="43" t="e">
        <f>VLOOKUP($A1156,'[2]Team lists'!$A$2:$L$800,3,FALSE)</f>
        <v>#N/A</v>
      </c>
      <c r="D1156" s="43" t="e">
        <f>VLOOKUP($A1156,'[2]Team lists'!$A$2:$L$800,4,FALSE)</f>
        <v>#N/A</v>
      </c>
      <c r="E1156" s="43" t="e">
        <f>VLOOKUP($A1156,'[2]Team lists'!$A$2:$L$800,5,FALSE)</f>
        <v>#N/A</v>
      </c>
      <c r="F1156" s="43" t="e">
        <f>VLOOKUP($A1156,'[2]Team lists'!$A$2:$L$800,6,FALSE)</f>
        <v>#N/A</v>
      </c>
      <c r="G1156" s="43" t="e">
        <f>VLOOKUP($A1156,'[2]Team lists'!$A$2:$L$800,7,FALSE)</f>
        <v>#N/A</v>
      </c>
      <c r="H1156" s="43" t="e">
        <f>VLOOKUP($A1156,'[2]Team lists'!$A$2:$L$800,8,FALSE)</f>
        <v>#N/A</v>
      </c>
      <c r="I1156" s="43" t="e">
        <f>VLOOKUP($A1156,'[2]Team lists'!$A$2:$L$800,9,FALSE)</f>
        <v>#N/A</v>
      </c>
      <c r="J1156" s="43" t="e">
        <f>VLOOKUP($A1156,'[2]Team lists'!$A$2:$L$800,9,FALSE)</f>
        <v>#N/A</v>
      </c>
      <c r="K1156" s="43" t="e">
        <f>VLOOKUP($A1156,'[2]Team lists'!$A$2:$L$800,10,FALSE)</f>
        <v>#N/A</v>
      </c>
      <c r="L1156" s="43" t="e">
        <f>VLOOKUP($A1156,'[2]Team lists'!$A$2:$L$800,11,FALSE)</f>
        <v>#N/A</v>
      </c>
    </row>
    <row r="1157" spans="2:13">
      <c r="B1157" s="43" t="e">
        <f>VLOOKUP($A1157,'[2]Team lists'!$A$2:$L$800,2,FALSE)</f>
        <v>#N/A</v>
      </c>
      <c r="C1157" s="43" t="e">
        <f>VLOOKUP($A1157,'[2]Team lists'!$A$2:$L$800,3,FALSE)</f>
        <v>#N/A</v>
      </c>
      <c r="D1157" s="43" t="e">
        <f>VLOOKUP($A1157,'[2]Team lists'!$A$2:$L$800,4,FALSE)</f>
        <v>#N/A</v>
      </c>
      <c r="E1157" s="43" t="e">
        <f>VLOOKUP($A1157,'[2]Team lists'!$A$2:$L$800,5,FALSE)</f>
        <v>#N/A</v>
      </c>
      <c r="F1157" s="43" t="e">
        <f>VLOOKUP($A1157,'[2]Team lists'!$A$2:$L$800,6,FALSE)</f>
        <v>#N/A</v>
      </c>
      <c r="G1157" s="43" t="e">
        <f>VLOOKUP($A1157,'[2]Team lists'!$A$2:$L$800,7,FALSE)</f>
        <v>#N/A</v>
      </c>
      <c r="H1157" s="43" t="e">
        <f>VLOOKUP($A1157,'[2]Team lists'!$A$2:$L$800,8,FALSE)</f>
        <v>#N/A</v>
      </c>
      <c r="I1157" s="43" t="e">
        <f>VLOOKUP($A1157,'[2]Team lists'!$A$2:$L$800,9,FALSE)</f>
        <v>#N/A</v>
      </c>
      <c r="J1157" s="43" t="e">
        <f>VLOOKUP($A1157,'[2]Team lists'!$A$2:$L$800,9,FALSE)</f>
        <v>#N/A</v>
      </c>
      <c r="K1157" s="43" t="e">
        <f>VLOOKUP($A1157,'[2]Team lists'!$A$2:$L$800,10,FALSE)</f>
        <v>#N/A</v>
      </c>
      <c r="L1157" s="43" t="e">
        <f>VLOOKUP($A1157,'[2]Team lists'!$A$2:$L$800,11,FALSE)</f>
        <v>#N/A</v>
      </c>
    </row>
    <row r="1158" spans="2:13">
      <c r="B1158" s="43" t="e">
        <f>VLOOKUP($A1158,'[2]Team lists'!$A$2:$L$800,2,FALSE)</f>
        <v>#N/A</v>
      </c>
      <c r="C1158" s="43" t="e">
        <f>VLOOKUP($A1158,'[2]Team lists'!$A$2:$L$800,3,FALSE)</f>
        <v>#N/A</v>
      </c>
      <c r="D1158" s="43" t="e">
        <f>VLOOKUP($A1158,'[2]Team lists'!$A$2:$L$800,4,FALSE)</f>
        <v>#N/A</v>
      </c>
      <c r="E1158" s="43" t="e">
        <f>VLOOKUP($A1158,'[2]Team lists'!$A$2:$L$800,5,FALSE)</f>
        <v>#N/A</v>
      </c>
      <c r="F1158" s="43" t="e">
        <f>VLOOKUP($A1158,'[2]Team lists'!$A$2:$L$800,6,FALSE)</f>
        <v>#N/A</v>
      </c>
      <c r="G1158" s="43" t="e">
        <f>VLOOKUP($A1158,'[2]Team lists'!$A$2:$L$800,7,FALSE)</f>
        <v>#N/A</v>
      </c>
      <c r="H1158" s="43" t="e">
        <f>VLOOKUP($A1158,'[2]Team lists'!$A$2:$L$800,8,FALSE)</f>
        <v>#N/A</v>
      </c>
      <c r="I1158" s="43" t="e">
        <f>VLOOKUP($A1158,'[2]Team lists'!$A$2:$L$800,9,FALSE)</f>
        <v>#N/A</v>
      </c>
      <c r="J1158" s="43" t="e">
        <f>VLOOKUP($A1158,'[2]Team lists'!$A$2:$L$800,9,FALSE)</f>
        <v>#N/A</v>
      </c>
      <c r="K1158" s="43" t="e">
        <f>VLOOKUP($A1158,'[2]Team lists'!$A$2:$L$800,10,FALSE)</f>
        <v>#N/A</v>
      </c>
      <c r="L1158" s="43" t="e">
        <f>VLOOKUP($A1158,'[2]Team lists'!$A$2:$L$800,11,FALSE)</f>
        <v>#N/A</v>
      </c>
    </row>
    <row r="1159" spans="2:13">
      <c r="B1159" s="43" t="e">
        <f>VLOOKUP($A1159,'[2]Team lists'!$A$2:$L$800,2,FALSE)</f>
        <v>#N/A</v>
      </c>
      <c r="C1159" s="43" t="e">
        <f>VLOOKUP($A1159,'[2]Team lists'!$A$2:$L$800,3,FALSE)</f>
        <v>#N/A</v>
      </c>
      <c r="D1159" s="43" t="e">
        <f>VLOOKUP($A1159,'[2]Team lists'!$A$2:$L$800,4,FALSE)</f>
        <v>#N/A</v>
      </c>
      <c r="E1159" s="43" t="e">
        <f>VLOOKUP($A1159,'[2]Team lists'!$A$2:$L$800,5,FALSE)</f>
        <v>#N/A</v>
      </c>
      <c r="F1159" s="43" t="e">
        <f>VLOOKUP($A1159,'[2]Team lists'!$A$2:$L$800,6,FALSE)</f>
        <v>#N/A</v>
      </c>
      <c r="G1159" s="43" t="e">
        <f>VLOOKUP($A1159,'[2]Team lists'!$A$2:$L$800,7,FALSE)</f>
        <v>#N/A</v>
      </c>
      <c r="H1159" s="43" t="e">
        <f>VLOOKUP($A1159,'[2]Team lists'!$A$2:$L$800,8,FALSE)</f>
        <v>#N/A</v>
      </c>
      <c r="I1159" s="43" t="e">
        <f>VLOOKUP($A1159,'[2]Team lists'!$A$2:$L$800,9,FALSE)</f>
        <v>#N/A</v>
      </c>
      <c r="J1159" s="43" t="e">
        <f>VLOOKUP($A1159,'[2]Team lists'!$A$2:$L$800,9,FALSE)</f>
        <v>#N/A</v>
      </c>
      <c r="K1159" s="43" t="e">
        <f>VLOOKUP($A1159,'[2]Team lists'!$A$2:$L$800,10,FALSE)</f>
        <v>#N/A</v>
      </c>
      <c r="L1159" s="43" t="e">
        <f>VLOOKUP($A1159,'[2]Team lists'!$A$2:$L$800,11,FALSE)</f>
        <v>#N/A</v>
      </c>
    </row>
    <row r="1160" spans="2:13">
      <c r="B1160" s="43" t="e">
        <f>VLOOKUP($A1160,'[2]Team lists'!$A$2:$L$800,2,FALSE)</f>
        <v>#N/A</v>
      </c>
      <c r="C1160" s="43" t="e">
        <f>VLOOKUP($A1160,'[2]Team lists'!$A$2:$L$800,3,FALSE)</f>
        <v>#N/A</v>
      </c>
      <c r="D1160" s="43" t="e">
        <f>VLOOKUP($A1160,'[2]Team lists'!$A$2:$L$800,4,FALSE)</f>
        <v>#N/A</v>
      </c>
      <c r="E1160" s="43" t="e">
        <f>VLOOKUP($A1160,'[2]Team lists'!$A$2:$L$800,5,FALSE)</f>
        <v>#N/A</v>
      </c>
      <c r="F1160" s="43" t="e">
        <f>VLOOKUP($A1160,'[2]Team lists'!$A$2:$L$800,6,FALSE)</f>
        <v>#N/A</v>
      </c>
      <c r="G1160" s="43" t="e">
        <f>VLOOKUP($A1160,'[2]Team lists'!$A$2:$L$800,7,FALSE)</f>
        <v>#N/A</v>
      </c>
      <c r="H1160" s="43" t="e">
        <f>VLOOKUP($A1160,'[2]Team lists'!$A$2:$L$800,8,FALSE)</f>
        <v>#N/A</v>
      </c>
      <c r="I1160" s="43" t="e">
        <f>VLOOKUP($A1160,'[2]Team lists'!$A$2:$L$800,9,FALSE)</f>
        <v>#N/A</v>
      </c>
      <c r="J1160" s="43" t="e">
        <f>VLOOKUP($A1160,'[2]Team lists'!$A$2:$L$800,9,FALSE)</f>
        <v>#N/A</v>
      </c>
      <c r="K1160" s="43" t="e">
        <f>VLOOKUP($A1160,'[2]Team lists'!$A$2:$L$800,10,FALSE)</f>
        <v>#N/A</v>
      </c>
      <c r="L1160" s="43" t="e">
        <f>VLOOKUP($A1160,'[2]Team lists'!$A$2:$L$800,11,FALSE)</f>
        <v>#N/A</v>
      </c>
    </row>
    <row r="1161" spans="2:13">
      <c r="B1161" s="43" t="e">
        <f>VLOOKUP($A1161,'[2]Team lists'!$A$2:$L$800,2,FALSE)</f>
        <v>#N/A</v>
      </c>
      <c r="C1161" s="43" t="e">
        <f>VLOOKUP($A1161,'[2]Team lists'!$A$2:$L$800,3,FALSE)</f>
        <v>#N/A</v>
      </c>
      <c r="D1161" s="43" t="e">
        <f>VLOOKUP($A1161,'[2]Team lists'!$A$2:$L$800,4,FALSE)</f>
        <v>#N/A</v>
      </c>
      <c r="E1161" s="43" t="e">
        <f>VLOOKUP($A1161,'[2]Team lists'!$A$2:$L$800,5,FALSE)</f>
        <v>#N/A</v>
      </c>
      <c r="F1161" s="43" t="e">
        <f>VLOOKUP($A1161,'[2]Team lists'!$A$2:$L$800,6,FALSE)</f>
        <v>#N/A</v>
      </c>
      <c r="G1161" s="43" t="e">
        <f>VLOOKUP($A1161,'[2]Team lists'!$A$2:$L$800,7,FALSE)</f>
        <v>#N/A</v>
      </c>
      <c r="H1161" s="43" t="e">
        <f>VLOOKUP($A1161,'[2]Team lists'!$A$2:$L$800,8,FALSE)</f>
        <v>#N/A</v>
      </c>
      <c r="I1161" s="43" t="e">
        <f>VLOOKUP($A1161,'[2]Team lists'!$A$2:$L$800,9,FALSE)</f>
        <v>#N/A</v>
      </c>
      <c r="J1161" s="43" t="e">
        <f>VLOOKUP($A1161,'[2]Team lists'!$A$2:$L$800,9,FALSE)</f>
        <v>#N/A</v>
      </c>
      <c r="K1161" s="43" t="e">
        <f>VLOOKUP($A1161,'[2]Team lists'!$A$2:$L$800,10,FALSE)</f>
        <v>#N/A</v>
      </c>
      <c r="L1161" s="43" t="e">
        <f>VLOOKUP($A1161,'[2]Team lists'!$A$2:$L$800,11,FALSE)</f>
        <v>#N/A</v>
      </c>
    </row>
    <row r="1162" spans="2:13">
      <c r="B1162" s="43" t="e">
        <f>VLOOKUP($A1162,'[2]Team lists'!$A$2:$L$800,2,FALSE)</f>
        <v>#N/A</v>
      </c>
      <c r="C1162" s="43" t="e">
        <f>VLOOKUP($A1162,'[2]Team lists'!$A$2:$L$800,3,FALSE)</f>
        <v>#N/A</v>
      </c>
      <c r="D1162" s="43" t="e">
        <f>VLOOKUP($A1162,'[2]Team lists'!$A$2:$L$800,4,FALSE)</f>
        <v>#N/A</v>
      </c>
      <c r="E1162" s="43" t="e">
        <f>VLOOKUP($A1162,'[2]Team lists'!$A$2:$L$800,5,FALSE)</f>
        <v>#N/A</v>
      </c>
      <c r="F1162" s="43" t="e">
        <f>VLOOKUP($A1162,'[2]Team lists'!$A$2:$L$800,6,FALSE)</f>
        <v>#N/A</v>
      </c>
      <c r="G1162" s="43" t="e">
        <f>VLOOKUP($A1162,'[2]Team lists'!$A$2:$L$800,7,FALSE)</f>
        <v>#N/A</v>
      </c>
      <c r="H1162" s="43" t="e">
        <f>VLOOKUP($A1162,'[2]Team lists'!$A$2:$L$800,8,FALSE)</f>
        <v>#N/A</v>
      </c>
      <c r="I1162" s="43" t="e">
        <f>VLOOKUP($A1162,'[2]Team lists'!$A$2:$L$800,9,FALSE)</f>
        <v>#N/A</v>
      </c>
      <c r="J1162" s="43" t="e">
        <f>VLOOKUP($A1162,'[2]Team lists'!$A$2:$L$800,9,FALSE)</f>
        <v>#N/A</v>
      </c>
      <c r="K1162" s="43" t="e">
        <f>VLOOKUP($A1162,'[2]Team lists'!$A$2:$L$800,10,FALSE)</f>
        <v>#N/A</v>
      </c>
      <c r="L1162" s="43" t="e">
        <f>VLOOKUP($A1162,'[2]Team lists'!$A$2:$L$800,11,FALSE)</f>
        <v>#N/A</v>
      </c>
    </row>
    <row r="1163" spans="2:13">
      <c r="B1163" s="43" t="e">
        <f>VLOOKUP($A1163,'[2]Team lists'!$A$2:$L$800,2,FALSE)</f>
        <v>#N/A</v>
      </c>
      <c r="C1163" s="43" t="e">
        <f>VLOOKUP($A1163,'[2]Team lists'!$A$2:$L$800,3,FALSE)</f>
        <v>#N/A</v>
      </c>
      <c r="D1163" s="43" t="e">
        <f>VLOOKUP($A1163,'[2]Team lists'!$A$2:$L$800,4,FALSE)</f>
        <v>#N/A</v>
      </c>
      <c r="E1163" s="43" t="e">
        <f>VLOOKUP($A1163,'[2]Team lists'!$A$2:$L$800,5,FALSE)</f>
        <v>#N/A</v>
      </c>
      <c r="F1163" s="43" t="e">
        <f>VLOOKUP($A1163,'[2]Team lists'!$A$2:$L$800,6,FALSE)</f>
        <v>#N/A</v>
      </c>
      <c r="G1163" s="43" t="e">
        <f>VLOOKUP($A1163,'[2]Team lists'!$A$2:$L$800,7,FALSE)</f>
        <v>#N/A</v>
      </c>
      <c r="H1163" s="43" t="e">
        <f>VLOOKUP($A1163,'[2]Team lists'!$A$2:$L$800,8,FALSE)</f>
        <v>#N/A</v>
      </c>
      <c r="I1163" s="43" t="e">
        <f>VLOOKUP($A1163,'[2]Team lists'!$A$2:$L$800,9,FALSE)</f>
        <v>#N/A</v>
      </c>
      <c r="J1163" s="43" t="e">
        <f>VLOOKUP($A1163,'[2]Team lists'!$A$2:$L$800,9,FALSE)</f>
        <v>#N/A</v>
      </c>
      <c r="K1163" s="43" t="e">
        <f>VLOOKUP($A1163,'[2]Team lists'!$A$2:$L$800,10,FALSE)</f>
        <v>#N/A</v>
      </c>
      <c r="L1163" s="43" t="e">
        <f>VLOOKUP($A1163,'[2]Team lists'!$A$2:$L$800,11,FALSE)</f>
        <v>#N/A</v>
      </c>
    </row>
    <row r="1164" spans="2:13">
      <c r="B1164" s="43" t="e">
        <f>VLOOKUP($A1164,'[2]Team lists'!$A$2:$L$800,2,FALSE)</f>
        <v>#N/A</v>
      </c>
      <c r="C1164" s="43" t="e">
        <f>VLOOKUP($A1164,'[2]Team lists'!$A$2:$L$800,3,FALSE)</f>
        <v>#N/A</v>
      </c>
      <c r="D1164" s="43" t="e">
        <f>VLOOKUP($A1164,'[2]Team lists'!$A$2:$L$800,4,FALSE)</f>
        <v>#N/A</v>
      </c>
      <c r="E1164" s="43" t="e">
        <f>VLOOKUP($A1164,'[2]Team lists'!$A$2:$L$800,5,FALSE)</f>
        <v>#N/A</v>
      </c>
      <c r="F1164" s="43" t="e">
        <f>VLOOKUP($A1164,'[2]Team lists'!$A$2:$L$800,6,FALSE)</f>
        <v>#N/A</v>
      </c>
      <c r="G1164" s="43" t="e">
        <f>VLOOKUP($A1164,'[2]Team lists'!$A$2:$L$800,7,FALSE)</f>
        <v>#N/A</v>
      </c>
      <c r="H1164" s="43" t="e">
        <f>VLOOKUP($A1164,'[2]Team lists'!$A$2:$L$800,8,FALSE)</f>
        <v>#N/A</v>
      </c>
      <c r="I1164" s="43" t="e">
        <f>VLOOKUP($A1164,'[2]Team lists'!$A$2:$L$800,9,FALSE)</f>
        <v>#N/A</v>
      </c>
      <c r="J1164" s="43" t="e">
        <f>VLOOKUP($A1164,'[2]Team lists'!$A$2:$L$800,9,FALSE)</f>
        <v>#N/A</v>
      </c>
      <c r="K1164" s="43" t="e">
        <f>VLOOKUP($A1164,'[2]Team lists'!$A$2:$L$800,10,FALSE)</f>
        <v>#N/A</v>
      </c>
      <c r="L1164" s="43" t="e">
        <f>VLOOKUP($A1164,'[2]Team lists'!$A$2:$L$800,11,FALSE)</f>
        <v>#N/A</v>
      </c>
    </row>
    <row r="1165" spans="2:13">
      <c r="B1165" s="43" t="e">
        <f>VLOOKUP($A1165,'[2]Team lists'!$A$2:$L$800,2,FALSE)</f>
        <v>#N/A</v>
      </c>
      <c r="C1165" s="43" t="e">
        <f>VLOOKUP($A1165,'[2]Team lists'!$A$2:$L$800,3,FALSE)</f>
        <v>#N/A</v>
      </c>
      <c r="D1165" s="43" t="e">
        <f>VLOOKUP($A1165,'[2]Team lists'!$A$2:$L$800,4,FALSE)</f>
        <v>#N/A</v>
      </c>
      <c r="E1165" s="43" t="e">
        <f>VLOOKUP($A1165,'[2]Team lists'!$A$2:$L$800,5,FALSE)</f>
        <v>#N/A</v>
      </c>
      <c r="F1165" s="43" t="e">
        <f>VLOOKUP($A1165,'[2]Team lists'!$A$2:$L$800,6,FALSE)</f>
        <v>#N/A</v>
      </c>
      <c r="G1165" s="43" t="e">
        <f>VLOOKUP($A1165,'[2]Team lists'!$A$2:$L$800,7,FALSE)</f>
        <v>#N/A</v>
      </c>
      <c r="H1165" s="43" t="e">
        <f>VLOOKUP($A1165,'[2]Team lists'!$A$2:$L$800,8,FALSE)</f>
        <v>#N/A</v>
      </c>
      <c r="I1165" s="43" t="e">
        <f>VLOOKUP($A1165,'[2]Team lists'!$A$2:$L$800,9,FALSE)</f>
        <v>#N/A</v>
      </c>
      <c r="J1165" s="43" t="e">
        <f>VLOOKUP($A1165,'[2]Team lists'!$A$2:$L$800,9,FALSE)</f>
        <v>#N/A</v>
      </c>
      <c r="K1165" s="43" t="e">
        <f>VLOOKUP($A1165,'[2]Team lists'!$A$2:$L$800,10,FALSE)</f>
        <v>#N/A</v>
      </c>
      <c r="L1165" s="43" t="e">
        <f>VLOOKUP($A1165,'[2]Team lists'!$A$2:$L$800,11,FALSE)</f>
        <v>#N/A</v>
      </c>
    </row>
    <row r="1166" spans="2:13">
      <c r="B1166" s="43" t="e">
        <f>VLOOKUP($A1166,'[2]Team lists'!$A$2:$L$800,2,FALSE)</f>
        <v>#N/A</v>
      </c>
      <c r="C1166" s="43" t="e">
        <f>VLOOKUP($A1166,'[2]Team lists'!$A$2:$L$800,3,FALSE)</f>
        <v>#N/A</v>
      </c>
      <c r="D1166" s="43" t="e">
        <f>VLOOKUP($A1166,'[2]Team lists'!$A$2:$L$800,4,FALSE)</f>
        <v>#N/A</v>
      </c>
      <c r="E1166" s="43" t="e">
        <f>VLOOKUP($A1166,'[2]Team lists'!$A$2:$L$800,5,FALSE)</f>
        <v>#N/A</v>
      </c>
      <c r="F1166" s="43" t="e">
        <f>VLOOKUP($A1166,'[2]Team lists'!$A$2:$L$800,6,FALSE)</f>
        <v>#N/A</v>
      </c>
      <c r="G1166" s="43" t="e">
        <f>VLOOKUP($A1166,'[2]Team lists'!$A$2:$L$800,7,FALSE)</f>
        <v>#N/A</v>
      </c>
      <c r="H1166" s="43" t="e">
        <f>VLOOKUP($A1166,'[2]Team lists'!$A$2:$L$800,8,FALSE)</f>
        <v>#N/A</v>
      </c>
      <c r="I1166" s="43" t="e">
        <f>VLOOKUP($A1166,'[2]Team lists'!$A$2:$L$800,9,FALSE)</f>
        <v>#N/A</v>
      </c>
      <c r="J1166" s="43" t="e">
        <f>VLOOKUP($A1166,'[2]Team lists'!$A$2:$L$800,9,FALSE)</f>
        <v>#N/A</v>
      </c>
      <c r="K1166" s="43" t="e">
        <f>VLOOKUP($A1166,'[2]Team lists'!$A$2:$L$800,10,FALSE)</f>
        <v>#N/A</v>
      </c>
      <c r="L1166" s="43" t="e">
        <f>VLOOKUP($A1166,'[2]Team lists'!$A$2:$L$800,11,FALSE)</f>
        <v>#N/A</v>
      </c>
    </row>
    <row r="1167" spans="2:13" ht="18" thickBot="1">
      <c r="B1167" s="45" t="s">
        <v>3210</v>
      </c>
      <c r="C1167" s="46"/>
      <c r="D1167" s="47"/>
      <c r="E1167" s="48" t="e">
        <f t="shared" ref="E1167:L1167" si="72">SUM(E1156:E1166)</f>
        <v>#N/A</v>
      </c>
      <c r="F1167" s="49" t="e">
        <f t="shared" si="72"/>
        <v>#N/A</v>
      </c>
      <c r="G1167" s="49" t="e">
        <f t="shared" si="72"/>
        <v>#N/A</v>
      </c>
      <c r="H1167" s="49" t="e">
        <f t="shared" si="72"/>
        <v>#N/A</v>
      </c>
      <c r="I1167" s="49" t="e">
        <f t="shared" si="72"/>
        <v>#N/A</v>
      </c>
      <c r="J1167" s="49" t="e">
        <f t="shared" si="72"/>
        <v>#N/A</v>
      </c>
      <c r="K1167" s="49" t="e">
        <f t="shared" si="72"/>
        <v>#N/A</v>
      </c>
      <c r="L1167" s="50" t="e">
        <f t="shared" si="72"/>
        <v>#N/A</v>
      </c>
    </row>
    <row r="1168" spans="2:13" ht="18.600000000000001" thickTop="1" thickBot="1"/>
    <row r="1169" spans="2:13" ht="18" thickTop="1">
      <c r="B1169" s="23" t="s">
        <v>3204</v>
      </c>
      <c r="C1169" s="24" t="s">
        <v>3205</v>
      </c>
      <c r="D1169" s="25"/>
      <c r="E1169" s="25"/>
      <c r="F1169" s="53"/>
      <c r="G1169" s="28" t="s">
        <v>3206</v>
      </c>
      <c r="H1169" s="54"/>
      <c r="I1169" s="54"/>
      <c r="J1169" s="54"/>
      <c r="K1169" s="28" t="s">
        <v>3207</v>
      </c>
      <c r="L1169" s="29"/>
      <c r="M1169" s="22" t="str">
        <f>G1169</f>
        <v>Manager:</v>
      </c>
    </row>
    <row r="1170" spans="2:13" ht="18" thickBot="1">
      <c r="B1170" s="30">
        <v>74</v>
      </c>
      <c r="C1170" s="57"/>
      <c r="D1170" s="31"/>
      <c r="E1170" s="31"/>
      <c r="F1170" s="33"/>
      <c r="G1170" s="55"/>
      <c r="H1170" s="55"/>
      <c r="I1170" s="55"/>
      <c r="J1170" s="55"/>
      <c r="K1170" s="34" t="e">
        <f>SUM(F1183:L1183)</f>
        <v>#N/A</v>
      </c>
      <c r="L1170" s="35"/>
      <c r="M1170" s="22">
        <f>G1170</f>
        <v>0</v>
      </c>
    </row>
    <row r="1171" spans="2:13" ht="18.600000000000001" thickTop="1">
      <c r="B1171" s="58" t="s">
        <v>913</v>
      </c>
      <c r="C1171" s="59" t="s">
        <v>912</v>
      </c>
      <c r="D1171" s="60" t="s">
        <v>911</v>
      </c>
      <c r="E1171" s="61" t="s">
        <v>3209</v>
      </c>
      <c r="F1171" s="62" t="s">
        <v>3162</v>
      </c>
      <c r="G1171" s="62" t="s">
        <v>3163</v>
      </c>
      <c r="H1171" s="62" t="s">
        <v>3164</v>
      </c>
      <c r="I1171" s="62" t="s">
        <v>3165</v>
      </c>
      <c r="J1171" s="62" t="s">
        <v>3166</v>
      </c>
      <c r="K1171" s="62" t="s">
        <v>3167</v>
      </c>
      <c r="L1171" s="63" t="s">
        <v>3168</v>
      </c>
    </row>
    <row r="1172" spans="2:13">
      <c r="B1172" s="43" t="e">
        <f>VLOOKUP($A1172,'[2]Team lists'!$A$2:$L$800,2,FALSE)</f>
        <v>#N/A</v>
      </c>
      <c r="C1172" s="43" t="e">
        <f>VLOOKUP($A1172,'[2]Team lists'!$A$2:$L$800,3,FALSE)</f>
        <v>#N/A</v>
      </c>
      <c r="D1172" s="43" t="e">
        <f>VLOOKUP($A1172,'[2]Team lists'!$A$2:$L$800,4,FALSE)</f>
        <v>#N/A</v>
      </c>
      <c r="E1172" s="43" t="e">
        <f>VLOOKUP($A1172,'[2]Team lists'!$A$2:$L$800,5,FALSE)</f>
        <v>#N/A</v>
      </c>
      <c r="F1172" s="43" t="e">
        <f>VLOOKUP($A1172,'[2]Team lists'!$A$2:$L$800,6,FALSE)</f>
        <v>#N/A</v>
      </c>
      <c r="G1172" s="43" t="e">
        <f>VLOOKUP($A1172,'[2]Team lists'!$A$2:$L$800,7,FALSE)</f>
        <v>#N/A</v>
      </c>
      <c r="H1172" s="43" t="e">
        <f>VLOOKUP($A1172,'[2]Team lists'!$A$2:$L$800,8,FALSE)</f>
        <v>#N/A</v>
      </c>
      <c r="I1172" s="43" t="e">
        <f>VLOOKUP($A1172,'[2]Team lists'!$A$2:$L$800,9,FALSE)</f>
        <v>#N/A</v>
      </c>
      <c r="J1172" s="43" t="e">
        <f>VLOOKUP($A1172,'[2]Team lists'!$A$2:$L$800,9,FALSE)</f>
        <v>#N/A</v>
      </c>
      <c r="K1172" s="43" t="e">
        <f>VLOOKUP($A1172,'[2]Team lists'!$A$2:$L$800,10,FALSE)</f>
        <v>#N/A</v>
      </c>
      <c r="L1172" s="43" t="e">
        <f>VLOOKUP($A1172,'[2]Team lists'!$A$2:$L$800,11,FALSE)</f>
        <v>#N/A</v>
      </c>
    </row>
    <row r="1173" spans="2:13">
      <c r="B1173" s="43" t="e">
        <f>VLOOKUP($A1173,'[2]Team lists'!$A$2:$L$800,2,FALSE)</f>
        <v>#N/A</v>
      </c>
      <c r="C1173" s="43" t="e">
        <f>VLOOKUP($A1173,'[2]Team lists'!$A$2:$L$800,3,FALSE)</f>
        <v>#N/A</v>
      </c>
      <c r="D1173" s="43" t="e">
        <f>VLOOKUP($A1173,'[2]Team lists'!$A$2:$L$800,4,FALSE)</f>
        <v>#N/A</v>
      </c>
      <c r="E1173" s="43" t="e">
        <f>VLOOKUP($A1173,'[2]Team lists'!$A$2:$L$800,5,FALSE)</f>
        <v>#N/A</v>
      </c>
      <c r="F1173" s="43" t="e">
        <f>VLOOKUP($A1173,'[2]Team lists'!$A$2:$L$800,6,FALSE)</f>
        <v>#N/A</v>
      </c>
      <c r="G1173" s="43" t="e">
        <f>VLOOKUP($A1173,'[2]Team lists'!$A$2:$L$800,7,FALSE)</f>
        <v>#N/A</v>
      </c>
      <c r="H1173" s="43" t="e">
        <f>VLOOKUP($A1173,'[2]Team lists'!$A$2:$L$800,8,FALSE)</f>
        <v>#N/A</v>
      </c>
      <c r="I1173" s="43" t="e">
        <f>VLOOKUP($A1173,'[2]Team lists'!$A$2:$L$800,9,FALSE)</f>
        <v>#N/A</v>
      </c>
      <c r="J1173" s="43" t="e">
        <f>VLOOKUP($A1173,'[2]Team lists'!$A$2:$L$800,9,FALSE)</f>
        <v>#N/A</v>
      </c>
      <c r="K1173" s="43" t="e">
        <f>VLOOKUP($A1173,'[2]Team lists'!$A$2:$L$800,10,FALSE)</f>
        <v>#N/A</v>
      </c>
      <c r="L1173" s="43" t="e">
        <f>VLOOKUP($A1173,'[2]Team lists'!$A$2:$L$800,11,FALSE)</f>
        <v>#N/A</v>
      </c>
    </row>
    <row r="1174" spans="2:13">
      <c r="B1174" s="43" t="e">
        <f>VLOOKUP($A1174,'[2]Team lists'!$A$2:$L$800,2,FALSE)</f>
        <v>#N/A</v>
      </c>
      <c r="C1174" s="43" t="e">
        <f>VLOOKUP($A1174,'[2]Team lists'!$A$2:$L$800,3,FALSE)</f>
        <v>#N/A</v>
      </c>
      <c r="D1174" s="43" t="e">
        <f>VLOOKUP($A1174,'[2]Team lists'!$A$2:$L$800,4,FALSE)</f>
        <v>#N/A</v>
      </c>
      <c r="E1174" s="43" t="e">
        <f>VLOOKUP($A1174,'[2]Team lists'!$A$2:$L$800,5,FALSE)</f>
        <v>#N/A</v>
      </c>
      <c r="F1174" s="43" t="e">
        <f>VLOOKUP($A1174,'[2]Team lists'!$A$2:$L$800,6,FALSE)</f>
        <v>#N/A</v>
      </c>
      <c r="G1174" s="43" t="e">
        <f>VLOOKUP($A1174,'[2]Team lists'!$A$2:$L$800,7,FALSE)</f>
        <v>#N/A</v>
      </c>
      <c r="H1174" s="43" t="e">
        <f>VLOOKUP($A1174,'[2]Team lists'!$A$2:$L$800,8,FALSE)</f>
        <v>#N/A</v>
      </c>
      <c r="I1174" s="43" t="e">
        <f>VLOOKUP($A1174,'[2]Team lists'!$A$2:$L$800,9,FALSE)</f>
        <v>#N/A</v>
      </c>
      <c r="J1174" s="43" t="e">
        <f>VLOOKUP($A1174,'[2]Team lists'!$A$2:$L$800,9,FALSE)</f>
        <v>#N/A</v>
      </c>
      <c r="K1174" s="43" t="e">
        <f>VLOOKUP($A1174,'[2]Team lists'!$A$2:$L$800,10,FALSE)</f>
        <v>#N/A</v>
      </c>
      <c r="L1174" s="43" t="e">
        <f>VLOOKUP($A1174,'[2]Team lists'!$A$2:$L$800,11,FALSE)</f>
        <v>#N/A</v>
      </c>
    </row>
    <row r="1175" spans="2:13">
      <c r="B1175" s="43" t="e">
        <f>VLOOKUP($A1175,'[2]Team lists'!$A$2:$L$800,2,FALSE)</f>
        <v>#N/A</v>
      </c>
      <c r="C1175" s="43" t="e">
        <f>VLOOKUP($A1175,'[2]Team lists'!$A$2:$L$800,3,FALSE)</f>
        <v>#N/A</v>
      </c>
      <c r="D1175" s="43" t="e">
        <f>VLOOKUP($A1175,'[2]Team lists'!$A$2:$L$800,4,FALSE)</f>
        <v>#N/A</v>
      </c>
      <c r="E1175" s="43" t="e">
        <f>VLOOKUP($A1175,'[2]Team lists'!$A$2:$L$800,5,FALSE)</f>
        <v>#N/A</v>
      </c>
      <c r="F1175" s="43" t="e">
        <f>VLOOKUP($A1175,'[2]Team lists'!$A$2:$L$800,6,FALSE)</f>
        <v>#N/A</v>
      </c>
      <c r="G1175" s="43" t="e">
        <f>VLOOKUP($A1175,'[2]Team lists'!$A$2:$L$800,7,FALSE)</f>
        <v>#N/A</v>
      </c>
      <c r="H1175" s="43" t="e">
        <f>VLOOKUP($A1175,'[2]Team lists'!$A$2:$L$800,8,FALSE)</f>
        <v>#N/A</v>
      </c>
      <c r="I1175" s="43" t="e">
        <f>VLOOKUP($A1175,'[2]Team lists'!$A$2:$L$800,9,FALSE)</f>
        <v>#N/A</v>
      </c>
      <c r="J1175" s="43" t="e">
        <f>VLOOKUP($A1175,'[2]Team lists'!$A$2:$L$800,9,FALSE)</f>
        <v>#N/A</v>
      </c>
      <c r="K1175" s="43" t="e">
        <f>VLOOKUP($A1175,'[2]Team lists'!$A$2:$L$800,10,FALSE)</f>
        <v>#N/A</v>
      </c>
      <c r="L1175" s="43" t="e">
        <f>VLOOKUP($A1175,'[2]Team lists'!$A$2:$L$800,11,FALSE)</f>
        <v>#N/A</v>
      </c>
    </row>
    <row r="1176" spans="2:13">
      <c r="B1176" s="43" t="e">
        <f>VLOOKUP($A1176,'[2]Team lists'!$A$2:$L$800,2,FALSE)</f>
        <v>#N/A</v>
      </c>
      <c r="C1176" s="43" t="e">
        <f>VLOOKUP($A1176,'[2]Team lists'!$A$2:$L$800,3,FALSE)</f>
        <v>#N/A</v>
      </c>
      <c r="D1176" s="43" t="e">
        <f>VLOOKUP($A1176,'[2]Team lists'!$A$2:$L$800,4,FALSE)</f>
        <v>#N/A</v>
      </c>
      <c r="E1176" s="43" t="e">
        <f>VLOOKUP($A1176,'[2]Team lists'!$A$2:$L$800,5,FALSE)</f>
        <v>#N/A</v>
      </c>
      <c r="F1176" s="43" t="e">
        <f>VLOOKUP($A1176,'[2]Team lists'!$A$2:$L$800,6,FALSE)</f>
        <v>#N/A</v>
      </c>
      <c r="G1176" s="43" t="e">
        <f>VLOOKUP($A1176,'[2]Team lists'!$A$2:$L$800,7,FALSE)</f>
        <v>#N/A</v>
      </c>
      <c r="H1176" s="43" t="e">
        <f>VLOOKUP($A1176,'[2]Team lists'!$A$2:$L$800,8,FALSE)</f>
        <v>#N/A</v>
      </c>
      <c r="I1176" s="43" t="e">
        <f>VLOOKUP($A1176,'[2]Team lists'!$A$2:$L$800,9,FALSE)</f>
        <v>#N/A</v>
      </c>
      <c r="J1176" s="43" t="e">
        <f>VLOOKUP($A1176,'[2]Team lists'!$A$2:$L$800,9,FALSE)</f>
        <v>#N/A</v>
      </c>
      <c r="K1176" s="43" t="e">
        <f>VLOOKUP($A1176,'[2]Team lists'!$A$2:$L$800,10,FALSE)</f>
        <v>#N/A</v>
      </c>
      <c r="L1176" s="43" t="e">
        <f>VLOOKUP($A1176,'[2]Team lists'!$A$2:$L$800,11,FALSE)</f>
        <v>#N/A</v>
      </c>
    </row>
    <row r="1177" spans="2:13">
      <c r="B1177" s="43" t="e">
        <f>VLOOKUP($A1177,'[2]Team lists'!$A$2:$L$800,2,FALSE)</f>
        <v>#N/A</v>
      </c>
      <c r="C1177" s="43" t="e">
        <f>VLOOKUP($A1177,'[2]Team lists'!$A$2:$L$800,3,FALSE)</f>
        <v>#N/A</v>
      </c>
      <c r="D1177" s="43" t="e">
        <f>VLOOKUP($A1177,'[2]Team lists'!$A$2:$L$800,4,FALSE)</f>
        <v>#N/A</v>
      </c>
      <c r="E1177" s="43" t="e">
        <f>VLOOKUP($A1177,'[2]Team lists'!$A$2:$L$800,5,FALSE)</f>
        <v>#N/A</v>
      </c>
      <c r="F1177" s="43" t="e">
        <f>VLOOKUP($A1177,'[2]Team lists'!$A$2:$L$800,6,FALSE)</f>
        <v>#N/A</v>
      </c>
      <c r="G1177" s="43" t="e">
        <f>VLOOKUP($A1177,'[2]Team lists'!$A$2:$L$800,7,FALSE)</f>
        <v>#N/A</v>
      </c>
      <c r="H1177" s="43" t="e">
        <f>VLOOKUP($A1177,'[2]Team lists'!$A$2:$L$800,8,FALSE)</f>
        <v>#N/A</v>
      </c>
      <c r="I1177" s="43" t="e">
        <f>VLOOKUP($A1177,'[2]Team lists'!$A$2:$L$800,9,FALSE)</f>
        <v>#N/A</v>
      </c>
      <c r="J1177" s="43" t="e">
        <f>VLOOKUP($A1177,'[2]Team lists'!$A$2:$L$800,9,FALSE)</f>
        <v>#N/A</v>
      </c>
      <c r="K1177" s="43" t="e">
        <f>VLOOKUP($A1177,'[2]Team lists'!$A$2:$L$800,10,FALSE)</f>
        <v>#N/A</v>
      </c>
      <c r="L1177" s="43" t="e">
        <f>VLOOKUP($A1177,'[2]Team lists'!$A$2:$L$800,11,FALSE)</f>
        <v>#N/A</v>
      </c>
    </row>
    <row r="1178" spans="2:13">
      <c r="B1178" s="43" t="e">
        <f>VLOOKUP($A1178,'[2]Team lists'!$A$2:$L$800,2,FALSE)</f>
        <v>#N/A</v>
      </c>
      <c r="C1178" s="43" t="e">
        <f>VLOOKUP($A1178,'[2]Team lists'!$A$2:$L$800,3,FALSE)</f>
        <v>#N/A</v>
      </c>
      <c r="D1178" s="43" t="e">
        <f>VLOOKUP($A1178,'[2]Team lists'!$A$2:$L$800,4,FALSE)</f>
        <v>#N/A</v>
      </c>
      <c r="E1178" s="43" t="e">
        <f>VLOOKUP($A1178,'[2]Team lists'!$A$2:$L$800,5,FALSE)</f>
        <v>#N/A</v>
      </c>
      <c r="F1178" s="43" t="e">
        <f>VLOOKUP($A1178,'[2]Team lists'!$A$2:$L$800,6,FALSE)</f>
        <v>#N/A</v>
      </c>
      <c r="G1178" s="43" t="e">
        <f>VLOOKUP($A1178,'[2]Team lists'!$A$2:$L$800,7,FALSE)</f>
        <v>#N/A</v>
      </c>
      <c r="H1178" s="43" t="e">
        <f>VLOOKUP($A1178,'[2]Team lists'!$A$2:$L$800,8,FALSE)</f>
        <v>#N/A</v>
      </c>
      <c r="I1178" s="43" t="e">
        <f>VLOOKUP($A1178,'[2]Team lists'!$A$2:$L$800,9,FALSE)</f>
        <v>#N/A</v>
      </c>
      <c r="J1178" s="43" t="e">
        <f>VLOOKUP($A1178,'[2]Team lists'!$A$2:$L$800,9,FALSE)</f>
        <v>#N/A</v>
      </c>
      <c r="K1178" s="43" t="e">
        <f>VLOOKUP($A1178,'[2]Team lists'!$A$2:$L$800,10,FALSE)</f>
        <v>#N/A</v>
      </c>
      <c r="L1178" s="43" t="e">
        <f>VLOOKUP($A1178,'[2]Team lists'!$A$2:$L$800,11,FALSE)</f>
        <v>#N/A</v>
      </c>
    </row>
    <row r="1179" spans="2:13">
      <c r="B1179" s="43" t="e">
        <f>VLOOKUP($A1179,'[2]Team lists'!$A$2:$L$800,2,FALSE)</f>
        <v>#N/A</v>
      </c>
      <c r="C1179" s="43" t="e">
        <f>VLOOKUP($A1179,'[2]Team lists'!$A$2:$L$800,3,FALSE)</f>
        <v>#N/A</v>
      </c>
      <c r="D1179" s="43" t="e">
        <f>VLOOKUP($A1179,'[2]Team lists'!$A$2:$L$800,4,FALSE)</f>
        <v>#N/A</v>
      </c>
      <c r="E1179" s="43" t="e">
        <f>VLOOKUP($A1179,'[2]Team lists'!$A$2:$L$800,5,FALSE)</f>
        <v>#N/A</v>
      </c>
      <c r="F1179" s="43" t="e">
        <f>VLOOKUP($A1179,'[2]Team lists'!$A$2:$L$800,6,FALSE)</f>
        <v>#N/A</v>
      </c>
      <c r="G1179" s="43" t="e">
        <f>VLOOKUP($A1179,'[2]Team lists'!$A$2:$L$800,7,FALSE)</f>
        <v>#N/A</v>
      </c>
      <c r="H1179" s="43" t="e">
        <f>VLOOKUP($A1179,'[2]Team lists'!$A$2:$L$800,8,FALSE)</f>
        <v>#N/A</v>
      </c>
      <c r="I1179" s="43" t="e">
        <f>VLOOKUP($A1179,'[2]Team lists'!$A$2:$L$800,9,FALSE)</f>
        <v>#N/A</v>
      </c>
      <c r="J1179" s="43" t="e">
        <f>VLOOKUP($A1179,'[2]Team lists'!$A$2:$L$800,9,FALSE)</f>
        <v>#N/A</v>
      </c>
      <c r="K1179" s="43" t="e">
        <f>VLOOKUP($A1179,'[2]Team lists'!$A$2:$L$800,10,FALSE)</f>
        <v>#N/A</v>
      </c>
      <c r="L1179" s="43" t="e">
        <f>VLOOKUP($A1179,'[2]Team lists'!$A$2:$L$800,11,FALSE)</f>
        <v>#N/A</v>
      </c>
    </row>
    <row r="1180" spans="2:13">
      <c r="B1180" s="43" t="e">
        <f>VLOOKUP($A1180,'[2]Team lists'!$A$2:$L$800,2,FALSE)</f>
        <v>#N/A</v>
      </c>
      <c r="C1180" s="43" t="e">
        <f>VLOOKUP($A1180,'[2]Team lists'!$A$2:$L$800,3,FALSE)</f>
        <v>#N/A</v>
      </c>
      <c r="D1180" s="43" t="e">
        <f>VLOOKUP($A1180,'[2]Team lists'!$A$2:$L$800,4,FALSE)</f>
        <v>#N/A</v>
      </c>
      <c r="E1180" s="43" t="e">
        <f>VLOOKUP($A1180,'[2]Team lists'!$A$2:$L$800,5,FALSE)</f>
        <v>#N/A</v>
      </c>
      <c r="F1180" s="43" t="e">
        <f>VLOOKUP($A1180,'[2]Team lists'!$A$2:$L$800,6,FALSE)</f>
        <v>#N/A</v>
      </c>
      <c r="G1180" s="43" t="e">
        <f>VLOOKUP($A1180,'[2]Team lists'!$A$2:$L$800,7,FALSE)</f>
        <v>#N/A</v>
      </c>
      <c r="H1180" s="43" t="e">
        <f>VLOOKUP($A1180,'[2]Team lists'!$A$2:$L$800,8,FALSE)</f>
        <v>#N/A</v>
      </c>
      <c r="I1180" s="43" t="e">
        <f>VLOOKUP($A1180,'[2]Team lists'!$A$2:$L$800,9,FALSE)</f>
        <v>#N/A</v>
      </c>
      <c r="J1180" s="43" t="e">
        <f>VLOOKUP($A1180,'[2]Team lists'!$A$2:$L$800,9,FALSE)</f>
        <v>#N/A</v>
      </c>
      <c r="K1180" s="43" t="e">
        <f>VLOOKUP($A1180,'[2]Team lists'!$A$2:$L$800,10,FALSE)</f>
        <v>#N/A</v>
      </c>
      <c r="L1180" s="43" t="e">
        <f>VLOOKUP($A1180,'[2]Team lists'!$A$2:$L$800,11,FALSE)</f>
        <v>#N/A</v>
      </c>
    </row>
    <row r="1181" spans="2:13">
      <c r="B1181" s="43" t="e">
        <f>VLOOKUP($A1181,'[2]Team lists'!$A$2:$L$800,2,FALSE)</f>
        <v>#N/A</v>
      </c>
      <c r="C1181" s="43" t="e">
        <f>VLOOKUP($A1181,'[2]Team lists'!$A$2:$L$800,3,FALSE)</f>
        <v>#N/A</v>
      </c>
      <c r="D1181" s="43" t="e">
        <f>VLOOKUP($A1181,'[2]Team lists'!$A$2:$L$800,4,FALSE)</f>
        <v>#N/A</v>
      </c>
      <c r="E1181" s="43" t="e">
        <f>VLOOKUP($A1181,'[2]Team lists'!$A$2:$L$800,5,FALSE)</f>
        <v>#N/A</v>
      </c>
      <c r="F1181" s="43" t="e">
        <f>VLOOKUP($A1181,'[2]Team lists'!$A$2:$L$800,6,FALSE)</f>
        <v>#N/A</v>
      </c>
      <c r="G1181" s="43" t="e">
        <f>VLOOKUP($A1181,'[2]Team lists'!$A$2:$L$800,7,FALSE)</f>
        <v>#N/A</v>
      </c>
      <c r="H1181" s="43" t="e">
        <f>VLOOKUP($A1181,'[2]Team lists'!$A$2:$L$800,8,FALSE)</f>
        <v>#N/A</v>
      </c>
      <c r="I1181" s="43" t="e">
        <f>VLOOKUP($A1181,'[2]Team lists'!$A$2:$L$800,9,FALSE)</f>
        <v>#N/A</v>
      </c>
      <c r="J1181" s="43" t="e">
        <f>VLOOKUP($A1181,'[2]Team lists'!$A$2:$L$800,9,FALSE)</f>
        <v>#N/A</v>
      </c>
      <c r="K1181" s="43" t="e">
        <f>VLOOKUP($A1181,'[2]Team lists'!$A$2:$L$800,10,FALSE)</f>
        <v>#N/A</v>
      </c>
      <c r="L1181" s="43" t="e">
        <f>VLOOKUP($A1181,'[2]Team lists'!$A$2:$L$800,11,FALSE)</f>
        <v>#N/A</v>
      </c>
    </row>
    <row r="1182" spans="2:13">
      <c r="B1182" s="43" t="e">
        <f>VLOOKUP($A1182,'[2]Team lists'!$A$2:$L$800,2,FALSE)</f>
        <v>#N/A</v>
      </c>
      <c r="C1182" s="43" t="e">
        <f>VLOOKUP($A1182,'[2]Team lists'!$A$2:$L$800,3,FALSE)</f>
        <v>#N/A</v>
      </c>
      <c r="D1182" s="43" t="e">
        <f>VLOOKUP($A1182,'[2]Team lists'!$A$2:$L$800,4,FALSE)</f>
        <v>#N/A</v>
      </c>
      <c r="E1182" s="43" t="e">
        <f>VLOOKUP($A1182,'[2]Team lists'!$A$2:$L$800,5,FALSE)</f>
        <v>#N/A</v>
      </c>
      <c r="F1182" s="43" t="e">
        <f>VLOOKUP($A1182,'[2]Team lists'!$A$2:$L$800,6,FALSE)</f>
        <v>#N/A</v>
      </c>
      <c r="G1182" s="43" t="e">
        <f>VLOOKUP($A1182,'[2]Team lists'!$A$2:$L$800,7,FALSE)</f>
        <v>#N/A</v>
      </c>
      <c r="H1182" s="43" t="e">
        <f>VLOOKUP($A1182,'[2]Team lists'!$A$2:$L$800,8,FALSE)</f>
        <v>#N/A</v>
      </c>
      <c r="I1182" s="43" t="e">
        <f>VLOOKUP($A1182,'[2]Team lists'!$A$2:$L$800,9,FALSE)</f>
        <v>#N/A</v>
      </c>
      <c r="J1182" s="43" t="e">
        <f>VLOOKUP($A1182,'[2]Team lists'!$A$2:$L$800,9,FALSE)</f>
        <v>#N/A</v>
      </c>
      <c r="K1182" s="43" t="e">
        <f>VLOOKUP($A1182,'[2]Team lists'!$A$2:$L$800,10,FALSE)</f>
        <v>#N/A</v>
      </c>
      <c r="L1182" s="43" t="e">
        <f>VLOOKUP($A1182,'[2]Team lists'!$A$2:$L$800,11,FALSE)</f>
        <v>#N/A</v>
      </c>
    </row>
    <row r="1183" spans="2:13" ht="18" thickBot="1">
      <c r="B1183" s="45" t="s">
        <v>3210</v>
      </c>
      <c r="C1183" s="46"/>
      <c r="D1183" s="47"/>
      <c r="E1183" s="48" t="e">
        <f t="shared" ref="E1183:L1183" si="73">SUM(E1172:E1182)</f>
        <v>#N/A</v>
      </c>
      <c r="F1183" s="49" t="e">
        <f t="shared" si="73"/>
        <v>#N/A</v>
      </c>
      <c r="G1183" s="49" t="e">
        <f t="shared" si="73"/>
        <v>#N/A</v>
      </c>
      <c r="H1183" s="49" t="e">
        <f t="shared" si="73"/>
        <v>#N/A</v>
      </c>
      <c r="I1183" s="49" t="e">
        <f t="shared" si="73"/>
        <v>#N/A</v>
      </c>
      <c r="J1183" s="49" t="e">
        <f t="shared" si="73"/>
        <v>#N/A</v>
      </c>
      <c r="K1183" s="49" t="e">
        <f t="shared" si="73"/>
        <v>#N/A</v>
      </c>
      <c r="L1183" s="50" t="e">
        <f t="shared" si="73"/>
        <v>#N/A</v>
      </c>
    </row>
    <row r="1184" spans="2:13" ht="18.600000000000001" thickTop="1" thickBot="1"/>
    <row r="1185" spans="2:13" ht="18" thickTop="1">
      <c r="B1185" s="23" t="s">
        <v>3204</v>
      </c>
      <c r="C1185" s="24" t="s">
        <v>3205</v>
      </c>
      <c r="D1185" s="25"/>
      <c r="E1185" s="25"/>
      <c r="F1185" s="53"/>
      <c r="G1185" s="28" t="s">
        <v>3206</v>
      </c>
      <c r="H1185" s="54"/>
      <c r="I1185" s="54"/>
      <c r="J1185" s="54"/>
      <c r="K1185" s="28" t="s">
        <v>3207</v>
      </c>
      <c r="L1185" s="29"/>
      <c r="M1185" s="22" t="str">
        <f>G1185</f>
        <v>Manager:</v>
      </c>
    </row>
    <row r="1186" spans="2:13" ht="18" thickBot="1">
      <c r="B1186" s="30">
        <v>75</v>
      </c>
      <c r="C1186" s="57"/>
      <c r="D1186" s="31"/>
      <c r="E1186" s="31"/>
      <c r="F1186" s="33"/>
      <c r="G1186" s="55"/>
      <c r="H1186" s="55"/>
      <c r="I1186" s="55"/>
      <c r="J1186" s="55"/>
      <c r="K1186" s="34" t="e">
        <f>SUM(F1199:L1199)</f>
        <v>#N/A</v>
      </c>
      <c r="L1186" s="35"/>
      <c r="M1186" s="22">
        <f>G1186</f>
        <v>0</v>
      </c>
    </row>
    <row r="1187" spans="2:13" ht="18.600000000000001" thickTop="1">
      <c r="B1187" s="58" t="s">
        <v>913</v>
      </c>
      <c r="C1187" s="59" t="s">
        <v>912</v>
      </c>
      <c r="D1187" s="60" t="s">
        <v>911</v>
      </c>
      <c r="E1187" s="61" t="s">
        <v>3209</v>
      </c>
      <c r="F1187" s="62" t="s">
        <v>3162</v>
      </c>
      <c r="G1187" s="62" t="s">
        <v>3163</v>
      </c>
      <c r="H1187" s="62" t="s">
        <v>3164</v>
      </c>
      <c r="I1187" s="62" t="s">
        <v>3165</v>
      </c>
      <c r="J1187" s="62" t="s">
        <v>3166</v>
      </c>
      <c r="K1187" s="62" t="s">
        <v>3167</v>
      </c>
      <c r="L1187" s="63" t="s">
        <v>3168</v>
      </c>
    </row>
    <row r="1188" spans="2:13">
      <c r="B1188" s="43" t="e">
        <f>VLOOKUP($A1188,'[2]Team lists'!$A$2:$L$800,2,FALSE)</f>
        <v>#N/A</v>
      </c>
      <c r="C1188" s="43" t="e">
        <f>VLOOKUP($A1188,'[2]Team lists'!$A$2:$L$800,3,FALSE)</f>
        <v>#N/A</v>
      </c>
      <c r="D1188" s="43" t="e">
        <f>VLOOKUP($A1188,'[2]Team lists'!$A$2:$L$800,4,FALSE)</f>
        <v>#N/A</v>
      </c>
      <c r="E1188" s="43" t="e">
        <f>VLOOKUP($A1188,'[2]Team lists'!$A$2:$L$800,5,FALSE)</f>
        <v>#N/A</v>
      </c>
      <c r="F1188" s="43" t="e">
        <f>VLOOKUP($A1188,'[2]Team lists'!$A$2:$L$800,6,FALSE)</f>
        <v>#N/A</v>
      </c>
      <c r="G1188" s="43" t="e">
        <f>VLOOKUP($A1188,'[2]Team lists'!$A$2:$L$800,7,FALSE)</f>
        <v>#N/A</v>
      </c>
      <c r="H1188" s="43" t="e">
        <f>VLOOKUP($A1188,'[2]Team lists'!$A$2:$L$800,8,FALSE)</f>
        <v>#N/A</v>
      </c>
      <c r="I1188" s="43" t="e">
        <f>VLOOKUP($A1188,'[2]Team lists'!$A$2:$L$800,9,FALSE)</f>
        <v>#N/A</v>
      </c>
      <c r="J1188" s="43" t="e">
        <f>VLOOKUP($A1188,'[2]Team lists'!$A$2:$L$800,9,FALSE)</f>
        <v>#N/A</v>
      </c>
      <c r="K1188" s="43" t="e">
        <f>VLOOKUP($A1188,'[2]Team lists'!$A$2:$L$800,10,FALSE)</f>
        <v>#N/A</v>
      </c>
      <c r="L1188" s="43" t="e">
        <f>VLOOKUP($A1188,'[2]Team lists'!$A$2:$L$800,11,FALSE)</f>
        <v>#N/A</v>
      </c>
    </row>
    <row r="1189" spans="2:13">
      <c r="B1189" s="43" t="e">
        <f>VLOOKUP($A1189,'[2]Team lists'!$A$2:$L$800,2,FALSE)</f>
        <v>#N/A</v>
      </c>
      <c r="C1189" s="43" t="e">
        <f>VLOOKUP($A1189,'[2]Team lists'!$A$2:$L$800,3,FALSE)</f>
        <v>#N/A</v>
      </c>
      <c r="D1189" s="43" t="e">
        <f>VLOOKUP($A1189,'[2]Team lists'!$A$2:$L$800,4,FALSE)</f>
        <v>#N/A</v>
      </c>
      <c r="E1189" s="43" t="e">
        <f>VLOOKUP($A1189,'[2]Team lists'!$A$2:$L$800,5,FALSE)</f>
        <v>#N/A</v>
      </c>
      <c r="F1189" s="43" t="e">
        <f>VLOOKUP($A1189,'[2]Team lists'!$A$2:$L$800,6,FALSE)</f>
        <v>#N/A</v>
      </c>
      <c r="G1189" s="43" t="e">
        <f>VLOOKUP($A1189,'[2]Team lists'!$A$2:$L$800,7,FALSE)</f>
        <v>#N/A</v>
      </c>
      <c r="H1189" s="43" t="e">
        <f>VLOOKUP($A1189,'[2]Team lists'!$A$2:$L$800,8,FALSE)</f>
        <v>#N/A</v>
      </c>
      <c r="I1189" s="43" t="e">
        <f>VLOOKUP($A1189,'[2]Team lists'!$A$2:$L$800,9,FALSE)</f>
        <v>#N/A</v>
      </c>
      <c r="J1189" s="43" t="e">
        <f>VLOOKUP($A1189,'[2]Team lists'!$A$2:$L$800,9,FALSE)</f>
        <v>#N/A</v>
      </c>
      <c r="K1189" s="43" t="e">
        <f>VLOOKUP($A1189,'[2]Team lists'!$A$2:$L$800,10,FALSE)</f>
        <v>#N/A</v>
      </c>
      <c r="L1189" s="43" t="e">
        <f>VLOOKUP($A1189,'[2]Team lists'!$A$2:$L$800,11,FALSE)</f>
        <v>#N/A</v>
      </c>
    </row>
    <row r="1190" spans="2:13">
      <c r="B1190" s="43" t="e">
        <f>VLOOKUP($A1190,'[2]Team lists'!$A$2:$L$800,2,FALSE)</f>
        <v>#N/A</v>
      </c>
      <c r="C1190" s="43" t="e">
        <f>VLOOKUP($A1190,'[2]Team lists'!$A$2:$L$800,3,FALSE)</f>
        <v>#N/A</v>
      </c>
      <c r="D1190" s="43" t="e">
        <f>VLOOKUP($A1190,'[2]Team lists'!$A$2:$L$800,4,FALSE)</f>
        <v>#N/A</v>
      </c>
      <c r="E1190" s="43" t="e">
        <f>VLOOKUP($A1190,'[2]Team lists'!$A$2:$L$800,5,FALSE)</f>
        <v>#N/A</v>
      </c>
      <c r="F1190" s="43" t="e">
        <f>VLOOKUP($A1190,'[2]Team lists'!$A$2:$L$800,6,FALSE)</f>
        <v>#N/A</v>
      </c>
      <c r="G1190" s="43" t="e">
        <f>VLOOKUP($A1190,'[2]Team lists'!$A$2:$L$800,7,FALSE)</f>
        <v>#N/A</v>
      </c>
      <c r="H1190" s="43" t="e">
        <f>VLOOKUP($A1190,'[2]Team lists'!$A$2:$L$800,8,FALSE)</f>
        <v>#N/A</v>
      </c>
      <c r="I1190" s="43" t="e">
        <f>VLOOKUP($A1190,'[2]Team lists'!$A$2:$L$800,9,FALSE)</f>
        <v>#N/A</v>
      </c>
      <c r="J1190" s="43" t="e">
        <f>VLOOKUP($A1190,'[2]Team lists'!$A$2:$L$800,9,FALSE)</f>
        <v>#N/A</v>
      </c>
      <c r="K1190" s="43" t="e">
        <f>VLOOKUP($A1190,'[2]Team lists'!$A$2:$L$800,10,FALSE)</f>
        <v>#N/A</v>
      </c>
      <c r="L1190" s="43" t="e">
        <f>VLOOKUP($A1190,'[2]Team lists'!$A$2:$L$800,11,FALSE)</f>
        <v>#N/A</v>
      </c>
    </row>
    <row r="1191" spans="2:13">
      <c r="B1191" s="43" t="e">
        <f>VLOOKUP($A1191,'[2]Team lists'!$A$2:$L$800,2,FALSE)</f>
        <v>#N/A</v>
      </c>
      <c r="C1191" s="43" t="e">
        <f>VLOOKUP($A1191,'[2]Team lists'!$A$2:$L$800,3,FALSE)</f>
        <v>#N/A</v>
      </c>
      <c r="D1191" s="43" t="e">
        <f>VLOOKUP($A1191,'[2]Team lists'!$A$2:$L$800,4,FALSE)</f>
        <v>#N/A</v>
      </c>
      <c r="E1191" s="43" t="e">
        <f>VLOOKUP($A1191,'[2]Team lists'!$A$2:$L$800,5,FALSE)</f>
        <v>#N/A</v>
      </c>
      <c r="F1191" s="43" t="e">
        <f>VLOOKUP($A1191,'[2]Team lists'!$A$2:$L$800,6,FALSE)</f>
        <v>#N/A</v>
      </c>
      <c r="G1191" s="43" t="e">
        <f>VLOOKUP($A1191,'[2]Team lists'!$A$2:$L$800,7,FALSE)</f>
        <v>#N/A</v>
      </c>
      <c r="H1191" s="43" t="e">
        <f>VLOOKUP($A1191,'[2]Team lists'!$A$2:$L$800,8,FALSE)</f>
        <v>#N/A</v>
      </c>
      <c r="I1191" s="43" t="e">
        <f>VLOOKUP($A1191,'[2]Team lists'!$A$2:$L$800,9,FALSE)</f>
        <v>#N/A</v>
      </c>
      <c r="J1191" s="43" t="e">
        <f>VLOOKUP($A1191,'[2]Team lists'!$A$2:$L$800,9,FALSE)</f>
        <v>#N/A</v>
      </c>
      <c r="K1191" s="43" t="e">
        <f>VLOOKUP($A1191,'[2]Team lists'!$A$2:$L$800,10,FALSE)</f>
        <v>#N/A</v>
      </c>
      <c r="L1191" s="43" t="e">
        <f>VLOOKUP($A1191,'[2]Team lists'!$A$2:$L$800,11,FALSE)</f>
        <v>#N/A</v>
      </c>
    </row>
    <row r="1192" spans="2:13">
      <c r="B1192" s="43" t="e">
        <f>VLOOKUP($A1192,'[2]Team lists'!$A$2:$L$800,2,FALSE)</f>
        <v>#N/A</v>
      </c>
      <c r="C1192" s="43" t="e">
        <f>VLOOKUP($A1192,'[2]Team lists'!$A$2:$L$800,3,FALSE)</f>
        <v>#N/A</v>
      </c>
      <c r="D1192" s="43" t="e">
        <f>VLOOKUP($A1192,'[2]Team lists'!$A$2:$L$800,4,FALSE)</f>
        <v>#N/A</v>
      </c>
      <c r="E1192" s="43" t="e">
        <f>VLOOKUP($A1192,'[2]Team lists'!$A$2:$L$800,5,FALSE)</f>
        <v>#N/A</v>
      </c>
      <c r="F1192" s="43" t="e">
        <f>VLOOKUP($A1192,'[2]Team lists'!$A$2:$L$800,6,FALSE)</f>
        <v>#N/A</v>
      </c>
      <c r="G1192" s="43" t="e">
        <f>VLOOKUP($A1192,'[2]Team lists'!$A$2:$L$800,7,FALSE)</f>
        <v>#N/A</v>
      </c>
      <c r="H1192" s="43" t="e">
        <f>VLOOKUP($A1192,'[2]Team lists'!$A$2:$L$800,8,FALSE)</f>
        <v>#N/A</v>
      </c>
      <c r="I1192" s="43" t="e">
        <f>VLOOKUP($A1192,'[2]Team lists'!$A$2:$L$800,9,FALSE)</f>
        <v>#N/A</v>
      </c>
      <c r="J1192" s="43" t="e">
        <f>VLOOKUP($A1192,'[2]Team lists'!$A$2:$L$800,9,FALSE)</f>
        <v>#N/A</v>
      </c>
      <c r="K1192" s="43" t="e">
        <f>VLOOKUP($A1192,'[2]Team lists'!$A$2:$L$800,10,FALSE)</f>
        <v>#N/A</v>
      </c>
      <c r="L1192" s="43" t="e">
        <f>VLOOKUP($A1192,'[2]Team lists'!$A$2:$L$800,11,FALSE)</f>
        <v>#N/A</v>
      </c>
    </row>
    <row r="1193" spans="2:13">
      <c r="B1193" s="43" t="e">
        <f>VLOOKUP($A1193,'[2]Team lists'!$A$2:$L$800,2,FALSE)</f>
        <v>#N/A</v>
      </c>
      <c r="C1193" s="43" t="e">
        <f>VLOOKUP($A1193,'[2]Team lists'!$A$2:$L$800,3,FALSE)</f>
        <v>#N/A</v>
      </c>
      <c r="D1193" s="43" t="e">
        <f>VLOOKUP($A1193,'[2]Team lists'!$A$2:$L$800,4,FALSE)</f>
        <v>#N/A</v>
      </c>
      <c r="E1193" s="43" t="e">
        <f>VLOOKUP($A1193,'[2]Team lists'!$A$2:$L$800,5,FALSE)</f>
        <v>#N/A</v>
      </c>
      <c r="F1193" s="43" t="e">
        <f>VLOOKUP($A1193,'[2]Team lists'!$A$2:$L$800,6,FALSE)</f>
        <v>#N/A</v>
      </c>
      <c r="G1193" s="43" t="e">
        <f>VLOOKUP($A1193,'[2]Team lists'!$A$2:$L$800,7,FALSE)</f>
        <v>#N/A</v>
      </c>
      <c r="H1193" s="43" t="e">
        <f>VLOOKUP($A1193,'[2]Team lists'!$A$2:$L$800,8,FALSE)</f>
        <v>#N/A</v>
      </c>
      <c r="I1193" s="43" t="e">
        <f>VLOOKUP($A1193,'[2]Team lists'!$A$2:$L$800,9,FALSE)</f>
        <v>#N/A</v>
      </c>
      <c r="J1193" s="43" t="e">
        <f>VLOOKUP($A1193,'[2]Team lists'!$A$2:$L$800,9,FALSE)</f>
        <v>#N/A</v>
      </c>
      <c r="K1193" s="43" t="e">
        <f>VLOOKUP($A1193,'[2]Team lists'!$A$2:$L$800,10,FALSE)</f>
        <v>#N/A</v>
      </c>
      <c r="L1193" s="43" t="e">
        <f>VLOOKUP($A1193,'[2]Team lists'!$A$2:$L$800,11,FALSE)</f>
        <v>#N/A</v>
      </c>
    </row>
    <row r="1194" spans="2:13">
      <c r="B1194" s="43" t="e">
        <f>VLOOKUP($A1194,'[2]Team lists'!$A$2:$L$800,2,FALSE)</f>
        <v>#N/A</v>
      </c>
      <c r="C1194" s="43" t="e">
        <f>VLOOKUP($A1194,'[2]Team lists'!$A$2:$L$800,3,FALSE)</f>
        <v>#N/A</v>
      </c>
      <c r="D1194" s="43" t="e">
        <f>VLOOKUP($A1194,'[2]Team lists'!$A$2:$L$800,4,FALSE)</f>
        <v>#N/A</v>
      </c>
      <c r="E1194" s="43" t="e">
        <f>VLOOKUP($A1194,'[2]Team lists'!$A$2:$L$800,5,FALSE)</f>
        <v>#N/A</v>
      </c>
      <c r="F1194" s="43" t="e">
        <f>VLOOKUP($A1194,'[2]Team lists'!$A$2:$L$800,6,FALSE)</f>
        <v>#N/A</v>
      </c>
      <c r="G1194" s="43" t="e">
        <f>VLOOKUP($A1194,'[2]Team lists'!$A$2:$L$800,7,FALSE)</f>
        <v>#N/A</v>
      </c>
      <c r="H1194" s="43" t="e">
        <f>VLOOKUP($A1194,'[2]Team lists'!$A$2:$L$800,8,FALSE)</f>
        <v>#N/A</v>
      </c>
      <c r="I1194" s="43" t="e">
        <f>VLOOKUP($A1194,'[2]Team lists'!$A$2:$L$800,9,FALSE)</f>
        <v>#N/A</v>
      </c>
      <c r="J1194" s="43" t="e">
        <f>VLOOKUP($A1194,'[2]Team lists'!$A$2:$L$800,9,FALSE)</f>
        <v>#N/A</v>
      </c>
      <c r="K1194" s="43" t="e">
        <f>VLOOKUP($A1194,'[2]Team lists'!$A$2:$L$800,10,FALSE)</f>
        <v>#N/A</v>
      </c>
      <c r="L1194" s="43" t="e">
        <f>VLOOKUP($A1194,'[2]Team lists'!$A$2:$L$800,11,FALSE)</f>
        <v>#N/A</v>
      </c>
    </row>
    <row r="1195" spans="2:13">
      <c r="B1195" s="43" t="e">
        <f>VLOOKUP($A1195,'[2]Team lists'!$A$2:$L$800,2,FALSE)</f>
        <v>#N/A</v>
      </c>
      <c r="C1195" s="43" t="e">
        <f>VLOOKUP($A1195,'[2]Team lists'!$A$2:$L$800,3,FALSE)</f>
        <v>#N/A</v>
      </c>
      <c r="D1195" s="43" t="e">
        <f>VLOOKUP($A1195,'[2]Team lists'!$A$2:$L$800,4,FALSE)</f>
        <v>#N/A</v>
      </c>
      <c r="E1195" s="43" t="e">
        <f>VLOOKUP($A1195,'[2]Team lists'!$A$2:$L$800,5,FALSE)</f>
        <v>#N/A</v>
      </c>
      <c r="F1195" s="43" t="e">
        <f>VLOOKUP($A1195,'[2]Team lists'!$A$2:$L$800,6,FALSE)</f>
        <v>#N/A</v>
      </c>
      <c r="G1195" s="43" t="e">
        <f>VLOOKUP($A1195,'[2]Team lists'!$A$2:$L$800,7,FALSE)</f>
        <v>#N/A</v>
      </c>
      <c r="H1195" s="43" t="e">
        <f>VLOOKUP($A1195,'[2]Team lists'!$A$2:$L$800,8,FALSE)</f>
        <v>#N/A</v>
      </c>
      <c r="I1195" s="43" t="e">
        <f>VLOOKUP($A1195,'[2]Team lists'!$A$2:$L$800,9,FALSE)</f>
        <v>#N/A</v>
      </c>
      <c r="J1195" s="43" t="e">
        <f>VLOOKUP($A1195,'[2]Team lists'!$A$2:$L$800,9,FALSE)</f>
        <v>#N/A</v>
      </c>
      <c r="K1195" s="43" t="e">
        <f>VLOOKUP($A1195,'[2]Team lists'!$A$2:$L$800,10,FALSE)</f>
        <v>#N/A</v>
      </c>
      <c r="L1195" s="43" t="e">
        <f>VLOOKUP($A1195,'[2]Team lists'!$A$2:$L$800,11,FALSE)</f>
        <v>#N/A</v>
      </c>
    </row>
    <row r="1196" spans="2:13">
      <c r="B1196" s="43" t="e">
        <f>VLOOKUP($A1196,'[2]Team lists'!$A$2:$L$800,2,FALSE)</f>
        <v>#N/A</v>
      </c>
      <c r="C1196" s="43" t="e">
        <f>VLOOKUP($A1196,'[2]Team lists'!$A$2:$L$800,3,FALSE)</f>
        <v>#N/A</v>
      </c>
      <c r="D1196" s="43" t="e">
        <f>VLOOKUP($A1196,'[2]Team lists'!$A$2:$L$800,4,FALSE)</f>
        <v>#N/A</v>
      </c>
      <c r="E1196" s="43" t="e">
        <f>VLOOKUP($A1196,'[2]Team lists'!$A$2:$L$800,5,FALSE)</f>
        <v>#N/A</v>
      </c>
      <c r="F1196" s="43" t="e">
        <f>VLOOKUP($A1196,'[2]Team lists'!$A$2:$L$800,6,FALSE)</f>
        <v>#N/A</v>
      </c>
      <c r="G1196" s="43" t="e">
        <f>VLOOKUP($A1196,'[2]Team lists'!$A$2:$L$800,7,FALSE)</f>
        <v>#N/A</v>
      </c>
      <c r="H1196" s="43" t="e">
        <f>VLOOKUP($A1196,'[2]Team lists'!$A$2:$L$800,8,FALSE)</f>
        <v>#N/A</v>
      </c>
      <c r="I1196" s="43" t="e">
        <f>VLOOKUP($A1196,'[2]Team lists'!$A$2:$L$800,9,FALSE)</f>
        <v>#N/A</v>
      </c>
      <c r="J1196" s="43" t="e">
        <f>VLOOKUP($A1196,'[2]Team lists'!$A$2:$L$800,9,FALSE)</f>
        <v>#N/A</v>
      </c>
      <c r="K1196" s="43" t="e">
        <f>VLOOKUP($A1196,'[2]Team lists'!$A$2:$L$800,10,FALSE)</f>
        <v>#N/A</v>
      </c>
      <c r="L1196" s="43" t="e">
        <f>VLOOKUP($A1196,'[2]Team lists'!$A$2:$L$800,11,FALSE)</f>
        <v>#N/A</v>
      </c>
    </row>
    <row r="1197" spans="2:13">
      <c r="B1197" s="43" t="e">
        <f>VLOOKUP($A1197,'[2]Team lists'!$A$2:$L$800,2,FALSE)</f>
        <v>#N/A</v>
      </c>
      <c r="C1197" s="43" t="e">
        <f>VLOOKUP($A1197,'[2]Team lists'!$A$2:$L$800,3,FALSE)</f>
        <v>#N/A</v>
      </c>
      <c r="D1197" s="43" t="e">
        <f>VLOOKUP($A1197,'[2]Team lists'!$A$2:$L$800,4,FALSE)</f>
        <v>#N/A</v>
      </c>
      <c r="E1197" s="43" t="e">
        <f>VLOOKUP($A1197,'[2]Team lists'!$A$2:$L$800,5,FALSE)</f>
        <v>#N/A</v>
      </c>
      <c r="F1197" s="43" t="e">
        <f>VLOOKUP($A1197,'[2]Team lists'!$A$2:$L$800,6,FALSE)</f>
        <v>#N/A</v>
      </c>
      <c r="G1197" s="43" t="e">
        <f>VLOOKUP($A1197,'[2]Team lists'!$A$2:$L$800,7,FALSE)</f>
        <v>#N/A</v>
      </c>
      <c r="H1197" s="43" t="e">
        <f>VLOOKUP($A1197,'[2]Team lists'!$A$2:$L$800,8,FALSE)</f>
        <v>#N/A</v>
      </c>
      <c r="I1197" s="43" t="e">
        <f>VLOOKUP($A1197,'[2]Team lists'!$A$2:$L$800,9,FALSE)</f>
        <v>#N/A</v>
      </c>
      <c r="J1197" s="43" t="e">
        <f>VLOOKUP($A1197,'[2]Team lists'!$A$2:$L$800,9,FALSE)</f>
        <v>#N/A</v>
      </c>
      <c r="K1197" s="43" t="e">
        <f>VLOOKUP($A1197,'[2]Team lists'!$A$2:$L$800,10,FALSE)</f>
        <v>#N/A</v>
      </c>
      <c r="L1197" s="43" t="e">
        <f>VLOOKUP($A1197,'[2]Team lists'!$A$2:$L$800,11,FALSE)</f>
        <v>#N/A</v>
      </c>
    </row>
    <row r="1198" spans="2:13">
      <c r="B1198" s="43" t="e">
        <f>VLOOKUP($A1198,'[2]Team lists'!$A$2:$L$800,2,FALSE)</f>
        <v>#N/A</v>
      </c>
      <c r="C1198" s="43" t="e">
        <f>VLOOKUP($A1198,'[2]Team lists'!$A$2:$L$800,3,FALSE)</f>
        <v>#N/A</v>
      </c>
      <c r="D1198" s="43" t="e">
        <f>VLOOKUP($A1198,'[2]Team lists'!$A$2:$L$800,4,FALSE)</f>
        <v>#N/A</v>
      </c>
      <c r="E1198" s="43" t="e">
        <f>VLOOKUP($A1198,'[2]Team lists'!$A$2:$L$800,5,FALSE)</f>
        <v>#N/A</v>
      </c>
      <c r="F1198" s="43" t="e">
        <f>VLOOKUP($A1198,'[2]Team lists'!$A$2:$L$800,6,FALSE)</f>
        <v>#N/A</v>
      </c>
      <c r="G1198" s="43" t="e">
        <f>VLOOKUP($A1198,'[2]Team lists'!$A$2:$L$800,7,FALSE)</f>
        <v>#N/A</v>
      </c>
      <c r="H1198" s="43" t="e">
        <f>VLOOKUP($A1198,'[2]Team lists'!$A$2:$L$800,8,FALSE)</f>
        <v>#N/A</v>
      </c>
      <c r="I1198" s="43" t="e">
        <f>VLOOKUP($A1198,'[2]Team lists'!$A$2:$L$800,9,FALSE)</f>
        <v>#N/A</v>
      </c>
      <c r="J1198" s="43" t="e">
        <f>VLOOKUP($A1198,'[2]Team lists'!$A$2:$L$800,9,FALSE)</f>
        <v>#N/A</v>
      </c>
      <c r="K1198" s="43" t="e">
        <f>VLOOKUP($A1198,'[2]Team lists'!$A$2:$L$800,10,FALSE)</f>
        <v>#N/A</v>
      </c>
      <c r="L1198" s="43" t="e">
        <f>VLOOKUP($A1198,'[2]Team lists'!$A$2:$L$800,11,FALSE)</f>
        <v>#N/A</v>
      </c>
    </row>
    <row r="1199" spans="2:13" ht="18" thickBot="1">
      <c r="B1199" s="45" t="s">
        <v>3210</v>
      </c>
      <c r="C1199" s="46"/>
      <c r="D1199" s="47"/>
      <c r="E1199" s="48" t="e">
        <f t="shared" ref="E1199:L1199" si="74">SUM(E1188:E1198)</f>
        <v>#N/A</v>
      </c>
      <c r="F1199" s="49" t="e">
        <f t="shared" si="74"/>
        <v>#N/A</v>
      </c>
      <c r="G1199" s="49" t="e">
        <f t="shared" si="74"/>
        <v>#N/A</v>
      </c>
      <c r="H1199" s="49" t="e">
        <f t="shared" si="74"/>
        <v>#N/A</v>
      </c>
      <c r="I1199" s="49" t="e">
        <f t="shared" si="74"/>
        <v>#N/A</v>
      </c>
      <c r="J1199" s="49" t="e">
        <f t="shared" si="74"/>
        <v>#N/A</v>
      </c>
      <c r="K1199" s="49" t="e">
        <f t="shared" si="74"/>
        <v>#N/A</v>
      </c>
      <c r="L1199" s="50" t="e">
        <f t="shared" si="74"/>
        <v>#N/A</v>
      </c>
    </row>
    <row r="1200" spans="2:13" ht="18.600000000000001" thickTop="1" thickBot="1"/>
    <row r="1201" spans="2:13" ht="18" thickTop="1">
      <c r="B1201" s="23" t="s">
        <v>3204</v>
      </c>
      <c r="C1201" s="24" t="s">
        <v>3205</v>
      </c>
      <c r="D1201" s="25"/>
      <c r="E1201" s="25"/>
      <c r="F1201" s="53"/>
      <c r="G1201" s="28" t="s">
        <v>3206</v>
      </c>
      <c r="H1201" s="54"/>
      <c r="I1201" s="54"/>
      <c r="J1201" s="54"/>
      <c r="K1201" s="28" t="s">
        <v>3207</v>
      </c>
      <c r="L1201" s="29"/>
      <c r="M1201" s="22" t="str">
        <f>G1201</f>
        <v>Manager:</v>
      </c>
    </row>
    <row r="1202" spans="2:13" ht="18" thickBot="1">
      <c r="B1202" s="30">
        <v>76</v>
      </c>
      <c r="C1202" s="57"/>
      <c r="D1202" s="31"/>
      <c r="E1202" s="31"/>
      <c r="F1202" s="33"/>
      <c r="G1202" s="55"/>
      <c r="H1202" s="55"/>
      <c r="I1202" s="55"/>
      <c r="J1202" s="55"/>
      <c r="K1202" s="34" t="e">
        <f>SUM(F1215:L1215)</f>
        <v>#N/A</v>
      </c>
      <c r="L1202" s="35"/>
      <c r="M1202" s="22">
        <f>G1202</f>
        <v>0</v>
      </c>
    </row>
    <row r="1203" spans="2:13" ht="18.600000000000001" thickTop="1">
      <c r="B1203" s="58" t="s">
        <v>913</v>
      </c>
      <c r="C1203" s="59" t="s">
        <v>912</v>
      </c>
      <c r="D1203" s="60" t="s">
        <v>911</v>
      </c>
      <c r="E1203" s="61" t="s">
        <v>3209</v>
      </c>
      <c r="F1203" s="62" t="s">
        <v>3162</v>
      </c>
      <c r="G1203" s="62" t="s">
        <v>3163</v>
      </c>
      <c r="H1203" s="62" t="s">
        <v>3164</v>
      </c>
      <c r="I1203" s="62" t="s">
        <v>3165</v>
      </c>
      <c r="J1203" s="62" t="s">
        <v>3166</v>
      </c>
      <c r="K1203" s="62" t="s">
        <v>3167</v>
      </c>
      <c r="L1203" s="63" t="s">
        <v>3168</v>
      </c>
    </row>
    <row r="1204" spans="2:13">
      <c r="B1204" s="43" t="e">
        <f>VLOOKUP($A1204,'[2]Team lists'!$A$2:$L$800,2,FALSE)</f>
        <v>#N/A</v>
      </c>
      <c r="C1204" s="43" t="e">
        <f>VLOOKUP($A1204,'[2]Team lists'!$A$2:$L$800,3,FALSE)</f>
        <v>#N/A</v>
      </c>
      <c r="D1204" s="43" t="e">
        <f>VLOOKUP($A1204,'[2]Team lists'!$A$2:$L$800,4,FALSE)</f>
        <v>#N/A</v>
      </c>
      <c r="E1204" s="43" t="e">
        <f>VLOOKUP($A1204,'[2]Team lists'!$A$2:$L$800,5,FALSE)</f>
        <v>#N/A</v>
      </c>
      <c r="F1204" s="43" t="e">
        <f>VLOOKUP($A1204,'[2]Team lists'!$A$2:$L$800,6,FALSE)</f>
        <v>#N/A</v>
      </c>
      <c r="G1204" s="43" t="e">
        <f>VLOOKUP($A1204,'[2]Team lists'!$A$2:$L$800,7,FALSE)</f>
        <v>#N/A</v>
      </c>
      <c r="H1204" s="43" t="e">
        <f>VLOOKUP($A1204,'[2]Team lists'!$A$2:$L$800,8,FALSE)</f>
        <v>#N/A</v>
      </c>
      <c r="I1204" s="43" t="e">
        <f>VLOOKUP($A1204,'[2]Team lists'!$A$2:$L$800,9,FALSE)</f>
        <v>#N/A</v>
      </c>
      <c r="J1204" s="43" t="e">
        <f>VLOOKUP($A1204,'[2]Team lists'!$A$2:$L$800,9,FALSE)</f>
        <v>#N/A</v>
      </c>
      <c r="K1204" s="43" t="e">
        <f>VLOOKUP($A1204,'[2]Team lists'!$A$2:$L$800,10,FALSE)</f>
        <v>#N/A</v>
      </c>
      <c r="L1204" s="43" t="e">
        <f>VLOOKUP($A1204,'[2]Team lists'!$A$2:$L$800,11,FALSE)</f>
        <v>#N/A</v>
      </c>
    </row>
    <row r="1205" spans="2:13">
      <c r="B1205" s="43" t="e">
        <f>VLOOKUP($A1205,'[2]Team lists'!$A$2:$L$800,2,FALSE)</f>
        <v>#N/A</v>
      </c>
      <c r="C1205" s="43" t="e">
        <f>VLOOKUP($A1205,'[2]Team lists'!$A$2:$L$800,3,FALSE)</f>
        <v>#N/A</v>
      </c>
      <c r="D1205" s="43" t="e">
        <f>VLOOKUP($A1205,'[2]Team lists'!$A$2:$L$800,4,FALSE)</f>
        <v>#N/A</v>
      </c>
      <c r="E1205" s="43" t="e">
        <f>VLOOKUP($A1205,'[2]Team lists'!$A$2:$L$800,5,FALSE)</f>
        <v>#N/A</v>
      </c>
      <c r="F1205" s="43" t="e">
        <f>VLOOKUP($A1205,'[2]Team lists'!$A$2:$L$800,6,FALSE)</f>
        <v>#N/A</v>
      </c>
      <c r="G1205" s="43" t="e">
        <f>VLOOKUP($A1205,'[2]Team lists'!$A$2:$L$800,7,FALSE)</f>
        <v>#N/A</v>
      </c>
      <c r="H1205" s="43" t="e">
        <f>VLOOKUP($A1205,'[2]Team lists'!$A$2:$L$800,8,FALSE)</f>
        <v>#N/A</v>
      </c>
      <c r="I1205" s="43" t="e">
        <f>VLOOKUP($A1205,'[2]Team lists'!$A$2:$L$800,9,FALSE)</f>
        <v>#N/A</v>
      </c>
      <c r="J1205" s="43" t="e">
        <f>VLOOKUP($A1205,'[2]Team lists'!$A$2:$L$800,9,FALSE)</f>
        <v>#N/A</v>
      </c>
      <c r="K1205" s="43" t="e">
        <f>VLOOKUP($A1205,'[2]Team lists'!$A$2:$L$800,10,FALSE)</f>
        <v>#N/A</v>
      </c>
      <c r="L1205" s="43" t="e">
        <f>VLOOKUP($A1205,'[2]Team lists'!$A$2:$L$800,11,FALSE)</f>
        <v>#N/A</v>
      </c>
    </row>
    <row r="1206" spans="2:13">
      <c r="B1206" s="43" t="e">
        <f>VLOOKUP($A1206,'[2]Team lists'!$A$2:$L$800,2,FALSE)</f>
        <v>#N/A</v>
      </c>
      <c r="C1206" s="43" t="e">
        <f>VLOOKUP($A1206,'[2]Team lists'!$A$2:$L$800,3,FALSE)</f>
        <v>#N/A</v>
      </c>
      <c r="D1206" s="43" t="e">
        <f>VLOOKUP($A1206,'[2]Team lists'!$A$2:$L$800,4,FALSE)</f>
        <v>#N/A</v>
      </c>
      <c r="E1206" s="43" t="e">
        <f>VLOOKUP($A1206,'[2]Team lists'!$A$2:$L$800,5,FALSE)</f>
        <v>#N/A</v>
      </c>
      <c r="F1206" s="43" t="e">
        <f>VLOOKUP($A1206,'[2]Team lists'!$A$2:$L$800,6,FALSE)</f>
        <v>#N/A</v>
      </c>
      <c r="G1206" s="43" t="e">
        <f>VLOOKUP($A1206,'[2]Team lists'!$A$2:$L$800,7,FALSE)</f>
        <v>#N/A</v>
      </c>
      <c r="H1206" s="43" t="e">
        <f>VLOOKUP($A1206,'[2]Team lists'!$A$2:$L$800,8,FALSE)</f>
        <v>#N/A</v>
      </c>
      <c r="I1206" s="43" t="e">
        <f>VLOOKUP($A1206,'[2]Team lists'!$A$2:$L$800,9,FALSE)</f>
        <v>#N/A</v>
      </c>
      <c r="J1206" s="43" t="e">
        <f>VLOOKUP($A1206,'[2]Team lists'!$A$2:$L$800,9,FALSE)</f>
        <v>#N/A</v>
      </c>
      <c r="K1206" s="43" t="e">
        <f>VLOOKUP($A1206,'[2]Team lists'!$A$2:$L$800,10,FALSE)</f>
        <v>#N/A</v>
      </c>
      <c r="L1206" s="43" t="e">
        <f>VLOOKUP($A1206,'[2]Team lists'!$A$2:$L$800,11,FALSE)</f>
        <v>#N/A</v>
      </c>
    </row>
    <row r="1207" spans="2:13">
      <c r="B1207" s="43" t="e">
        <f>VLOOKUP($A1207,'[2]Team lists'!$A$2:$L$800,2,FALSE)</f>
        <v>#N/A</v>
      </c>
      <c r="C1207" s="43" t="e">
        <f>VLOOKUP($A1207,'[2]Team lists'!$A$2:$L$800,3,FALSE)</f>
        <v>#N/A</v>
      </c>
      <c r="D1207" s="43" t="e">
        <f>VLOOKUP($A1207,'[2]Team lists'!$A$2:$L$800,4,FALSE)</f>
        <v>#N/A</v>
      </c>
      <c r="E1207" s="43" t="e">
        <f>VLOOKUP($A1207,'[2]Team lists'!$A$2:$L$800,5,FALSE)</f>
        <v>#N/A</v>
      </c>
      <c r="F1207" s="43" t="e">
        <f>VLOOKUP($A1207,'[2]Team lists'!$A$2:$L$800,6,FALSE)</f>
        <v>#N/A</v>
      </c>
      <c r="G1207" s="43" t="e">
        <f>VLOOKUP($A1207,'[2]Team lists'!$A$2:$L$800,7,FALSE)</f>
        <v>#N/A</v>
      </c>
      <c r="H1207" s="43" t="e">
        <f>VLOOKUP($A1207,'[2]Team lists'!$A$2:$L$800,8,FALSE)</f>
        <v>#N/A</v>
      </c>
      <c r="I1207" s="43" t="e">
        <f>VLOOKUP($A1207,'[2]Team lists'!$A$2:$L$800,9,FALSE)</f>
        <v>#N/A</v>
      </c>
      <c r="J1207" s="43" t="e">
        <f>VLOOKUP($A1207,'[2]Team lists'!$A$2:$L$800,9,FALSE)</f>
        <v>#N/A</v>
      </c>
      <c r="K1207" s="43" t="e">
        <f>VLOOKUP($A1207,'[2]Team lists'!$A$2:$L$800,10,FALSE)</f>
        <v>#N/A</v>
      </c>
      <c r="L1207" s="43" t="e">
        <f>VLOOKUP($A1207,'[2]Team lists'!$A$2:$L$800,11,FALSE)</f>
        <v>#N/A</v>
      </c>
    </row>
    <row r="1208" spans="2:13">
      <c r="B1208" s="43" t="e">
        <f>VLOOKUP($A1208,'[2]Team lists'!$A$2:$L$800,2,FALSE)</f>
        <v>#N/A</v>
      </c>
      <c r="C1208" s="43" t="e">
        <f>VLOOKUP($A1208,'[2]Team lists'!$A$2:$L$800,3,FALSE)</f>
        <v>#N/A</v>
      </c>
      <c r="D1208" s="43" t="e">
        <f>VLOOKUP($A1208,'[2]Team lists'!$A$2:$L$800,4,FALSE)</f>
        <v>#N/A</v>
      </c>
      <c r="E1208" s="43" t="e">
        <f>VLOOKUP($A1208,'[2]Team lists'!$A$2:$L$800,5,FALSE)</f>
        <v>#N/A</v>
      </c>
      <c r="F1208" s="43" t="e">
        <f>VLOOKUP($A1208,'[2]Team lists'!$A$2:$L$800,6,FALSE)</f>
        <v>#N/A</v>
      </c>
      <c r="G1208" s="43" t="e">
        <f>VLOOKUP($A1208,'[2]Team lists'!$A$2:$L$800,7,FALSE)</f>
        <v>#N/A</v>
      </c>
      <c r="H1208" s="43" t="e">
        <f>VLOOKUP($A1208,'[2]Team lists'!$A$2:$L$800,8,FALSE)</f>
        <v>#N/A</v>
      </c>
      <c r="I1208" s="43" t="e">
        <f>VLOOKUP($A1208,'[2]Team lists'!$A$2:$L$800,9,FALSE)</f>
        <v>#N/A</v>
      </c>
      <c r="J1208" s="43" t="e">
        <f>VLOOKUP($A1208,'[2]Team lists'!$A$2:$L$800,9,FALSE)</f>
        <v>#N/A</v>
      </c>
      <c r="K1208" s="43" t="e">
        <f>VLOOKUP($A1208,'[2]Team lists'!$A$2:$L$800,10,FALSE)</f>
        <v>#N/A</v>
      </c>
      <c r="L1208" s="43" t="e">
        <f>VLOOKUP($A1208,'[2]Team lists'!$A$2:$L$800,11,FALSE)</f>
        <v>#N/A</v>
      </c>
    </row>
    <row r="1209" spans="2:13">
      <c r="B1209" s="43" t="e">
        <f>VLOOKUP($A1209,'[2]Team lists'!$A$2:$L$800,2,FALSE)</f>
        <v>#N/A</v>
      </c>
      <c r="C1209" s="43" t="e">
        <f>VLOOKUP($A1209,'[2]Team lists'!$A$2:$L$800,3,FALSE)</f>
        <v>#N/A</v>
      </c>
      <c r="D1209" s="43" t="e">
        <f>VLOOKUP($A1209,'[2]Team lists'!$A$2:$L$800,4,FALSE)</f>
        <v>#N/A</v>
      </c>
      <c r="E1209" s="43" t="e">
        <f>VLOOKUP($A1209,'[2]Team lists'!$A$2:$L$800,5,FALSE)</f>
        <v>#N/A</v>
      </c>
      <c r="F1209" s="43" t="e">
        <f>VLOOKUP($A1209,'[2]Team lists'!$A$2:$L$800,6,FALSE)</f>
        <v>#N/A</v>
      </c>
      <c r="G1209" s="43" t="e">
        <f>VLOOKUP($A1209,'[2]Team lists'!$A$2:$L$800,7,FALSE)</f>
        <v>#N/A</v>
      </c>
      <c r="H1209" s="43" t="e">
        <f>VLOOKUP($A1209,'[2]Team lists'!$A$2:$L$800,8,FALSE)</f>
        <v>#N/A</v>
      </c>
      <c r="I1209" s="43" t="e">
        <f>VLOOKUP($A1209,'[2]Team lists'!$A$2:$L$800,9,FALSE)</f>
        <v>#N/A</v>
      </c>
      <c r="J1209" s="43" t="e">
        <f>VLOOKUP($A1209,'[2]Team lists'!$A$2:$L$800,9,FALSE)</f>
        <v>#N/A</v>
      </c>
      <c r="K1209" s="43" t="e">
        <f>VLOOKUP($A1209,'[2]Team lists'!$A$2:$L$800,10,FALSE)</f>
        <v>#N/A</v>
      </c>
      <c r="L1209" s="43" t="e">
        <f>VLOOKUP($A1209,'[2]Team lists'!$A$2:$L$800,11,FALSE)</f>
        <v>#N/A</v>
      </c>
    </row>
    <row r="1210" spans="2:13">
      <c r="B1210" s="43" t="e">
        <f>VLOOKUP($A1210,'[2]Team lists'!$A$2:$L$800,2,FALSE)</f>
        <v>#N/A</v>
      </c>
      <c r="C1210" s="43" t="e">
        <f>VLOOKUP($A1210,'[2]Team lists'!$A$2:$L$800,3,FALSE)</f>
        <v>#N/A</v>
      </c>
      <c r="D1210" s="43" t="e">
        <f>VLOOKUP($A1210,'[2]Team lists'!$A$2:$L$800,4,FALSE)</f>
        <v>#N/A</v>
      </c>
      <c r="E1210" s="43" t="e">
        <f>VLOOKUP($A1210,'[2]Team lists'!$A$2:$L$800,5,FALSE)</f>
        <v>#N/A</v>
      </c>
      <c r="F1210" s="43" t="e">
        <f>VLOOKUP($A1210,'[2]Team lists'!$A$2:$L$800,6,FALSE)</f>
        <v>#N/A</v>
      </c>
      <c r="G1210" s="43" t="e">
        <f>VLOOKUP($A1210,'[2]Team lists'!$A$2:$L$800,7,FALSE)</f>
        <v>#N/A</v>
      </c>
      <c r="H1210" s="43" t="e">
        <f>VLOOKUP($A1210,'[2]Team lists'!$A$2:$L$800,8,FALSE)</f>
        <v>#N/A</v>
      </c>
      <c r="I1210" s="43" t="e">
        <f>VLOOKUP($A1210,'[2]Team lists'!$A$2:$L$800,9,FALSE)</f>
        <v>#N/A</v>
      </c>
      <c r="J1210" s="43" t="e">
        <f>VLOOKUP($A1210,'[2]Team lists'!$A$2:$L$800,9,FALSE)</f>
        <v>#N/A</v>
      </c>
      <c r="K1210" s="43" t="e">
        <f>VLOOKUP($A1210,'[2]Team lists'!$A$2:$L$800,10,FALSE)</f>
        <v>#N/A</v>
      </c>
      <c r="L1210" s="43" t="e">
        <f>VLOOKUP($A1210,'[2]Team lists'!$A$2:$L$800,11,FALSE)</f>
        <v>#N/A</v>
      </c>
    </row>
    <row r="1211" spans="2:13">
      <c r="B1211" s="43" t="e">
        <f>VLOOKUP($A1211,'[2]Team lists'!$A$2:$L$800,2,FALSE)</f>
        <v>#N/A</v>
      </c>
      <c r="C1211" s="43" t="e">
        <f>VLOOKUP($A1211,'[2]Team lists'!$A$2:$L$800,3,FALSE)</f>
        <v>#N/A</v>
      </c>
      <c r="D1211" s="43" t="e">
        <f>VLOOKUP($A1211,'[2]Team lists'!$A$2:$L$800,4,FALSE)</f>
        <v>#N/A</v>
      </c>
      <c r="E1211" s="43" t="e">
        <f>VLOOKUP($A1211,'[2]Team lists'!$A$2:$L$800,5,FALSE)</f>
        <v>#N/A</v>
      </c>
      <c r="F1211" s="43" t="e">
        <f>VLOOKUP($A1211,'[2]Team lists'!$A$2:$L$800,6,FALSE)</f>
        <v>#N/A</v>
      </c>
      <c r="G1211" s="43" t="e">
        <f>VLOOKUP($A1211,'[2]Team lists'!$A$2:$L$800,7,FALSE)</f>
        <v>#N/A</v>
      </c>
      <c r="H1211" s="43" t="e">
        <f>VLOOKUP($A1211,'[2]Team lists'!$A$2:$L$800,8,FALSE)</f>
        <v>#N/A</v>
      </c>
      <c r="I1211" s="43" t="e">
        <f>VLOOKUP($A1211,'[2]Team lists'!$A$2:$L$800,9,FALSE)</f>
        <v>#N/A</v>
      </c>
      <c r="J1211" s="43" t="e">
        <f>VLOOKUP($A1211,'[2]Team lists'!$A$2:$L$800,9,FALSE)</f>
        <v>#N/A</v>
      </c>
      <c r="K1211" s="43" t="e">
        <f>VLOOKUP($A1211,'[2]Team lists'!$A$2:$L$800,10,FALSE)</f>
        <v>#N/A</v>
      </c>
      <c r="L1211" s="43" t="e">
        <f>VLOOKUP($A1211,'[2]Team lists'!$A$2:$L$800,11,FALSE)</f>
        <v>#N/A</v>
      </c>
    </row>
    <row r="1212" spans="2:13">
      <c r="B1212" s="43" t="e">
        <f>VLOOKUP($A1212,'[2]Team lists'!$A$2:$L$800,2,FALSE)</f>
        <v>#N/A</v>
      </c>
      <c r="C1212" s="43" t="e">
        <f>VLOOKUP($A1212,'[2]Team lists'!$A$2:$L$800,3,FALSE)</f>
        <v>#N/A</v>
      </c>
      <c r="D1212" s="43" t="e">
        <f>VLOOKUP($A1212,'[2]Team lists'!$A$2:$L$800,4,FALSE)</f>
        <v>#N/A</v>
      </c>
      <c r="E1212" s="43" t="e">
        <f>VLOOKUP($A1212,'[2]Team lists'!$A$2:$L$800,5,FALSE)</f>
        <v>#N/A</v>
      </c>
      <c r="F1212" s="43" t="e">
        <f>VLOOKUP($A1212,'[2]Team lists'!$A$2:$L$800,6,FALSE)</f>
        <v>#N/A</v>
      </c>
      <c r="G1212" s="43" t="e">
        <f>VLOOKUP($A1212,'[2]Team lists'!$A$2:$L$800,7,FALSE)</f>
        <v>#N/A</v>
      </c>
      <c r="H1212" s="43" t="e">
        <f>VLOOKUP($A1212,'[2]Team lists'!$A$2:$L$800,8,FALSE)</f>
        <v>#N/A</v>
      </c>
      <c r="I1212" s="43" t="e">
        <f>VLOOKUP($A1212,'[2]Team lists'!$A$2:$L$800,9,FALSE)</f>
        <v>#N/A</v>
      </c>
      <c r="J1212" s="43" t="e">
        <f>VLOOKUP($A1212,'[2]Team lists'!$A$2:$L$800,9,FALSE)</f>
        <v>#N/A</v>
      </c>
      <c r="K1212" s="43" t="e">
        <f>VLOOKUP($A1212,'[2]Team lists'!$A$2:$L$800,10,FALSE)</f>
        <v>#N/A</v>
      </c>
      <c r="L1212" s="43" t="e">
        <f>VLOOKUP($A1212,'[2]Team lists'!$A$2:$L$800,11,FALSE)</f>
        <v>#N/A</v>
      </c>
    </row>
    <row r="1213" spans="2:13">
      <c r="B1213" s="43" t="e">
        <f>VLOOKUP($A1213,'[2]Team lists'!$A$2:$L$800,2,FALSE)</f>
        <v>#N/A</v>
      </c>
      <c r="C1213" s="43" t="e">
        <f>VLOOKUP($A1213,'[2]Team lists'!$A$2:$L$800,3,FALSE)</f>
        <v>#N/A</v>
      </c>
      <c r="D1213" s="43" t="e">
        <f>VLOOKUP($A1213,'[2]Team lists'!$A$2:$L$800,4,FALSE)</f>
        <v>#N/A</v>
      </c>
      <c r="E1213" s="43" t="e">
        <f>VLOOKUP($A1213,'[2]Team lists'!$A$2:$L$800,5,FALSE)</f>
        <v>#N/A</v>
      </c>
      <c r="F1213" s="43" t="e">
        <f>VLOOKUP($A1213,'[2]Team lists'!$A$2:$L$800,6,FALSE)</f>
        <v>#N/A</v>
      </c>
      <c r="G1213" s="43" t="e">
        <f>VLOOKUP($A1213,'[2]Team lists'!$A$2:$L$800,7,FALSE)</f>
        <v>#N/A</v>
      </c>
      <c r="H1213" s="43" t="e">
        <f>VLOOKUP($A1213,'[2]Team lists'!$A$2:$L$800,8,FALSE)</f>
        <v>#N/A</v>
      </c>
      <c r="I1213" s="43" t="e">
        <f>VLOOKUP($A1213,'[2]Team lists'!$A$2:$L$800,9,FALSE)</f>
        <v>#N/A</v>
      </c>
      <c r="J1213" s="43" t="e">
        <f>VLOOKUP($A1213,'[2]Team lists'!$A$2:$L$800,9,FALSE)</f>
        <v>#N/A</v>
      </c>
      <c r="K1213" s="43" t="e">
        <f>VLOOKUP($A1213,'[2]Team lists'!$A$2:$L$800,10,FALSE)</f>
        <v>#N/A</v>
      </c>
      <c r="L1213" s="43" t="e">
        <f>VLOOKUP($A1213,'[2]Team lists'!$A$2:$L$800,11,FALSE)</f>
        <v>#N/A</v>
      </c>
    </row>
    <row r="1214" spans="2:13">
      <c r="B1214" s="43" t="e">
        <f>VLOOKUP($A1214,'[2]Team lists'!$A$2:$L$800,2,FALSE)</f>
        <v>#N/A</v>
      </c>
      <c r="C1214" s="43" t="e">
        <f>VLOOKUP($A1214,'[2]Team lists'!$A$2:$L$800,3,FALSE)</f>
        <v>#N/A</v>
      </c>
      <c r="D1214" s="43" t="e">
        <f>VLOOKUP($A1214,'[2]Team lists'!$A$2:$L$800,4,FALSE)</f>
        <v>#N/A</v>
      </c>
      <c r="E1214" s="43" t="e">
        <f>VLOOKUP($A1214,'[2]Team lists'!$A$2:$L$800,5,FALSE)</f>
        <v>#N/A</v>
      </c>
      <c r="F1214" s="43" t="e">
        <f>VLOOKUP($A1214,'[2]Team lists'!$A$2:$L$800,6,FALSE)</f>
        <v>#N/A</v>
      </c>
      <c r="G1214" s="43" t="e">
        <f>VLOOKUP($A1214,'[2]Team lists'!$A$2:$L$800,7,FALSE)</f>
        <v>#N/A</v>
      </c>
      <c r="H1214" s="43" t="e">
        <f>VLOOKUP($A1214,'[2]Team lists'!$A$2:$L$800,8,FALSE)</f>
        <v>#N/A</v>
      </c>
      <c r="I1214" s="43" t="e">
        <f>VLOOKUP($A1214,'[2]Team lists'!$A$2:$L$800,9,FALSE)</f>
        <v>#N/A</v>
      </c>
      <c r="J1214" s="43" t="e">
        <f>VLOOKUP($A1214,'[2]Team lists'!$A$2:$L$800,9,FALSE)</f>
        <v>#N/A</v>
      </c>
      <c r="K1214" s="43" t="e">
        <f>VLOOKUP($A1214,'[2]Team lists'!$A$2:$L$800,10,FALSE)</f>
        <v>#N/A</v>
      </c>
      <c r="L1214" s="43" t="e">
        <f>VLOOKUP($A1214,'[2]Team lists'!$A$2:$L$800,11,FALSE)</f>
        <v>#N/A</v>
      </c>
    </row>
    <row r="1215" spans="2:13" ht="18" thickBot="1">
      <c r="B1215" s="45" t="s">
        <v>3210</v>
      </c>
      <c r="C1215" s="46"/>
      <c r="D1215" s="47"/>
      <c r="E1215" s="48" t="e">
        <f t="shared" ref="E1215:L1215" si="75">SUM(E1204:E1214)</f>
        <v>#N/A</v>
      </c>
      <c r="F1215" s="49" t="e">
        <f t="shared" si="75"/>
        <v>#N/A</v>
      </c>
      <c r="G1215" s="49" t="e">
        <f t="shared" si="75"/>
        <v>#N/A</v>
      </c>
      <c r="H1215" s="49" t="e">
        <f t="shared" si="75"/>
        <v>#N/A</v>
      </c>
      <c r="I1215" s="49" t="e">
        <f t="shared" si="75"/>
        <v>#N/A</v>
      </c>
      <c r="J1215" s="49" t="e">
        <f t="shared" si="75"/>
        <v>#N/A</v>
      </c>
      <c r="K1215" s="49" t="e">
        <f t="shared" si="75"/>
        <v>#N/A</v>
      </c>
      <c r="L1215" s="50" t="e">
        <f t="shared" si="75"/>
        <v>#N/A</v>
      </c>
    </row>
    <row r="1216" spans="2:13" ht="18.600000000000001" thickTop="1" thickBot="1"/>
    <row r="1217" spans="2:13" ht="18" thickTop="1">
      <c r="B1217" s="23" t="s">
        <v>3204</v>
      </c>
      <c r="C1217" s="24" t="s">
        <v>3205</v>
      </c>
      <c r="D1217" s="25"/>
      <c r="E1217" s="25"/>
      <c r="F1217" s="53"/>
      <c r="G1217" s="28" t="s">
        <v>3206</v>
      </c>
      <c r="H1217" s="54"/>
      <c r="I1217" s="54"/>
      <c r="J1217" s="54"/>
      <c r="K1217" s="28" t="s">
        <v>3207</v>
      </c>
      <c r="L1217" s="29"/>
      <c r="M1217" s="22" t="str">
        <f>G1217</f>
        <v>Manager:</v>
      </c>
    </row>
    <row r="1218" spans="2:13" ht="18" thickBot="1">
      <c r="B1218" s="30">
        <v>77</v>
      </c>
      <c r="C1218" s="57"/>
      <c r="D1218" s="31"/>
      <c r="E1218" s="31"/>
      <c r="F1218" s="33"/>
      <c r="G1218" s="55"/>
      <c r="H1218" s="55"/>
      <c r="I1218" s="55"/>
      <c r="J1218" s="55"/>
      <c r="K1218" s="34" t="e">
        <f>SUM(F1231:L1231)</f>
        <v>#N/A</v>
      </c>
      <c r="L1218" s="35"/>
      <c r="M1218" s="22">
        <f>G1218</f>
        <v>0</v>
      </c>
    </row>
    <row r="1219" spans="2:13" ht="18.600000000000001" thickTop="1">
      <c r="B1219" s="58" t="s">
        <v>913</v>
      </c>
      <c r="C1219" s="59" t="s">
        <v>912</v>
      </c>
      <c r="D1219" s="60" t="s">
        <v>911</v>
      </c>
      <c r="E1219" s="61" t="s">
        <v>3209</v>
      </c>
      <c r="F1219" s="62" t="s">
        <v>3162</v>
      </c>
      <c r="G1219" s="62" t="s">
        <v>3163</v>
      </c>
      <c r="H1219" s="62" t="s">
        <v>3164</v>
      </c>
      <c r="I1219" s="62" t="s">
        <v>3165</v>
      </c>
      <c r="J1219" s="62" t="s">
        <v>3166</v>
      </c>
      <c r="K1219" s="62" t="s">
        <v>3167</v>
      </c>
      <c r="L1219" s="63" t="s">
        <v>3168</v>
      </c>
    </row>
    <row r="1220" spans="2:13">
      <c r="B1220" s="43" t="e">
        <f>VLOOKUP($A1220,'[2]Team lists'!$A$2:$L$800,2,FALSE)</f>
        <v>#N/A</v>
      </c>
      <c r="C1220" s="43" t="e">
        <f>VLOOKUP($A1220,'[2]Team lists'!$A$2:$L$800,3,FALSE)</f>
        <v>#N/A</v>
      </c>
      <c r="D1220" s="43" t="e">
        <f>VLOOKUP($A1220,'[2]Team lists'!$A$2:$L$800,4,FALSE)</f>
        <v>#N/A</v>
      </c>
      <c r="E1220" s="43" t="e">
        <f>VLOOKUP($A1220,'[2]Team lists'!$A$2:$L$800,5,FALSE)</f>
        <v>#N/A</v>
      </c>
      <c r="F1220" s="43" t="e">
        <f>VLOOKUP($A1220,'[2]Team lists'!$A$2:$L$800,6,FALSE)</f>
        <v>#N/A</v>
      </c>
      <c r="G1220" s="43" t="e">
        <f>VLOOKUP($A1220,'[2]Team lists'!$A$2:$L$800,7,FALSE)</f>
        <v>#N/A</v>
      </c>
      <c r="H1220" s="43" t="e">
        <f>VLOOKUP($A1220,'[2]Team lists'!$A$2:$L$800,8,FALSE)</f>
        <v>#N/A</v>
      </c>
      <c r="I1220" s="43" t="e">
        <f>VLOOKUP($A1220,'[2]Team lists'!$A$2:$L$800,9,FALSE)</f>
        <v>#N/A</v>
      </c>
      <c r="J1220" s="43" t="e">
        <f>VLOOKUP($A1220,'[2]Team lists'!$A$2:$L$800,9,FALSE)</f>
        <v>#N/A</v>
      </c>
      <c r="K1220" s="43" t="e">
        <f>VLOOKUP($A1220,'[2]Team lists'!$A$2:$L$800,10,FALSE)</f>
        <v>#N/A</v>
      </c>
      <c r="L1220" s="43" t="e">
        <f>VLOOKUP($A1220,'[2]Team lists'!$A$2:$L$800,11,FALSE)</f>
        <v>#N/A</v>
      </c>
    </row>
    <row r="1221" spans="2:13">
      <c r="B1221" s="43" t="e">
        <f>VLOOKUP($A1221,'[2]Team lists'!$A$2:$L$800,2,FALSE)</f>
        <v>#N/A</v>
      </c>
      <c r="C1221" s="43" t="e">
        <f>VLOOKUP($A1221,'[2]Team lists'!$A$2:$L$800,3,FALSE)</f>
        <v>#N/A</v>
      </c>
      <c r="D1221" s="43" t="e">
        <f>VLOOKUP($A1221,'[2]Team lists'!$A$2:$L$800,4,FALSE)</f>
        <v>#N/A</v>
      </c>
      <c r="E1221" s="43" t="e">
        <f>VLOOKUP($A1221,'[2]Team lists'!$A$2:$L$800,5,FALSE)</f>
        <v>#N/A</v>
      </c>
      <c r="F1221" s="43" t="e">
        <f>VLOOKUP($A1221,'[2]Team lists'!$A$2:$L$800,6,FALSE)</f>
        <v>#N/A</v>
      </c>
      <c r="G1221" s="43" t="e">
        <f>VLOOKUP($A1221,'[2]Team lists'!$A$2:$L$800,7,FALSE)</f>
        <v>#N/A</v>
      </c>
      <c r="H1221" s="43" t="e">
        <f>VLOOKUP($A1221,'[2]Team lists'!$A$2:$L$800,8,FALSE)</f>
        <v>#N/A</v>
      </c>
      <c r="I1221" s="43" t="e">
        <f>VLOOKUP($A1221,'[2]Team lists'!$A$2:$L$800,9,FALSE)</f>
        <v>#N/A</v>
      </c>
      <c r="J1221" s="43" t="e">
        <f>VLOOKUP($A1221,'[2]Team lists'!$A$2:$L$800,9,FALSE)</f>
        <v>#N/A</v>
      </c>
      <c r="K1221" s="43" t="e">
        <f>VLOOKUP($A1221,'[2]Team lists'!$A$2:$L$800,10,FALSE)</f>
        <v>#N/A</v>
      </c>
      <c r="L1221" s="43" t="e">
        <f>VLOOKUP($A1221,'[2]Team lists'!$A$2:$L$800,11,FALSE)</f>
        <v>#N/A</v>
      </c>
    </row>
    <row r="1222" spans="2:13">
      <c r="B1222" s="43" t="e">
        <f>VLOOKUP($A1222,'[2]Team lists'!$A$2:$L$800,2,FALSE)</f>
        <v>#N/A</v>
      </c>
      <c r="C1222" s="43" t="e">
        <f>VLOOKUP($A1222,'[2]Team lists'!$A$2:$L$800,3,FALSE)</f>
        <v>#N/A</v>
      </c>
      <c r="D1222" s="43" t="e">
        <f>VLOOKUP($A1222,'[2]Team lists'!$A$2:$L$800,4,FALSE)</f>
        <v>#N/A</v>
      </c>
      <c r="E1222" s="43" t="e">
        <f>VLOOKUP($A1222,'[2]Team lists'!$A$2:$L$800,5,FALSE)</f>
        <v>#N/A</v>
      </c>
      <c r="F1222" s="43" t="e">
        <f>VLOOKUP($A1222,'[2]Team lists'!$A$2:$L$800,6,FALSE)</f>
        <v>#N/A</v>
      </c>
      <c r="G1222" s="43" t="e">
        <f>VLOOKUP($A1222,'[2]Team lists'!$A$2:$L$800,7,FALSE)</f>
        <v>#N/A</v>
      </c>
      <c r="H1222" s="43" t="e">
        <f>VLOOKUP($A1222,'[2]Team lists'!$A$2:$L$800,8,FALSE)</f>
        <v>#N/A</v>
      </c>
      <c r="I1222" s="43" t="e">
        <f>VLOOKUP($A1222,'[2]Team lists'!$A$2:$L$800,9,FALSE)</f>
        <v>#N/A</v>
      </c>
      <c r="J1222" s="43" t="e">
        <f>VLOOKUP($A1222,'[2]Team lists'!$A$2:$L$800,9,FALSE)</f>
        <v>#N/A</v>
      </c>
      <c r="K1222" s="43" t="e">
        <f>VLOOKUP($A1222,'[2]Team lists'!$A$2:$L$800,10,FALSE)</f>
        <v>#N/A</v>
      </c>
      <c r="L1222" s="43" t="e">
        <f>VLOOKUP($A1222,'[2]Team lists'!$A$2:$L$800,11,FALSE)</f>
        <v>#N/A</v>
      </c>
    </row>
    <row r="1223" spans="2:13">
      <c r="B1223" s="43" t="e">
        <f>VLOOKUP($A1223,'[2]Team lists'!$A$2:$L$800,2,FALSE)</f>
        <v>#N/A</v>
      </c>
      <c r="C1223" s="43" t="e">
        <f>VLOOKUP($A1223,'[2]Team lists'!$A$2:$L$800,3,FALSE)</f>
        <v>#N/A</v>
      </c>
      <c r="D1223" s="43" t="e">
        <f>VLOOKUP($A1223,'[2]Team lists'!$A$2:$L$800,4,FALSE)</f>
        <v>#N/A</v>
      </c>
      <c r="E1223" s="43" t="e">
        <f>VLOOKUP($A1223,'[2]Team lists'!$A$2:$L$800,5,FALSE)</f>
        <v>#N/A</v>
      </c>
      <c r="F1223" s="43" t="e">
        <f>VLOOKUP($A1223,'[2]Team lists'!$A$2:$L$800,6,FALSE)</f>
        <v>#N/A</v>
      </c>
      <c r="G1223" s="43" t="e">
        <f>VLOOKUP($A1223,'[2]Team lists'!$A$2:$L$800,7,FALSE)</f>
        <v>#N/A</v>
      </c>
      <c r="H1223" s="43" t="e">
        <f>VLOOKUP($A1223,'[2]Team lists'!$A$2:$L$800,8,FALSE)</f>
        <v>#N/A</v>
      </c>
      <c r="I1223" s="43" t="e">
        <f>VLOOKUP($A1223,'[2]Team lists'!$A$2:$L$800,9,FALSE)</f>
        <v>#N/A</v>
      </c>
      <c r="J1223" s="43" t="e">
        <f>VLOOKUP($A1223,'[2]Team lists'!$A$2:$L$800,9,FALSE)</f>
        <v>#N/A</v>
      </c>
      <c r="K1223" s="43" t="e">
        <f>VLOOKUP($A1223,'[2]Team lists'!$A$2:$L$800,10,FALSE)</f>
        <v>#N/A</v>
      </c>
      <c r="L1223" s="43" t="e">
        <f>VLOOKUP($A1223,'[2]Team lists'!$A$2:$L$800,11,FALSE)</f>
        <v>#N/A</v>
      </c>
    </row>
    <row r="1224" spans="2:13">
      <c r="B1224" s="43" t="e">
        <f>VLOOKUP($A1224,'[2]Team lists'!$A$2:$L$800,2,FALSE)</f>
        <v>#N/A</v>
      </c>
      <c r="C1224" s="43" t="e">
        <f>VLOOKUP($A1224,'[2]Team lists'!$A$2:$L$800,3,FALSE)</f>
        <v>#N/A</v>
      </c>
      <c r="D1224" s="43" t="e">
        <f>VLOOKUP($A1224,'[2]Team lists'!$A$2:$L$800,4,FALSE)</f>
        <v>#N/A</v>
      </c>
      <c r="E1224" s="43" t="e">
        <f>VLOOKUP($A1224,'[2]Team lists'!$A$2:$L$800,5,FALSE)</f>
        <v>#N/A</v>
      </c>
      <c r="F1224" s="43" t="e">
        <f>VLOOKUP($A1224,'[2]Team lists'!$A$2:$L$800,6,FALSE)</f>
        <v>#N/A</v>
      </c>
      <c r="G1224" s="43" t="e">
        <f>VLOOKUP($A1224,'[2]Team lists'!$A$2:$L$800,7,FALSE)</f>
        <v>#N/A</v>
      </c>
      <c r="H1224" s="43" t="e">
        <f>VLOOKUP($A1224,'[2]Team lists'!$A$2:$L$800,8,FALSE)</f>
        <v>#N/A</v>
      </c>
      <c r="I1224" s="43" t="e">
        <f>VLOOKUP($A1224,'[2]Team lists'!$A$2:$L$800,9,FALSE)</f>
        <v>#N/A</v>
      </c>
      <c r="J1224" s="43" t="e">
        <f>VLOOKUP($A1224,'[2]Team lists'!$A$2:$L$800,9,FALSE)</f>
        <v>#N/A</v>
      </c>
      <c r="K1224" s="43" t="e">
        <f>VLOOKUP($A1224,'[2]Team lists'!$A$2:$L$800,10,FALSE)</f>
        <v>#N/A</v>
      </c>
      <c r="L1224" s="43" t="e">
        <f>VLOOKUP($A1224,'[2]Team lists'!$A$2:$L$800,11,FALSE)</f>
        <v>#N/A</v>
      </c>
    </row>
    <row r="1225" spans="2:13">
      <c r="B1225" s="43" t="e">
        <f>VLOOKUP($A1225,'[2]Team lists'!$A$2:$L$800,2,FALSE)</f>
        <v>#N/A</v>
      </c>
      <c r="C1225" s="43" t="e">
        <f>VLOOKUP($A1225,'[2]Team lists'!$A$2:$L$800,3,FALSE)</f>
        <v>#N/A</v>
      </c>
      <c r="D1225" s="43" t="e">
        <f>VLOOKUP($A1225,'[2]Team lists'!$A$2:$L$800,4,FALSE)</f>
        <v>#N/A</v>
      </c>
      <c r="E1225" s="43" t="e">
        <f>VLOOKUP($A1225,'[2]Team lists'!$A$2:$L$800,5,FALSE)</f>
        <v>#N/A</v>
      </c>
      <c r="F1225" s="43" t="e">
        <f>VLOOKUP($A1225,'[2]Team lists'!$A$2:$L$800,6,FALSE)</f>
        <v>#N/A</v>
      </c>
      <c r="G1225" s="43" t="e">
        <f>VLOOKUP($A1225,'[2]Team lists'!$A$2:$L$800,7,FALSE)</f>
        <v>#N/A</v>
      </c>
      <c r="H1225" s="43" t="e">
        <f>VLOOKUP($A1225,'[2]Team lists'!$A$2:$L$800,8,FALSE)</f>
        <v>#N/A</v>
      </c>
      <c r="I1225" s="43" t="e">
        <f>VLOOKUP($A1225,'[2]Team lists'!$A$2:$L$800,9,FALSE)</f>
        <v>#N/A</v>
      </c>
      <c r="J1225" s="43" t="e">
        <f>VLOOKUP($A1225,'[2]Team lists'!$A$2:$L$800,9,FALSE)</f>
        <v>#N/A</v>
      </c>
      <c r="K1225" s="43" t="e">
        <f>VLOOKUP($A1225,'[2]Team lists'!$A$2:$L$800,10,FALSE)</f>
        <v>#N/A</v>
      </c>
      <c r="L1225" s="43" t="e">
        <f>VLOOKUP($A1225,'[2]Team lists'!$A$2:$L$800,11,FALSE)</f>
        <v>#N/A</v>
      </c>
    </row>
    <row r="1226" spans="2:13">
      <c r="B1226" s="43" t="e">
        <f>VLOOKUP($A1226,'[2]Team lists'!$A$2:$L$800,2,FALSE)</f>
        <v>#N/A</v>
      </c>
      <c r="C1226" s="43" t="e">
        <f>VLOOKUP($A1226,'[2]Team lists'!$A$2:$L$800,3,FALSE)</f>
        <v>#N/A</v>
      </c>
      <c r="D1226" s="43" t="e">
        <f>VLOOKUP($A1226,'[2]Team lists'!$A$2:$L$800,4,FALSE)</f>
        <v>#N/A</v>
      </c>
      <c r="E1226" s="43" t="e">
        <f>VLOOKUP($A1226,'[2]Team lists'!$A$2:$L$800,5,FALSE)</f>
        <v>#N/A</v>
      </c>
      <c r="F1226" s="43" t="e">
        <f>VLOOKUP($A1226,'[2]Team lists'!$A$2:$L$800,6,FALSE)</f>
        <v>#N/A</v>
      </c>
      <c r="G1226" s="43" t="e">
        <f>VLOOKUP($A1226,'[2]Team lists'!$A$2:$L$800,7,FALSE)</f>
        <v>#N/A</v>
      </c>
      <c r="H1226" s="43" t="e">
        <f>VLOOKUP($A1226,'[2]Team lists'!$A$2:$L$800,8,FALSE)</f>
        <v>#N/A</v>
      </c>
      <c r="I1226" s="43" t="e">
        <f>VLOOKUP($A1226,'[2]Team lists'!$A$2:$L$800,9,FALSE)</f>
        <v>#N/A</v>
      </c>
      <c r="J1226" s="43" t="e">
        <f>VLOOKUP($A1226,'[2]Team lists'!$A$2:$L$800,9,FALSE)</f>
        <v>#N/A</v>
      </c>
      <c r="K1226" s="43" t="e">
        <f>VLOOKUP($A1226,'[2]Team lists'!$A$2:$L$800,10,FALSE)</f>
        <v>#N/A</v>
      </c>
      <c r="L1226" s="43" t="e">
        <f>VLOOKUP($A1226,'[2]Team lists'!$A$2:$L$800,11,FALSE)</f>
        <v>#N/A</v>
      </c>
    </row>
    <row r="1227" spans="2:13">
      <c r="B1227" s="43" t="e">
        <f>VLOOKUP($A1227,'[2]Team lists'!$A$2:$L$800,2,FALSE)</f>
        <v>#N/A</v>
      </c>
      <c r="C1227" s="43" t="e">
        <f>VLOOKUP($A1227,'[2]Team lists'!$A$2:$L$800,3,FALSE)</f>
        <v>#N/A</v>
      </c>
      <c r="D1227" s="43" t="e">
        <f>VLOOKUP($A1227,'[2]Team lists'!$A$2:$L$800,4,FALSE)</f>
        <v>#N/A</v>
      </c>
      <c r="E1227" s="43" t="e">
        <f>VLOOKUP($A1227,'[2]Team lists'!$A$2:$L$800,5,FALSE)</f>
        <v>#N/A</v>
      </c>
      <c r="F1227" s="43" t="e">
        <f>VLOOKUP($A1227,'[2]Team lists'!$A$2:$L$800,6,FALSE)</f>
        <v>#N/A</v>
      </c>
      <c r="G1227" s="43" t="e">
        <f>VLOOKUP($A1227,'[2]Team lists'!$A$2:$L$800,7,FALSE)</f>
        <v>#N/A</v>
      </c>
      <c r="H1227" s="43" t="e">
        <f>VLOOKUP($A1227,'[2]Team lists'!$A$2:$L$800,8,FALSE)</f>
        <v>#N/A</v>
      </c>
      <c r="I1227" s="43" t="e">
        <f>VLOOKUP($A1227,'[2]Team lists'!$A$2:$L$800,9,FALSE)</f>
        <v>#N/A</v>
      </c>
      <c r="J1227" s="43" t="e">
        <f>VLOOKUP($A1227,'[2]Team lists'!$A$2:$L$800,9,FALSE)</f>
        <v>#N/A</v>
      </c>
      <c r="K1227" s="43" t="e">
        <f>VLOOKUP($A1227,'[2]Team lists'!$A$2:$L$800,10,FALSE)</f>
        <v>#N/A</v>
      </c>
      <c r="L1227" s="43" t="e">
        <f>VLOOKUP($A1227,'[2]Team lists'!$A$2:$L$800,11,FALSE)</f>
        <v>#N/A</v>
      </c>
    </row>
    <row r="1228" spans="2:13">
      <c r="B1228" s="43" t="e">
        <f>VLOOKUP($A1228,'[2]Team lists'!$A$2:$L$800,2,FALSE)</f>
        <v>#N/A</v>
      </c>
      <c r="C1228" s="43" t="e">
        <f>VLOOKUP($A1228,'[2]Team lists'!$A$2:$L$800,3,FALSE)</f>
        <v>#N/A</v>
      </c>
      <c r="D1228" s="43" t="e">
        <f>VLOOKUP($A1228,'[2]Team lists'!$A$2:$L$800,4,FALSE)</f>
        <v>#N/A</v>
      </c>
      <c r="E1228" s="43" t="e">
        <f>VLOOKUP($A1228,'[2]Team lists'!$A$2:$L$800,5,FALSE)</f>
        <v>#N/A</v>
      </c>
      <c r="F1228" s="43" t="e">
        <f>VLOOKUP($A1228,'[2]Team lists'!$A$2:$L$800,6,FALSE)</f>
        <v>#N/A</v>
      </c>
      <c r="G1228" s="43" t="e">
        <f>VLOOKUP($A1228,'[2]Team lists'!$A$2:$L$800,7,FALSE)</f>
        <v>#N/A</v>
      </c>
      <c r="H1228" s="43" t="e">
        <f>VLOOKUP($A1228,'[2]Team lists'!$A$2:$L$800,8,FALSE)</f>
        <v>#N/A</v>
      </c>
      <c r="I1228" s="43" t="e">
        <f>VLOOKUP($A1228,'[2]Team lists'!$A$2:$L$800,9,FALSE)</f>
        <v>#N/A</v>
      </c>
      <c r="J1228" s="43" t="e">
        <f>VLOOKUP($A1228,'[2]Team lists'!$A$2:$L$800,9,FALSE)</f>
        <v>#N/A</v>
      </c>
      <c r="K1228" s="43" t="e">
        <f>VLOOKUP($A1228,'[2]Team lists'!$A$2:$L$800,10,FALSE)</f>
        <v>#N/A</v>
      </c>
      <c r="L1228" s="43" t="e">
        <f>VLOOKUP($A1228,'[2]Team lists'!$A$2:$L$800,11,FALSE)</f>
        <v>#N/A</v>
      </c>
    </row>
    <row r="1229" spans="2:13">
      <c r="B1229" s="43" t="e">
        <f>VLOOKUP($A1229,'[2]Team lists'!$A$2:$L$800,2,FALSE)</f>
        <v>#N/A</v>
      </c>
      <c r="C1229" s="43" t="e">
        <f>VLOOKUP($A1229,'[2]Team lists'!$A$2:$L$800,3,FALSE)</f>
        <v>#N/A</v>
      </c>
      <c r="D1229" s="43" t="e">
        <f>VLOOKUP($A1229,'[2]Team lists'!$A$2:$L$800,4,FALSE)</f>
        <v>#N/A</v>
      </c>
      <c r="E1229" s="43" t="e">
        <f>VLOOKUP($A1229,'[2]Team lists'!$A$2:$L$800,5,FALSE)</f>
        <v>#N/A</v>
      </c>
      <c r="F1229" s="43" t="e">
        <f>VLOOKUP($A1229,'[2]Team lists'!$A$2:$L$800,6,FALSE)</f>
        <v>#N/A</v>
      </c>
      <c r="G1229" s="43" t="e">
        <f>VLOOKUP($A1229,'[2]Team lists'!$A$2:$L$800,7,FALSE)</f>
        <v>#N/A</v>
      </c>
      <c r="H1229" s="43" t="e">
        <f>VLOOKUP($A1229,'[2]Team lists'!$A$2:$L$800,8,FALSE)</f>
        <v>#N/A</v>
      </c>
      <c r="I1229" s="43" t="e">
        <f>VLOOKUP($A1229,'[2]Team lists'!$A$2:$L$800,9,FALSE)</f>
        <v>#N/A</v>
      </c>
      <c r="J1229" s="43" t="e">
        <f>VLOOKUP($A1229,'[2]Team lists'!$A$2:$L$800,9,FALSE)</f>
        <v>#N/A</v>
      </c>
      <c r="K1229" s="43" t="e">
        <f>VLOOKUP($A1229,'[2]Team lists'!$A$2:$L$800,10,FALSE)</f>
        <v>#N/A</v>
      </c>
      <c r="L1229" s="43" t="e">
        <f>VLOOKUP($A1229,'[2]Team lists'!$A$2:$L$800,11,FALSE)</f>
        <v>#N/A</v>
      </c>
    </row>
    <row r="1230" spans="2:13">
      <c r="B1230" s="43" t="e">
        <f>VLOOKUP($A1230,'[2]Team lists'!$A$2:$L$800,2,FALSE)</f>
        <v>#N/A</v>
      </c>
      <c r="C1230" s="43" t="e">
        <f>VLOOKUP($A1230,'[2]Team lists'!$A$2:$L$800,3,FALSE)</f>
        <v>#N/A</v>
      </c>
      <c r="D1230" s="43" t="e">
        <f>VLOOKUP($A1230,'[2]Team lists'!$A$2:$L$800,4,FALSE)</f>
        <v>#N/A</v>
      </c>
      <c r="E1230" s="43" t="e">
        <f>VLOOKUP($A1230,'[2]Team lists'!$A$2:$L$800,5,FALSE)</f>
        <v>#N/A</v>
      </c>
      <c r="F1230" s="43" t="e">
        <f>VLOOKUP($A1230,'[2]Team lists'!$A$2:$L$800,6,FALSE)</f>
        <v>#N/A</v>
      </c>
      <c r="G1230" s="43" t="e">
        <f>VLOOKUP($A1230,'[2]Team lists'!$A$2:$L$800,7,FALSE)</f>
        <v>#N/A</v>
      </c>
      <c r="H1230" s="43" t="e">
        <f>VLOOKUP($A1230,'[2]Team lists'!$A$2:$L$800,8,FALSE)</f>
        <v>#N/A</v>
      </c>
      <c r="I1230" s="43" t="e">
        <f>VLOOKUP($A1230,'[2]Team lists'!$A$2:$L$800,9,FALSE)</f>
        <v>#N/A</v>
      </c>
      <c r="J1230" s="43" t="e">
        <f>VLOOKUP($A1230,'[2]Team lists'!$A$2:$L$800,9,FALSE)</f>
        <v>#N/A</v>
      </c>
      <c r="K1230" s="43" t="e">
        <f>VLOOKUP($A1230,'[2]Team lists'!$A$2:$L$800,10,FALSE)</f>
        <v>#N/A</v>
      </c>
      <c r="L1230" s="43" t="e">
        <f>VLOOKUP($A1230,'[2]Team lists'!$A$2:$L$800,11,FALSE)</f>
        <v>#N/A</v>
      </c>
    </row>
    <row r="1231" spans="2:13" ht="18" thickBot="1">
      <c r="B1231" s="45" t="s">
        <v>3210</v>
      </c>
      <c r="C1231" s="46"/>
      <c r="D1231" s="47"/>
      <c r="E1231" s="48" t="e">
        <f t="shared" ref="E1231:L1231" si="76">SUM(E1220:E1230)</f>
        <v>#N/A</v>
      </c>
      <c r="F1231" s="49" t="e">
        <f t="shared" si="76"/>
        <v>#N/A</v>
      </c>
      <c r="G1231" s="49" t="e">
        <f t="shared" si="76"/>
        <v>#N/A</v>
      </c>
      <c r="H1231" s="49" t="e">
        <f t="shared" si="76"/>
        <v>#N/A</v>
      </c>
      <c r="I1231" s="49" t="e">
        <f t="shared" si="76"/>
        <v>#N/A</v>
      </c>
      <c r="J1231" s="49" t="e">
        <f t="shared" si="76"/>
        <v>#N/A</v>
      </c>
      <c r="K1231" s="49" t="e">
        <f t="shared" si="76"/>
        <v>#N/A</v>
      </c>
      <c r="L1231" s="50" t="e">
        <f t="shared" si="76"/>
        <v>#N/A</v>
      </c>
    </row>
    <row r="1232" spans="2:13" ht="18.600000000000001" thickTop="1" thickBot="1"/>
    <row r="1233" spans="2:13" ht="18" thickTop="1">
      <c r="B1233" s="23" t="s">
        <v>3204</v>
      </c>
      <c r="C1233" s="24" t="s">
        <v>3205</v>
      </c>
      <c r="D1233" s="25"/>
      <c r="E1233" s="25"/>
      <c r="F1233" s="53"/>
      <c r="G1233" s="28" t="s">
        <v>3206</v>
      </c>
      <c r="H1233" s="54"/>
      <c r="I1233" s="54"/>
      <c r="J1233" s="54"/>
      <c r="K1233" s="28" t="s">
        <v>3207</v>
      </c>
      <c r="L1233" s="29"/>
      <c r="M1233" s="22" t="str">
        <f>G1233</f>
        <v>Manager:</v>
      </c>
    </row>
    <row r="1234" spans="2:13" ht="18" thickBot="1">
      <c r="B1234" s="30">
        <v>78</v>
      </c>
      <c r="C1234" s="57"/>
      <c r="D1234" s="31"/>
      <c r="E1234" s="31"/>
      <c r="F1234" s="33"/>
      <c r="G1234" s="55"/>
      <c r="H1234" s="55"/>
      <c r="I1234" s="55"/>
      <c r="J1234" s="55"/>
      <c r="K1234" s="34" t="e">
        <f>SUM(F1247:L1247)</f>
        <v>#N/A</v>
      </c>
      <c r="L1234" s="35"/>
      <c r="M1234" s="22">
        <f>G1234</f>
        <v>0</v>
      </c>
    </row>
    <row r="1235" spans="2:13" ht="18.600000000000001" thickTop="1">
      <c r="B1235" s="58" t="s">
        <v>913</v>
      </c>
      <c r="C1235" s="59" t="s">
        <v>912</v>
      </c>
      <c r="D1235" s="60" t="s">
        <v>911</v>
      </c>
      <c r="E1235" s="61" t="s">
        <v>3209</v>
      </c>
      <c r="F1235" s="62" t="s">
        <v>3162</v>
      </c>
      <c r="G1235" s="62" t="s">
        <v>3163</v>
      </c>
      <c r="H1235" s="62" t="s">
        <v>3164</v>
      </c>
      <c r="I1235" s="62" t="s">
        <v>3165</v>
      </c>
      <c r="J1235" s="62" t="s">
        <v>3166</v>
      </c>
      <c r="K1235" s="62" t="s">
        <v>3167</v>
      </c>
      <c r="L1235" s="63" t="s">
        <v>3168</v>
      </c>
    </row>
    <row r="1236" spans="2:13">
      <c r="B1236" s="43" t="e">
        <f>VLOOKUP($A1236,'[2]Team lists'!$A$2:$L$800,2,FALSE)</f>
        <v>#N/A</v>
      </c>
      <c r="C1236" s="43" t="e">
        <f>VLOOKUP($A1236,'[2]Team lists'!$A$2:$L$800,3,FALSE)</f>
        <v>#N/A</v>
      </c>
      <c r="D1236" s="43" t="e">
        <f>VLOOKUP($A1236,'[2]Team lists'!$A$2:$L$800,4,FALSE)</f>
        <v>#N/A</v>
      </c>
      <c r="E1236" s="43" t="e">
        <f>VLOOKUP($A1236,'[2]Team lists'!$A$2:$L$800,5,FALSE)</f>
        <v>#N/A</v>
      </c>
      <c r="F1236" s="43" t="e">
        <f>VLOOKUP($A1236,'[2]Team lists'!$A$2:$L$800,6,FALSE)</f>
        <v>#N/A</v>
      </c>
      <c r="G1236" s="43" t="e">
        <f>VLOOKUP($A1236,'[2]Team lists'!$A$2:$L$800,7,FALSE)</f>
        <v>#N/A</v>
      </c>
      <c r="H1236" s="43" t="e">
        <f>VLOOKUP($A1236,'[2]Team lists'!$A$2:$L$800,8,FALSE)</f>
        <v>#N/A</v>
      </c>
      <c r="I1236" s="43" t="e">
        <f>VLOOKUP($A1236,'[2]Team lists'!$A$2:$L$800,9,FALSE)</f>
        <v>#N/A</v>
      </c>
      <c r="J1236" s="43" t="e">
        <f>VLOOKUP($A1236,'[2]Team lists'!$A$2:$L$800,9,FALSE)</f>
        <v>#N/A</v>
      </c>
      <c r="K1236" s="43" t="e">
        <f>VLOOKUP($A1236,'[2]Team lists'!$A$2:$L$800,10,FALSE)</f>
        <v>#N/A</v>
      </c>
      <c r="L1236" s="43" t="e">
        <f>VLOOKUP($A1236,'[2]Team lists'!$A$2:$L$800,11,FALSE)</f>
        <v>#N/A</v>
      </c>
    </row>
    <row r="1237" spans="2:13">
      <c r="B1237" s="43" t="e">
        <f>VLOOKUP($A1237,'[2]Team lists'!$A$2:$L$800,2,FALSE)</f>
        <v>#N/A</v>
      </c>
      <c r="C1237" s="43" t="e">
        <f>VLOOKUP($A1237,'[2]Team lists'!$A$2:$L$800,3,FALSE)</f>
        <v>#N/A</v>
      </c>
      <c r="D1237" s="43" t="e">
        <f>VLOOKUP($A1237,'[2]Team lists'!$A$2:$L$800,4,FALSE)</f>
        <v>#N/A</v>
      </c>
      <c r="E1237" s="43" t="e">
        <f>VLOOKUP($A1237,'[2]Team lists'!$A$2:$L$800,5,FALSE)</f>
        <v>#N/A</v>
      </c>
      <c r="F1237" s="43" t="e">
        <f>VLOOKUP($A1237,'[2]Team lists'!$A$2:$L$800,6,FALSE)</f>
        <v>#N/A</v>
      </c>
      <c r="G1237" s="43" t="e">
        <f>VLOOKUP($A1237,'[2]Team lists'!$A$2:$L$800,7,FALSE)</f>
        <v>#N/A</v>
      </c>
      <c r="H1237" s="43" t="e">
        <f>VLOOKUP($A1237,'[2]Team lists'!$A$2:$L$800,8,FALSE)</f>
        <v>#N/A</v>
      </c>
      <c r="I1237" s="43" t="e">
        <f>VLOOKUP($A1237,'[2]Team lists'!$A$2:$L$800,9,FALSE)</f>
        <v>#N/A</v>
      </c>
      <c r="J1237" s="43" t="e">
        <f>VLOOKUP($A1237,'[2]Team lists'!$A$2:$L$800,9,FALSE)</f>
        <v>#N/A</v>
      </c>
      <c r="K1237" s="43" t="e">
        <f>VLOOKUP($A1237,'[2]Team lists'!$A$2:$L$800,10,FALSE)</f>
        <v>#N/A</v>
      </c>
      <c r="L1237" s="43" t="e">
        <f>VLOOKUP($A1237,'[2]Team lists'!$A$2:$L$800,11,FALSE)</f>
        <v>#N/A</v>
      </c>
    </row>
    <row r="1238" spans="2:13">
      <c r="B1238" s="43" t="e">
        <f>VLOOKUP($A1238,'[2]Team lists'!$A$2:$L$800,2,FALSE)</f>
        <v>#N/A</v>
      </c>
      <c r="C1238" s="43" t="e">
        <f>VLOOKUP($A1238,'[2]Team lists'!$A$2:$L$800,3,FALSE)</f>
        <v>#N/A</v>
      </c>
      <c r="D1238" s="43" t="e">
        <f>VLOOKUP($A1238,'[2]Team lists'!$A$2:$L$800,4,FALSE)</f>
        <v>#N/A</v>
      </c>
      <c r="E1238" s="43" t="e">
        <f>VLOOKUP($A1238,'[2]Team lists'!$A$2:$L$800,5,FALSE)</f>
        <v>#N/A</v>
      </c>
      <c r="F1238" s="43" t="e">
        <f>VLOOKUP($A1238,'[2]Team lists'!$A$2:$L$800,6,FALSE)</f>
        <v>#N/A</v>
      </c>
      <c r="G1238" s="43" t="e">
        <f>VLOOKUP($A1238,'[2]Team lists'!$A$2:$L$800,7,FALSE)</f>
        <v>#N/A</v>
      </c>
      <c r="H1238" s="43" t="e">
        <f>VLOOKUP($A1238,'[2]Team lists'!$A$2:$L$800,8,FALSE)</f>
        <v>#N/A</v>
      </c>
      <c r="I1238" s="43" t="e">
        <f>VLOOKUP($A1238,'[2]Team lists'!$A$2:$L$800,9,FALSE)</f>
        <v>#N/A</v>
      </c>
      <c r="J1238" s="43" t="e">
        <f>VLOOKUP($A1238,'[2]Team lists'!$A$2:$L$800,9,FALSE)</f>
        <v>#N/A</v>
      </c>
      <c r="K1238" s="43" t="e">
        <f>VLOOKUP($A1238,'[2]Team lists'!$A$2:$L$800,10,FALSE)</f>
        <v>#N/A</v>
      </c>
      <c r="L1238" s="43" t="e">
        <f>VLOOKUP($A1238,'[2]Team lists'!$A$2:$L$800,11,FALSE)</f>
        <v>#N/A</v>
      </c>
    </row>
    <row r="1239" spans="2:13">
      <c r="B1239" s="43" t="e">
        <f>VLOOKUP($A1239,'[2]Team lists'!$A$2:$L$800,2,FALSE)</f>
        <v>#N/A</v>
      </c>
      <c r="C1239" s="43" t="e">
        <f>VLOOKUP($A1239,'[2]Team lists'!$A$2:$L$800,3,FALSE)</f>
        <v>#N/A</v>
      </c>
      <c r="D1239" s="43" t="e">
        <f>VLOOKUP($A1239,'[2]Team lists'!$A$2:$L$800,4,FALSE)</f>
        <v>#N/A</v>
      </c>
      <c r="E1239" s="43" t="e">
        <f>VLOOKUP($A1239,'[2]Team lists'!$A$2:$L$800,5,FALSE)</f>
        <v>#N/A</v>
      </c>
      <c r="F1239" s="43" t="e">
        <f>VLOOKUP($A1239,'[2]Team lists'!$A$2:$L$800,6,FALSE)</f>
        <v>#N/A</v>
      </c>
      <c r="G1239" s="43" t="e">
        <f>VLOOKUP($A1239,'[2]Team lists'!$A$2:$L$800,7,FALSE)</f>
        <v>#N/A</v>
      </c>
      <c r="H1239" s="43" t="e">
        <f>VLOOKUP($A1239,'[2]Team lists'!$A$2:$L$800,8,FALSE)</f>
        <v>#N/A</v>
      </c>
      <c r="I1239" s="43" t="e">
        <f>VLOOKUP($A1239,'[2]Team lists'!$A$2:$L$800,9,FALSE)</f>
        <v>#N/A</v>
      </c>
      <c r="J1239" s="43" t="e">
        <f>VLOOKUP($A1239,'[2]Team lists'!$A$2:$L$800,9,FALSE)</f>
        <v>#N/A</v>
      </c>
      <c r="K1239" s="43" t="e">
        <f>VLOOKUP($A1239,'[2]Team lists'!$A$2:$L$800,10,FALSE)</f>
        <v>#N/A</v>
      </c>
      <c r="L1239" s="43" t="e">
        <f>VLOOKUP($A1239,'[2]Team lists'!$A$2:$L$800,11,FALSE)</f>
        <v>#N/A</v>
      </c>
    </row>
    <row r="1240" spans="2:13">
      <c r="B1240" s="43" t="e">
        <f>VLOOKUP($A1240,'[2]Team lists'!$A$2:$L$800,2,FALSE)</f>
        <v>#N/A</v>
      </c>
      <c r="C1240" s="43" t="e">
        <f>VLOOKUP($A1240,'[2]Team lists'!$A$2:$L$800,3,FALSE)</f>
        <v>#N/A</v>
      </c>
      <c r="D1240" s="43" t="e">
        <f>VLOOKUP($A1240,'[2]Team lists'!$A$2:$L$800,4,FALSE)</f>
        <v>#N/A</v>
      </c>
      <c r="E1240" s="43" t="e">
        <f>VLOOKUP($A1240,'[2]Team lists'!$A$2:$L$800,5,FALSE)</f>
        <v>#N/A</v>
      </c>
      <c r="F1240" s="43" t="e">
        <f>VLOOKUP($A1240,'[2]Team lists'!$A$2:$L$800,6,FALSE)</f>
        <v>#N/A</v>
      </c>
      <c r="G1240" s="43" t="e">
        <f>VLOOKUP($A1240,'[2]Team lists'!$A$2:$L$800,7,FALSE)</f>
        <v>#N/A</v>
      </c>
      <c r="H1240" s="43" t="e">
        <f>VLOOKUP($A1240,'[2]Team lists'!$A$2:$L$800,8,FALSE)</f>
        <v>#N/A</v>
      </c>
      <c r="I1240" s="43" t="e">
        <f>VLOOKUP($A1240,'[2]Team lists'!$A$2:$L$800,9,FALSE)</f>
        <v>#N/A</v>
      </c>
      <c r="J1240" s="43" t="e">
        <f>VLOOKUP($A1240,'[2]Team lists'!$A$2:$L$800,9,FALSE)</f>
        <v>#N/A</v>
      </c>
      <c r="K1240" s="43" t="e">
        <f>VLOOKUP($A1240,'[2]Team lists'!$A$2:$L$800,10,FALSE)</f>
        <v>#N/A</v>
      </c>
      <c r="L1240" s="43" t="e">
        <f>VLOOKUP($A1240,'[2]Team lists'!$A$2:$L$800,11,FALSE)</f>
        <v>#N/A</v>
      </c>
    </row>
    <row r="1241" spans="2:13">
      <c r="B1241" s="43" t="e">
        <f>VLOOKUP($A1241,'[2]Team lists'!$A$2:$L$800,2,FALSE)</f>
        <v>#N/A</v>
      </c>
      <c r="C1241" s="43" t="e">
        <f>VLOOKUP($A1241,'[2]Team lists'!$A$2:$L$800,3,FALSE)</f>
        <v>#N/A</v>
      </c>
      <c r="D1241" s="43" t="e">
        <f>VLOOKUP($A1241,'[2]Team lists'!$A$2:$L$800,4,FALSE)</f>
        <v>#N/A</v>
      </c>
      <c r="E1241" s="43" t="e">
        <f>VLOOKUP($A1241,'[2]Team lists'!$A$2:$L$800,5,FALSE)</f>
        <v>#N/A</v>
      </c>
      <c r="F1241" s="43" t="e">
        <f>VLOOKUP($A1241,'[2]Team lists'!$A$2:$L$800,6,FALSE)</f>
        <v>#N/A</v>
      </c>
      <c r="G1241" s="43" t="e">
        <f>VLOOKUP($A1241,'[2]Team lists'!$A$2:$L$800,7,FALSE)</f>
        <v>#N/A</v>
      </c>
      <c r="H1241" s="43" t="e">
        <f>VLOOKUP($A1241,'[2]Team lists'!$A$2:$L$800,8,FALSE)</f>
        <v>#N/A</v>
      </c>
      <c r="I1241" s="43" t="e">
        <f>VLOOKUP($A1241,'[2]Team lists'!$A$2:$L$800,9,FALSE)</f>
        <v>#N/A</v>
      </c>
      <c r="J1241" s="43" t="e">
        <f>VLOOKUP($A1241,'[2]Team lists'!$A$2:$L$800,9,FALSE)</f>
        <v>#N/A</v>
      </c>
      <c r="K1241" s="43" t="e">
        <f>VLOOKUP($A1241,'[2]Team lists'!$A$2:$L$800,10,FALSE)</f>
        <v>#N/A</v>
      </c>
      <c r="L1241" s="43" t="e">
        <f>VLOOKUP($A1241,'[2]Team lists'!$A$2:$L$800,11,FALSE)</f>
        <v>#N/A</v>
      </c>
    </row>
    <row r="1242" spans="2:13">
      <c r="B1242" s="43" t="e">
        <f>VLOOKUP($A1242,'[2]Team lists'!$A$2:$L$800,2,FALSE)</f>
        <v>#N/A</v>
      </c>
      <c r="C1242" s="43" t="e">
        <f>VLOOKUP($A1242,'[2]Team lists'!$A$2:$L$800,3,FALSE)</f>
        <v>#N/A</v>
      </c>
      <c r="D1242" s="43" t="e">
        <f>VLOOKUP($A1242,'[2]Team lists'!$A$2:$L$800,4,FALSE)</f>
        <v>#N/A</v>
      </c>
      <c r="E1242" s="43" t="e">
        <f>VLOOKUP($A1242,'[2]Team lists'!$A$2:$L$800,5,FALSE)</f>
        <v>#N/A</v>
      </c>
      <c r="F1242" s="43" t="e">
        <f>VLOOKUP($A1242,'[2]Team lists'!$A$2:$L$800,6,FALSE)</f>
        <v>#N/A</v>
      </c>
      <c r="G1242" s="43" t="e">
        <f>VLOOKUP($A1242,'[2]Team lists'!$A$2:$L$800,7,FALSE)</f>
        <v>#N/A</v>
      </c>
      <c r="H1242" s="43" t="e">
        <f>VLOOKUP($A1242,'[2]Team lists'!$A$2:$L$800,8,FALSE)</f>
        <v>#N/A</v>
      </c>
      <c r="I1242" s="43" t="e">
        <f>VLOOKUP($A1242,'[2]Team lists'!$A$2:$L$800,9,FALSE)</f>
        <v>#N/A</v>
      </c>
      <c r="J1242" s="43" t="e">
        <f>VLOOKUP($A1242,'[2]Team lists'!$A$2:$L$800,9,FALSE)</f>
        <v>#N/A</v>
      </c>
      <c r="K1242" s="43" t="e">
        <f>VLOOKUP($A1242,'[2]Team lists'!$A$2:$L$800,10,FALSE)</f>
        <v>#N/A</v>
      </c>
      <c r="L1242" s="43" t="e">
        <f>VLOOKUP($A1242,'[2]Team lists'!$A$2:$L$800,11,FALSE)</f>
        <v>#N/A</v>
      </c>
    </row>
    <row r="1243" spans="2:13">
      <c r="B1243" s="43" t="e">
        <f>VLOOKUP($A1243,'[2]Team lists'!$A$2:$L$800,2,FALSE)</f>
        <v>#N/A</v>
      </c>
      <c r="C1243" s="43" t="e">
        <f>VLOOKUP($A1243,'[2]Team lists'!$A$2:$L$800,3,FALSE)</f>
        <v>#N/A</v>
      </c>
      <c r="D1243" s="43" t="e">
        <f>VLOOKUP($A1243,'[2]Team lists'!$A$2:$L$800,4,FALSE)</f>
        <v>#N/A</v>
      </c>
      <c r="E1243" s="43" t="e">
        <f>VLOOKUP($A1243,'[2]Team lists'!$A$2:$L$800,5,FALSE)</f>
        <v>#N/A</v>
      </c>
      <c r="F1243" s="43" t="e">
        <f>VLOOKUP($A1243,'[2]Team lists'!$A$2:$L$800,6,FALSE)</f>
        <v>#N/A</v>
      </c>
      <c r="G1243" s="43" t="e">
        <f>VLOOKUP($A1243,'[2]Team lists'!$A$2:$L$800,7,FALSE)</f>
        <v>#N/A</v>
      </c>
      <c r="H1243" s="43" t="e">
        <f>VLOOKUP($A1243,'[2]Team lists'!$A$2:$L$800,8,FALSE)</f>
        <v>#N/A</v>
      </c>
      <c r="I1243" s="43" t="e">
        <f>VLOOKUP($A1243,'[2]Team lists'!$A$2:$L$800,9,FALSE)</f>
        <v>#N/A</v>
      </c>
      <c r="J1243" s="43" t="e">
        <f>VLOOKUP($A1243,'[2]Team lists'!$A$2:$L$800,9,FALSE)</f>
        <v>#N/A</v>
      </c>
      <c r="K1243" s="43" t="e">
        <f>VLOOKUP($A1243,'[2]Team lists'!$A$2:$L$800,10,FALSE)</f>
        <v>#N/A</v>
      </c>
      <c r="L1243" s="43" t="e">
        <f>VLOOKUP($A1243,'[2]Team lists'!$A$2:$L$800,11,FALSE)</f>
        <v>#N/A</v>
      </c>
    </row>
    <row r="1244" spans="2:13">
      <c r="B1244" s="43" t="e">
        <f>VLOOKUP($A1244,'[2]Team lists'!$A$2:$L$800,2,FALSE)</f>
        <v>#N/A</v>
      </c>
      <c r="C1244" s="43" t="e">
        <f>VLOOKUP($A1244,'[2]Team lists'!$A$2:$L$800,3,FALSE)</f>
        <v>#N/A</v>
      </c>
      <c r="D1244" s="43" t="e">
        <f>VLOOKUP($A1244,'[2]Team lists'!$A$2:$L$800,4,FALSE)</f>
        <v>#N/A</v>
      </c>
      <c r="E1244" s="43" t="e">
        <f>VLOOKUP($A1244,'[2]Team lists'!$A$2:$L$800,5,FALSE)</f>
        <v>#N/A</v>
      </c>
      <c r="F1244" s="43" t="e">
        <f>VLOOKUP($A1244,'[2]Team lists'!$A$2:$L$800,6,FALSE)</f>
        <v>#N/A</v>
      </c>
      <c r="G1244" s="43" t="e">
        <f>VLOOKUP($A1244,'[2]Team lists'!$A$2:$L$800,7,FALSE)</f>
        <v>#N/A</v>
      </c>
      <c r="H1244" s="43" t="e">
        <f>VLOOKUP($A1244,'[2]Team lists'!$A$2:$L$800,8,FALSE)</f>
        <v>#N/A</v>
      </c>
      <c r="I1244" s="43" t="e">
        <f>VLOOKUP($A1244,'[2]Team lists'!$A$2:$L$800,9,FALSE)</f>
        <v>#N/A</v>
      </c>
      <c r="J1244" s="43" t="e">
        <f>VLOOKUP($A1244,'[2]Team lists'!$A$2:$L$800,9,FALSE)</f>
        <v>#N/A</v>
      </c>
      <c r="K1244" s="43" t="e">
        <f>VLOOKUP($A1244,'[2]Team lists'!$A$2:$L$800,10,FALSE)</f>
        <v>#N/A</v>
      </c>
      <c r="L1244" s="43" t="e">
        <f>VLOOKUP($A1244,'[2]Team lists'!$A$2:$L$800,11,FALSE)</f>
        <v>#N/A</v>
      </c>
    </row>
    <row r="1245" spans="2:13">
      <c r="B1245" s="43" t="e">
        <f>VLOOKUP($A1245,'[2]Team lists'!$A$2:$L$800,2,FALSE)</f>
        <v>#N/A</v>
      </c>
      <c r="C1245" s="43" t="e">
        <f>VLOOKUP($A1245,'[2]Team lists'!$A$2:$L$800,3,FALSE)</f>
        <v>#N/A</v>
      </c>
      <c r="D1245" s="43" t="e">
        <f>VLOOKUP($A1245,'[2]Team lists'!$A$2:$L$800,4,FALSE)</f>
        <v>#N/A</v>
      </c>
      <c r="E1245" s="43" t="e">
        <f>VLOOKUP($A1245,'[2]Team lists'!$A$2:$L$800,5,FALSE)</f>
        <v>#N/A</v>
      </c>
      <c r="F1245" s="43" t="e">
        <f>VLOOKUP($A1245,'[2]Team lists'!$A$2:$L$800,6,FALSE)</f>
        <v>#N/A</v>
      </c>
      <c r="G1245" s="43" t="e">
        <f>VLOOKUP($A1245,'[2]Team lists'!$A$2:$L$800,7,FALSE)</f>
        <v>#N/A</v>
      </c>
      <c r="H1245" s="43" t="e">
        <f>VLOOKUP($A1245,'[2]Team lists'!$A$2:$L$800,8,FALSE)</f>
        <v>#N/A</v>
      </c>
      <c r="I1245" s="43" t="e">
        <f>VLOOKUP($A1245,'[2]Team lists'!$A$2:$L$800,9,FALSE)</f>
        <v>#N/A</v>
      </c>
      <c r="J1245" s="43" t="e">
        <f>VLOOKUP($A1245,'[2]Team lists'!$A$2:$L$800,9,FALSE)</f>
        <v>#N/A</v>
      </c>
      <c r="K1245" s="43" t="e">
        <f>VLOOKUP($A1245,'[2]Team lists'!$A$2:$L$800,10,FALSE)</f>
        <v>#N/A</v>
      </c>
      <c r="L1245" s="43" t="e">
        <f>VLOOKUP($A1245,'[2]Team lists'!$A$2:$L$800,11,FALSE)</f>
        <v>#N/A</v>
      </c>
    </row>
    <row r="1246" spans="2:13">
      <c r="B1246" s="43" t="e">
        <f>VLOOKUP($A1246,'[2]Team lists'!$A$2:$L$800,2,FALSE)</f>
        <v>#N/A</v>
      </c>
      <c r="C1246" s="43" t="e">
        <f>VLOOKUP($A1246,'[2]Team lists'!$A$2:$L$800,3,FALSE)</f>
        <v>#N/A</v>
      </c>
      <c r="D1246" s="43" t="e">
        <f>VLOOKUP($A1246,'[2]Team lists'!$A$2:$L$800,4,FALSE)</f>
        <v>#N/A</v>
      </c>
      <c r="E1246" s="43" t="e">
        <f>VLOOKUP($A1246,'[2]Team lists'!$A$2:$L$800,5,FALSE)</f>
        <v>#N/A</v>
      </c>
      <c r="F1246" s="43" t="e">
        <f>VLOOKUP($A1246,'[2]Team lists'!$A$2:$L$800,6,FALSE)</f>
        <v>#N/A</v>
      </c>
      <c r="G1246" s="43" t="e">
        <f>VLOOKUP($A1246,'[2]Team lists'!$A$2:$L$800,7,FALSE)</f>
        <v>#N/A</v>
      </c>
      <c r="H1246" s="43" t="e">
        <f>VLOOKUP($A1246,'[2]Team lists'!$A$2:$L$800,8,FALSE)</f>
        <v>#N/A</v>
      </c>
      <c r="I1246" s="43" t="e">
        <f>VLOOKUP($A1246,'[2]Team lists'!$A$2:$L$800,9,FALSE)</f>
        <v>#N/A</v>
      </c>
      <c r="J1246" s="43" t="e">
        <f>VLOOKUP($A1246,'[2]Team lists'!$A$2:$L$800,9,FALSE)</f>
        <v>#N/A</v>
      </c>
      <c r="K1246" s="43" t="e">
        <f>VLOOKUP($A1246,'[2]Team lists'!$A$2:$L$800,10,FALSE)</f>
        <v>#N/A</v>
      </c>
      <c r="L1246" s="43" t="e">
        <f>VLOOKUP($A1246,'[2]Team lists'!$A$2:$L$800,11,FALSE)</f>
        <v>#N/A</v>
      </c>
    </row>
    <row r="1247" spans="2:13" ht="18" thickBot="1">
      <c r="B1247" s="45" t="s">
        <v>3210</v>
      </c>
      <c r="C1247" s="46"/>
      <c r="D1247" s="47"/>
      <c r="E1247" s="48" t="e">
        <f t="shared" ref="E1247:L1247" si="77">SUM(E1236:E1246)</f>
        <v>#N/A</v>
      </c>
      <c r="F1247" s="49" t="e">
        <f t="shared" si="77"/>
        <v>#N/A</v>
      </c>
      <c r="G1247" s="49" t="e">
        <f t="shared" si="77"/>
        <v>#N/A</v>
      </c>
      <c r="H1247" s="49" t="e">
        <f t="shared" si="77"/>
        <v>#N/A</v>
      </c>
      <c r="I1247" s="49" t="e">
        <f t="shared" si="77"/>
        <v>#N/A</v>
      </c>
      <c r="J1247" s="49" t="e">
        <f t="shared" si="77"/>
        <v>#N/A</v>
      </c>
      <c r="K1247" s="49" t="e">
        <f t="shared" si="77"/>
        <v>#N/A</v>
      </c>
      <c r="L1247" s="50" t="e">
        <f t="shared" si="77"/>
        <v>#N/A</v>
      </c>
    </row>
    <row r="1248" spans="2:13" ht="18.600000000000001" thickTop="1" thickBot="1"/>
    <row r="1249" spans="2:13" ht="18" thickTop="1">
      <c r="B1249" s="23" t="s">
        <v>3204</v>
      </c>
      <c r="C1249" s="24" t="s">
        <v>3205</v>
      </c>
      <c r="D1249" s="25"/>
      <c r="E1249" s="25"/>
      <c r="F1249" s="53"/>
      <c r="G1249" s="28" t="s">
        <v>3206</v>
      </c>
      <c r="H1249" s="54"/>
      <c r="I1249" s="54"/>
      <c r="J1249" s="54"/>
      <c r="K1249" s="28" t="s">
        <v>3207</v>
      </c>
      <c r="L1249" s="29"/>
      <c r="M1249" s="22" t="str">
        <f>G1249</f>
        <v>Manager:</v>
      </c>
    </row>
    <row r="1250" spans="2:13" ht="18" thickBot="1">
      <c r="B1250" s="30">
        <v>79</v>
      </c>
      <c r="C1250" s="57"/>
      <c r="D1250" s="31"/>
      <c r="E1250" s="31"/>
      <c r="F1250" s="33"/>
      <c r="G1250" s="55"/>
      <c r="H1250" s="55"/>
      <c r="I1250" s="55"/>
      <c r="J1250" s="55"/>
      <c r="K1250" s="34" t="e">
        <f>SUM(F1263:L1263)</f>
        <v>#N/A</v>
      </c>
      <c r="L1250" s="35"/>
      <c r="M1250" s="22">
        <f>G1250</f>
        <v>0</v>
      </c>
    </row>
    <row r="1251" spans="2:13" ht="18.600000000000001" thickTop="1">
      <c r="B1251" s="58" t="s">
        <v>913</v>
      </c>
      <c r="C1251" s="59" t="s">
        <v>912</v>
      </c>
      <c r="D1251" s="60" t="s">
        <v>911</v>
      </c>
      <c r="E1251" s="61" t="s">
        <v>3209</v>
      </c>
      <c r="F1251" s="62" t="s">
        <v>3162</v>
      </c>
      <c r="G1251" s="62" t="s">
        <v>3163</v>
      </c>
      <c r="H1251" s="62" t="s">
        <v>3164</v>
      </c>
      <c r="I1251" s="62" t="s">
        <v>3165</v>
      </c>
      <c r="J1251" s="62" t="s">
        <v>3166</v>
      </c>
      <c r="K1251" s="62" t="s">
        <v>3167</v>
      </c>
      <c r="L1251" s="63" t="s">
        <v>3168</v>
      </c>
    </row>
    <row r="1252" spans="2:13">
      <c r="B1252" s="43" t="e">
        <f>VLOOKUP($A1252,'[2]Team lists'!$A$2:$L$800,2,FALSE)</f>
        <v>#N/A</v>
      </c>
      <c r="C1252" s="43" t="e">
        <f>VLOOKUP($A1252,'[2]Team lists'!$A$2:$L$800,3,FALSE)</f>
        <v>#N/A</v>
      </c>
      <c r="D1252" s="43" t="e">
        <f>VLOOKUP($A1252,'[2]Team lists'!$A$2:$L$800,4,FALSE)</f>
        <v>#N/A</v>
      </c>
      <c r="E1252" s="43" t="e">
        <f>VLOOKUP($A1252,'[2]Team lists'!$A$2:$L$800,5,FALSE)</f>
        <v>#N/A</v>
      </c>
      <c r="F1252" s="43" t="e">
        <f>VLOOKUP($A1252,'[2]Team lists'!$A$2:$L$800,6,FALSE)</f>
        <v>#N/A</v>
      </c>
      <c r="G1252" s="43" t="e">
        <f>VLOOKUP($A1252,'[2]Team lists'!$A$2:$L$800,7,FALSE)</f>
        <v>#N/A</v>
      </c>
      <c r="H1252" s="43" t="e">
        <f>VLOOKUP($A1252,'[2]Team lists'!$A$2:$L$800,8,FALSE)</f>
        <v>#N/A</v>
      </c>
      <c r="I1252" s="43" t="e">
        <f>VLOOKUP($A1252,'[2]Team lists'!$A$2:$L$800,9,FALSE)</f>
        <v>#N/A</v>
      </c>
      <c r="J1252" s="43" t="e">
        <f>VLOOKUP($A1252,'[2]Team lists'!$A$2:$L$800,9,FALSE)</f>
        <v>#N/A</v>
      </c>
      <c r="K1252" s="43" t="e">
        <f>VLOOKUP($A1252,'[2]Team lists'!$A$2:$L$800,10,FALSE)</f>
        <v>#N/A</v>
      </c>
      <c r="L1252" s="43" t="e">
        <f>VLOOKUP($A1252,'[2]Team lists'!$A$2:$L$800,11,FALSE)</f>
        <v>#N/A</v>
      </c>
    </row>
    <row r="1253" spans="2:13">
      <c r="B1253" s="43" t="e">
        <f>VLOOKUP($A1253,'[2]Team lists'!$A$2:$L$800,2,FALSE)</f>
        <v>#N/A</v>
      </c>
      <c r="C1253" s="43" t="e">
        <f>VLOOKUP($A1253,'[2]Team lists'!$A$2:$L$800,3,FALSE)</f>
        <v>#N/A</v>
      </c>
      <c r="D1253" s="43" t="e">
        <f>VLOOKUP($A1253,'[2]Team lists'!$A$2:$L$800,4,FALSE)</f>
        <v>#N/A</v>
      </c>
      <c r="E1253" s="43" t="e">
        <f>VLOOKUP($A1253,'[2]Team lists'!$A$2:$L$800,5,FALSE)</f>
        <v>#N/A</v>
      </c>
      <c r="F1253" s="43" t="e">
        <f>VLOOKUP($A1253,'[2]Team lists'!$A$2:$L$800,6,FALSE)</f>
        <v>#N/A</v>
      </c>
      <c r="G1253" s="43" t="e">
        <f>VLOOKUP($A1253,'[2]Team lists'!$A$2:$L$800,7,FALSE)</f>
        <v>#N/A</v>
      </c>
      <c r="H1253" s="43" t="e">
        <f>VLOOKUP($A1253,'[2]Team lists'!$A$2:$L$800,8,FALSE)</f>
        <v>#N/A</v>
      </c>
      <c r="I1253" s="43" t="e">
        <f>VLOOKUP($A1253,'[2]Team lists'!$A$2:$L$800,9,FALSE)</f>
        <v>#N/A</v>
      </c>
      <c r="J1253" s="43" t="e">
        <f>VLOOKUP($A1253,'[2]Team lists'!$A$2:$L$800,9,FALSE)</f>
        <v>#N/A</v>
      </c>
      <c r="K1253" s="43" t="e">
        <f>VLOOKUP($A1253,'[2]Team lists'!$A$2:$L$800,10,FALSE)</f>
        <v>#N/A</v>
      </c>
      <c r="L1253" s="43" t="e">
        <f>VLOOKUP($A1253,'[2]Team lists'!$A$2:$L$800,11,FALSE)</f>
        <v>#N/A</v>
      </c>
    </row>
    <row r="1254" spans="2:13">
      <c r="B1254" s="43" t="e">
        <f>VLOOKUP($A1254,'[2]Team lists'!$A$2:$L$800,2,FALSE)</f>
        <v>#N/A</v>
      </c>
      <c r="C1254" s="43" t="e">
        <f>VLOOKUP($A1254,'[2]Team lists'!$A$2:$L$800,3,FALSE)</f>
        <v>#N/A</v>
      </c>
      <c r="D1254" s="43" t="e">
        <f>VLOOKUP($A1254,'[2]Team lists'!$A$2:$L$800,4,FALSE)</f>
        <v>#N/A</v>
      </c>
      <c r="E1254" s="43" t="e">
        <f>VLOOKUP($A1254,'[2]Team lists'!$A$2:$L$800,5,FALSE)</f>
        <v>#N/A</v>
      </c>
      <c r="F1254" s="43" t="e">
        <f>VLOOKUP($A1254,'[2]Team lists'!$A$2:$L$800,6,FALSE)</f>
        <v>#N/A</v>
      </c>
      <c r="G1254" s="43" t="e">
        <f>VLOOKUP($A1254,'[2]Team lists'!$A$2:$L$800,7,FALSE)</f>
        <v>#N/A</v>
      </c>
      <c r="H1254" s="43" t="e">
        <f>VLOOKUP($A1254,'[2]Team lists'!$A$2:$L$800,8,FALSE)</f>
        <v>#N/A</v>
      </c>
      <c r="I1254" s="43" t="e">
        <f>VLOOKUP($A1254,'[2]Team lists'!$A$2:$L$800,9,FALSE)</f>
        <v>#N/A</v>
      </c>
      <c r="J1254" s="43" t="e">
        <f>VLOOKUP($A1254,'[2]Team lists'!$A$2:$L$800,9,FALSE)</f>
        <v>#N/A</v>
      </c>
      <c r="K1254" s="43" t="e">
        <f>VLOOKUP($A1254,'[2]Team lists'!$A$2:$L$800,10,FALSE)</f>
        <v>#N/A</v>
      </c>
      <c r="L1254" s="43" t="e">
        <f>VLOOKUP($A1254,'[2]Team lists'!$A$2:$L$800,11,FALSE)</f>
        <v>#N/A</v>
      </c>
    </row>
    <row r="1255" spans="2:13">
      <c r="B1255" s="43" t="e">
        <f>VLOOKUP($A1255,'[2]Team lists'!$A$2:$L$800,2,FALSE)</f>
        <v>#N/A</v>
      </c>
      <c r="C1255" s="43" t="e">
        <f>VLOOKUP($A1255,'[2]Team lists'!$A$2:$L$800,3,FALSE)</f>
        <v>#N/A</v>
      </c>
      <c r="D1255" s="43" t="e">
        <f>VLOOKUP($A1255,'[2]Team lists'!$A$2:$L$800,4,FALSE)</f>
        <v>#N/A</v>
      </c>
      <c r="E1255" s="43" t="e">
        <f>VLOOKUP($A1255,'[2]Team lists'!$A$2:$L$800,5,FALSE)</f>
        <v>#N/A</v>
      </c>
      <c r="F1255" s="43" t="e">
        <f>VLOOKUP($A1255,'[2]Team lists'!$A$2:$L$800,6,FALSE)</f>
        <v>#N/A</v>
      </c>
      <c r="G1255" s="43" t="e">
        <f>VLOOKUP($A1255,'[2]Team lists'!$A$2:$L$800,7,FALSE)</f>
        <v>#N/A</v>
      </c>
      <c r="H1255" s="43" t="e">
        <f>VLOOKUP($A1255,'[2]Team lists'!$A$2:$L$800,8,FALSE)</f>
        <v>#N/A</v>
      </c>
      <c r="I1255" s="43" t="e">
        <f>VLOOKUP($A1255,'[2]Team lists'!$A$2:$L$800,9,FALSE)</f>
        <v>#N/A</v>
      </c>
      <c r="J1255" s="43" t="e">
        <f>VLOOKUP($A1255,'[2]Team lists'!$A$2:$L$800,9,FALSE)</f>
        <v>#N/A</v>
      </c>
      <c r="K1255" s="43" t="e">
        <f>VLOOKUP($A1255,'[2]Team lists'!$A$2:$L$800,10,FALSE)</f>
        <v>#N/A</v>
      </c>
      <c r="L1255" s="43" t="e">
        <f>VLOOKUP($A1255,'[2]Team lists'!$A$2:$L$800,11,FALSE)</f>
        <v>#N/A</v>
      </c>
    </row>
    <row r="1256" spans="2:13">
      <c r="B1256" s="43" t="e">
        <f>VLOOKUP($A1256,'[2]Team lists'!$A$2:$L$800,2,FALSE)</f>
        <v>#N/A</v>
      </c>
      <c r="C1256" s="43" t="e">
        <f>VLOOKUP($A1256,'[2]Team lists'!$A$2:$L$800,3,FALSE)</f>
        <v>#N/A</v>
      </c>
      <c r="D1256" s="43" t="e">
        <f>VLOOKUP($A1256,'[2]Team lists'!$A$2:$L$800,4,FALSE)</f>
        <v>#N/A</v>
      </c>
      <c r="E1256" s="43" t="e">
        <f>VLOOKUP($A1256,'[2]Team lists'!$A$2:$L$800,5,FALSE)</f>
        <v>#N/A</v>
      </c>
      <c r="F1256" s="43" t="e">
        <f>VLOOKUP($A1256,'[2]Team lists'!$A$2:$L$800,6,FALSE)</f>
        <v>#N/A</v>
      </c>
      <c r="G1256" s="43" t="e">
        <f>VLOOKUP($A1256,'[2]Team lists'!$A$2:$L$800,7,FALSE)</f>
        <v>#N/A</v>
      </c>
      <c r="H1256" s="43" t="e">
        <f>VLOOKUP($A1256,'[2]Team lists'!$A$2:$L$800,8,FALSE)</f>
        <v>#N/A</v>
      </c>
      <c r="I1256" s="43" t="e">
        <f>VLOOKUP($A1256,'[2]Team lists'!$A$2:$L$800,9,FALSE)</f>
        <v>#N/A</v>
      </c>
      <c r="J1256" s="43" t="e">
        <f>VLOOKUP($A1256,'[2]Team lists'!$A$2:$L$800,9,FALSE)</f>
        <v>#N/A</v>
      </c>
      <c r="K1256" s="43" t="e">
        <f>VLOOKUP($A1256,'[2]Team lists'!$A$2:$L$800,10,FALSE)</f>
        <v>#N/A</v>
      </c>
      <c r="L1256" s="43" t="e">
        <f>VLOOKUP($A1256,'[2]Team lists'!$A$2:$L$800,11,FALSE)</f>
        <v>#N/A</v>
      </c>
    </row>
    <row r="1257" spans="2:13">
      <c r="B1257" s="43" t="e">
        <f>VLOOKUP($A1257,'[2]Team lists'!$A$2:$L$800,2,FALSE)</f>
        <v>#N/A</v>
      </c>
      <c r="C1257" s="43" t="e">
        <f>VLOOKUP($A1257,'[2]Team lists'!$A$2:$L$800,3,FALSE)</f>
        <v>#N/A</v>
      </c>
      <c r="D1257" s="43" t="e">
        <f>VLOOKUP($A1257,'[2]Team lists'!$A$2:$L$800,4,FALSE)</f>
        <v>#N/A</v>
      </c>
      <c r="E1257" s="43" t="e">
        <f>VLOOKUP($A1257,'[2]Team lists'!$A$2:$L$800,5,FALSE)</f>
        <v>#N/A</v>
      </c>
      <c r="F1257" s="43" t="e">
        <f>VLOOKUP($A1257,'[2]Team lists'!$A$2:$L$800,6,FALSE)</f>
        <v>#N/A</v>
      </c>
      <c r="G1257" s="43" t="e">
        <f>VLOOKUP($A1257,'[2]Team lists'!$A$2:$L$800,7,FALSE)</f>
        <v>#N/A</v>
      </c>
      <c r="H1257" s="43" t="e">
        <f>VLOOKUP($A1257,'[2]Team lists'!$A$2:$L$800,8,FALSE)</f>
        <v>#N/A</v>
      </c>
      <c r="I1257" s="43" t="e">
        <f>VLOOKUP($A1257,'[2]Team lists'!$A$2:$L$800,9,FALSE)</f>
        <v>#N/A</v>
      </c>
      <c r="J1257" s="43" t="e">
        <f>VLOOKUP($A1257,'[2]Team lists'!$A$2:$L$800,9,FALSE)</f>
        <v>#N/A</v>
      </c>
      <c r="K1257" s="43" t="e">
        <f>VLOOKUP($A1257,'[2]Team lists'!$A$2:$L$800,10,FALSE)</f>
        <v>#N/A</v>
      </c>
      <c r="L1257" s="43" t="e">
        <f>VLOOKUP($A1257,'[2]Team lists'!$A$2:$L$800,11,FALSE)</f>
        <v>#N/A</v>
      </c>
    </row>
    <row r="1258" spans="2:13">
      <c r="B1258" s="43" t="e">
        <f>VLOOKUP($A1258,'[2]Team lists'!$A$2:$L$800,2,FALSE)</f>
        <v>#N/A</v>
      </c>
      <c r="C1258" s="43" t="e">
        <f>VLOOKUP($A1258,'[2]Team lists'!$A$2:$L$800,3,FALSE)</f>
        <v>#N/A</v>
      </c>
      <c r="D1258" s="43" t="e">
        <f>VLOOKUP($A1258,'[2]Team lists'!$A$2:$L$800,4,FALSE)</f>
        <v>#N/A</v>
      </c>
      <c r="E1258" s="43" t="e">
        <f>VLOOKUP($A1258,'[2]Team lists'!$A$2:$L$800,5,FALSE)</f>
        <v>#N/A</v>
      </c>
      <c r="F1258" s="43" t="e">
        <f>VLOOKUP($A1258,'[2]Team lists'!$A$2:$L$800,6,FALSE)</f>
        <v>#N/A</v>
      </c>
      <c r="G1258" s="43" t="e">
        <f>VLOOKUP($A1258,'[2]Team lists'!$A$2:$L$800,7,FALSE)</f>
        <v>#N/A</v>
      </c>
      <c r="H1258" s="43" t="e">
        <f>VLOOKUP($A1258,'[2]Team lists'!$A$2:$L$800,8,FALSE)</f>
        <v>#N/A</v>
      </c>
      <c r="I1258" s="43" t="e">
        <f>VLOOKUP($A1258,'[2]Team lists'!$A$2:$L$800,9,FALSE)</f>
        <v>#N/A</v>
      </c>
      <c r="J1258" s="43" t="e">
        <f>VLOOKUP($A1258,'[2]Team lists'!$A$2:$L$800,9,FALSE)</f>
        <v>#N/A</v>
      </c>
      <c r="K1258" s="43" t="e">
        <f>VLOOKUP($A1258,'[2]Team lists'!$A$2:$L$800,10,FALSE)</f>
        <v>#N/A</v>
      </c>
      <c r="L1258" s="43" t="e">
        <f>VLOOKUP($A1258,'[2]Team lists'!$A$2:$L$800,11,FALSE)</f>
        <v>#N/A</v>
      </c>
    </row>
    <row r="1259" spans="2:13">
      <c r="B1259" s="43" t="e">
        <f>VLOOKUP($A1259,'[2]Team lists'!$A$2:$L$800,2,FALSE)</f>
        <v>#N/A</v>
      </c>
      <c r="C1259" s="43" t="e">
        <f>VLOOKUP($A1259,'[2]Team lists'!$A$2:$L$800,3,FALSE)</f>
        <v>#N/A</v>
      </c>
      <c r="D1259" s="43" t="e">
        <f>VLOOKUP($A1259,'[2]Team lists'!$A$2:$L$800,4,FALSE)</f>
        <v>#N/A</v>
      </c>
      <c r="E1259" s="43" t="e">
        <f>VLOOKUP($A1259,'[2]Team lists'!$A$2:$L$800,5,FALSE)</f>
        <v>#N/A</v>
      </c>
      <c r="F1259" s="43" t="e">
        <f>VLOOKUP($A1259,'[2]Team lists'!$A$2:$L$800,6,FALSE)</f>
        <v>#N/A</v>
      </c>
      <c r="G1259" s="43" t="e">
        <f>VLOOKUP($A1259,'[2]Team lists'!$A$2:$L$800,7,FALSE)</f>
        <v>#N/A</v>
      </c>
      <c r="H1259" s="43" t="e">
        <f>VLOOKUP($A1259,'[2]Team lists'!$A$2:$L$800,8,FALSE)</f>
        <v>#N/A</v>
      </c>
      <c r="I1259" s="43" t="e">
        <f>VLOOKUP($A1259,'[2]Team lists'!$A$2:$L$800,9,FALSE)</f>
        <v>#N/A</v>
      </c>
      <c r="J1259" s="43" t="e">
        <f>VLOOKUP($A1259,'[2]Team lists'!$A$2:$L$800,9,FALSE)</f>
        <v>#N/A</v>
      </c>
      <c r="K1259" s="43" t="e">
        <f>VLOOKUP($A1259,'[2]Team lists'!$A$2:$L$800,10,FALSE)</f>
        <v>#N/A</v>
      </c>
      <c r="L1259" s="43" t="e">
        <f>VLOOKUP($A1259,'[2]Team lists'!$A$2:$L$800,11,FALSE)</f>
        <v>#N/A</v>
      </c>
    </row>
    <row r="1260" spans="2:13">
      <c r="B1260" s="43" t="e">
        <f>VLOOKUP($A1260,'[2]Team lists'!$A$2:$L$800,2,FALSE)</f>
        <v>#N/A</v>
      </c>
      <c r="C1260" s="43" t="e">
        <f>VLOOKUP($A1260,'[2]Team lists'!$A$2:$L$800,3,FALSE)</f>
        <v>#N/A</v>
      </c>
      <c r="D1260" s="43" t="e">
        <f>VLOOKUP($A1260,'[2]Team lists'!$A$2:$L$800,4,FALSE)</f>
        <v>#N/A</v>
      </c>
      <c r="E1260" s="43" t="e">
        <f>VLOOKUP($A1260,'[2]Team lists'!$A$2:$L$800,5,FALSE)</f>
        <v>#N/A</v>
      </c>
      <c r="F1260" s="43" t="e">
        <f>VLOOKUP($A1260,'[2]Team lists'!$A$2:$L$800,6,FALSE)</f>
        <v>#N/A</v>
      </c>
      <c r="G1260" s="43" t="e">
        <f>VLOOKUP($A1260,'[2]Team lists'!$A$2:$L$800,7,FALSE)</f>
        <v>#N/A</v>
      </c>
      <c r="H1260" s="43" t="e">
        <f>VLOOKUP($A1260,'[2]Team lists'!$A$2:$L$800,8,FALSE)</f>
        <v>#N/A</v>
      </c>
      <c r="I1260" s="43" t="e">
        <f>VLOOKUP($A1260,'[2]Team lists'!$A$2:$L$800,9,FALSE)</f>
        <v>#N/A</v>
      </c>
      <c r="J1260" s="43" t="e">
        <f>VLOOKUP($A1260,'[2]Team lists'!$A$2:$L$800,9,FALSE)</f>
        <v>#N/A</v>
      </c>
      <c r="K1260" s="43" t="e">
        <f>VLOOKUP($A1260,'[2]Team lists'!$A$2:$L$800,10,FALSE)</f>
        <v>#N/A</v>
      </c>
      <c r="L1260" s="43" t="e">
        <f>VLOOKUP($A1260,'[2]Team lists'!$A$2:$L$800,11,FALSE)</f>
        <v>#N/A</v>
      </c>
    </row>
    <row r="1261" spans="2:13">
      <c r="B1261" s="43" t="e">
        <f>VLOOKUP($A1261,'[2]Team lists'!$A$2:$L$800,2,FALSE)</f>
        <v>#N/A</v>
      </c>
      <c r="C1261" s="43" t="e">
        <f>VLOOKUP($A1261,'[2]Team lists'!$A$2:$L$800,3,FALSE)</f>
        <v>#N/A</v>
      </c>
      <c r="D1261" s="43" t="e">
        <f>VLOOKUP($A1261,'[2]Team lists'!$A$2:$L$800,4,FALSE)</f>
        <v>#N/A</v>
      </c>
      <c r="E1261" s="43" t="e">
        <f>VLOOKUP($A1261,'[2]Team lists'!$A$2:$L$800,5,FALSE)</f>
        <v>#N/A</v>
      </c>
      <c r="F1261" s="43" t="e">
        <f>VLOOKUP($A1261,'[2]Team lists'!$A$2:$L$800,6,FALSE)</f>
        <v>#N/A</v>
      </c>
      <c r="G1261" s="43" t="e">
        <f>VLOOKUP($A1261,'[2]Team lists'!$A$2:$L$800,7,FALSE)</f>
        <v>#N/A</v>
      </c>
      <c r="H1261" s="43" t="e">
        <f>VLOOKUP($A1261,'[2]Team lists'!$A$2:$L$800,8,FALSE)</f>
        <v>#N/A</v>
      </c>
      <c r="I1261" s="43" t="e">
        <f>VLOOKUP($A1261,'[2]Team lists'!$A$2:$L$800,9,FALSE)</f>
        <v>#N/A</v>
      </c>
      <c r="J1261" s="43" t="e">
        <f>VLOOKUP($A1261,'[2]Team lists'!$A$2:$L$800,9,FALSE)</f>
        <v>#N/A</v>
      </c>
      <c r="K1261" s="43" t="e">
        <f>VLOOKUP($A1261,'[2]Team lists'!$A$2:$L$800,10,FALSE)</f>
        <v>#N/A</v>
      </c>
      <c r="L1261" s="43" t="e">
        <f>VLOOKUP($A1261,'[2]Team lists'!$A$2:$L$800,11,FALSE)</f>
        <v>#N/A</v>
      </c>
    </row>
    <row r="1262" spans="2:13">
      <c r="B1262" s="43" t="e">
        <f>VLOOKUP($A1262,'[2]Team lists'!$A$2:$L$800,2,FALSE)</f>
        <v>#N/A</v>
      </c>
      <c r="C1262" s="43" t="e">
        <f>VLOOKUP($A1262,'[2]Team lists'!$A$2:$L$800,3,FALSE)</f>
        <v>#N/A</v>
      </c>
      <c r="D1262" s="43" t="e">
        <f>VLOOKUP($A1262,'[2]Team lists'!$A$2:$L$800,4,FALSE)</f>
        <v>#N/A</v>
      </c>
      <c r="E1262" s="43" t="e">
        <f>VLOOKUP($A1262,'[2]Team lists'!$A$2:$L$800,5,FALSE)</f>
        <v>#N/A</v>
      </c>
      <c r="F1262" s="43" t="e">
        <f>VLOOKUP($A1262,'[2]Team lists'!$A$2:$L$800,6,FALSE)</f>
        <v>#N/A</v>
      </c>
      <c r="G1262" s="43" t="e">
        <f>VLOOKUP($A1262,'[2]Team lists'!$A$2:$L$800,7,FALSE)</f>
        <v>#N/A</v>
      </c>
      <c r="H1262" s="43" t="e">
        <f>VLOOKUP($A1262,'[2]Team lists'!$A$2:$L$800,8,FALSE)</f>
        <v>#N/A</v>
      </c>
      <c r="I1262" s="43" t="e">
        <f>VLOOKUP($A1262,'[2]Team lists'!$A$2:$L$800,9,FALSE)</f>
        <v>#N/A</v>
      </c>
      <c r="J1262" s="43" t="e">
        <f>VLOOKUP($A1262,'[2]Team lists'!$A$2:$L$800,9,FALSE)</f>
        <v>#N/A</v>
      </c>
      <c r="K1262" s="43" t="e">
        <f>VLOOKUP($A1262,'[2]Team lists'!$A$2:$L$800,10,FALSE)</f>
        <v>#N/A</v>
      </c>
      <c r="L1262" s="43" t="e">
        <f>VLOOKUP($A1262,'[2]Team lists'!$A$2:$L$800,11,FALSE)</f>
        <v>#N/A</v>
      </c>
    </row>
    <row r="1263" spans="2:13" ht="18" thickBot="1">
      <c r="B1263" s="45" t="s">
        <v>3210</v>
      </c>
      <c r="C1263" s="46"/>
      <c r="D1263" s="47"/>
      <c r="E1263" s="48" t="e">
        <f t="shared" ref="E1263:L1263" si="78">SUM(E1252:E1262)</f>
        <v>#N/A</v>
      </c>
      <c r="F1263" s="49" t="e">
        <f t="shared" si="78"/>
        <v>#N/A</v>
      </c>
      <c r="G1263" s="49" t="e">
        <f t="shared" si="78"/>
        <v>#N/A</v>
      </c>
      <c r="H1263" s="49" t="e">
        <f t="shared" si="78"/>
        <v>#N/A</v>
      </c>
      <c r="I1263" s="49" t="e">
        <f t="shared" si="78"/>
        <v>#N/A</v>
      </c>
      <c r="J1263" s="49" t="e">
        <f t="shared" si="78"/>
        <v>#N/A</v>
      </c>
      <c r="K1263" s="49" t="e">
        <f t="shared" si="78"/>
        <v>#N/A</v>
      </c>
      <c r="L1263" s="50" t="e">
        <f t="shared" si="78"/>
        <v>#N/A</v>
      </c>
    </row>
    <row r="1264" spans="2:13" ht="18.600000000000001" thickTop="1" thickBot="1"/>
    <row r="1265" spans="2:13" ht="18" thickTop="1">
      <c r="B1265" s="23" t="s">
        <v>3204</v>
      </c>
      <c r="C1265" s="24" t="s">
        <v>3205</v>
      </c>
      <c r="D1265" s="25"/>
      <c r="E1265" s="25"/>
      <c r="F1265" s="53"/>
      <c r="G1265" s="28" t="s">
        <v>3206</v>
      </c>
      <c r="H1265" s="54"/>
      <c r="I1265" s="54"/>
      <c r="J1265" s="54"/>
      <c r="K1265" s="28" t="s">
        <v>3207</v>
      </c>
      <c r="L1265" s="29"/>
      <c r="M1265" s="22" t="str">
        <f>G1265</f>
        <v>Manager:</v>
      </c>
    </row>
    <row r="1266" spans="2:13" ht="18" thickBot="1">
      <c r="B1266" s="30">
        <v>80</v>
      </c>
      <c r="C1266" s="57"/>
      <c r="D1266" s="31"/>
      <c r="E1266" s="31"/>
      <c r="F1266" s="33"/>
      <c r="G1266" s="55"/>
      <c r="H1266" s="55"/>
      <c r="I1266" s="55"/>
      <c r="J1266" s="55"/>
      <c r="K1266" s="34" t="e">
        <f>SUM(F1279:L1279)</f>
        <v>#N/A</v>
      </c>
      <c r="L1266" s="35"/>
      <c r="M1266" s="22">
        <f>G1266</f>
        <v>0</v>
      </c>
    </row>
    <row r="1267" spans="2:13" ht="18.600000000000001" thickTop="1">
      <c r="B1267" s="58" t="s">
        <v>913</v>
      </c>
      <c r="C1267" s="59" t="s">
        <v>912</v>
      </c>
      <c r="D1267" s="60" t="s">
        <v>911</v>
      </c>
      <c r="E1267" s="61" t="s">
        <v>3209</v>
      </c>
      <c r="F1267" s="62" t="s">
        <v>3162</v>
      </c>
      <c r="G1267" s="62" t="s">
        <v>3163</v>
      </c>
      <c r="H1267" s="62" t="s">
        <v>3164</v>
      </c>
      <c r="I1267" s="62" t="s">
        <v>3165</v>
      </c>
      <c r="J1267" s="62" t="s">
        <v>3166</v>
      </c>
      <c r="K1267" s="62" t="s">
        <v>3167</v>
      </c>
      <c r="L1267" s="63" t="s">
        <v>3168</v>
      </c>
    </row>
    <row r="1268" spans="2:13">
      <c r="B1268" s="43" t="e">
        <f>VLOOKUP($A1268,'[2]Team lists'!$A$2:$L$800,2,FALSE)</f>
        <v>#N/A</v>
      </c>
      <c r="C1268" s="43" t="e">
        <f>VLOOKUP($A1268,'[2]Team lists'!$A$2:$L$800,3,FALSE)</f>
        <v>#N/A</v>
      </c>
      <c r="D1268" s="43" t="e">
        <f>VLOOKUP($A1268,'[2]Team lists'!$A$2:$L$800,4,FALSE)</f>
        <v>#N/A</v>
      </c>
      <c r="E1268" s="43" t="e">
        <f>VLOOKUP($A1268,'[2]Team lists'!$A$2:$L$800,5,FALSE)</f>
        <v>#N/A</v>
      </c>
      <c r="F1268" s="43" t="e">
        <f>VLOOKUP($A1268,'[2]Team lists'!$A$2:$L$800,6,FALSE)</f>
        <v>#N/A</v>
      </c>
      <c r="G1268" s="43" t="e">
        <f>VLOOKUP($A1268,'[2]Team lists'!$A$2:$L$800,7,FALSE)</f>
        <v>#N/A</v>
      </c>
      <c r="H1268" s="43" t="e">
        <f>VLOOKUP($A1268,'[2]Team lists'!$A$2:$L$800,8,FALSE)</f>
        <v>#N/A</v>
      </c>
      <c r="I1268" s="43" t="e">
        <f>VLOOKUP($A1268,'[2]Team lists'!$A$2:$L$800,9,FALSE)</f>
        <v>#N/A</v>
      </c>
      <c r="J1268" s="43" t="e">
        <f>VLOOKUP($A1268,'[2]Team lists'!$A$2:$L$800,9,FALSE)</f>
        <v>#N/A</v>
      </c>
      <c r="K1268" s="43" t="e">
        <f>VLOOKUP($A1268,'[2]Team lists'!$A$2:$L$800,10,FALSE)</f>
        <v>#N/A</v>
      </c>
      <c r="L1268" s="43" t="e">
        <f>VLOOKUP($A1268,'[2]Team lists'!$A$2:$L$800,11,FALSE)</f>
        <v>#N/A</v>
      </c>
    </row>
    <row r="1269" spans="2:13">
      <c r="B1269" s="43" t="e">
        <f>VLOOKUP($A1269,'[2]Team lists'!$A$2:$L$800,2,FALSE)</f>
        <v>#N/A</v>
      </c>
      <c r="C1269" s="43" t="e">
        <f>VLOOKUP($A1269,'[2]Team lists'!$A$2:$L$800,3,FALSE)</f>
        <v>#N/A</v>
      </c>
      <c r="D1269" s="43" t="e">
        <f>VLOOKUP($A1269,'[2]Team lists'!$A$2:$L$800,4,FALSE)</f>
        <v>#N/A</v>
      </c>
      <c r="E1269" s="43" t="e">
        <f>VLOOKUP($A1269,'[2]Team lists'!$A$2:$L$800,5,FALSE)</f>
        <v>#N/A</v>
      </c>
      <c r="F1269" s="43" t="e">
        <f>VLOOKUP($A1269,'[2]Team lists'!$A$2:$L$800,6,FALSE)</f>
        <v>#N/A</v>
      </c>
      <c r="G1269" s="43" t="e">
        <f>VLOOKUP($A1269,'[2]Team lists'!$A$2:$L$800,7,FALSE)</f>
        <v>#N/A</v>
      </c>
      <c r="H1269" s="43" t="e">
        <f>VLOOKUP($A1269,'[2]Team lists'!$A$2:$L$800,8,FALSE)</f>
        <v>#N/A</v>
      </c>
      <c r="I1269" s="43" t="e">
        <f>VLOOKUP($A1269,'[2]Team lists'!$A$2:$L$800,9,FALSE)</f>
        <v>#N/A</v>
      </c>
      <c r="J1269" s="43" t="e">
        <f>VLOOKUP($A1269,'[2]Team lists'!$A$2:$L$800,9,FALSE)</f>
        <v>#N/A</v>
      </c>
      <c r="K1269" s="43" t="e">
        <f>VLOOKUP($A1269,'[2]Team lists'!$A$2:$L$800,10,FALSE)</f>
        <v>#N/A</v>
      </c>
      <c r="L1269" s="43" t="e">
        <f>VLOOKUP($A1269,'[2]Team lists'!$A$2:$L$800,11,FALSE)</f>
        <v>#N/A</v>
      </c>
    </row>
    <row r="1270" spans="2:13">
      <c r="B1270" s="43" t="e">
        <f>VLOOKUP($A1270,'[2]Team lists'!$A$2:$L$800,2,FALSE)</f>
        <v>#N/A</v>
      </c>
      <c r="C1270" s="43" t="e">
        <f>VLOOKUP($A1270,'[2]Team lists'!$A$2:$L$800,3,FALSE)</f>
        <v>#N/A</v>
      </c>
      <c r="D1270" s="43" t="e">
        <f>VLOOKUP($A1270,'[2]Team lists'!$A$2:$L$800,4,FALSE)</f>
        <v>#N/A</v>
      </c>
      <c r="E1270" s="43" t="e">
        <f>VLOOKUP($A1270,'[2]Team lists'!$A$2:$L$800,5,FALSE)</f>
        <v>#N/A</v>
      </c>
      <c r="F1270" s="43" t="e">
        <f>VLOOKUP($A1270,'[2]Team lists'!$A$2:$L$800,6,FALSE)</f>
        <v>#N/A</v>
      </c>
      <c r="G1270" s="43" t="e">
        <f>VLOOKUP($A1270,'[2]Team lists'!$A$2:$L$800,7,FALSE)</f>
        <v>#N/A</v>
      </c>
      <c r="H1270" s="43" t="e">
        <f>VLOOKUP($A1270,'[2]Team lists'!$A$2:$L$800,8,FALSE)</f>
        <v>#N/A</v>
      </c>
      <c r="I1270" s="43" t="e">
        <f>VLOOKUP($A1270,'[2]Team lists'!$A$2:$L$800,9,FALSE)</f>
        <v>#N/A</v>
      </c>
      <c r="J1270" s="43" t="e">
        <f>VLOOKUP($A1270,'[2]Team lists'!$A$2:$L$800,9,FALSE)</f>
        <v>#N/A</v>
      </c>
      <c r="K1270" s="43" t="e">
        <f>VLOOKUP($A1270,'[2]Team lists'!$A$2:$L$800,10,FALSE)</f>
        <v>#N/A</v>
      </c>
      <c r="L1270" s="43" t="e">
        <f>VLOOKUP($A1270,'[2]Team lists'!$A$2:$L$800,11,FALSE)</f>
        <v>#N/A</v>
      </c>
    </row>
    <row r="1271" spans="2:13">
      <c r="B1271" s="43" t="e">
        <f>VLOOKUP($A1271,'[2]Team lists'!$A$2:$L$800,2,FALSE)</f>
        <v>#N/A</v>
      </c>
      <c r="C1271" s="43" t="e">
        <f>VLOOKUP($A1271,'[2]Team lists'!$A$2:$L$800,3,FALSE)</f>
        <v>#N/A</v>
      </c>
      <c r="D1271" s="43" t="e">
        <f>VLOOKUP($A1271,'[2]Team lists'!$A$2:$L$800,4,FALSE)</f>
        <v>#N/A</v>
      </c>
      <c r="E1271" s="43" t="e">
        <f>VLOOKUP($A1271,'[2]Team lists'!$A$2:$L$800,5,FALSE)</f>
        <v>#N/A</v>
      </c>
      <c r="F1271" s="43" t="e">
        <f>VLOOKUP($A1271,'[2]Team lists'!$A$2:$L$800,6,FALSE)</f>
        <v>#N/A</v>
      </c>
      <c r="G1271" s="43" t="e">
        <f>VLOOKUP($A1271,'[2]Team lists'!$A$2:$L$800,7,FALSE)</f>
        <v>#N/A</v>
      </c>
      <c r="H1271" s="43" t="e">
        <f>VLOOKUP($A1271,'[2]Team lists'!$A$2:$L$800,8,FALSE)</f>
        <v>#N/A</v>
      </c>
      <c r="I1271" s="43" t="e">
        <f>VLOOKUP($A1271,'[2]Team lists'!$A$2:$L$800,9,FALSE)</f>
        <v>#N/A</v>
      </c>
      <c r="J1271" s="43" t="e">
        <f>VLOOKUP($A1271,'[2]Team lists'!$A$2:$L$800,9,FALSE)</f>
        <v>#N/A</v>
      </c>
      <c r="K1271" s="43" t="e">
        <f>VLOOKUP($A1271,'[2]Team lists'!$A$2:$L$800,10,FALSE)</f>
        <v>#N/A</v>
      </c>
      <c r="L1271" s="43" t="e">
        <f>VLOOKUP($A1271,'[2]Team lists'!$A$2:$L$800,11,FALSE)</f>
        <v>#N/A</v>
      </c>
    </row>
    <row r="1272" spans="2:13">
      <c r="B1272" s="43" t="e">
        <f>VLOOKUP($A1272,'[2]Team lists'!$A$2:$L$800,2,FALSE)</f>
        <v>#N/A</v>
      </c>
      <c r="C1272" s="43" t="e">
        <f>VLOOKUP($A1272,'[2]Team lists'!$A$2:$L$800,3,FALSE)</f>
        <v>#N/A</v>
      </c>
      <c r="D1272" s="43" t="e">
        <f>VLOOKUP($A1272,'[2]Team lists'!$A$2:$L$800,4,FALSE)</f>
        <v>#N/A</v>
      </c>
      <c r="E1272" s="43" t="e">
        <f>VLOOKUP($A1272,'[2]Team lists'!$A$2:$L$800,5,FALSE)</f>
        <v>#N/A</v>
      </c>
      <c r="F1272" s="43" t="e">
        <f>VLOOKUP($A1272,'[2]Team lists'!$A$2:$L$800,6,FALSE)</f>
        <v>#N/A</v>
      </c>
      <c r="G1272" s="43" t="e">
        <f>VLOOKUP($A1272,'[2]Team lists'!$A$2:$L$800,7,FALSE)</f>
        <v>#N/A</v>
      </c>
      <c r="H1272" s="43" t="e">
        <f>VLOOKUP($A1272,'[2]Team lists'!$A$2:$L$800,8,FALSE)</f>
        <v>#N/A</v>
      </c>
      <c r="I1272" s="43" t="e">
        <f>VLOOKUP($A1272,'[2]Team lists'!$A$2:$L$800,9,FALSE)</f>
        <v>#N/A</v>
      </c>
      <c r="J1272" s="43" t="e">
        <f>VLOOKUP($A1272,'[2]Team lists'!$A$2:$L$800,9,FALSE)</f>
        <v>#N/A</v>
      </c>
      <c r="K1272" s="43" t="e">
        <f>VLOOKUP($A1272,'[2]Team lists'!$A$2:$L$800,10,FALSE)</f>
        <v>#N/A</v>
      </c>
      <c r="L1272" s="43" t="e">
        <f>VLOOKUP($A1272,'[2]Team lists'!$A$2:$L$800,11,FALSE)</f>
        <v>#N/A</v>
      </c>
    </row>
    <row r="1273" spans="2:13">
      <c r="B1273" s="43" t="e">
        <f>VLOOKUP($A1273,'[2]Team lists'!$A$2:$L$800,2,FALSE)</f>
        <v>#N/A</v>
      </c>
      <c r="C1273" s="43" t="e">
        <f>VLOOKUP($A1273,'[2]Team lists'!$A$2:$L$800,3,FALSE)</f>
        <v>#N/A</v>
      </c>
      <c r="D1273" s="43" t="e">
        <f>VLOOKUP($A1273,'[2]Team lists'!$A$2:$L$800,4,FALSE)</f>
        <v>#N/A</v>
      </c>
      <c r="E1273" s="43" t="e">
        <f>VLOOKUP($A1273,'[2]Team lists'!$A$2:$L$800,5,FALSE)</f>
        <v>#N/A</v>
      </c>
      <c r="F1273" s="43" t="e">
        <f>VLOOKUP($A1273,'[2]Team lists'!$A$2:$L$800,6,FALSE)</f>
        <v>#N/A</v>
      </c>
      <c r="G1273" s="43" t="e">
        <f>VLOOKUP($A1273,'[2]Team lists'!$A$2:$L$800,7,FALSE)</f>
        <v>#N/A</v>
      </c>
      <c r="H1273" s="43" t="e">
        <f>VLOOKUP($A1273,'[2]Team lists'!$A$2:$L$800,8,FALSE)</f>
        <v>#N/A</v>
      </c>
      <c r="I1273" s="43" t="e">
        <f>VLOOKUP($A1273,'[2]Team lists'!$A$2:$L$800,9,FALSE)</f>
        <v>#N/A</v>
      </c>
      <c r="J1273" s="43" t="e">
        <f>VLOOKUP($A1273,'[2]Team lists'!$A$2:$L$800,9,FALSE)</f>
        <v>#N/A</v>
      </c>
      <c r="K1273" s="43" t="e">
        <f>VLOOKUP($A1273,'[2]Team lists'!$A$2:$L$800,10,FALSE)</f>
        <v>#N/A</v>
      </c>
      <c r="L1273" s="43" t="e">
        <f>VLOOKUP($A1273,'[2]Team lists'!$A$2:$L$800,11,FALSE)</f>
        <v>#N/A</v>
      </c>
    </row>
    <row r="1274" spans="2:13">
      <c r="B1274" s="43" t="e">
        <f>VLOOKUP($A1274,'[2]Team lists'!$A$2:$L$800,2,FALSE)</f>
        <v>#N/A</v>
      </c>
      <c r="C1274" s="43" t="e">
        <f>VLOOKUP($A1274,'[2]Team lists'!$A$2:$L$800,3,FALSE)</f>
        <v>#N/A</v>
      </c>
      <c r="D1274" s="43" t="e">
        <f>VLOOKUP($A1274,'[2]Team lists'!$A$2:$L$800,4,FALSE)</f>
        <v>#N/A</v>
      </c>
      <c r="E1274" s="43" t="e">
        <f>VLOOKUP($A1274,'[2]Team lists'!$A$2:$L$800,5,FALSE)</f>
        <v>#N/A</v>
      </c>
      <c r="F1274" s="43" t="e">
        <f>VLOOKUP($A1274,'[2]Team lists'!$A$2:$L$800,6,FALSE)</f>
        <v>#N/A</v>
      </c>
      <c r="G1274" s="43" t="e">
        <f>VLOOKUP($A1274,'[2]Team lists'!$A$2:$L$800,7,FALSE)</f>
        <v>#N/A</v>
      </c>
      <c r="H1274" s="43" t="e">
        <f>VLOOKUP($A1274,'[2]Team lists'!$A$2:$L$800,8,FALSE)</f>
        <v>#N/A</v>
      </c>
      <c r="I1274" s="43" t="e">
        <f>VLOOKUP($A1274,'[2]Team lists'!$A$2:$L$800,9,FALSE)</f>
        <v>#N/A</v>
      </c>
      <c r="J1274" s="43" t="e">
        <f>VLOOKUP($A1274,'[2]Team lists'!$A$2:$L$800,9,FALSE)</f>
        <v>#N/A</v>
      </c>
      <c r="K1274" s="43" t="e">
        <f>VLOOKUP($A1274,'[2]Team lists'!$A$2:$L$800,10,FALSE)</f>
        <v>#N/A</v>
      </c>
      <c r="L1274" s="43" t="e">
        <f>VLOOKUP($A1274,'[2]Team lists'!$A$2:$L$800,11,FALSE)</f>
        <v>#N/A</v>
      </c>
    </row>
    <row r="1275" spans="2:13">
      <c r="B1275" s="43" t="e">
        <f>VLOOKUP($A1275,'[2]Team lists'!$A$2:$L$800,2,FALSE)</f>
        <v>#N/A</v>
      </c>
      <c r="C1275" s="43" t="e">
        <f>VLOOKUP($A1275,'[2]Team lists'!$A$2:$L$800,3,FALSE)</f>
        <v>#N/A</v>
      </c>
      <c r="D1275" s="43" t="e">
        <f>VLOOKUP($A1275,'[2]Team lists'!$A$2:$L$800,4,FALSE)</f>
        <v>#N/A</v>
      </c>
      <c r="E1275" s="43" t="e">
        <f>VLOOKUP($A1275,'[2]Team lists'!$A$2:$L$800,5,FALSE)</f>
        <v>#N/A</v>
      </c>
      <c r="F1275" s="43" t="e">
        <f>VLOOKUP($A1275,'[2]Team lists'!$A$2:$L$800,6,FALSE)</f>
        <v>#N/A</v>
      </c>
      <c r="G1275" s="43" t="e">
        <f>VLOOKUP($A1275,'[2]Team lists'!$A$2:$L$800,7,FALSE)</f>
        <v>#N/A</v>
      </c>
      <c r="H1275" s="43" t="e">
        <f>VLOOKUP($A1275,'[2]Team lists'!$A$2:$L$800,8,FALSE)</f>
        <v>#N/A</v>
      </c>
      <c r="I1275" s="43" t="e">
        <f>VLOOKUP($A1275,'[2]Team lists'!$A$2:$L$800,9,FALSE)</f>
        <v>#N/A</v>
      </c>
      <c r="J1275" s="43" t="e">
        <f>VLOOKUP($A1275,'[2]Team lists'!$A$2:$L$800,9,FALSE)</f>
        <v>#N/A</v>
      </c>
      <c r="K1275" s="43" t="e">
        <f>VLOOKUP($A1275,'[2]Team lists'!$A$2:$L$800,10,FALSE)</f>
        <v>#N/A</v>
      </c>
      <c r="L1275" s="43" t="e">
        <f>VLOOKUP($A1275,'[2]Team lists'!$A$2:$L$800,11,FALSE)</f>
        <v>#N/A</v>
      </c>
    </row>
    <row r="1276" spans="2:13">
      <c r="B1276" s="43" t="e">
        <f>VLOOKUP($A1276,'[2]Team lists'!$A$2:$L$800,2,FALSE)</f>
        <v>#N/A</v>
      </c>
      <c r="C1276" s="43" t="e">
        <f>VLOOKUP($A1276,'[2]Team lists'!$A$2:$L$800,3,FALSE)</f>
        <v>#N/A</v>
      </c>
      <c r="D1276" s="43" t="e">
        <f>VLOOKUP($A1276,'[2]Team lists'!$A$2:$L$800,4,FALSE)</f>
        <v>#N/A</v>
      </c>
      <c r="E1276" s="43" t="e">
        <f>VLOOKUP($A1276,'[2]Team lists'!$A$2:$L$800,5,FALSE)</f>
        <v>#N/A</v>
      </c>
      <c r="F1276" s="43" t="e">
        <f>VLOOKUP($A1276,'[2]Team lists'!$A$2:$L$800,6,FALSE)</f>
        <v>#N/A</v>
      </c>
      <c r="G1276" s="43" t="e">
        <f>VLOOKUP($A1276,'[2]Team lists'!$A$2:$L$800,7,FALSE)</f>
        <v>#N/A</v>
      </c>
      <c r="H1276" s="43" t="e">
        <f>VLOOKUP($A1276,'[2]Team lists'!$A$2:$L$800,8,FALSE)</f>
        <v>#N/A</v>
      </c>
      <c r="I1276" s="43" t="e">
        <f>VLOOKUP($A1276,'[2]Team lists'!$A$2:$L$800,9,FALSE)</f>
        <v>#N/A</v>
      </c>
      <c r="J1276" s="43" t="e">
        <f>VLOOKUP($A1276,'[2]Team lists'!$A$2:$L$800,9,FALSE)</f>
        <v>#N/A</v>
      </c>
      <c r="K1276" s="43" t="e">
        <f>VLOOKUP($A1276,'[2]Team lists'!$A$2:$L$800,10,FALSE)</f>
        <v>#N/A</v>
      </c>
      <c r="L1276" s="43" t="e">
        <f>VLOOKUP($A1276,'[2]Team lists'!$A$2:$L$800,11,FALSE)</f>
        <v>#N/A</v>
      </c>
    </row>
    <row r="1277" spans="2:13">
      <c r="B1277" s="43" t="e">
        <f>VLOOKUP($A1277,'[2]Team lists'!$A$2:$L$800,2,FALSE)</f>
        <v>#N/A</v>
      </c>
      <c r="C1277" s="43" t="e">
        <f>VLOOKUP($A1277,'[2]Team lists'!$A$2:$L$800,3,FALSE)</f>
        <v>#N/A</v>
      </c>
      <c r="D1277" s="43" t="e">
        <f>VLOOKUP($A1277,'[2]Team lists'!$A$2:$L$800,4,FALSE)</f>
        <v>#N/A</v>
      </c>
      <c r="E1277" s="43" t="e">
        <f>VLOOKUP($A1277,'[2]Team lists'!$A$2:$L$800,5,FALSE)</f>
        <v>#N/A</v>
      </c>
      <c r="F1277" s="43" t="e">
        <f>VLOOKUP($A1277,'[2]Team lists'!$A$2:$L$800,6,FALSE)</f>
        <v>#N/A</v>
      </c>
      <c r="G1277" s="43" t="e">
        <f>VLOOKUP($A1277,'[2]Team lists'!$A$2:$L$800,7,FALSE)</f>
        <v>#N/A</v>
      </c>
      <c r="H1277" s="43" t="e">
        <f>VLOOKUP($A1277,'[2]Team lists'!$A$2:$L$800,8,FALSE)</f>
        <v>#N/A</v>
      </c>
      <c r="I1277" s="43" t="e">
        <f>VLOOKUP($A1277,'[2]Team lists'!$A$2:$L$800,9,FALSE)</f>
        <v>#N/A</v>
      </c>
      <c r="J1277" s="43" t="e">
        <f>VLOOKUP($A1277,'[2]Team lists'!$A$2:$L$800,9,FALSE)</f>
        <v>#N/A</v>
      </c>
      <c r="K1277" s="43" t="e">
        <f>VLOOKUP($A1277,'[2]Team lists'!$A$2:$L$800,10,FALSE)</f>
        <v>#N/A</v>
      </c>
      <c r="L1277" s="43" t="e">
        <f>VLOOKUP($A1277,'[2]Team lists'!$A$2:$L$800,11,FALSE)</f>
        <v>#N/A</v>
      </c>
    </row>
    <row r="1278" spans="2:13">
      <c r="B1278" s="43" t="e">
        <f>VLOOKUP($A1278,'[2]Team lists'!$A$2:$L$800,2,FALSE)</f>
        <v>#N/A</v>
      </c>
      <c r="C1278" s="43" t="e">
        <f>VLOOKUP($A1278,'[2]Team lists'!$A$2:$L$800,3,FALSE)</f>
        <v>#N/A</v>
      </c>
      <c r="D1278" s="43" t="e">
        <f>VLOOKUP($A1278,'[2]Team lists'!$A$2:$L$800,4,FALSE)</f>
        <v>#N/A</v>
      </c>
      <c r="E1278" s="43" t="e">
        <f>VLOOKUP($A1278,'[2]Team lists'!$A$2:$L$800,5,FALSE)</f>
        <v>#N/A</v>
      </c>
      <c r="F1278" s="43" t="e">
        <f>VLOOKUP($A1278,'[2]Team lists'!$A$2:$L$800,6,FALSE)</f>
        <v>#N/A</v>
      </c>
      <c r="G1278" s="43" t="e">
        <f>VLOOKUP($A1278,'[2]Team lists'!$A$2:$L$800,7,FALSE)</f>
        <v>#N/A</v>
      </c>
      <c r="H1278" s="43" t="e">
        <f>VLOOKUP($A1278,'[2]Team lists'!$A$2:$L$800,8,FALSE)</f>
        <v>#N/A</v>
      </c>
      <c r="I1278" s="43" t="e">
        <f>VLOOKUP($A1278,'[2]Team lists'!$A$2:$L$800,9,FALSE)</f>
        <v>#N/A</v>
      </c>
      <c r="J1278" s="43" t="e">
        <f>VLOOKUP($A1278,'[2]Team lists'!$A$2:$L$800,9,FALSE)</f>
        <v>#N/A</v>
      </c>
      <c r="K1278" s="43" t="e">
        <f>VLOOKUP($A1278,'[2]Team lists'!$A$2:$L$800,10,FALSE)</f>
        <v>#N/A</v>
      </c>
      <c r="L1278" s="43" t="e">
        <f>VLOOKUP($A1278,'[2]Team lists'!$A$2:$L$800,11,FALSE)</f>
        <v>#N/A</v>
      </c>
    </row>
    <row r="1279" spans="2:13" ht="18" thickBot="1">
      <c r="B1279" s="45" t="s">
        <v>3210</v>
      </c>
      <c r="C1279" s="46"/>
      <c r="D1279" s="47"/>
      <c r="E1279" s="48" t="e">
        <f t="shared" ref="E1279:L1279" si="79">SUM(E1268:E1278)</f>
        <v>#N/A</v>
      </c>
      <c r="F1279" s="49" t="e">
        <f t="shared" si="79"/>
        <v>#N/A</v>
      </c>
      <c r="G1279" s="49" t="e">
        <f t="shared" si="79"/>
        <v>#N/A</v>
      </c>
      <c r="H1279" s="49" t="e">
        <f t="shared" si="79"/>
        <v>#N/A</v>
      </c>
      <c r="I1279" s="49" t="e">
        <f t="shared" si="79"/>
        <v>#N/A</v>
      </c>
      <c r="J1279" s="49" t="e">
        <f t="shared" si="79"/>
        <v>#N/A</v>
      </c>
      <c r="K1279" s="49" t="e">
        <f t="shared" si="79"/>
        <v>#N/A</v>
      </c>
      <c r="L1279" s="50" t="e">
        <f t="shared" si="79"/>
        <v>#N/A</v>
      </c>
    </row>
    <row r="1280" spans="2:13" ht="18.600000000000001" thickTop="1" thickBot="1"/>
    <row r="1281" spans="2:13" ht="18" thickTop="1">
      <c r="B1281" s="23" t="s">
        <v>3204</v>
      </c>
      <c r="C1281" s="24" t="s">
        <v>3205</v>
      </c>
      <c r="D1281" s="25"/>
      <c r="E1281" s="25"/>
      <c r="F1281" s="53"/>
      <c r="G1281" s="28" t="s">
        <v>3206</v>
      </c>
      <c r="H1281" s="54"/>
      <c r="I1281" s="54"/>
      <c r="J1281" s="54"/>
      <c r="K1281" s="28" t="s">
        <v>3207</v>
      </c>
      <c r="L1281" s="29"/>
      <c r="M1281" s="22" t="str">
        <f>G1281</f>
        <v>Manager:</v>
      </c>
    </row>
    <row r="1282" spans="2:13" ht="18" thickBot="1">
      <c r="B1282" s="30">
        <v>81</v>
      </c>
      <c r="C1282" s="57"/>
      <c r="D1282" s="31"/>
      <c r="E1282" s="31"/>
      <c r="F1282" s="33"/>
      <c r="G1282" s="55"/>
      <c r="H1282" s="55"/>
      <c r="I1282" s="55"/>
      <c r="J1282" s="55"/>
      <c r="K1282" s="34" t="e">
        <f>SUM(F1295:L1295)</f>
        <v>#N/A</v>
      </c>
      <c r="L1282" s="35"/>
      <c r="M1282" s="22">
        <f>G1282</f>
        <v>0</v>
      </c>
    </row>
    <row r="1283" spans="2:13" ht="18.600000000000001" thickTop="1">
      <c r="B1283" s="58" t="s">
        <v>913</v>
      </c>
      <c r="C1283" s="59" t="s">
        <v>912</v>
      </c>
      <c r="D1283" s="60" t="s">
        <v>911</v>
      </c>
      <c r="E1283" s="61" t="s">
        <v>3209</v>
      </c>
      <c r="F1283" s="62" t="s">
        <v>3162</v>
      </c>
      <c r="G1283" s="62" t="s">
        <v>3163</v>
      </c>
      <c r="H1283" s="62" t="s">
        <v>3164</v>
      </c>
      <c r="I1283" s="62" t="s">
        <v>3165</v>
      </c>
      <c r="J1283" s="62" t="s">
        <v>3166</v>
      </c>
      <c r="K1283" s="62" t="s">
        <v>3167</v>
      </c>
      <c r="L1283" s="63" t="s">
        <v>3168</v>
      </c>
    </row>
    <row r="1284" spans="2:13">
      <c r="B1284" s="43" t="e">
        <f>VLOOKUP($A1284,'[2]Team lists'!$A$2:$L$800,2,FALSE)</f>
        <v>#N/A</v>
      </c>
      <c r="C1284" s="43" t="e">
        <f>VLOOKUP($A1284,'[2]Team lists'!$A$2:$L$800,3,FALSE)</f>
        <v>#N/A</v>
      </c>
      <c r="D1284" s="43" t="e">
        <f>VLOOKUP($A1284,'[2]Team lists'!$A$2:$L$800,4,FALSE)</f>
        <v>#N/A</v>
      </c>
      <c r="E1284" s="43" t="e">
        <f>VLOOKUP($A1284,'[2]Team lists'!$A$2:$L$800,5,FALSE)</f>
        <v>#N/A</v>
      </c>
      <c r="F1284" s="43" t="e">
        <f>VLOOKUP($A1284,'[2]Team lists'!$A$2:$L$800,6,FALSE)</f>
        <v>#N/A</v>
      </c>
      <c r="G1284" s="43" t="e">
        <f>VLOOKUP($A1284,'[2]Team lists'!$A$2:$L$800,7,FALSE)</f>
        <v>#N/A</v>
      </c>
      <c r="H1284" s="43" t="e">
        <f>VLOOKUP($A1284,'[2]Team lists'!$A$2:$L$800,8,FALSE)</f>
        <v>#N/A</v>
      </c>
      <c r="I1284" s="43" t="e">
        <f>VLOOKUP($A1284,'[2]Team lists'!$A$2:$L$800,9,FALSE)</f>
        <v>#N/A</v>
      </c>
      <c r="J1284" s="43" t="e">
        <f>VLOOKUP($A1284,'[2]Team lists'!$A$2:$L$800,9,FALSE)</f>
        <v>#N/A</v>
      </c>
      <c r="K1284" s="43" t="e">
        <f>VLOOKUP($A1284,'[2]Team lists'!$A$2:$L$800,10,FALSE)</f>
        <v>#N/A</v>
      </c>
      <c r="L1284" s="43" t="e">
        <f>VLOOKUP($A1284,'[2]Team lists'!$A$2:$L$800,11,FALSE)</f>
        <v>#N/A</v>
      </c>
    </row>
    <row r="1285" spans="2:13">
      <c r="B1285" s="43" t="e">
        <f>VLOOKUP($A1285,'[2]Team lists'!$A$2:$L$800,2,FALSE)</f>
        <v>#N/A</v>
      </c>
      <c r="C1285" s="43" t="e">
        <f>VLOOKUP($A1285,'[2]Team lists'!$A$2:$L$800,3,FALSE)</f>
        <v>#N/A</v>
      </c>
      <c r="D1285" s="43" t="e">
        <f>VLOOKUP($A1285,'[2]Team lists'!$A$2:$L$800,4,FALSE)</f>
        <v>#N/A</v>
      </c>
      <c r="E1285" s="43" t="e">
        <f>VLOOKUP($A1285,'[2]Team lists'!$A$2:$L$800,5,FALSE)</f>
        <v>#N/A</v>
      </c>
      <c r="F1285" s="43" t="e">
        <f>VLOOKUP($A1285,'[2]Team lists'!$A$2:$L$800,6,FALSE)</f>
        <v>#N/A</v>
      </c>
      <c r="G1285" s="43" t="e">
        <f>VLOOKUP($A1285,'[2]Team lists'!$A$2:$L$800,7,FALSE)</f>
        <v>#N/A</v>
      </c>
      <c r="H1285" s="43" t="e">
        <f>VLOOKUP($A1285,'[2]Team lists'!$A$2:$L$800,8,FALSE)</f>
        <v>#N/A</v>
      </c>
      <c r="I1285" s="43" t="e">
        <f>VLOOKUP($A1285,'[2]Team lists'!$A$2:$L$800,9,FALSE)</f>
        <v>#N/A</v>
      </c>
      <c r="J1285" s="43" t="e">
        <f>VLOOKUP($A1285,'[2]Team lists'!$A$2:$L$800,9,FALSE)</f>
        <v>#N/A</v>
      </c>
      <c r="K1285" s="43" t="e">
        <f>VLOOKUP($A1285,'[2]Team lists'!$A$2:$L$800,10,FALSE)</f>
        <v>#N/A</v>
      </c>
      <c r="L1285" s="43" t="e">
        <f>VLOOKUP($A1285,'[2]Team lists'!$A$2:$L$800,11,FALSE)</f>
        <v>#N/A</v>
      </c>
    </row>
    <row r="1286" spans="2:13">
      <c r="B1286" s="43" t="e">
        <f>VLOOKUP($A1286,'[2]Team lists'!$A$2:$L$800,2,FALSE)</f>
        <v>#N/A</v>
      </c>
      <c r="C1286" s="43" t="e">
        <f>VLOOKUP($A1286,'[2]Team lists'!$A$2:$L$800,3,FALSE)</f>
        <v>#N/A</v>
      </c>
      <c r="D1286" s="43" t="e">
        <f>VLOOKUP($A1286,'[2]Team lists'!$A$2:$L$800,4,FALSE)</f>
        <v>#N/A</v>
      </c>
      <c r="E1286" s="43" t="e">
        <f>VLOOKUP($A1286,'[2]Team lists'!$A$2:$L$800,5,FALSE)</f>
        <v>#N/A</v>
      </c>
      <c r="F1286" s="43" t="e">
        <f>VLOOKUP($A1286,'[2]Team lists'!$A$2:$L$800,6,FALSE)</f>
        <v>#N/A</v>
      </c>
      <c r="G1286" s="43" t="e">
        <f>VLOOKUP($A1286,'[2]Team lists'!$A$2:$L$800,7,FALSE)</f>
        <v>#N/A</v>
      </c>
      <c r="H1286" s="43" t="e">
        <f>VLOOKUP($A1286,'[2]Team lists'!$A$2:$L$800,8,FALSE)</f>
        <v>#N/A</v>
      </c>
      <c r="I1286" s="43" t="e">
        <f>VLOOKUP($A1286,'[2]Team lists'!$A$2:$L$800,9,FALSE)</f>
        <v>#N/A</v>
      </c>
      <c r="J1286" s="43" t="e">
        <f>VLOOKUP($A1286,'[2]Team lists'!$A$2:$L$800,9,FALSE)</f>
        <v>#N/A</v>
      </c>
      <c r="K1286" s="43" t="e">
        <f>VLOOKUP($A1286,'[2]Team lists'!$A$2:$L$800,10,FALSE)</f>
        <v>#N/A</v>
      </c>
      <c r="L1286" s="43" t="e">
        <f>VLOOKUP($A1286,'[2]Team lists'!$A$2:$L$800,11,FALSE)</f>
        <v>#N/A</v>
      </c>
    </row>
    <row r="1287" spans="2:13">
      <c r="B1287" s="43" t="e">
        <f>VLOOKUP($A1287,'[2]Team lists'!$A$2:$L$800,2,FALSE)</f>
        <v>#N/A</v>
      </c>
      <c r="C1287" s="43" t="e">
        <f>VLOOKUP($A1287,'[2]Team lists'!$A$2:$L$800,3,FALSE)</f>
        <v>#N/A</v>
      </c>
      <c r="D1287" s="43" t="e">
        <f>VLOOKUP($A1287,'[2]Team lists'!$A$2:$L$800,4,FALSE)</f>
        <v>#N/A</v>
      </c>
      <c r="E1287" s="43" t="e">
        <f>VLOOKUP($A1287,'[2]Team lists'!$A$2:$L$800,5,FALSE)</f>
        <v>#N/A</v>
      </c>
      <c r="F1287" s="43" t="e">
        <f>VLOOKUP($A1287,'[2]Team lists'!$A$2:$L$800,6,FALSE)</f>
        <v>#N/A</v>
      </c>
      <c r="G1287" s="43" t="e">
        <f>VLOOKUP($A1287,'[2]Team lists'!$A$2:$L$800,7,FALSE)</f>
        <v>#N/A</v>
      </c>
      <c r="H1287" s="43" t="e">
        <f>VLOOKUP($A1287,'[2]Team lists'!$A$2:$L$800,8,FALSE)</f>
        <v>#N/A</v>
      </c>
      <c r="I1287" s="43" t="e">
        <f>VLOOKUP($A1287,'[2]Team lists'!$A$2:$L$800,9,FALSE)</f>
        <v>#N/A</v>
      </c>
      <c r="J1287" s="43" t="e">
        <f>VLOOKUP($A1287,'[2]Team lists'!$A$2:$L$800,9,FALSE)</f>
        <v>#N/A</v>
      </c>
      <c r="K1287" s="43" t="e">
        <f>VLOOKUP($A1287,'[2]Team lists'!$A$2:$L$800,10,FALSE)</f>
        <v>#N/A</v>
      </c>
      <c r="L1287" s="43" t="e">
        <f>VLOOKUP($A1287,'[2]Team lists'!$A$2:$L$800,11,FALSE)</f>
        <v>#N/A</v>
      </c>
    </row>
    <row r="1288" spans="2:13">
      <c r="B1288" s="43" t="e">
        <f>VLOOKUP($A1288,'[2]Team lists'!$A$2:$L$800,2,FALSE)</f>
        <v>#N/A</v>
      </c>
      <c r="C1288" s="43" t="e">
        <f>VLOOKUP($A1288,'[2]Team lists'!$A$2:$L$800,3,FALSE)</f>
        <v>#N/A</v>
      </c>
      <c r="D1288" s="43" t="e">
        <f>VLOOKUP($A1288,'[2]Team lists'!$A$2:$L$800,4,FALSE)</f>
        <v>#N/A</v>
      </c>
      <c r="E1288" s="43" t="e">
        <f>VLOOKUP($A1288,'[2]Team lists'!$A$2:$L$800,5,FALSE)</f>
        <v>#N/A</v>
      </c>
      <c r="F1288" s="43" t="e">
        <f>VLOOKUP($A1288,'[2]Team lists'!$A$2:$L$800,6,FALSE)</f>
        <v>#N/A</v>
      </c>
      <c r="G1288" s="43" t="e">
        <f>VLOOKUP($A1288,'[2]Team lists'!$A$2:$L$800,7,FALSE)</f>
        <v>#N/A</v>
      </c>
      <c r="H1288" s="43" t="e">
        <f>VLOOKUP($A1288,'[2]Team lists'!$A$2:$L$800,8,FALSE)</f>
        <v>#N/A</v>
      </c>
      <c r="I1288" s="43" t="e">
        <f>VLOOKUP($A1288,'[2]Team lists'!$A$2:$L$800,9,FALSE)</f>
        <v>#N/A</v>
      </c>
      <c r="J1288" s="43" t="e">
        <f>VLOOKUP($A1288,'[2]Team lists'!$A$2:$L$800,9,FALSE)</f>
        <v>#N/A</v>
      </c>
      <c r="K1288" s="43" t="e">
        <f>VLOOKUP($A1288,'[2]Team lists'!$A$2:$L$800,10,FALSE)</f>
        <v>#N/A</v>
      </c>
      <c r="L1288" s="43" t="e">
        <f>VLOOKUP($A1288,'[2]Team lists'!$A$2:$L$800,11,FALSE)</f>
        <v>#N/A</v>
      </c>
    </row>
    <row r="1289" spans="2:13">
      <c r="B1289" s="43" t="e">
        <f>VLOOKUP($A1289,'[2]Team lists'!$A$2:$L$800,2,FALSE)</f>
        <v>#N/A</v>
      </c>
      <c r="C1289" s="43" t="e">
        <f>VLOOKUP($A1289,'[2]Team lists'!$A$2:$L$800,3,FALSE)</f>
        <v>#N/A</v>
      </c>
      <c r="D1289" s="43" t="e">
        <f>VLOOKUP($A1289,'[2]Team lists'!$A$2:$L$800,4,FALSE)</f>
        <v>#N/A</v>
      </c>
      <c r="E1289" s="43" t="e">
        <f>VLOOKUP($A1289,'[2]Team lists'!$A$2:$L$800,5,FALSE)</f>
        <v>#N/A</v>
      </c>
      <c r="F1289" s="43" t="e">
        <f>VLOOKUP($A1289,'[2]Team lists'!$A$2:$L$800,6,FALSE)</f>
        <v>#N/A</v>
      </c>
      <c r="G1289" s="43" t="e">
        <f>VLOOKUP($A1289,'[2]Team lists'!$A$2:$L$800,7,FALSE)</f>
        <v>#N/A</v>
      </c>
      <c r="H1289" s="43" t="e">
        <f>VLOOKUP($A1289,'[2]Team lists'!$A$2:$L$800,8,FALSE)</f>
        <v>#N/A</v>
      </c>
      <c r="I1289" s="43" t="e">
        <f>VLOOKUP($A1289,'[2]Team lists'!$A$2:$L$800,9,FALSE)</f>
        <v>#N/A</v>
      </c>
      <c r="J1289" s="43" t="e">
        <f>VLOOKUP($A1289,'[2]Team lists'!$A$2:$L$800,9,FALSE)</f>
        <v>#N/A</v>
      </c>
      <c r="K1289" s="43" t="e">
        <f>VLOOKUP($A1289,'[2]Team lists'!$A$2:$L$800,10,FALSE)</f>
        <v>#N/A</v>
      </c>
      <c r="L1289" s="43" t="e">
        <f>VLOOKUP($A1289,'[2]Team lists'!$A$2:$L$800,11,FALSE)</f>
        <v>#N/A</v>
      </c>
    </row>
    <row r="1290" spans="2:13">
      <c r="B1290" s="43" t="e">
        <f>VLOOKUP($A1290,'[2]Team lists'!$A$2:$L$800,2,FALSE)</f>
        <v>#N/A</v>
      </c>
      <c r="C1290" s="43" t="e">
        <f>VLOOKUP($A1290,'[2]Team lists'!$A$2:$L$800,3,FALSE)</f>
        <v>#N/A</v>
      </c>
      <c r="D1290" s="43" t="e">
        <f>VLOOKUP($A1290,'[2]Team lists'!$A$2:$L$800,4,FALSE)</f>
        <v>#N/A</v>
      </c>
      <c r="E1290" s="43" t="e">
        <f>VLOOKUP($A1290,'[2]Team lists'!$A$2:$L$800,5,FALSE)</f>
        <v>#N/A</v>
      </c>
      <c r="F1290" s="43" t="e">
        <f>VLOOKUP($A1290,'[2]Team lists'!$A$2:$L$800,6,FALSE)</f>
        <v>#N/A</v>
      </c>
      <c r="G1290" s="43" t="e">
        <f>VLOOKUP($A1290,'[2]Team lists'!$A$2:$L$800,7,FALSE)</f>
        <v>#N/A</v>
      </c>
      <c r="H1290" s="43" t="e">
        <f>VLOOKUP($A1290,'[2]Team lists'!$A$2:$L$800,8,FALSE)</f>
        <v>#N/A</v>
      </c>
      <c r="I1290" s="43" t="e">
        <f>VLOOKUP($A1290,'[2]Team lists'!$A$2:$L$800,9,FALSE)</f>
        <v>#N/A</v>
      </c>
      <c r="J1290" s="43" t="e">
        <f>VLOOKUP($A1290,'[2]Team lists'!$A$2:$L$800,9,FALSE)</f>
        <v>#N/A</v>
      </c>
      <c r="K1290" s="43" t="e">
        <f>VLOOKUP($A1290,'[2]Team lists'!$A$2:$L$800,10,FALSE)</f>
        <v>#N/A</v>
      </c>
      <c r="L1290" s="43" t="e">
        <f>VLOOKUP($A1290,'[2]Team lists'!$A$2:$L$800,11,FALSE)</f>
        <v>#N/A</v>
      </c>
    </row>
    <row r="1291" spans="2:13">
      <c r="B1291" s="43" t="e">
        <f>VLOOKUP($A1291,'[2]Team lists'!$A$2:$L$800,2,FALSE)</f>
        <v>#N/A</v>
      </c>
      <c r="C1291" s="43" t="e">
        <f>VLOOKUP($A1291,'[2]Team lists'!$A$2:$L$800,3,FALSE)</f>
        <v>#N/A</v>
      </c>
      <c r="D1291" s="43" t="e">
        <f>VLOOKUP($A1291,'[2]Team lists'!$A$2:$L$800,4,FALSE)</f>
        <v>#N/A</v>
      </c>
      <c r="E1291" s="43" t="e">
        <f>VLOOKUP($A1291,'[2]Team lists'!$A$2:$L$800,5,FALSE)</f>
        <v>#N/A</v>
      </c>
      <c r="F1291" s="43" t="e">
        <f>VLOOKUP($A1291,'[2]Team lists'!$A$2:$L$800,6,FALSE)</f>
        <v>#N/A</v>
      </c>
      <c r="G1291" s="43" t="e">
        <f>VLOOKUP($A1291,'[2]Team lists'!$A$2:$L$800,7,FALSE)</f>
        <v>#N/A</v>
      </c>
      <c r="H1291" s="43" t="e">
        <f>VLOOKUP($A1291,'[2]Team lists'!$A$2:$L$800,8,FALSE)</f>
        <v>#N/A</v>
      </c>
      <c r="I1291" s="43" t="e">
        <f>VLOOKUP($A1291,'[2]Team lists'!$A$2:$L$800,9,FALSE)</f>
        <v>#N/A</v>
      </c>
      <c r="J1291" s="43" t="e">
        <f>VLOOKUP($A1291,'[2]Team lists'!$A$2:$L$800,9,FALSE)</f>
        <v>#N/A</v>
      </c>
      <c r="K1291" s="43" t="e">
        <f>VLOOKUP($A1291,'[2]Team lists'!$A$2:$L$800,10,FALSE)</f>
        <v>#N/A</v>
      </c>
      <c r="L1291" s="43" t="e">
        <f>VLOOKUP($A1291,'[2]Team lists'!$A$2:$L$800,11,FALSE)</f>
        <v>#N/A</v>
      </c>
    </row>
    <row r="1292" spans="2:13">
      <c r="B1292" s="43" t="e">
        <f>VLOOKUP($A1292,'[2]Team lists'!$A$2:$L$800,2,FALSE)</f>
        <v>#N/A</v>
      </c>
      <c r="C1292" s="43" t="e">
        <f>VLOOKUP($A1292,'[2]Team lists'!$A$2:$L$800,3,FALSE)</f>
        <v>#N/A</v>
      </c>
      <c r="D1292" s="43" t="e">
        <f>VLOOKUP($A1292,'[2]Team lists'!$A$2:$L$800,4,FALSE)</f>
        <v>#N/A</v>
      </c>
      <c r="E1292" s="43" t="e">
        <f>VLOOKUP($A1292,'[2]Team lists'!$A$2:$L$800,5,FALSE)</f>
        <v>#N/A</v>
      </c>
      <c r="F1292" s="43" t="e">
        <f>VLOOKUP($A1292,'[2]Team lists'!$A$2:$L$800,6,FALSE)</f>
        <v>#N/A</v>
      </c>
      <c r="G1292" s="43" t="e">
        <f>VLOOKUP($A1292,'[2]Team lists'!$A$2:$L$800,7,FALSE)</f>
        <v>#N/A</v>
      </c>
      <c r="H1292" s="43" t="e">
        <f>VLOOKUP($A1292,'[2]Team lists'!$A$2:$L$800,8,FALSE)</f>
        <v>#N/A</v>
      </c>
      <c r="I1292" s="43" t="e">
        <f>VLOOKUP($A1292,'[2]Team lists'!$A$2:$L$800,9,FALSE)</f>
        <v>#N/A</v>
      </c>
      <c r="J1292" s="43" t="e">
        <f>VLOOKUP($A1292,'[2]Team lists'!$A$2:$L$800,9,FALSE)</f>
        <v>#N/A</v>
      </c>
      <c r="K1292" s="43" t="e">
        <f>VLOOKUP($A1292,'[2]Team lists'!$A$2:$L$800,10,FALSE)</f>
        <v>#N/A</v>
      </c>
      <c r="L1292" s="43" t="e">
        <f>VLOOKUP($A1292,'[2]Team lists'!$A$2:$L$800,11,FALSE)</f>
        <v>#N/A</v>
      </c>
    </row>
    <row r="1293" spans="2:13">
      <c r="B1293" s="43" t="e">
        <f>VLOOKUP($A1293,'[2]Team lists'!$A$2:$L$800,2,FALSE)</f>
        <v>#N/A</v>
      </c>
      <c r="C1293" s="43" t="e">
        <f>VLOOKUP($A1293,'[2]Team lists'!$A$2:$L$800,3,FALSE)</f>
        <v>#N/A</v>
      </c>
      <c r="D1293" s="43" t="e">
        <f>VLOOKUP($A1293,'[2]Team lists'!$A$2:$L$800,4,FALSE)</f>
        <v>#N/A</v>
      </c>
      <c r="E1293" s="43" t="e">
        <f>VLOOKUP($A1293,'[2]Team lists'!$A$2:$L$800,5,FALSE)</f>
        <v>#N/A</v>
      </c>
      <c r="F1293" s="43" t="e">
        <f>VLOOKUP($A1293,'[2]Team lists'!$A$2:$L$800,6,FALSE)</f>
        <v>#N/A</v>
      </c>
      <c r="G1293" s="43" t="e">
        <f>VLOOKUP($A1293,'[2]Team lists'!$A$2:$L$800,7,FALSE)</f>
        <v>#N/A</v>
      </c>
      <c r="H1293" s="43" t="e">
        <f>VLOOKUP($A1293,'[2]Team lists'!$A$2:$L$800,8,FALSE)</f>
        <v>#N/A</v>
      </c>
      <c r="I1293" s="43" t="e">
        <f>VLOOKUP($A1293,'[2]Team lists'!$A$2:$L$800,9,FALSE)</f>
        <v>#N/A</v>
      </c>
      <c r="J1293" s="43" t="e">
        <f>VLOOKUP($A1293,'[2]Team lists'!$A$2:$L$800,9,FALSE)</f>
        <v>#N/A</v>
      </c>
      <c r="K1293" s="43" t="e">
        <f>VLOOKUP($A1293,'[2]Team lists'!$A$2:$L$800,10,FALSE)</f>
        <v>#N/A</v>
      </c>
      <c r="L1293" s="43" t="e">
        <f>VLOOKUP($A1293,'[2]Team lists'!$A$2:$L$800,11,FALSE)</f>
        <v>#N/A</v>
      </c>
    </row>
    <row r="1294" spans="2:13">
      <c r="B1294" s="43" t="e">
        <f>VLOOKUP($A1294,'[2]Team lists'!$A$2:$L$800,2,FALSE)</f>
        <v>#N/A</v>
      </c>
      <c r="C1294" s="43" t="e">
        <f>VLOOKUP($A1294,'[2]Team lists'!$A$2:$L$800,3,FALSE)</f>
        <v>#N/A</v>
      </c>
      <c r="D1294" s="43" t="e">
        <f>VLOOKUP($A1294,'[2]Team lists'!$A$2:$L$800,4,FALSE)</f>
        <v>#N/A</v>
      </c>
      <c r="E1294" s="43" t="e">
        <f>VLOOKUP($A1294,'[2]Team lists'!$A$2:$L$800,5,FALSE)</f>
        <v>#N/A</v>
      </c>
      <c r="F1294" s="43" t="e">
        <f>VLOOKUP($A1294,'[2]Team lists'!$A$2:$L$800,6,FALSE)</f>
        <v>#N/A</v>
      </c>
      <c r="G1294" s="43" t="e">
        <f>VLOOKUP($A1294,'[2]Team lists'!$A$2:$L$800,7,FALSE)</f>
        <v>#N/A</v>
      </c>
      <c r="H1294" s="43" t="e">
        <f>VLOOKUP($A1294,'[2]Team lists'!$A$2:$L$800,8,FALSE)</f>
        <v>#N/A</v>
      </c>
      <c r="I1294" s="43" t="e">
        <f>VLOOKUP($A1294,'[2]Team lists'!$A$2:$L$800,9,FALSE)</f>
        <v>#N/A</v>
      </c>
      <c r="J1294" s="43" t="e">
        <f>VLOOKUP($A1294,'[2]Team lists'!$A$2:$L$800,9,FALSE)</f>
        <v>#N/A</v>
      </c>
      <c r="K1294" s="43" t="e">
        <f>VLOOKUP($A1294,'[2]Team lists'!$A$2:$L$800,10,FALSE)</f>
        <v>#N/A</v>
      </c>
      <c r="L1294" s="43" t="e">
        <f>VLOOKUP($A1294,'[2]Team lists'!$A$2:$L$800,11,FALSE)</f>
        <v>#N/A</v>
      </c>
    </row>
    <row r="1295" spans="2:13" ht="18" thickBot="1">
      <c r="B1295" s="45" t="s">
        <v>3210</v>
      </c>
      <c r="C1295" s="46"/>
      <c r="D1295" s="47"/>
      <c r="E1295" s="48" t="e">
        <f t="shared" ref="E1295:L1295" si="80">SUM(E1284:E1294)</f>
        <v>#N/A</v>
      </c>
      <c r="F1295" s="49" t="e">
        <f t="shared" si="80"/>
        <v>#N/A</v>
      </c>
      <c r="G1295" s="49" t="e">
        <f t="shared" si="80"/>
        <v>#N/A</v>
      </c>
      <c r="H1295" s="49" t="e">
        <f t="shared" si="80"/>
        <v>#N/A</v>
      </c>
      <c r="I1295" s="49" t="e">
        <f t="shared" si="80"/>
        <v>#N/A</v>
      </c>
      <c r="J1295" s="49" t="e">
        <f t="shared" si="80"/>
        <v>#N/A</v>
      </c>
      <c r="K1295" s="49" t="e">
        <f t="shared" si="80"/>
        <v>#N/A</v>
      </c>
      <c r="L1295" s="50" t="e">
        <f t="shared" si="80"/>
        <v>#N/A</v>
      </c>
    </row>
    <row r="1296" spans="2:13" ht="18.600000000000001" thickTop="1" thickBot="1"/>
    <row r="1297" spans="2:13" ht="18" thickTop="1">
      <c r="B1297" s="23" t="s">
        <v>3204</v>
      </c>
      <c r="C1297" s="24" t="s">
        <v>3205</v>
      </c>
      <c r="D1297" s="25"/>
      <c r="E1297" s="25"/>
      <c r="F1297" s="53"/>
      <c r="G1297" s="28" t="s">
        <v>3206</v>
      </c>
      <c r="H1297" s="54"/>
      <c r="I1297" s="54"/>
      <c r="J1297" s="54"/>
      <c r="K1297" s="28" t="s">
        <v>3207</v>
      </c>
      <c r="L1297" s="29"/>
      <c r="M1297" s="22" t="str">
        <f>G1297</f>
        <v>Manager:</v>
      </c>
    </row>
    <row r="1298" spans="2:13" ht="18" thickBot="1">
      <c r="B1298" s="30">
        <v>82</v>
      </c>
      <c r="C1298" s="57"/>
      <c r="D1298" s="31"/>
      <c r="E1298" s="31"/>
      <c r="F1298" s="33"/>
      <c r="G1298" s="55"/>
      <c r="H1298" s="55"/>
      <c r="I1298" s="55"/>
      <c r="J1298" s="55"/>
      <c r="K1298" s="34" t="e">
        <f>SUM(F1311:L1311)</f>
        <v>#N/A</v>
      </c>
      <c r="L1298" s="35"/>
      <c r="M1298" s="22">
        <f>G1298</f>
        <v>0</v>
      </c>
    </row>
    <row r="1299" spans="2:13" ht="18.600000000000001" thickTop="1">
      <c r="B1299" s="58" t="s">
        <v>913</v>
      </c>
      <c r="C1299" s="59" t="s">
        <v>912</v>
      </c>
      <c r="D1299" s="60" t="s">
        <v>911</v>
      </c>
      <c r="E1299" s="61" t="s">
        <v>3209</v>
      </c>
      <c r="F1299" s="62" t="s">
        <v>3162</v>
      </c>
      <c r="G1299" s="62" t="s">
        <v>3163</v>
      </c>
      <c r="H1299" s="62" t="s">
        <v>3164</v>
      </c>
      <c r="I1299" s="62" t="s">
        <v>3165</v>
      </c>
      <c r="J1299" s="62" t="s">
        <v>3166</v>
      </c>
      <c r="K1299" s="62" t="s">
        <v>3167</v>
      </c>
      <c r="L1299" s="63" t="s">
        <v>3168</v>
      </c>
    </row>
    <row r="1300" spans="2:13">
      <c r="B1300" s="43" t="e">
        <f>VLOOKUP($A1300,'[2]Team lists'!$A$2:$L$800,2,FALSE)</f>
        <v>#N/A</v>
      </c>
      <c r="C1300" s="43" t="e">
        <f>VLOOKUP($A1300,'[2]Team lists'!$A$2:$L$800,3,FALSE)</f>
        <v>#N/A</v>
      </c>
      <c r="D1300" s="43" t="e">
        <f>VLOOKUP($A1300,'[2]Team lists'!$A$2:$L$800,4,FALSE)</f>
        <v>#N/A</v>
      </c>
      <c r="E1300" s="43" t="e">
        <f>VLOOKUP($A1300,'[2]Team lists'!$A$2:$L$800,5,FALSE)</f>
        <v>#N/A</v>
      </c>
      <c r="F1300" s="43" t="e">
        <f>VLOOKUP($A1300,'[2]Team lists'!$A$2:$L$800,6,FALSE)</f>
        <v>#N/A</v>
      </c>
      <c r="G1300" s="43" t="e">
        <f>VLOOKUP($A1300,'[2]Team lists'!$A$2:$L$800,7,FALSE)</f>
        <v>#N/A</v>
      </c>
      <c r="H1300" s="43" t="e">
        <f>VLOOKUP($A1300,'[2]Team lists'!$A$2:$L$800,8,FALSE)</f>
        <v>#N/A</v>
      </c>
      <c r="I1300" s="43" t="e">
        <f>VLOOKUP($A1300,'[2]Team lists'!$A$2:$L$800,9,FALSE)</f>
        <v>#N/A</v>
      </c>
      <c r="J1300" s="43" t="e">
        <f>VLOOKUP($A1300,'[2]Team lists'!$A$2:$L$800,9,FALSE)</f>
        <v>#N/A</v>
      </c>
      <c r="K1300" s="43" t="e">
        <f>VLOOKUP($A1300,'[2]Team lists'!$A$2:$L$800,10,FALSE)</f>
        <v>#N/A</v>
      </c>
      <c r="L1300" s="43" t="e">
        <f>VLOOKUP($A1300,'[2]Team lists'!$A$2:$L$800,11,FALSE)</f>
        <v>#N/A</v>
      </c>
    </row>
    <row r="1301" spans="2:13">
      <c r="B1301" s="43" t="e">
        <f>VLOOKUP($A1301,'[2]Team lists'!$A$2:$L$800,2,FALSE)</f>
        <v>#N/A</v>
      </c>
      <c r="C1301" s="43" t="e">
        <f>VLOOKUP($A1301,'[2]Team lists'!$A$2:$L$800,3,FALSE)</f>
        <v>#N/A</v>
      </c>
      <c r="D1301" s="43" t="e">
        <f>VLOOKUP($A1301,'[2]Team lists'!$A$2:$L$800,4,FALSE)</f>
        <v>#N/A</v>
      </c>
      <c r="E1301" s="43" t="e">
        <f>VLOOKUP($A1301,'[2]Team lists'!$A$2:$L$800,5,FALSE)</f>
        <v>#N/A</v>
      </c>
      <c r="F1301" s="43" t="e">
        <f>VLOOKUP($A1301,'[2]Team lists'!$A$2:$L$800,6,FALSE)</f>
        <v>#N/A</v>
      </c>
      <c r="G1301" s="43" t="e">
        <f>VLOOKUP($A1301,'[2]Team lists'!$A$2:$L$800,7,FALSE)</f>
        <v>#N/A</v>
      </c>
      <c r="H1301" s="43" t="e">
        <f>VLOOKUP($A1301,'[2]Team lists'!$A$2:$L$800,8,FALSE)</f>
        <v>#N/A</v>
      </c>
      <c r="I1301" s="43" t="e">
        <f>VLOOKUP($A1301,'[2]Team lists'!$A$2:$L$800,9,FALSE)</f>
        <v>#N/A</v>
      </c>
      <c r="J1301" s="43" t="e">
        <f>VLOOKUP($A1301,'[2]Team lists'!$A$2:$L$800,9,FALSE)</f>
        <v>#N/A</v>
      </c>
      <c r="K1301" s="43" t="e">
        <f>VLOOKUP($A1301,'[2]Team lists'!$A$2:$L$800,10,FALSE)</f>
        <v>#N/A</v>
      </c>
      <c r="L1301" s="43" t="e">
        <f>VLOOKUP($A1301,'[2]Team lists'!$A$2:$L$800,11,FALSE)</f>
        <v>#N/A</v>
      </c>
    </row>
    <row r="1302" spans="2:13">
      <c r="B1302" s="43" t="e">
        <f>VLOOKUP($A1302,'[2]Team lists'!$A$2:$L$800,2,FALSE)</f>
        <v>#N/A</v>
      </c>
      <c r="C1302" s="43" t="e">
        <f>VLOOKUP($A1302,'[2]Team lists'!$A$2:$L$800,3,FALSE)</f>
        <v>#N/A</v>
      </c>
      <c r="D1302" s="43" t="e">
        <f>VLOOKUP($A1302,'[2]Team lists'!$A$2:$L$800,4,FALSE)</f>
        <v>#N/A</v>
      </c>
      <c r="E1302" s="43" t="e">
        <f>VLOOKUP($A1302,'[2]Team lists'!$A$2:$L$800,5,FALSE)</f>
        <v>#N/A</v>
      </c>
      <c r="F1302" s="43" t="e">
        <f>VLOOKUP($A1302,'[2]Team lists'!$A$2:$L$800,6,FALSE)</f>
        <v>#N/A</v>
      </c>
      <c r="G1302" s="43" t="e">
        <f>VLOOKUP($A1302,'[2]Team lists'!$A$2:$L$800,7,FALSE)</f>
        <v>#N/A</v>
      </c>
      <c r="H1302" s="43" t="e">
        <f>VLOOKUP($A1302,'[2]Team lists'!$A$2:$L$800,8,FALSE)</f>
        <v>#N/A</v>
      </c>
      <c r="I1302" s="43" t="e">
        <f>VLOOKUP($A1302,'[2]Team lists'!$A$2:$L$800,9,FALSE)</f>
        <v>#N/A</v>
      </c>
      <c r="J1302" s="43" t="e">
        <f>VLOOKUP($A1302,'[2]Team lists'!$A$2:$L$800,9,FALSE)</f>
        <v>#N/A</v>
      </c>
      <c r="K1302" s="43" t="e">
        <f>VLOOKUP($A1302,'[2]Team lists'!$A$2:$L$800,10,FALSE)</f>
        <v>#N/A</v>
      </c>
      <c r="L1302" s="43" t="e">
        <f>VLOOKUP($A1302,'[2]Team lists'!$A$2:$L$800,11,FALSE)</f>
        <v>#N/A</v>
      </c>
    </row>
    <row r="1303" spans="2:13">
      <c r="B1303" s="43" t="e">
        <f>VLOOKUP($A1303,'[2]Team lists'!$A$2:$L$800,2,FALSE)</f>
        <v>#N/A</v>
      </c>
      <c r="C1303" s="43" t="e">
        <f>VLOOKUP($A1303,'[2]Team lists'!$A$2:$L$800,3,FALSE)</f>
        <v>#N/A</v>
      </c>
      <c r="D1303" s="43" t="e">
        <f>VLOOKUP($A1303,'[2]Team lists'!$A$2:$L$800,4,FALSE)</f>
        <v>#N/A</v>
      </c>
      <c r="E1303" s="43" t="e">
        <f>VLOOKUP($A1303,'[2]Team lists'!$A$2:$L$800,5,FALSE)</f>
        <v>#N/A</v>
      </c>
      <c r="F1303" s="43" t="e">
        <f>VLOOKUP($A1303,'[2]Team lists'!$A$2:$L$800,6,FALSE)</f>
        <v>#N/A</v>
      </c>
      <c r="G1303" s="43" t="e">
        <f>VLOOKUP($A1303,'[2]Team lists'!$A$2:$L$800,7,FALSE)</f>
        <v>#N/A</v>
      </c>
      <c r="H1303" s="43" t="e">
        <f>VLOOKUP($A1303,'[2]Team lists'!$A$2:$L$800,8,FALSE)</f>
        <v>#N/A</v>
      </c>
      <c r="I1303" s="43" t="e">
        <f>VLOOKUP($A1303,'[2]Team lists'!$A$2:$L$800,9,FALSE)</f>
        <v>#N/A</v>
      </c>
      <c r="J1303" s="43" t="e">
        <f>VLOOKUP($A1303,'[2]Team lists'!$A$2:$L$800,9,FALSE)</f>
        <v>#N/A</v>
      </c>
      <c r="K1303" s="43" t="e">
        <f>VLOOKUP($A1303,'[2]Team lists'!$A$2:$L$800,10,FALSE)</f>
        <v>#N/A</v>
      </c>
      <c r="L1303" s="43" t="e">
        <f>VLOOKUP($A1303,'[2]Team lists'!$A$2:$L$800,11,FALSE)</f>
        <v>#N/A</v>
      </c>
    </row>
    <row r="1304" spans="2:13">
      <c r="B1304" s="43" t="e">
        <f>VLOOKUP($A1304,'[2]Team lists'!$A$2:$L$800,2,FALSE)</f>
        <v>#N/A</v>
      </c>
      <c r="C1304" s="43" t="e">
        <f>VLOOKUP($A1304,'[2]Team lists'!$A$2:$L$800,3,FALSE)</f>
        <v>#N/A</v>
      </c>
      <c r="D1304" s="43" t="e">
        <f>VLOOKUP($A1304,'[2]Team lists'!$A$2:$L$800,4,FALSE)</f>
        <v>#N/A</v>
      </c>
      <c r="E1304" s="43" t="e">
        <f>VLOOKUP($A1304,'[2]Team lists'!$A$2:$L$800,5,FALSE)</f>
        <v>#N/A</v>
      </c>
      <c r="F1304" s="43" t="e">
        <f>VLOOKUP($A1304,'[2]Team lists'!$A$2:$L$800,6,FALSE)</f>
        <v>#N/A</v>
      </c>
      <c r="G1304" s="43" t="e">
        <f>VLOOKUP($A1304,'[2]Team lists'!$A$2:$L$800,7,FALSE)</f>
        <v>#N/A</v>
      </c>
      <c r="H1304" s="43" t="e">
        <f>VLOOKUP($A1304,'[2]Team lists'!$A$2:$L$800,8,FALSE)</f>
        <v>#N/A</v>
      </c>
      <c r="I1304" s="43" t="e">
        <f>VLOOKUP($A1304,'[2]Team lists'!$A$2:$L$800,9,FALSE)</f>
        <v>#N/A</v>
      </c>
      <c r="J1304" s="43" t="e">
        <f>VLOOKUP($A1304,'[2]Team lists'!$A$2:$L$800,9,FALSE)</f>
        <v>#N/A</v>
      </c>
      <c r="K1304" s="43" t="e">
        <f>VLOOKUP($A1304,'[2]Team lists'!$A$2:$L$800,10,FALSE)</f>
        <v>#N/A</v>
      </c>
      <c r="L1304" s="43" t="e">
        <f>VLOOKUP($A1304,'[2]Team lists'!$A$2:$L$800,11,FALSE)</f>
        <v>#N/A</v>
      </c>
    </row>
    <row r="1305" spans="2:13">
      <c r="B1305" s="43" t="e">
        <f>VLOOKUP($A1305,'[2]Team lists'!$A$2:$L$800,2,FALSE)</f>
        <v>#N/A</v>
      </c>
      <c r="C1305" s="43" t="e">
        <f>VLOOKUP($A1305,'[2]Team lists'!$A$2:$L$800,3,FALSE)</f>
        <v>#N/A</v>
      </c>
      <c r="D1305" s="43" t="e">
        <f>VLOOKUP($A1305,'[2]Team lists'!$A$2:$L$800,4,FALSE)</f>
        <v>#N/A</v>
      </c>
      <c r="E1305" s="43" t="e">
        <f>VLOOKUP($A1305,'[2]Team lists'!$A$2:$L$800,5,FALSE)</f>
        <v>#N/A</v>
      </c>
      <c r="F1305" s="43" t="e">
        <f>VLOOKUP($A1305,'[2]Team lists'!$A$2:$L$800,6,FALSE)</f>
        <v>#N/A</v>
      </c>
      <c r="G1305" s="43" t="e">
        <f>VLOOKUP($A1305,'[2]Team lists'!$A$2:$L$800,7,FALSE)</f>
        <v>#N/A</v>
      </c>
      <c r="H1305" s="43" t="e">
        <f>VLOOKUP($A1305,'[2]Team lists'!$A$2:$L$800,8,FALSE)</f>
        <v>#N/A</v>
      </c>
      <c r="I1305" s="43" t="e">
        <f>VLOOKUP($A1305,'[2]Team lists'!$A$2:$L$800,9,FALSE)</f>
        <v>#N/A</v>
      </c>
      <c r="J1305" s="43" t="e">
        <f>VLOOKUP($A1305,'[2]Team lists'!$A$2:$L$800,9,FALSE)</f>
        <v>#N/A</v>
      </c>
      <c r="K1305" s="43" t="e">
        <f>VLOOKUP($A1305,'[2]Team lists'!$A$2:$L$800,10,FALSE)</f>
        <v>#N/A</v>
      </c>
      <c r="L1305" s="43" t="e">
        <f>VLOOKUP($A1305,'[2]Team lists'!$A$2:$L$800,11,FALSE)</f>
        <v>#N/A</v>
      </c>
    </row>
    <row r="1306" spans="2:13">
      <c r="B1306" s="43" t="e">
        <f>VLOOKUP($A1306,'[2]Team lists'!$A$2:$L$800,2,FALSE)</f>
        <v>#N/A</v>
      </c>
      <c r="C1306" s="43" t="e">
        <f>VLOOKUP($A1306,'[2]Team lists'!$A$2:$L$800,3,FALSE)</f>
        <v>#N/A</v>
      </c>
      <c r="D1306" s="43" t="e">
        <f>VLOOKUP($A1306,'[2]Team lists'!$A$2:$L$800,4,FALSE)</f>
        <v>#N/A</v>
      </c>
      <c r="E1306" s="43" t="e">
        <f>VLOOKUP($A1306,'[2]Team lists'!$A$2:$L$800,5,FALSE)</f>
        <v>#N/A</v>
      </c>
      <c r="F1306" s="43" t="e">
        <f>VLOOKUP($A1306,'[2]Team lists'!$A$2:$L$800,6,FALSE)</f>
        <v>#N/A</v>
      </c>
      <c r="G1306" s="43" t="e">
        <f>VLOOKUP($A1306,'[2]Team lists'!$A$2:$L$800,7,FALSE)</f>
        <v>#N/A</v>
      </c>
      <c r="H1306" s="43" t="e">
        <f>VLOOKUP($A1306,'[2]Team lists'!$A$2:$L$800,8,FALSE)</f>
        <v>#N/A</v>
      </c>
      <c r="I1306" s="43" t="e">
        <f>VLOOKUP($A1306,'[2]Team lists'!$A$2:$L$800,9,FALSE)</f>
        <v>#N/A</v>
      </c>
      <c r="J1306" s="43" t="e">
        <f>VLOOKUP($A1306,'[2]Team lists'!$A$2:$L$800,9,FALSE)</f>
        <v>#N/A</v>
      </c>
      <c r="K1306" s="43" t="e">
        <f>VLOOKUP($A1306,'[2]Team lists'!$A$2:$L$800,10,FALSE)</f>
        <v>#N/A</v>
      </c>
      <c r="L1306" s="43" t="e">
        <f>VLOOKUP($A1306,'[2]Team lists'!$A$2:$L$800,11,FALSE)</f>
        <v>#N/A</v>
      </c>
    </row>
    <row r="1307" spans="2:13">
      <c r="B1307" s="43" t="e">
        <f>VLOOKUP($A1307,'[2]Team lists'!$A$2:$L$800,2,FALSE)</f>
        <v>#N/A</v>
      </c>
      <c r="C1307" s="43" t="e">
        <f>VLOOKUP($A1307,'[2]Team lists'!$A$2:$L$800,3,FALSE)</f>
        <v>#N/A</v>
      </c>
      <c r="D1307" s="43" t="e">
        <f>VLOOKUP($A1307,'[2]Team lists'!$A$2:$L$800,4,FALSE)</f>
        <v>#N/A</v>
      </c>
      <c r="E1307" s="43" t="e">
        <f>VLOOKUP($A1307,'[2]Team lists'!$A$2:$L$800,5,FALSE)</f>
        <v>#N/A</v>
      </c>
      <c r="F1307" s="43" t="e">
        <f>VLOOKUP($A1307,'[2]Team lists'!$A$2:$L$800,6,FALSE)</f>
        <v>#N/A</v>
      </c>
      <c r="G1307" s="43" t="e">
        <f>VLOOKUP($A1307,'[2]Team lists'!$A$2:$L$800,7,FALSE)</f>
        <v>#N/A</v>
      </c>
      <c r="H1307" s="43" t="e">
        <f>VLOOKUP($A1307,'[2]Team lists'!$A$2:$L$800,8,FALSE)</f>
        <v>#N/A</v>
      </c>
      <c r="I1307" s="43" t="e">
        <f>VLOOKUP($A1307,'[2]Team lists'!$A$2:$L$800,9,FALSE)</f>
        <v>#N/A</v>
      </c>
      <c r="J1307" s="43" t="e">
        <f>VLOOKUP($A1307,'[2]Team lists'!$A$2:$L$800,9,FALSE)</f>
        <v>#N/A</v>
      </c>
      <c r="K1307" s="43" t="e">
        <f>VLOOKUP($A1307,'[2]Team lists'!$A$2:$L$800,10,FALSE)</f>
        <v>#N/A</v>
      </c>
      <c r="L1307" s="43" t="e">
        <f>VLOOKUP($A1307,'[2]Team lists'!$A$2:$L$800,11,FALSE)</f>
        <v>#N/A</v>
      </c>
    </row>
    <row r="1308" spans="2:13">
      <c r="B1308" s="43" t="e">
        <f>VLOOKUP($A1308,'[2]Team lists'!$A$2:$L$800,2,FALSE)</f>
        <v>#N/A</v>
      </c>
      <c r="C1308" s="43" t="e">
        <f>VLOOKUP($A1308,'[2]Team lists'!$A$2:$L$800,3,FALSE)</f>
        <v>#N/A</v>
      </c>
      <c r="D1308" s="43" t="e">
        <f>VLOOKUP($A1308,'[2]Team lists'!$A$2:$L$800,4,FALSE)</f>
        <v>#N/A</v>
      </c>
      <c r="E1308" s="43" t="e">
        <f>VLOOKUP($A1308,'[2]Team lists'!$A$2:$L$800,5,FALSE)</f>
        <v>#N/A</v>
      </c>
      <c r="F1308" s="43" t="e">
        <f>VLOOKUP($A1308,'[2]Team lists'!$A$2:$L$800,6,FALSE)</f>
        <v>#N/A</v>
      </c>
      <c r="G1308" s="43" t="e">
        <f>VLOOKUP($A1308,'[2]Team lists'!$A$2:$L$800,7,FALSE)</f>
        <v>#N/A</v>
      </c>
      <c r="H1308" s="43" t="e">
        <f>VLOOKUP($A1308,'[2]Team lists'!$A$2:$L$800,8,FALSE)</f>
        <v>#N/A</v>
      </c>
      <c r="I1308" s="43" t="e">
        <f>VLOOKUP($A1308,'[2]Team lists'!$A$2:$L$800,9,FALSE)</f>
        <v>#N/A</v>
      </c>
      <c r="J1308" s="43" t="e">
        <f>VLOOKUP($A1308,'[2]Team lists'!$A$2:$L$800,9,FALSE)</f>
        <v>#N/A</v>
      </c>
      <c r="K1308" s="43" t="e">
        <f>VLOOKUP($A1308,'[2]Team lists'!$A$2:$L$800,10,FALSE)</f>
        <v>#N/A</v>
      </c>
      <c r="L1308" s="43" t="e">
        <f>VLOOKUP($A1308,'[2]Team lists'!$A$2:$L$800,11,FALSE)</f>
        <v>#N/A</v>
      </c>
    </row>
    <row r="1309" spans="2:13">
      <c r="B1309" s="43" t="e">
        <f>VLOOKUP($A1309,'[2]Team lists'!$A$2:$L$800,2,FALSE)</f>
        <v>#N/A</v>
      </c>
      <c r="C1309" s="43" t="e">
        <f>VLOOKUP($A1309,'[2]Team lists'!$A$2:$L$800,3,FALSE)</f>
        <v>#N/A</v>
      </c>
      <c r="D1309" s="43" t="e">
        <f>VLOOKUP($A1309,'[2]Team lists'!$A$2:$L$800,4,FALSE)</f>
        <v>#N/A</v>
      </c>
      <c r="E1309" s="43" t="e">
        <f>VLOOKUP($A1309,'[2]Team lists'!$A$2:$L$800,5,FALSE)</f>
        <v>#N/A</v>
      </c>
      <c r="F1309" s="43" t="e">
        <f>VLOOKUP($A1309,'[2]Team lists'!$A$2:$L$800,6,FALSE)</f>
        <v>#N/A</v>
      </c>
      <c r="G1309" s="43" t="e">
        <f>VLOOKUP($A1309,'[2]Team lists'!$A$2:$L$800,7,FALSE)</f>
        <v>#N/A</v>
      </c>
      <c r="H1309" s="43" t="e">
        <f>VLOOKUP($A1309,'[2]Team lists'!$A$2:$L$800,8,FALSE)</f>
        <v>#N/A</v>
      </c>
      <c r="I1309" s="43" t="e">
        <f>VLOOKUP($A1309,'[2]Team lists'!$A$2:$L$800,9,FALSE)</f>
        <v>#N/A</v>
      </c>
      <c r="J1309" s="43" t="e">
        <f>VLOOKUP($A1309,'[2]Team lists'!$A$2:$L$800,9,FALSE)</f>
        <v>#N/A</v>
      </c>
      <c r="K1309" s="43" t="e">
        <f>VLOOKUP($A1309,'[2]Team lists'!$A$2:$L$800,10,FALSE)</f>
        <v>#N/A</v>
      </c>
      <c r="L1309" s="43" t="e">
        <f>VLOOKUP($A1309,'[2]Team lists'!$A$2:$L$800,11,FALSE)</f>
        <v>#N/A</v>
      </c>
    </row>
    <row r="1310" spans="2:13">
      <c r="B1310" s="43" t="e">
        <f>VLOOKUP($A1310,'[2]Team lists'!$A$2:$L$800,2,FALSE)</f>
        <v>#N/A</v>
      </c>
      <c r="C1310" s="43" t="e">
        <f>VLOOKUP($A1310,'[2]Team lists'!$A$2:$L$800,3,FALSE)</f>
        <v>#N/A</v>
      </c>
      <c r="D1310" s="43" t="e">
        <f>VLOOKUP($A1310,'[2]Team lists'!$A$2:$L$800,4,FALSE)</f>
        <v>#N/A</v>
      </c>
      <c r="E1310" s="43" t="e">
        <f>VLOOKUP($A1310,'[2]Team lists'!$A$2:$L$800,5,FALSE)</f>
        <v>#N/A</v>
      </c>
      <c r="F1310" s="43" t="e">
        <f>VLOOKUP($A1310,'[2]Team lists'!$A$2:$L$800,6,FALSE)</f>
        <v>#N/A</v>
      </c>
      <c r="G1310" s="43" t="e">
        <f>VLOOKUP($A1310,'[2]Team lists'!$A$2:$L$800,7,FALSE)</f>
        <v>#N/A</v>
      </c>
      <c r="H1310" s="43" t="e">
        <f>VLOOKUP($A1310,'[2]Team lists'!$A$2:$L$800,8,FALSE)</f>
        <v>#N/A</v>
      </c>
      <c r="I1310" s="43" t="e">
        <f>VLOOKUP($A1310,'[2]Team lists'!$A$2:$L$800,9,FALSE)</f>
        <v>#N/A</v>
      </c>
      <c r="J1310" s="43" t="e">
        <f>VLOOKUP($A1310,'[2]Team lists'!$A$2:$L$800,9,FALSE)</f>
        <v>#N/A</v>
      </c>
      <c r="K1310" s="43" t="e">
        <f>VLOOKUP($A1310,'[2]Team lists'!$A$2:$L$800,10,FALSE)</f>
        <v>#N/A</v>
      </c>
      <c r="L1310" s="43" t="e">
        <f>VLOOKUP($A1310,'[2]Team lists'!$A$2:$L$800,11,FALSE)</f>
        <v>#N/A</v>
      </c>
    </row>
    <row r="1311" spans="2:13" ht="18" thickBot="1">
      <c r="B1311" s="45" t="s">
        <v>3210</v>
      </c>
      <c r="C1311" s="46"/>
      <c r="D1311" s="47"/>
      <c r="E1311" s="48" t="e">
        <f t="shared" ref="E1311:L1311" si="81">SUM(E1300:E1310)</f>
        <v>#N/A</v>
      </c>
      <c r="F1311" s="49" t="e">
        <f t="shared" si="81"/>
        <v>#N/A</v>
      </c>
      <c r="G1311" s="49" t="e">
        <f t="shared" si="81"/>
        <v>#N/A</v>
      </c>
      <c r="H1311" s="49" t="e">
        <f t="shared" si="81"/>
        <v>#N/A</v>
      </c>
      <c r="I1311" s="49" t="e">
        <f t="shared" si="81"/>
        <v>#N/A</v>
      </c>
      <c r="J1311" s="49" t="e">
        <f t="shared" si="81"/>
        <v>#N/A</v>
      </c>
      <c r="K1311" s="49" t="e">
        <f t="shared" si="81"/>
        <v>#N/A</v>
      </c>
      <c r="L1311" s="50" t="e">
        <f t="shared" si="81"/>
        <v>#N/A</v>
      </c>
    </row>
    <row r="1312" spans="2:13" ht="18.600000000000001" thickTop="1" thickBot="1"/>
    <row r="1313" spans="2:13" ht="18" thickTop="1">
      <c r="B1313" s="23" t="s">
        <v>3204</v>
      </c>
      <c r="C1313" s="24" t="s">
        <v>3205</v>
      </c>
      <c r="D1313" s="25"/>
      <c r="E1313" s="25"/>
      <c r="F1313" s="53"/>
      <c r="G1313" s="28" t="s">
        <v>3206</v>
      </c>
      <c r="H1313" s="54"/>
      <c r="I1313" s="54"/>
      <c r="J1313" s="54"/>
      <c r="K1313" s="28" t="s">
        <v>3207</v>
      </c>
      <c r="L1313" s="29"/>
      <c r="M1313" s="22" t="str">
        <f>G1313</f>
        <v>Manager:</v>
      </c>
    </row>
    <row r="1314" spans="2:13" ht="18" thickBot="1">
      <c r="B1314" s="30">
        <v>83</v>
      </c>
      <c r="C1314" s="57"/>
      <c r="D1314" s="31"/>
      <c r="E1314" s="31"/>
      <c r="F1314" s="33"/>
      <c r="G1314" s="55"/>
      <c r="H1314" s="55"/>
      <c r="I1314" s="55"/>
      <c r="J1314" s="55"/>
      <c r="K1314" s="34" t="e">
        <f>SUM(F1327:L1327)</f>
        <v>#N/A</v>
      </c>
      <c r="L1314" s="35"/>
      <c r="M1314" s="22">
        <f>G1314</f>
        <v>0</v>
      </c>
    </row>
    <row r="1315" spans="2:13" ht="18.600000000000001" thickTop="1">
      <c r="B1315" s="58" t="s">
        <v>913</v>
      </c>
      <c r="C1315" s="59" t="s">
        <v>912</v>
      </c>
      <c r="D1315" s="60" t="s">
        <v>911</v>
      </c>
      <c r="E1315" s="61" t="s">
        <v>3209</v>
      </c>
      <c r="F1315" s="62" t="s">
        <v>3162</v>
      </c>
      <c r="G1315" s="62" t="s">
        <v>3163</v>
      </c>
      <c r="H1315" s="62" t="s">
        <v>3164</v>
      </c>
      <c r="I1315" s="62" t="s">
        <v>3165</v>
      </c>
      <c r="J1315" s="62" t="s">
        <v>3166</v>
      </c>
      <c r="K1315" s="62" t="s">
        <v>3167</v>
      </c>
      <c r="L1315" s="63" t="s">
        <v>3168</v>
      </c>
    </row>
    <row r="1316" spans="2:13">
      <c r="B1316" s="43" t="e">
        <f>VLOOKUP($A1316,'[2]Team lists'!$A$2:$L$800,2,FALSE)</f>
        <v>#N/A</v>
      </c>
      <c r="C1316" s="43" t="e">
        <f>VLOOKUP($A1316,'[2]Team lists'!$A$2:$L$800,3,FALSE)</f>
        <v>#N/A</v>
      </c>
      <c r="D1316" s="43" t="e">
        <f>VLOOKUP($A1316,'[2]Team lists'!$A$2:$L$800,4,FALSE)</f>
        <v>#N/A</v>
      </c>
      <c r="E1316" s="43" t="e">
        <f>VLOOKUP($A1316,'[2]Team lists'!$A$2:$L$800,5,FALSE)</f>
        <v>#N/A</v>
      </c>
      <c r="F1316" s="43" t="e">
        <f>VLOOKUP($A1316,'[2]Team lists'!$A$2:$L$800,6,FALSE)</f>
        <v>#N/A</v>
      </c>
      <c r="G1316" s="43" t="e">
        <f>VLOOKUP($A1316,'[2]Team lists'!$A$2:$L$800,7,FALSE)</f>
        <v>#N/A</v>
      </c>
      <c r="H1316" s="43" t="e">
        <f>VLOOKUP($A1316,'[2]Team lists'!$A$2:$L$800,8,FALSE)</f>
        <v>#N/A</v>
      </c>
      <c r="I1316" s="43" t="e">
        <f>VLOOKUP($A1316,'[2]Team lists'!$A$2:$L$800,9,FALSE)</f>
        <v>#N/A</v>
      </c>
      <c r="J1316" s="43" t="e">
        <f>VLOOKUP($A1316,'[2]Team lists'!$A$2:$L$800,9,FALSE)</f>
        <v>#N/A</v>
      </c>
      <c r="K1316" s="43" t="e">
        <f>VLOOKUP($A1316,'[2]Team lists'!$A$2:$L$800,10,FALSE)</f>
        <v>#N/A</v>
      </c>
      <c r="L1316" s="43" t="e">
        <f>VLOOKUP($A1316,'[2]Team lists'!$A$2:$L$800,11,FALSE)</f>
        <v>#N/A</v>
      </c>
    </row>
    <row r="1317" spans="2:13">
      <c r="B1317" s="43" t="e">
        <f>VLOOKUP($A1317,'[2]Team lists'!$A$2:$L$800,2,FALSE)</f>
        <v>#N/A</v>
      </c>
      <c r="C1317" s="43" t="e">
        <f>VLOOKUP($A1317,'[2]Team lists'!$A$2:$L$800,3,FALSE)</f>
        <v>#N/A</v>
      </c>
      <c r="D1317" s="43" t="e">
        <f>VLOOKUP($A1317,'[2]Team lists'!$A$2:$L$800,4,FALSE)</f>
        <v>#N/A</v>
      </c>
      <c r="E1317" s="43" t="e">
        <f>VLOOKUP($A1317,'[2]Team lists'!$A$2:$L$800,5,FALSE)</f>
        <v>#N/A</v>
      </c>
      <c r="F1317" s="43" t="e">
        <f>VLOOKUP($A1317,'[2]Team lists'!$A$2:$L$800,6,FALSE)</f>
        <v>#N/A</v>
      </c>
      <c r="G1317" s="43" t="e">
        <f>VLOOKUP($A1317,'[2]Team lists'!$A$2:$L$800,7,FALSE)</f>
        <v>#N/A</v>
      </c>
      <c r="H1317" s="43" t="e">
        <f>VLOOKUP($A1317,'[2]Team lists'!$A$2:$L$800,8,FALSE)</f>
        <v>#N/A</v>
      </c>
      <c r="I1317" s="43" t="e">
        <f>VLOOKUP($A1317,'[2]Team lists'!$A$2:$L$800,9,FALSE)</f>
        <v>#N/A</v>
      </c>
      <c r="J1317" s="43" t="e">
        <f>VLOOKUP($A1317,'[2]Team lists'!$A$2:$L$800,9,FALSE)</f>
        <v>#N/A</v>
      </c>
      <c r="K1317" s="43" t="e">
        <f>VLOOKUP($A1317,'[2]Team lists'!$A$2:$L$800,10,FALSE)</f>
        <v>#N/A</v>
      </c>
      <c r="L1317" s="43" t="e">
        <f>VLOOKUP($A1317,'[2]Team lists'!$A$2:$L$800,11,FALSE)</f>
        <v>#N/A</v>
      </c>
    </row>
    <row r="1318" spans="2:13">
      <c r="B1318" s="43" t="e">
        <f>VLOOKUP($A1318,'[2]Team lists'!$A$2:$L$800,2,FALSE)</f>
        <v>#N/A</v>
      </c>
      <c r="C1318" s="43" t="e">
        <f>VLOOKUP($A1318,'[2]Team lists'!$A$2:$L$800,3,FALSE)</f>
        <v>#N/A</v>
      </c>
      <c r="D1318" s="43" t="e">
        <f>VLOOKUP($A1318,'[2]Team lists'!$A$2:$L$800,4,FALSE)</f>
        <v>#N/A</v>
      </c>
      <c r="E1318" s="43" t="e">
        <f>VLOOKUP($A1318,'[2]Team lists'!$A$2:$L$800,5,FALSE)</f>
        <v>#N/A</v>
      </c>
      <c r="F1318" s="43" t="e">
        <f>VLOOKUP($A1318,'[2]Team lists'!$A$2:$L$800,6,FALSE)</f>
        <v>#N/A</v>
      </c>
      <c r="G1318" s="43" t="e">
        <f>VLOOKUP($A1318,'[2]Team lists'!$A$2:$L$800,7,FALSE)</f>
        <v>#N/A</v>
      </c>
      <c r="H1318" s="43" t="e">
        <f>VLOOKUP($A1318,'[2]Team lists'!$A$2:$L$800,8,FALSE)</f>
        <v>#N/A</v>
      </c>
      <c r="I1318" s="43" t="e">
        <f>VLOOKUP($A1318,'[2]Team lists'!$A$2:$L$800,9,FALSE)</f>
        <v>#N/A</v>
      </c>
      <c r="J1318" s="43" t="e">
        <f>VLOOKUP($A1318,'[2]Team lists'!$A$2:$L$800,9,FALSE)</f>
        <v>#N/A</v>
      </c>
      <c r="K1318" s="43" t="e">
        <f>VLOOKUP($A1318,'[2]Team lists'!$A$2:$L$800,10,FALSE)</f>
        <v>#N/A</v>
      </c>
      <c r="L1318" s="43" t="e">
        <f>VLOOKUP($A1318,'[2]Team lists'!$A$2:$L$800,11,FALSE)</f>
        <v>#N/A</v>
      </c>
    </row>
    <row r="1319" spans="2:13">
      <c r="B1319" s="43" t="e">
        <f>VLOOKUP($A1319,'[2]Team lists'!$A$2:$L$800,2,FALSE)</f>
        <v>#N/A</v>
      </c>
      <c r="C1319" s="43" t="e">
        <f>VLOOKUP($A1319,'[2]Team lists'!$A$2:$L$800,3,FALSE)</f>
        <v>#N/A</v>
      </c>
      <c r="D1319" s="43" t="e">
        <f>VLOOKUP($A1319,'[2]Team lists'!$A$2:$L$800,4,FALSE)</f>
        <v>#N/A</v>
      </c>
      <c r="E1319" s="43" t="e">
        <f>VLOOKUP($A1319,'[2]Team lists'!$A$2:$L$800,5,FALSE)</f>
        <v>#N/A</v>
      </c>
      <c r="F1319" s="43" t="e">
        <f>VLOOKUP($A1319,'[2]Team lists'!$A$2:$L$800,6,FALSE)</f>
        <v>#N/A</v>
      </c>
      <c r="G1319" s="43" t="e">
        <f>VLOOKUP($A1319,'[2]Team lists'!$A$2:$L$800,7,FALSE)</f>
        <v>#N/A</v>
      </c>
      <c r="H1319" s="43" t="e">
        <f>VLOOKUP($A1319,'[2]Team lists'!$A$2:$L$800,8,FALSE)</f>
        <v>#N/A</v>
      </c>
      <c r="I1319" s="43" t="e">
        <f>VLOOKUP($A1319,'[2]Team lists'!$A$2:$L$800,9,FALSE)</f>
        <v>#N/A</v>
      </c>
      <c r="J1319" s="43" t="e">
        <f>VLOOKUP($A1319,'[2]Team lists'!$A$2:$L$800,9,FALSE)</f>
        <v>#N/A</v>
      </c>
      <c r="K1319" s="43" t="e">
        <f>VLOOKUP($A1319,'[2]Team lists'!$A$2:$L$800,10,FALSE)</f>
        <v>#N/A</v>
      </c>
      <c r="L1319" s="43" t="e">
        <f>VLOOKUP($A1319,'[2]Team lists'!$A$2:$L$800,11,FALSE)</f>
        <v>#N/A</v>
      </c>
    </row>
    <row r="1320" spans="2:13">
      <c r="B1320" s="43" t="e">
        <f>VLOOKUP($A1320,'[2]Team lists'!$A$2:$L$800,2,FALSE)</f>
        <v>#N/A</v>
      </c>
      <c r="C1320" s="43" t="e">
        <f>VLOOKUP($A1320,'[2]Team lists'!$A$2:$L$800,3,FALSE)</f>
        <v>#N/A</v>
      </c>
      <c r="D1320" s="43" t="e">
        <f>VLOOKUP($A1320,'[2]Team lists'!$A$2:$L$800,4,FALSE)</f>
        <v>#N/A</v>
      </c>
      <c r="E1320" s="43" t="e">
        <f>VLOOKUP($A1320,'[2]Team lists'!$A$2:$L$800,5,FALSE)</f>
        <v>#N/A</v>
      </c>
      <c r="F1320" s="43" t="e">
        <f>VLOOKUP($A1320,'[2]Team lists'!$A$2:$L$800,6,FALSE)</f>
        <v>#N/A</v>
      </c>
      <c r="G1320" s="43" t="e">
        <f>VLOOKUP($A1320,'[2]Team lists'!$A$2:$L$800,7,FALSE)</f>
        <v>#N/A</v>
      </c>
      <c r="H1320" s="43" t="e">
        <f>VLOOKUP($A1320,'[2]Team lists'!$A$2:$L$800,8,FALSE)</f>
        <v>#N/A</v>
      </c>
      <c r="I1320" s="43" t="e">
        <f>VLOOKUP($A1320,'[2]Team lists'!$A$2:$L$800,9,FALSE)</f>
        <v>#N/A</v>
      </c>
      <c r="J1320" s="43" t="e">
        <f>VLOOKUP($A1320,'[2]Team lists'!$A$2:$L$800,9,FALSE)</f>
        <v>#N/A</v>
      </c>
      <c r="K1320" s="43" t="e">
        <f>VLOOKUP($A1320,'[2]Team lists'!$A$2:$L$800,10,FALSE)</f>
        <v>#N/A</v>
      </c>
      <c r="L1320" s="43" t="e">
        <f>VLOOKUP($A1320,'[2]Team lists'!$A$2:$L$800,11,FALSE)</f>
        <v>#N/A</v>
      </c>
    </row>
    <row r="1321" spans="2:13">
      <c r="B1321" s="43" t="e">
        <f>VLOOKUP($A1321,'[2]Team lists'!$A$2:$L$800,2,FALSE)</f>
        <v>#N/A</v>
      </c>
      <c r="C1321" s="43" t="e">
        <f>VLOOKUP($A1321,'[2]Team lists'!$A$2:$L$800,3,FALSE)</f>
        <v>#N/A</v>
      </c>
      <c r="D1321" s="43" t="e">
        <f>VLOOKUP($A1321,'[2]Team lists'!$A$2:$L$800,4,FALSE)</f>
        <v>#N/A</v>
      </c>
      <c r="E1321" s="43" t="e">
        <f>VLOOKUP($A1321,'[2]Team lists'!$A$2:$L$800,5,FALSE)</f>
        <v>#N/A</v>
      </c>
      <c r="F1321" s="43" t="e">
        <f>VLOOKUP($A1321,'[2]Team lists'!$A$2:$L$800,6,FALSE)</f>
        <v>#N/A</v>
      </c>
      <c r="G1321" s="43" t="e">
        <f>VLOOKUP($A1321,'[2]Team lists'!$A$2:$L$800,7,FALSE)</f>
        <v>#N/A</v>
      </c>
      <c r="H1321" s="43" t="e">
        <f>VLOOKUP($A1321,'[2]Team lists'!$A$2:$L$800,8,FALSE)</f>
        <v>#N/A</v>
      </c>
      <c r="I1321" s="43" t="e">
        <f>VLOOKUP($A1321,'[2]Team lists'!$A$2:$L$800,9,FALSE)</f>
        <v>#N/A</v>
      </c>
      <c r="J1321" s="43" t="e">
        <f>VLOOKUP($A1321,'[2]Team lists'!$A$2:$L$800,9,FALSE)</f>
        <v>#N/A</v>
      </c>
      <c r="K1321" s="43" t="e">
        <f>VLOOKUP($A1321,'[2]Team lists'!$A$2:$L$800,10,FALSE)</f>
        <v>#N/A</v>
      </c>
      <c r="L1321" s="43" t="e">
        <f>VLOOKUP($A1321,'[2]Team lists'!$A$2:$L$800,11,FALSE)</f>
        <v>#N/A</v>
      </c>
    </row>
    <row r="1322" spans="2:13">
      <c r="B1322" s="43" t="e">
        <f>VLOOKUP($A1322,'[2]Team lists'!$A$2:$L$800,2,FALSE)</f>
        <v>#N/A</v>
      </c>
      <c r="C1322" s="43" t="e">
        <f>VLOOKUP($A1322,'[2]Team lists'!$A$2:$L$800,3,FALSE)</f>
        <v>#N/A</v>
      </c>
      <c r="D1322" s="43" t="e">
        <f>VLOOKUP($A1322,'[2]Team lists'!$A$2:$L$800,4,FALSE)</f>
        <v>#N/A</v>
      </c>
      <c r="E1322" s="43" t="e">
        <f>VLOOKUP($A1322,'[2]Team lists'!$A$2:$L$800,5,FALSE)</f>
        <v>#N/A</v>
      </c>
      <c r="F1322" s="43" t="e">
        <f>VLOOKUP($A1322,'[2]Team lists'!$A$2:$L$800,6,FALSE)</f>
        <v>#N/A</v>
      </c>
      <c r="G1322" s="43" t="e">
        <f>VLOOKUP($A1322,'[2]Team lists'!$A$2:$L$800,7,FALSE)</f>
        <v>#N/A</v>
      </c>
      <c r="H1322" s="43" t="e">
        <f>VLOOKUP($A1322,'[2]Team lists'!$A$2:$L$800,8,FALSE)</f>
        <v>#N/A</v>
      </c>
      <c r="I1322" s="43" t="e">
        <f>VLOOKUP($A1322,'[2]Team lists'!$A$2:$L$800,9,FALSE)</f>
        <v>#N/A</v>
      </c>
      <c r="J1322" s="43" t="e">
        <f>VLOOKUP($A1322,'[2]Team lists'!$A$2:$L$800,9,FALSE)</f>
        <v>#N/A</v>
      </c>
      <c r="K1322" s="43" t="e">
        <f>VLOOKUP($A1322,'[2]Team lists'!$A$2:$L$800,10,FALSE)</f>
        <v>#N/A</v>
      </c>
      <c r="L1322" s="43" t="e">
        <f>VLOOKUP($A1322,'[2]Team lists'!$A$2:$L$800,11,FALSE)</f>
        <v>#N/A</v>
      </c>
    </row>
    <row r="1323" spans="2:13">
      <c r="B1323" s="43" t="e">
        <f>VLOOKUP($A1323,'[2]Team lists'!$A$2:$L$800,2,FALSE)</f>
        <v>#N/A</v>
      </c>
      <c r="C1323" s="43" t="e">
        <f>VLOOKUP($A1323,'[2]Team lists'!$A$2:$L$800,3,FALSE)</f>
        <v>#N/A</v>
      </c>
      <c r="D1323" s="43" t="e">
        <f>VLOOKUP($A1323,'[2]Team lists'!$A$2:$L$800,4,FALSE)</f>
        <v>#N/A</v>
      </c>
      <c r="E1323" s="43" t="e">
        <f>VLOOKUP($A1323,'[2]Team lists'!$A$2:$L$800,5,FALSE)</f>
        <v>#N/A</v>
      </c>
      <c r="F1323" s="43" t="e">
        <f>VLOOKUP($A1323,'[2]Team lists'!$A$2:$L$800,6,FALSE)</f>
        <v>#N/A</v>
      </c>
      <c r="G1323" s="43" t="e">
        <f>VLOOKUP($A1323,'[2]Team lists'!$A$2:$L$800,7,FALSE)</f>
        <v>#N/A</v>
      </c>
      <c r="H1323" s="43" t="e">
        <f>VLOOKUP($A1323,'[2]Team lists'!$A$2:$L$800,8,FALSE)</f>
        <v>#N/A</v>
      </c>
      <c r="I1323" s="43" t="e">
        <f>VLOOKUP($A1323,'[2]Team lists'!$A$2:$L$800,9,FALSE)</f>
        <v>#N/A</v>
      </c>
      <c r="J1323" s="43" t="e">
        <f>VLOOKUP($A1323,'[2]Team lists'!$A$2:$L$800,9,FALSE)</f>
        <v>#N/A</v>
      </c>
      <c r="K1323" s="43" t="e">
        <f>VLOOKUP($A1323,'[2]Team lists'!$A$2:$L$800,10,FALSE)</f>
        <v>#N/A</v>
      </c>
      <c r="L1323" s="43" t="e">
        <f>VLOOKUP($A1323,'[2]Team lists'!$A$2:$L$800,11,FALSE)</f>
        <v>#N/A</v>
      </c>
    </row>
    <row r="1324" spans="2:13">
      <c r="B1324" s="43" t="e">
        <f>VLOOKUP($A1324,'[2]Team lists'!$A$2:$L$800,2,FALSE)</f>
        <v>#N/A</v>
      </c>
      <c r="C1324" s="43" t="e">
        <f>VLOOKUP($A1324,'[2]Team lists'!$A$2:$L$800,3,FALSE)</f>
        <v>#N/A</v>
      </c>
      <c r="D1324" s="43" t="e">
        <f>VLOOKUP($A1324,'[2]Team lists'!$A$2:$L$800,4,FALSE)</f>
        <v>#N/A</v>
      </c>
      <c r="E1324" s="43" t="e">
        <f>VLOOKUP($A1324,'[2]Team lists'!$A$2:$L$800,5,FALSE)</f>
        <v>#N/A</v>
      </c>
      <c r="F1324" s="43" t="e">
        <f>VLOOKUP($A1324,'[2]Team lists'!$A$2:$L$800,6,FALSE)</f>
        <v>#N/A</v>
      </c>
      <c r="G1324" s="43" t="e">
        <f>VLOOKUP($A1324,'[2]Team lists'!$A$2:$L$800,7,FALSE)</f>
        <v>#N/A</v>
      </c>
      <c r="H1324" s="43" t="e">
        <f>VLOOKUP($A1324,'[2]Team lists'!$A$2:$L$800,8,FALSE)</f>
        <v>#N/A</v>
      </c>
      <c r="I1324" s="43" t="e">
        <f>VLOOKUP($A1324,'[2]Team lists'!$A$2:$L$800,9,FALSE)</f>
        <v>#N/A</v>
      </c>
      <c r="J1324" s="43" t="e">
        <f>VLOOKUP($A1324,'[2]Team lists'!$A$2:$L$800,9,FALSE)</f>
        <v>#N/A</v>
      </c>
      <c r="K1324" s="43" t="e">
        <f>VLOOKUP($A1324,'[2]Team lists'!$A$2:$L$800,10,FALSE)</f>
        <v>#N/A</v>
      </c>
      <c r="L1324" s="43" t="e">
        <f>VLOOKUP($A1324,'[2]Team lists'!$A$2:$L$800,11,FALSE)</f>
        <v>#N/A</v>
      </c>
    </row>
    <row r="1325" spans="2:13">
      <c r="B1325" s="43" t="e">
        <f>VLOOKUP($A1325,'[2]Team lists'!$A$2:$L$800,2,FALSE)</f>
        <v>#N/A</v>
      </c>
      <c r="C1325" s="43" t="e">
        <f>VLOOKUP($A1325,'[2]Team lists'!$A$2:$L$800,3,FALSE)</f>
        <v>#N/A</v>
      </c>
      <c r="D1325" s="43" t="e">
        <f>VLOOKUP($A1325,'[2]Team lists'!$A$2:$L$800,4,FALSE)</f>
        <v>#N/A</v>
      </c>
      <c r="E1325" s="43" t="e">
        <f>VLOOKUP($A1325,'[2]Team lists'!$A$2:$L$800,5,FALSE)</f>
        <v>#N/A</v>
      </c>
      <c r="F1325" s="43" t="e">
        <f>VLOOKUP($A1325,'[2]Team lists'!$A$2:$L$800,6,FALSE)</f>
        <v>#N/A</v>
      </c>
      <c r="G1325" s="43" t="e">
        <f>VLOOKUP($A1325,'[2]Team lists'!$A$2:$L$800,7,FALSE)</f>
        <v>#N/A</v>
      </c>
      <c r="H1325" s="43" t="e">
        <f>VLOOKUP($A1325,'[2]Team lists'!$A$2:$L$800,8,FALSE)</f>
        <v>#N/A</v>
      </c>
      <c r="I1325" s="43" t="e">
        <f>VLOOKUP($A1325,'[2]Team lists'!$A$2:$L$800,9,FALSE)</f>
        <v>#N/A</v>
      </c>
      <c r="J1325" s="43" t="e">
        <f>VLOOKUP($A1325,'[2]Team lists'!$A$2:$L$800,9,FALSE)</f>
        <v>#N/A</v>
      </c>
      <c r="K1325" s="43" t="e">
        <f>VLOOKUP($A1325,'[2]Team lists'!$A$2:$L$800,10,FALSE)</f>
        <v>#N/A</v>
      </c>
      <c r="L1325" s="43" t="e">
        <f>VLOOKUP($A1325,'[2]Team lists'!$A$2:$L$800,11,FALSE)</f>
        <v>#N/A</v>
      </c>
    </row>
    <row r="1326" spans="2:13">
      <c r="B1326" s="43" t="e">
        <f>VLOOKUP($A1326,'[2]Team lists'!$A$2:$L$800,2,FALSE)</f>
        <v>#N/A</v>
      </c>
      <c r="C1326" s="43" t="e">
        <f>VLOOKUP($A1326,'[2]Team lists'!$A$2:$L$800,3,FALSE)</f>
        <v>#N/A</v>
      </c>
      <c r="D1326" s="43" t="e">
        <f>VLOOKUP($A1326,'[2]Team lists'!$A$2:$L$800,4,FALSE)</f>
        <v>#N/A</v>
      </c>
      <c r="E1326" s="43" t="e">
        <f>VLOOKUP($A1326,'[2]Team lists'!$A$2:$L$800,5,FALSE)</f>
        <v>#N/A</v>
      </c>
      <c r="F1326" s="43" t="e">
        <f>VLOOKUP($A1326,'[2]Team lists'!$A$2:$L$800,6,FALSE)</f>
        <v>#N/A</v>
      </c>
      <c r="G1326" s="43" t="e">
        <f>VLOOKUP($A1326,'[2]Team lists'!$A$2:$L$800,7,FALSE)</f>
        <v>#N/A</v>
      </c>
      <c r="H1326" s="43" t="e">
        <f>VLOOKUP($A1326,'[2]Team lists'!$A$2:$L$800,8,FALSE)</f>
        <v>#N/A</v>
      </c>
      <c r="I1326" s="43" t="e">
        <f>VLOOKUP($A1326,'[2]Team lists'!$A$2:$L$800,9,FALSE)</f>
        <v>#N/A</v>
      </c>
      <c r="J1326" s="43" t="e">
        <f>VLOOKUP($A1326,'[2]Team lists'!$A$2:$L$800,9,FALSE)</f>
        <v>#N/A</v>
      </c>
      <c r="K1326" s="43" t="e">
        <f>VLOOKUP($A1326,'[2]Team lists'!$A$2:$L$800,10,FALSE)</f>
        <v>#N/A</v>
      </c>
      <c r="L1326" s="43" t="e">
        <f>VLOOKUP($A1326,'[2]Team lists'!$A$2:$L$800,11,FALSE)</f>
        <v>#N/A</v>
      </c>
    </row>
    <row r="1327" spans="2:13" ht="18" thickBot="1">
      <c r="B1327" s="45" t="s">
        <v>3210</v>
      </c>
      <c r="C1327" s="46"/>
      <c r="D1327" s="47"/>
      <c r="E1327" s="48" t="e">
        <f t="shared" ref="E1327:L1327" si="82">SUM(E1316:E1326)</f>
        <v>#N/A</v>
      </c>
      <c r="F1327" s="49" t="e">
        <f t="shared" si="82"/>
        <v>#N/A</v>
      </c>
      <c r="G1327" s="49" t="e">
        <f t="shared" si="82"/>
        <v>#N/A</v>
      </c>
      <c r="H1327" s="49" t="e">
        <f t="shared" si="82"/>
        <v>#N/A</v>
      </c>
      <c r="I1327" s="49" t="e">
        <f t="shared" si="82"/>
        <v>#N/A</v>
      </c>
      <c r="J1327" s="49" t="e">
        <f t="shared" si="82"/>
        <v>#N/A</v>
      </c>
      <c r="K1327" s="49" t="e">
        <f t="shared" si="82"/>
        <v>#N/A</v>
      </c>
      <c r="L1327" s="50" t="e">
        <f t="shared" si="82"/>
        <v>#N/A</v>
      </c>
    </row>
    <row r="1328" spans="2:13" ht="18.600000000000001" thickTop="1" thickBot="1"/>
    <row r="1329" spans="2:13" ht="18" thickTop="1">
      <c r="B1329" s="23" t="s">
        <v>3204</v>
      </c>
      <c r="C1329" s="24" t="s">
        <v>3205</v>
      </c>
      <c r="D1329" s="25"/>
      <c r="E1329" s="25"/>
      <c r="F1329" s="53"/>
      <c r="G1329" s="28" t="s">
        <v>3206</v>
      </c>
      <c r="H1329" s="54"/>
      <c r="I1329" s="54"/>
      <c r="J1329" s="54"/>
      <c r="K1329" s="28" t="s">
        <v>3207</v>
      </c>
      <c r="L1329" s="29"/>
      <c r="M1329" s="22" t="str">
        <f>G1329</f>
        <v>Manager:</v>
      </c>
    </row>
    <row r="1330" spans="2:13" ht="18" thickBot="1">
      <c r="B1330" s="30">
        <v>84</v>
      </c>
      <c r="C1330" s="57"/>
      <c r="D1330" s="31"/>
      <c r="E1330" s="31"/>
      <c r="F1330" s="33"/>
      <c r="G1330" s="55"/>
      <c r="H1330" s="55"/>
      <c r="I1330" s="55"/>
      <c r="J1330" s="55"/>
      <c r="K1330" s="34" t="e">
        <f>SUM(F1343:L1343)</f>
        <v>#N/A</v>
      </c>
      <c r="L1330" s="35"/>
      <c r="M1330" s="22">
        <f>G1330</f>
        <v>0</v>
      </c>
    </row>
    <row r="1331" spans="2:13" ht="18.600000000000001" thickTop="1">
      <c r="B1331" s="58" t="s">
        <v>913</v>
      </c>
      <c r="C1331" s="59" t="s">
        <v>912</v>
      </c>
      <c r="D1331" s="60" t="s">
        <v>911</v>
      </c>
      <c r="E1331" s="61" t="s">
        <v>3209</v>
      </c>
      <c r="F1331" s="62" t="s">
        <v>3162</v>
      </c>
      <c r="G1331" s="62" t="s">
        <v>3163</v>
      </c>
      <c r="H1331" s="62" t="s">
        <v>3164</v>
      </c>
      <c r="I1331" s="62" t="s">
        <v>3165</v>
      </c>
      <c r="J1331" s="62" t="s">
        <v>3166</v>
      </c>
      <c r="K1331" s="62" t="s">
        <v>3167</v>
      </c>
      <c r="L1331" s="63" t="s">
        <v>3168</v>
      </c>
    </row>
    <row r="1332" spans="2:13">
      <c r="B1332" s="43" t="e">
        <f>VLOOKUP($A1332,'[2]Team lists'!$A$2:$L$800,2,FALSE)</f>
        <v>#N/A</v>
      </c>
      <c r="C1332" s="43" t="e">
        <f>VLOOKUP($A1332,'[2]Team lists'!$A$2:$L$800,3,FALSE)</f>
        <v>#N/A</v>
      </c>
      <c r="D1332" s="43" t="e">
        <f>VLOOKUP($A1332,'[2]Team lists'!$A$2:$L$800,4,FALSE)</f>
        <v>#N/A</v>
      </c>
      <c r="E1332" s="43" t="e">
        <f>VLOOKUP($A1332,'[2]Team lists'!$A$2:$L$800,5,FALSE)</f>
        <v>#N/A</v>
      </c>
      <c r="F1332" s="43" t="e">
        <f>VLOOKUP($A1332,'[2]Team lists'!$A$2:$L$800,6,FALSE)</f>
        <v>#N/A</v>
      </c>
      <c r="G1332" s="43" t="e">
        <f>VLOOKUP($A1332,'[2]Team lists'!$A$2:$L$800,7,FALSE)</f>
        <v>#N/A</v>
      </c>
      <c r="H1332" s="43" t="e">
        <f>VLOOKUP($A1332,'[2]Team lists'!$A$2:$L$800,8,FALSE)</f>
        <v>#N/A</v>
      </c>
      <c r="I1332" s="43" t="e">
        <f>VLOOKUP($A1332,'[2]Team lists'!$A$2:$L$800,9,FALSE)</f>
        <v>#N/A</v>
      </c>
      <c r="J1332" s="43" t="e">
        <f>VLOOKUP($A1332,'[2]Team lists'!$A$2:$L$800,9,FALSE)</f>
        <v>#N/A</v>
      </c>
      <c r="K1332" s="43" t="e">
        <f>VLOOKUP($A1332,'[2]Team lists'!$A$2:$L$800,10,FALSE)</f>
        <v>#N/A</v>
      </c>
      <c r="L1332" s="43" t="e">
        <f>VLOOKUP($A1332,'[2]Team lists'!$A$2:$L$800,11,FALSE)</f>
        <v>#N/A</v>
      </c>
    </row>
    <row r="1333" spans="2:13">
      <c r="B1333" s="43" t="e">
        <f>VLOOKUP($A1333,'[2]Team lists'!$A$2:$L$800,2,FALSE)</f>
        <v>#N/A</v>
      </c>
      <c r="C1333" s="43" t="e">
        <f>VLOOKUP($A1333,'[2]Team lists'!$A$2:$L$800,3,FALSE)</f>
        <v>#N/A</v>
      </c>
      <c r="D1333" s="43" t="e">
        <f>VLOOKUP($A1333,'[2]Team lists'!$A$2:$L$800,4,FALSE)</f>
        <v>#N/A</v>
      </c>
      <c r="E1333" s="43" t="e">
        <f>VLOOKUP($A1333,'[2]Team lists'!$A$2:$L$800,5,FALSE)</f>
        <v>#N/A</v>
      </c>
      <c r="F1333" s="43" t="e">
        <f>VLOOKUP($A1333,'[2]Team lists'!$A$2:$L$800,6,FALSE)</f>
        <v>#N/A</v>
      </c>
      <c r="G1333" s="43" t="e">
        <f>VLOOKUP($A1333,'[2]Team lists'!$A$2:$L$800,7,FALSE)</f>
        <v>#N/A</v>
      </c>
      <c r="H1333" s="43" t="e">
        <f>VLOOKUP($A1333,'[2]Team lists'!$A$2:$L$800,8,FALSE)</f>
        <v>#N/A</v>
      </c>
      <c r="I1333" s="43" t="e">
        <f>VLOOKUP($A1333,'[2]Team lists'!$A$2:$L$800,9,FALSE)</f>
        <v>#N/A</v>
      </c>
      <c r="J1333" s="43" t="e">
        <f>VLOOKUP($A1333,'[2]Team lists'!$A$2:$L$800,9,FALSE)</f>
        <v>#N/A</v>
      </c>
      <c r="K1333" s="43" t="e">
        <f>VLOOKUP($A1333,'[2]Team lists'!$A$2:$L$800,10,FALSE)</f>
        <v>#N/A</v>
      </c>
      <c r="L1333" s="43" t="e">
        <f>VLOOKUP($A1333,'[2]Team lists'!$A$2:$L$800,11,FALSE)</f>
        <v>#N/A</v>
      </c>
    </row>
    <row r="1334" spans="2:13">
      <c r="B1334" s="43" t="e">
        <f>VLOOKUP($A1334,'[2]Team lists'!$A$2:$L$800,2,FALSE)</f>
        <v>#N/A</v>
      </c>
      <c r="C1334" s="43" t="e">
        <f>VLOOKUP($A1334,'[2]Team lists'!$A$2:$L$800,3,FALSE)</f>
        <v>#N/A</v>
      </c>
      <c r="D1334" s="43" t="e">
        <f>VLOOKUP($A1334,'[2]Team lists'!$A$2:$L$800,4,FALSE)</f>
        <v>#N/A</v>
      </c>
      <c r="E1334" s="43" t="e">
        <f>VLOOKUP($A1334,'[2]Team lists'!$A$2:$L$800,5,FALSE)</f>
        <v>#N/A</v>
      </c>
      <c r="F1334" s="43" t="e">
        <f>VLOOKUP($A1334,'[2]Team lists'!$A$2:$L$800,6,FALSE)</f>
        <v>#N/A</v>
      </c>
      <c r="G1334" s="43" t="e">
        <f>VLOOKUP($A1334,'[2]Team lists'!$A$2:$L$800,7,FALSE)</f>
        <v>#N/A</v>
      </c>
      <c r="H1334" s="43" t="e">
        <f>VLOOKUP($A1334,'[2]Team lists'!$A$2:$L$800,8,FALSE)</f>
        <v>#N/A</v>
      </c>
      <c r="I1334" s="43" t="e">
        <f>VLOOKUP($A1334,'[2]Team lists'!$A$2:$L$800,9,FALSE)</f>
        <v>#N/A</v>
      </c>
      <c r="J1334" s="43" t="e">
        <f>VLOOKUP($A1334,'[2]Team lists'!$A$2:$L$800,9,FALSE)</f>
        <v>#N/A</v>
      </c>
      <c r="K1334" s="43" t="e">
        <f>VLOOKUP($A1334,'[2]Team lists'!$A$2:$L$800,10,FALSE)</f>
        <v>#N/A</v>
      </c>
      <c r="L1334" s="43" t="e">
        <f>VLOOKUP($A1334,'[2]Team lists'!$A$2:$L$800,11,FALSE)</f>
        <v>#N/A</v>
      </c>
    </row>
    <row r="1335" spans="2:13">
      <c r="B1335" s="43" t="e">
        <f>VLOOKUP($A1335,'[2]Team lists'!$A$2:$L$800,2,FALSE)</f>
        <v>#N/A</v>
      </c>
      <c r="C1335" s="43" t="e">
        <f>VLOOKUP($A1335,'[2]Team lists'!$A$2:$L$800,3,FALSE)</f>
        <v>#N/A</v>
      </c>
      <c r="D1335" s="43" t="e">
        <f>VLOOKUP($A1335,'[2]Team lists'!$A$2:$L$800,4,FALSE)</f>
        <v>#N/A</v>
      </c>
      <c r="E1335" s="43" t="e">
        <f>VLOOKUP($A1335,'[2]Team lists'!$A$2:$L$800,5,FALSE)</f>
        <v>#N/A</v>
      </c>
      <c r="F1335" s="43" t="e">
        <f>VLOOKUP($A1335,'[2]Team lists'!$A$2:$L$800,6,FALSE)</f>
        <v>#N/A</v>
      </c>
      <c r="G1335" s="43" t="e">
        <f>VLOOKUP($A1335,'[2]Team lists'!$A$2:$L$800,7,FALSE)</f>
        <v>#N/A</v>
      </c>
      <c r="H1335" s="43" t="e">
        <f>VLOOKUP($A1335,'[2]Team lists'!$A$2:$L$800,8,FALSE)</f>
        <v>#N/A</v>
      </c>
      <c r="I1335" s="43" t="e">
        <f>VLOOKUP($A1335,'[2]Team lists'!$A$2:$L$800,9,FALSE)</f>
        <v>#N/A</v>
      </c>
      <c r="J1335" s="43" t="e">
        <f>VLOOKUP($A1335,'[2]Team lists'!$A$2:$L$800,9,FALSE)</f>
        <v>#N/A</v>
      </c>
      <c r="K1335" s="43" t="e">
        <f>VLOOKUP($A1335,'[2]Team lists'!$A$2:$L$800,10,FALSE)</f>
        <v>#N/A</v>
      </c>
      <c r="L1335" s="43" t="e">
        <f>VLOOKUP($A1335,'[2]Team lists'!$A$2:$L$800,11,FALSE)</f>
        <v>#N/A</v>
      </c>
    </row>
    <row r="1336" spans="2:13">
      <c r="B1336" s="43" t="e">
        <f>VLOOKUP($A1336,'[2]Team lists'!$A$2:$L$800,2,FALSE)</f>
        <v>#N/A</v>
      </c>
      <c r="C1336" s="43" t="e">
        <f>VLOOKUP($A1336,'[2]Team lists'!$A$2:$L$800,3,FALSE)</f>
        <v>#N/A</v>
      </c>
      <c r="D1336" s="43" t="e">
        <f>VLOOKUP($A1336,'[2]Team lists'!$A$2:$L$800,4,FALSE)</f>
        <v>#N/A</v>
      </c>
      <c r="E1336" s="43" t="e">
        <f>VLOOKUP($A1336,'[2]Team lists'!$A$2:$L$800,5,FALSE)</f>
        <v>#N/A</v>
      </c>
      <c r="F1336" s="43" t="e">
        <f>VLOOKUP($A1336,'[2]Team lists'!$A$2:$L$800,6,FALSE)</f>
        <v>#N/A</v>
      </c>
      <c r="G1336" s="43" t="e">
        <f>VLOOKUP($A1336,'[2]Team lists'!$A$2:$L$800,7,FALSE)</f>
        <v>#N/A</v>
      </c>
      <c r="H1336" s="43" t="e">
        <f>VLOOKUP($A1336,'[2]Team lists'!$A$2:$L$800,8,FALSE)</f>
        <v>#N/A</v>
      </c>
      <c r="I1336" s="43" t="e">
        <f>VLOOKUP($A1336,'[2]Team lists'!$A$2:$L$800,9,FALSE)</f>
        <v>#N/A</v>
      </c>
      <c r="J1336" s="43" t="e">
        <f>VLOOKUP($A1336,'[2]Team lists'!$A$2:$L$800,9,FALSE)</f>
        <v>#N/A</v>
      </c>
      <c r="K1336" s="43" t="e">
        <f>VLOOKUP($A1336,'[2]Team lists'!$A$2:$L$800,10,FALSE)</f>
        <v>#N/A</v>
      </c>
      <c r="L1336" s="43" t="e">
        <f>VLOOKUP($A1336,'[2]Team lists'!$A$2:$L$800,11,FALSE)</f>
        <v>#N/A</v>
      </c>
    </row>
    <row r="1337" spans="2:13">
      <c r="B1337" s="43" t="e">
        <f>VLOOKUP($A1337,'[2]Team lists'!$A$2:$L$800,2,FALSE)</f>
        <v>#N/A</v>
      </c>
      <c r="C1337" s="43" t="e">
        <f>VLOOKUP($A1337,'[2]Team lists'!$A$2:$L$800,3,FALSE)</f>
        <v>#N/A</v>
      </c>
      <c r="D1337" s="43" t="e">
        <f>VLOOKUP($A1337,'[2]Team lists'!$A$2:$L$800,4,FALSE)</f>
        <v>#N/A</v>
      </c>
      <c r="E1337" s="43" t="e">
        <f>VLOOKUP($A1337,'[2]Team lists'!$A$2:$L$800,5,FALSE)</f>
        <v>#N/A</v>
      </c>
      <c r="F1337" s="43" t="e">
        <f>VLOOKUP($A1337,'[2]Team lists'!$A$2:$L$800,6,FALSE)</f>
        <v>#N/A</v>
      </c>
      <c r="G1337" s="43" t="e">
        <f>VLOOKUP($A1337,'[2]Team lists'!$A$2:$L$800,7,FALSE)</f>
        <v>#N/A</v>
      </c>
      <c r="H1337" s="43" t="e">
        <f>VLOOKUP($A1337,'[2]Team lists'!$A$2:$L$800,8,FALSE)</f>
        <v>#N/A</v>
      </c>
      <c r="I1337" s="43" t="e">
        <f>VLOOKUP($A1337,'[2]Team lists'!$A$2:$L$800,9,FALSE)</f>
        <v>#N/A</v>
      </c>
      <c r="J1337" s="43" t="e">
        <f>VLOOKUP($A1337,'[2]Team lists'!$A$2:$L$800,9,FALSE)</f>
        <v>#N/A</v>
      </c>
      <c r="K1337" s="43" t="e">
        <f>VLOOKUP($A1337,'[2]Team lists'!$A$2:$L$800,10,FALSE)</f>
        <v>#N/A</v>
      </c>
      <c r="L1337" s="43" t="e">
        <f>VLOOKUP($A1337,'[2]Team lists'!$A$2:$L$800,11,FALSE)</f>
        <v>#N/A</v>
      </c>
    </row>
    <row r="1338" spans="2:13">
      <c r="B1338" s="43" t="e">
        <f>VLOOKUP($A1338,'[2]Team lists'!$A$2:$L$800,2,FALSE)</f>
        <v>#N/A</v>
      </c>
      <c r="C1338" s="43" t="e">
        <f>VLOOKUP($A1338,'[2]Team lists'!$A$2:$L$800,3,FALSE)</f>
        <v>#N/A</v>
      </c>
      <c r="D1338" s="43" t="e">
        <f>VLOOKUP($A1338,'[2]Team lists'!$A$2:$L$800,4,FALSE)</f>
        <v>#N/A</v>
      </c>
      <c r="E1338" s="43" t="e">
        <f>VLOOKUP($A1338,'[2]Team lists'!$A$2:$L$800,5,FALSE)</f>
        <v>#N/A</v>
      </c>
      <c r="F1338" s="43" t="e">
        <f>VLOOKUP($A1338,'[2]Team lists'!$A$2:$L$800,6,FALSE)</f>
        <v>#N/A</v>
      </c>
      <c r="G1338" s="43" t="e">
        <f>VLOOKUP($A1338,'[2]Team lists'!$A$2:$L$800,7,FALSE)</f>
        <v>#N/A</v>
      </c>
      <c r="H1338" s="43" t="e">
        <f>VLOOKUP($A1338,'[2]Team lists'!$A$2:$L$800,8,FALSE)</f>
        <v>#N/A</v>
      </c>
      <c r="I1338" s="43" t="e">
        <f>VLOOKUP($A1338,'[2]Team lists'!$A$2:$L$800,9,FALSE)</f>
        <v>#N/A</v>
      </c>
      <c r="J1338" s="43" t="e">
        <f>VLOOKUP($A1338,'[2]Team lists'!$A$2:$L$800,9,FALSE)</f>
        <v>#N/A</v>
      </c>
      <c r="K1338" s="43" t="e">
        <f>VLOOKUP($A1338,'[2]Team lists'!$A$2:$L$800,10,FALSE)</f>
        <v>#N/A</v>
      </c>
      <c r="L1338" s="43" t="e">
        <f>VLOOKUP($A1338,'[2]Team lists'!$A$2:$L$800,11,FALSE)</f>
        <v>#N/A</v>
      </c>
    </row>
    <row r="1339" spans="2:13">
      <c r="B1339" s="43" t="e">
        <f>VLOOKUP($A1339,'[2]Team lists'!$A$2:$L$800,2,FALSE)</f>
        <v>#N/A</v>
      </c>
      <c r="C1339" s="43" t="e">
        <f>VLOOKUP($A1339,'[2]Team lists'!$A$2:$L$800,3,FALSE)</f>
        <v>#N/A</v>
      </c>
      <c r="D1339" s="43" t="e">
        <f>VLOOKUP($A1339,'[2]Team lists'!$A$2:$L$800,4,FALSE)</f>
        <v>#N/A</v>
      </c>
      <c r="E1339" s="43" t="e">
        <f>VLOOKUP($A1339,'[2]Team lists'!$A$2:$L$800,5,FALSE)</f>
        <v>#N/A</v>
      </c>
      <c r="F1339" s="43" t="e">
        <f>VLOOKUP($A1339,'[2]Team lists'!$A$2:$L$800,6,FALSE)</f>
        <v>#N/A</v>
      </c>
      <c r="G1339" s="43" t="e">
        <f>VLOOKUP($A1339,'[2]Team lists'!$A$2:$L$800,7,FALSE)</f>
        <v>#N/A</v>
      </c>
      <c r="H1339" s="43" t="e">
        <f>VLOOKUP($A1339,'[2]Team lists'!$A$2:$L$800,8,FALSE)</f>
        <v>#N/A</v>
      </c>
      <c r="I1339" s="43" t="e">
        <f>VLOOKUP($A1339,'[2]Team lists'!$A$2:$L$800,9,FALSE)</f>
        <v>#N/A</v>
      </c>
      <c r="J1339" s="43" t="e">
        <f>VLOOKUP($A1339,'[2]Team lists'!$A$2:$L$800,9,FALSE)</f>
        <v>#N/A</v>
      </c>
      <c r="K1339" s="43" t="e">
        <f>VLOOKUP($A1339,'[2]Team lists'!$A$2:$L$800,10,FALSE)</f>
        <v>#N/A</v>
      </c>
      <c r="L1339" s="43" t="e">
        <f>VLOOKUP($A1339,'[2]Team lists'!$A$2:$L$800,11,FALSE)</f>
        <v>#N/A</v>
      </c>
    </row>
    <row r="1340" spans="2:13">
      <c r="B1340" s="43" t="e">
        <f>VLOOKUP($A1340,'[2]Team lists'!$A$2:$L$800,2,FALSE)</f>
        <v>#N/A</v>
      </c>
      <c r="C1340" s="43" t="e">
        <f>VLOOKUP($A1340,'[2]Team lists'!$A$2:$L$800,3,FALSE)</f>
        <v>#N/A</v>
      </c>
      <c r="D1340" s="43" t="e">
        <f>VLOOKUP($A1340,'[2]Team lists'!$A$2:$L$800,4,FALSE)</f>
        <v>#N/A</v>
      </c>
      <c r="E1340" s="43" t="e">
        <f>VLOOKUP($A1340,'[2]Team lists'!$A$2:$L$800,5,FALSE)</f>
        <v>#N/A</v>
      </c>
      <c r="F1340" s="43" t="e">
        <f>VLOOKUP($A1340,'[2]Team lists'!$A$2:$L$800,6,FALSE)</f>
        <v>#N/A</v>
      </c>
      <c r="G1340" s="43" t="e">
        <f>VLOOKUP($A1340,'[2]Team lists'!$A$2:$L$800,7,FALSE)</f>
        <v>#N/A</v>
      </c>
      <c r="H1340" s="43" t="e">
        <f>VLOOKUP($A1340,'[2]Team lists'!$A$2:$L$800,8,FALSE)</f>
        <v>#N/A</v>
      </c>
      <c r="I1340" s="43" t="e">
        <f>VLOOKUP($A1340,'[2]Team lists'!$A$2:$L$800,9,FALSE)</f>
        <v>#N/A</v>
      </c>
      <c r="J1340" s="43" t="e">
        <f>VLOOKUP($A1340,'[2]Team lists'!$A$2:$L$800,9,FALSE)</f>
        <v>#N/A</v>
      </c>
      <c r="K1340" s="43" t="e">
        <f>VLOOKUP($A1340,'[2]Team lists'!$A$2:$L$800,10,FALSE)</f>
        <v>#N/A</v>
      </c>
      <c r="L1340" s="43" t="e">
        <f>VLOOKUP($A1340,'[2]Team lists'!$A$2:$L$800,11,FALSE)</f>
        <v>#N/A</v>
      </c>
    </row>
    <row r="1341" spans="2:13">
      <c r="B1341" s="43" t="e">
        <f>VLOOKUP($A1341,'[2]Team lists'!$A$2:$L$800,2,FALSE)</f>
        <v>#N/A</v>
      </c>
      <c r="C1341" s="43" t="e">
        <f>VLOOKUP($A1341,'[2]Team lists'!$A$2:$L$800,3,FALSE)</f>
        <v>#N/A</v>
      </c>
      <c r="D1341" s="43" t="e">
        <f>VLOOKUP($A1341,'[2]Team lists'!$A$2:$L$800,4,FALSE)</f>
        <v>#N/A</v>
      </c>
      <c r="E1341" s="43" t="e">
        <f>VLOOKUP($A1341,'[2]Team lists'!$A$2:$L$800,5,FALSE)</f>
        <v>#N/A</v>
      </c>
      <c r="F1341" s="43" t="e">
        <f>VLOOKUP($A1341,'[2]Team lists'!$A$2:$L$800,6,FALSE)</f>
        <v>#N/A</v>
      </c>
      <c r="G1341" s="43" t="e">
        <f>VLOOKUP($A1341,'[2]Team lists'!$A$2:$L$800,7,FALSE)</f>
        <v>#N/A</v>
      </c>
      <c r="H1341" s="43" t="e">
        <f>VLOOKUP($A1341,'[2]Team lists'!$A$2:$L$800,8,FALSE)</f>
        <v>#N/A</v>
      </c>
      <c r="I1341" s="43" t="e">
        <f>VLOOKUP($A1341,'[2]Team lists'!$A$2:$L$800,9,FALSE)</f>
        <v>#N/A</v>
      </c>
      <c r="J1341" s="43" t="e">
        <f>VLOOKUP($A1341,'[2]Team lists'!$A$2:$L$800,9,FALSE)</f>
        <v>#N/A</v>
      </c>
      <c r="K1341" s="43" t="e">
        <f>VLOOKUP($A1341,'[2]Team lists'!$A$2:$L$800,10,FALSE)</f>
        <v>#N/A</v>
      </c>
      <c r="L1341" s="43" t="e">
        <f>VLOOKUP($A1341,'[2]Team lists'!$A$2:$L$800,11,FALSE)</f>
        <v>#N/A</v>
      </c>
    </row>
    <row r="1342" spans="2:13">
      <c r="B1342" s="43" t="e">
        <f>VLOOKUP($A1342,'[2]Team lists'!$A$2:$L$800,2,FALSE)</f>
        <v>#N/A</v>
      </c>
      <c r="C1342" s="43" t="e">
        <f>VLOOKUP($A1342,'[2]Team lists'!$A$2:$L$800,3,FALSE)</f>
        <v>#N/A</v>
      </c>
      <c r="D1342" s="43" t="e">
        <f>VLOOKUP($A1342,'[2]Team lists'!$A$2:$L$800,4,FALSE)</f>
        <v>#N/A</v>
      </c>
      <c r="E1342" s="43" t="e">
        <f>VLOOKUP($A1342,'[2]Team lists'!$A$2:$L$800,5,FALSE)</f>
        <v>#N/A</v>
      </c>
      <c r="F1342" s="43" t="e">
        <f>VLOOKUP($A1342,'[2]Team lists'!$A$2:$L$800,6,FALSE)</f>
        <v>#N/A</v>
      </c>
      <c r="G1342" s="43" t="e">
        <f>VLOOKUP($A1342,'[2]Team lists'!$A$2:$L$800,7,FALSE)</f>
        <v>#N/A</v>
      </c>
      <c r="H1342" s="43" t="e">
        <f>VLOOKUP($A1342,'[2]Team lists'!$A$2:$L$800,8,FALSE)</f>
        <v>#N/A</v>
      </c>
      <c r="I1342" s="43" t="e">
        <f>VLOOKUP($A1342,'[2]Team lists'!$A$2:$L$800,9,FALSE)</f>
        <v>#N/A</v>
      </c>
      <c r="J1342" s="43" t="e">
        <f>VLOOKUP($A1342,'[2]Team lists'!$A$2:$L$800,9,FALSE)</f>
        <v>#N/A</v>
      </c>
      <c r="K1342" s="43" t="e">
        <f>VLOOKUP($A1342,'[2]Team lists'!$A$2:$L$800,10,FALSE)</f>
        <v>#N/A</v>
      </c>
      <c r="L1342" s="43" t="e">
        <f>VLOOKUP($A1342,'[2]Team lists'!$A$2:$L$800,11,FALSE)</f>
        <v>#N/A</v>
      </c>
    </row>
    <row r="1343" spans="2:13" ht="18" thickBot="1">
      <c r="B1343" s="45" t="s">
        <v>3210</v>
      </c>
      <c r="C1343" s="46"/>
      <c r="D1343" s="47"/>
      <c r="E1343" s="48" t="e">
        <f t="shared" ref="E1343:L1343" si="83">SUM(E1332:E1342)</f>
        <v>#N/A</v>
      </c>
      <c r="F1343" s="49" t="e">
        <f t="shared" si="83"/>
        <v>#N/A</v>
      </c>
      <c r="G1343" s="49" t="e">
        <f t="shared" si="83"/>
        <v>#N/A</v>
      </c>
      <c r="H1343" s="49" t="e">
        <f t="shared" si="83"/>
        <v>#N/A</v>
      </c>
      <c r="I1343" s="49" t="e">
        <f t="shared" si="83"/>
        <v>#N/A</v>
      </c>
      <c r="J1343" s="49" t="e">
        <f t="shared" si="83"/>
        <v>#N/A</v>
      </c>
      <c r="K1343" s="49" t="e">
        <f t="shared" si="83"/>
        <v>#N/A</v>
      </c>
      <c r="L1343" s="50" t="e">
        <f t="shared" si="83"/>
        <v>#N/A</v>
      </c>
    </row>
    <row r="1344" spans="2:13" ht="18.600000000000001" thickTop="1" thickBot="1"/>
    <row r="1345" spans="2:13" ht="18" thickTop="1">
      <c r="B1345" s="23" t="s">
        <v>3204</v>
      </c>
      <c r="C1345" s="24" t="s">
        <v>3205</v>
      </c>
      <c r="D1345" s="25"/>
      <c r="E1345" s="25"/>
      <c r="F1345" s="53"/>
      <c r="G1345" s="28" t="s">
        <v>3206</v>
      </c>
      <c r="H1345" s="54"/>
      <c r="I1345" s="54"/>
      <c r="J1345" s="54"/>
      <c r="K1345" s="28" t="s">
        <v>3207</v>
      </c>
      <c r="L1345" s="29"/>
      <c r="M1345" s="22" t="str">
        <f>G1345</f>
        <v>Manager:</v>
      </c>
    </row>
    <row r="1346" spans="2:13" ht="18" thickBot="1">
      <c r="B1346" s="30">
        <v>85</v>
      </c>
      <c r="C1346" s="57"/>
      <c r="D1346" s="31"/>
      <c r="E1346" s="31"/>
      <c r="F1346" s="33"/>
      <c r="G1346" s="55"/>
      <c r="H1346" s="55"/>
      <c r="I1346" s="55"/>
      <c r="J1346" s="55"/>
      <c r="K1346" s="34" t="e">
        <f>SUM(F1359:L1359)</f>
        <v>#N/A</v>
      </c>
      <c r="L1346" s="35"/>
      <c r="M1346" s="22">
        <f>G1346</f>
        <v>0</v>
      </c>
    </row>
    <row r="1347" spans="2:13" ht="18.600000000000001" thickTop="1">
      <c r="B1347" s="58" t="s">
        <v>913</v>
      </c>
      <c r="C1347" s="59" t="s">
        <v>912</v>
      </c>
      <c r="D1347" s="60" t="s">
        <v>911</v>
      </c>
      <c r="E1347" s="61" t="s">
        <v>3209</v>
      </c>
      <c r="F1347" s="62" t="s">
        <v>3162</v>
      </c>
      <c r="G1347" s="62" t="s">
        <v>3163</v>
      </c>
      <c r="H1347" s="62" t="s">
        <v>3164</v>
      </c>
      <c r="I1347" s="62" t="s">
        <v>3165</v>
      </c>
      <c r="J1347" s="62" t="s">
        <v>3166</v>
      </c>
      <c r="K1347" s="62" t="s">
        <v>3167</v>
      </c>
      <c r="L1347" s="63" t="s">
        <v>3168</v>
      </c>
    </row>
    <row r="1348" spans="2:13">
      <c r="B1348" s="43" t="e">
        <f>VLOOKUP($A1348,'[2]Team lists'!$A$2:$L$800,2,FALSE)</f>
        <v>#N/A</v>
      </c>
      <c r="C1348" s="43" t="e">
        <f>VLOOKUP($A1348,'[2]Team lists'!$A$2:$L$800,3,FALSE)</f>
        <v>#N/A</v>
      </c>
      <c r="D1348" s="43" t="e">
        <f>VLOOKUP($A1348,'[2]Team lists'!$A$2:$L$800,4,FALSE)</f>
        <v>#N/A</v>
      </c>
      <c r="E1348" s="43" t="e">
        <f>VLOOKUP($A1348,'[2]Team lists'!$A$2:$L$800,5,FALSE)</f>
        <v>#N/A</v>
      </c>
      <c r="F1348" s="43" t="e">
        <f>VLOOKUP($A1348,'[2]Team lists'!$A$2:$L$800,6,FALSE)</f>
        <v>#N/A</v>
      </c>
      <c r="G1348" s="43" t="e">
        <f>VLOOKUP($A1348,'[2]Team lists'!$A$2:$L$800,7,FALSE)</f>
        <v>#N/A</v>
      </c>
      <c r="H1348" s="43" t="e">
        <f>VLOOKUP($A1348,'[2]Team lists'!$A$2:$L$800,8,FALSE)</f>
        <v>#N/A</v>
      </c>
      <c r="I1348" s="43" t="e">
        <f>VLOOKUP($A1348,'[2]Team lists'!$A$2:$L$800,9,FALSE)</f>
        <v>#N/A</v>
      </c>
      <c r="J1348" s="43" t="e">
        <f>VLOOKUP($A1348,'[2]Team lists'!$A$2:$L$800,9,FALSE)</f>
        <v>#N/A</v>
      </c>
      <c r="K1348" s="43" t="e">
        <f>VLOOKUP($A1348,'[2]Team lists'!$A$2:$L$800,10,FALSE)</f>
        <v>#N/A</v>
      </c>
      <c r="L1348" s="43" t="e">
        <f>VLOOKUP($A1348,'[2]Team lists'!$A$2:$L$800,11,FALSE)</f>
        <v>#N/A</v>
      </c>
    </row>
    <row r="1349" spans="2:13">
      <c r="B1349" s="43" t="e">
        <f>VLOOKUP($A1349,'[2]Team lists'!$A$2:$L$800,2,FALSE)</f>
        <v>#N/A</v>
      </c>
      <c r="C1349" s="43" t="e">
        <f>VLOOKUP($A1349,'[2]Team lists'!$A$2:$L$800,3,FALSE)</f>
        <v>#N/A</v>
      </c>
      <c r="D1349" s="43" t="e">
        <f>VLOOKUP($A1349,'[2]Team lists'!$A$2:$L$800,4,FALSE)</f>
        <v>#N/A</v>
      </c>
      <c r="E1349" s="43" t="e">
        <f>VLOOKUP($A1349,'[2]Team lists'!$A$2:$L$800,5,FALSE)</f>
        <v>#N/A</v>
      </c>
      <c r="F1349" s="43" t="e">
        <f>VLOOKUP($A1349,'[2]Team lists'!$A$2:$L$800,6,FALSE)</f>
        <v>#N/A</v>
      </c>
      <c r="G1349" s="43" t="e">
        <f>VLOOKUP($A1349,'[2]Team lists'!$A$2:$L$800,7,FALSE)</f>
        <v>#N/A</v>
      </c>
      <c r="H1349" s="43" t="e">
        <f>VLOOKUP($A1349,'[2]Team lists'!$A$2:$L$800,8,FALSE)</f>
        <v>#N/A</v>
      </c>
      <c r="I1349" s="43" t="e">
        <f>VLOOKUP($A1349,'[2]Team lists'!$A$2:$L$800,9,FALSE)</f>
        <v>#N/A</v>
      </c>
      <c r="J1349" s="43" t="e">
        <f>VLOOKUP($A1349,'[2]Team lists'!$A$2:$L$800,9,FALSE)</f>
        <v>#N/A</v>
      </c>
      <c r="K1349" s="43" t="e">
        <f>VLOOKUP($A1349,'[2]Team lists'!$A$2:$L$800,10,FALSE)</f>
        <v>#N/A</v>
      </c>
      <c r="L1349" s="43" t="e">
        <f>VLOOKUP($A1349,'[2]Team lists'!$A$2:$L$800,11,FALSE)</f>
        <v>#N/A</v>
      </c>
    </row>
    <row r="1350" spans="2:13">
      <c r="B1350" s="43" t="e">
        <f>VLOOKUP($A1350,'[2]Team lists'!$A$2:$L$800,2,FALSE)</f>
        <v>#N/A</v>
      </c>
      <c r="C1350" s="43" t="e">
        <f>VLOOKUP($A1350,'[2]Team lists'!$A$2:$L$800,3,FALSE)</f>
        <v>#N/A</v>
      </c>
      <c r="D1350" s="43" t="e">
        <f>VLOOKUP($A1350,'[2]Team lists'!$A$2:$L$800,4,FALSE)</f>
        <v>#N/A</v>
      </c>
      <c r="E1350" s="43" t="e">
        <f>VLOOKUP($A1350,'[2]Team lists'!$A$2:$L$800,5,FALSE)</f>
        <v>#N/A</v>
      </c>
      <c r="F1350" s="43" t="e">
        <f>VLOOKUP($A1350,'[2]Team lists'!$A$2:$L$800,6,FALSE)</f>
        <v>#N/A</v>
      </c>
      <c r="G1350" s="43" t="e">
        <f>VLOOKUP($A1350,'[2]Team lists'!$A$2:$L$800,7,FALSE)</f>
        <v>#N/A</v>
      </c>
      <c r="H1350" s="43" t="e">
        <f>VLOOKUP($A1350,'[2]Team lists'!$A$2:$L$800,8,FALSE)</f>
        <v>#N/A</v>
      </c>
      <c r="I1350" s="43" t="e">
        <f>VLOOKUP($A1350,'[2]Team lists'!$A$2:$L$800,9,FALSE)</f>
        <v>#N/A</v>
      </c>
      <c r="J1350" s="43" t="e">
        <f>VLOOKUP($A1350,'[2]Team lists'!$A$2:$L$800,9,FALSE)</f>
        <v>#N/A</v>
      </c>
      <c r="K1350" s="43" t="e">
        <f>VLOOKUP($A1350,'[2]Team lists'!$A$2:$L$800,10,FALSE)</f>
        <v>#N/A</v>
      </c>
      <c r="L1350" s="43" t="e">
        <f>VLOOKUP($A1350,'[2]Team lists'!$A$2:$L$800,11,FALSE)</f>
        <v>#N/A</v>
      </c>
    </row>
    <row r="1351" spans="2:13">
      <c r="B1351" s="43" t="e">
        <f>VLOOKUP($A1351,'[2]Team lists'!$A$2:$L$800,2,FALSE)</f>
        <v>#N/A</v>
      </c>
      <c r="C1351" s="43" t="e">
        <f>VLOOKUP($A1351,'[2]Team lists'!$A$2:$L$800,3,FALSE)</f>
        <v>#N/A</v>
      </c>
      <c r="D1351" s="43" t="e">
        <f>VLOOKUP($A1351,'[2]Team lists'!$A$2:$L$800,4,FALSE)</f>
        <v>#N/A</v>
      </c>
      <c r="E1351" s="43" t="e">
        <f>VLOOKUP($A1351,'[2]Team lists'!$A$2:$L$800,5,FALSE)</f>
        <v>#N/A</v>
      </c>
      <c r="F1351" s="43" t="e">
        <f>VLOOKUP($A1351,'[2]Team lists'!$A$2:$L$800,6,FALSE)</f>
        <v>#N/A</v>
      </c>
      <c r="G1351" s="43" t="e">
        <f>VLOOKUP($A1351,'[2]Team lists'!$A$2:$L$800,7,FALSE)</f>
        <v>#N/A</v>
      </c>
      <c r="H1351" s="43" t="e">
        <f>VLOOKUP($A1351,'[2]Team lists'!$A$2:$L$800,8,FALSE)</f>
        <v>#N/A</v>
      </c>
      <c r="I1351" s="43" t="e">
        <f>VLOOKUP($A1351,'[2]Team lists'!$A$2:$L$800,9,FALSE)</f>
        <v>#N/A</v>
      </c>
      <c r="J1351" s="43" t="e">
        <f>VLOOKUP($A1351,'[2]Team lists'!$A$2:$L$800,9,FALSE)</f>
        <v>#N/A</v>
      </c>
      <c r="K1351" s="43" t="e">
        <f>VLOOKUP($A1351,'[2]Team lists'!$A$2:$L$800,10,FALSE)</f>
        <v>#N/A</v>
      </c>
      <c r="L1351" s="43" t="e">
        <f>VLOOKUP($A1351,'[2]Team lists'!$A$2:$L$800,11,FALSE)</f>
        <v>#N/A</v>
      </c>
    </row>
    <row r="1352" spans="2:13">
      <c r="B1352" s="43" t="e">
        <f>VLOOKUP($A1352,'[2]Team lists'!$A$2:$L$800,2,FALSE)</f>
        <v>#N/A</v>
      </c>
      <c r="C1352" s="43" t="e">
        <f>VLOOKUP($A1352,'[2]Team lists'!$A$2:$L$800,3,FALSE)</f>
        <v>#N/A</v>
      </c>
      <c r="D1352" s="43" t="e">
        <f>VLOOKUP($A1352,'[2]Team lists'!$A$2:$L$800,4,FALSE)</f>
        <v>#N/A</v>
      </c>
      <c r="E1352" s="43" t="e">
        <f>VLOOKUP($A1352,'[2]Team lists'!$A$2:$L$800,5,FALSE)</f>
        <v>#N/A</v>
      </c>
      <c r="F1352" s="43" t="e">
        <f>VLOOKUP($A1352,'[2]Team lists'!$A$2:$L$800,6,FALSE)</f>
        <v>#N/A</v>
      </c>
      <c r="G1352" s="43" t="e">
        <f>VLOOKUP($A1352,'[2]Team lists'!$A$2:$L$800,7,FALSE)</f>
        <v>#N/A</v>
      </c>
      <c r="H1352" s="43" t="e">
        <f>VLOOKUP($A1352,'[2]Team lists'!$A$2:$L$800,8,FALSE)</f>
        <v>#N/A</v>
      </c>
      <c r="I1352" s="43" t="e">
        <f>VLOOKUP($A1352,'[2]Team lists'!$A$2:$L$800,9,FALSE)</f>
        <v>#N/A</v>
      </c>
      <c r="J1352" s="43" t="e">
        <f>VLOOKUP($A1352,'[2]Team lists'!$A$2:$L$800,9,FALSE)</f>
        <v>#N/A</v>
      </c>
      <c r="K1352" s="43" t="e">
        <f>VLOOKUP($A1352,'[2]Team lists'!$A$2:$L$800,10,FALSE)</f>
        <v>#N/A</v>
      </c>
      <c r="L1352" s="43" t="e">
        <f>VLOOKUP($A1352,'[2]Team lists'!$A$2:$L$800,11,FALSE)</f>
        <v>#N/A</v>
      </c>
    </row>
    <row r="1353" spans="2:13">
      <c r="B1353" s="43" t="e">
        <f>VLOOKUP($A1353,'[2]Team lists'!$A$2:$L$800,2,FALSE)</f>
        <v>#N/A</v>
      </c>
      <c r="C1353" s="43" t="e">
        <f>VLOOKUP($A1353,'[2]Team lists'!$A$2:$L$800,3,FALSE)</f>
        <v>#N/A</v>
      </c>
      <c r="D1353" s="43" t="e">
        <f>VLOOKUP($A1353,'[2]Team lists'!$A$2:$L$800,4,FALSE)</f>
        <v>#N/A</v>
      </c>
      <c r="E1353" s="43" t="e">
        <f>VLOOKUP($A1353,'[2]Team lists'!$A$2:$L$800,5,FALSE)</f>
        <v>#N/A</v>
      </c>
      <c r="F1353" s="43" t="e">
        <f>VLOOKUP($A1353,'[2]Team lists'!$A$2:$L$800,6,FALSE)</f>
        <v>#N/A</v>
      </c>
      <c r="G1353" s="43" t="e">
        <f>VLOOKUP($A1353,'[2]Team lists'!$A$2:$L$800,7,FALSE)</f>
        <v>#N/A</v>
      </c>
      <c r="H1353" s="43" t="e">
        <f>VLOOKUP($A1353,'[2]Team lists'!$A$2:$L$800,8,FALSE)</f>
        <v>#N/A</v>
      </c>
      <c r="I1353" s="43" t="e">
        <f>VLOOKUP($A1353,'[2]Team lists'!$A$2:$L$800,9,FALSE)</f>
        <v>#N/A</v>
      </c>
      <c r="J1353" s="43" t="e">
        <f>VLOOKUP($A1353,'[2]Team lists'!$A$2:$L$800,9,FALSE)</f>
        <v>#N/A</v>
      </c>
      <c r="K1353" s="43" t="e">
        <f>VLOOKUP($A1353,'[2]Team lists'!$A$2:$L$800,10,FALSE)</f>
        <v>#N/A</v>
      </c>
      <c r="L1353" s="43" t="e">
        <f>VLOOKUP($A1353,'[2]Team lists'!$A$2:$L$800,11,FALSE)</f>
        <v>#N/A</v>
      </c>
    </row>
    <row r="1354" spans="2:13">
      <c r="B1354" s="43" t="e">
        <f>VLOOKUP($A1354,'[2]Team lists'!$A$2:$L$800,2,FALSE)</f>
        <v>#N/A</v>
      </c>
      <c r="C1354" s="43" t="e">
        <f>VLOOKUP($A1354,'[2]Team lists'!$A$2:$L$800,3,FALSE)</f>
        <v>#N/A</v>
      </c>
      <c r="D1354" s="43" t="e">
        <f>VLOOKUP($A1354,'[2]Team lists'!$A$2:$L$800,4,FALSE)</f>
        <v>#N/A</v>
      </c>
      <c r="E1354" s="43" t="e">
        <f>VLOOKUP($A1354,'[2]Team lists'!$A$2:$L$800,5,FALSE)</f>
        <v>#N/A</v>
      </c>
      <c r="F1354" s="43" t="e">
        <f>VLOOKUP($A1354,'[2]Team lists'!$A$2:$L$800,6,FALSE)</f>
        <v>#N/A</v>
      </c>
      <c r="G1354" s="43" t="e">
        <f>VLOOKUP($A1354,'[2]Team lists'!$A$2:$L$800,7,FALSE)</f>
        <v>#N/A</v>
      </c>
      <c r="H1354" s="43" t="e">
        <f>VLOOKUP($A1354,'[2]Team lists'!$A$2:$L$800,8,FALSE)</f>
        <v>#N/A</v>
      </c>
      <c r="I1354" s="43" t="e">
        <f>VLOOKUP($A1354,'[2]Team lists'!$A$2:$L$800,9,FALSE)</f>
        <v>#N/A</v>
      </c>
      <c r="J1354" s="43" t="e">
        <f>VLOOKUP($A1354,'[2]Team lists'!$A$2:$L$800,9,FALSE)</f>
        <v>#N/A</v>
      </c>
      <c r="K1354" s="43" t="e">
        <f>VLOOKUP($A1354,'[2]Team lists'!$A$2:$L$800,10,FALSE)</f>
        <v>#N/A</v>
      </c>
      <c r="L1354" s="43" t="e">
        <f>VLOOKUP($A1354,'[2]Team lists'!$A$2:$L$800,11,FALSE)</f>
        <v>#N/A</v>
      </c>
    </row>
    <row r="1355" spans="2:13">
      <c r="B1355" s="43" t="e">
        <f>VLOOKUP($A1355,'[2]Team lists'!$A$2:$L$800,2,FALSE)</f>
        <v>#N/A</v>
      </c>
      <c r="C1355" s="43" t="e">
        <f>VLOOKUP($A1355,'[2]Team lists'!$A$2:$L$800,3,FALSE)</f>
        <v>#N/A</v>
      </c>
      <c r="D1355" s="43" t="e">
        <f>VLOOKUP($A1355,'[2]Team lists'!$A$2:$L$800,4,FALSE)</f>
        <v>#N/A</v>
      </c>
      <c r="E1355" s="43" t="e">
        <f>VLOOKUP($A1355,'[2]Team lists'!$A$2:$L$800,5,FALSE)</f>
        <v>#N/A</v>
      </c>
      <c r="F1355" s="43" t="e">
        <f>VLOOKUP($A1355,'[2]Team lists'!$A$2:$L$800,6,FALSE)</f>
        <v>#N/A</v>
      </c>
      <c r="G1355" s="43" t="e">
        <f>VLOOKUP($A1355,'[2]Team lists'!$A$2:$L$800,7,FALSE)</f>
        <v>#N/A</v>
      </c>
      <c r="H1355" s="43" t="e">
        <f>VLOOKUP($A1355,'[2]Team lists'!$A$2:$L$800,8,FALSE)</f>
        <v>#N/A</v>
      </c>
      <c r="I1355" s="43" t="e">
        <f>VLOOKUP($A1355,'[2]Team lists'!$A$2:$L$800,9,FALSE)</f>
        <v>#N/A</v>
      </c>
      <c r="J1355" s="43" t="e">
        <f>VLOOKUP($A1355,'[2]Team lists'!$A$2:$L$800,9,FALSE)</f>
        <v>#N/A</v>
      </c>
      <c r="K1355" s="43" t="e">
        <f>VLOOKUP($A1355,'[2]Team lists'!$A$2:$L$800,10,FALSE)</f>
        <v>#N/A</v>
      </c>
      <c r="L1355" s="43" t="e">
        <f>VLOOKUP($A1355,'[2]Team lists'!$A$2:$L$800,11,FALSE)</f>
        <v>#N/A</v>
      </c>
    </row>
    <row r="1356" spans="2:13">
      <c r="B1356" s="43" t="e">
        <f>VLOOKUP($A1356,'[2]Team lists'!$A$2:$L$800,2,FALSE)</f>
        <v>#N/A</v>
      </c>
      <c r="C1356" s="43" t="e">
        <f>VLOOKUP($A1356,'[2]Team lists'!$A$2:$L$800,3,FALSE)</f>
        <v>#N/A</v>
      </c>
      <c r="D1356" s="43" t="e">
        <f>VLOOKUP($A1356,'[2]Team lists'!$A$2:$L$800,4,FALSE)</f>
        <v>#N/A</v>
      </c>
      <c r="E1356" s="43" t="e">
        <f>VLOOKUP($A1356,'[2]Team lists'!$A$2:$L$800,5,FALSE)</f>
        <v>#N/A</v>
      </c>
      <c r="F1356" s="43" t="e">
        <f>VLOOKUP($A1356,'[2]Team lists'!$A$2:$L$800,6,FALSE)</f>
        <v>#N/A</v>
      </c>
      <c r="G1356" s="43" t="e">
        <f>VLOOKUP($A1356,'[2]Team lists'!$A$2:$L$800,7,FALSE)</f>
        <v>#N/A</v>
      </c>
      <c r="H1356" s="43" t="e">
        <f>VLOOKUP($A1356,'[2]Team lists'!$A$2:$L$800,8,FALSE)</f>
        <v>#N/A</v>
      </c>
      <c r="I1356" s="43" t="e">
        <f>VLOOKUP($A1356,'[2]Team lists'!$A$2:$L$800,9,FALSE)</f>
        <v>#N/A</v>
      </c>
      <c r="J1356" s="43" t="e">
        <f>VLOOKUP($A1356,'[2]Team lists'!$A$2:$L$800,9,FALSE)</f>
        <v>#N/A</v>
      </c>
      <c r="K1356" s="43" t="e">
        <f>VLOOKUP($A1356,'[2]Team lists'!$A$2:$L$800,10,FALSE)</f>
        <v>#N/A</v>
      </c>
      <c r="L1356" s="43" t="e">
        <f>VLOOKUP($A1356,'[2]Team lists'!$A$2:$L$800,11,FALSE)</f>
        <v>#N/A</v>
      </c>
    </row>
    <row r="1357" spans="2:13">
      <c r="B1357" s="43" t="e">
        <f>VLOOKUP($A1357,'[2]Team lists'!$A$2:$L$800,2,FALSE)</f>
        <v>#N/A</v>
      </c>
      <c r="C1357" s="43" t="e">
        <f>VLOOKUP($A1357,'[2]Team lists'!$A$2:$L$800,3,FALSE)</f>
        <v>#N/A</v>
      </c>
      <c r="D1357" s="43" t="e">
        <f>VLOOKUP($A1357,'[2]Team lists'!$A$2:$L$800,4,FALSE)</f>
        <v>#N/A</v>
      </c>
      <c r="E1357" s="43" t="e">
        <f>VLOOKUP($A1357,'[2]Team lists'!$A$2:$L$800,5,FALSE)</f>
        <v>#N/A</v>
      </c>
      <c r="F1357" s="43" t="e">
        <f>VLOOKUP($A1357,'[2]Team lists'!$A$2:$L$800,6,FALSE)</f>
        <v>#N/A</v>
      </c>
      <c r="G1357" s="43" t="e">
        <f>VLOOKUP($A1357,'[2]Team lists'!$A$2:$L$800,7,FALSE)</f>
        <v>#N/A</v>
      </c>
      <c r="H1357" s="43" t="e">
        <f>VLOOKUP($A1357,'[2]Team lists'!$A$2:$L$800,8,FALSE)</f>
        <v>#N/A</v>
      </c>
      <c r="I1357" s="43" t="e">
        <f>VLOOKUP($A1357,'[2]Team lists'!$A$2:$L$800,9,FALSE)</f>
        <v>#N/A</v>
      </c>
      <c r="J1357" s="43" t="e">
        <f>VLOOKUP($A1357,'[2]Team lists'!$A$2:$L$800,9,FALSE)</f>
        <v>#N/A</v>
      </c>
      <c r="K1357" s="43" t="e">
        <f>VLOOKUP($A1357,'[2]Team lists'!$A$2:$L$800,10,FALSE)</f>
        <v>#N/A</v>
      </c>
      <c r="L1357" s="43" t="e">
        <f>VLOOKUP($A1357,'[2]Team lists'!$A$2:$L$800,11,FALSE)</f>
        <v>#N/A</v>
      </c>
    </row>
    <row r="1358" spans="2:13">
      <c r="B1358" s="43" t="e">
        <f>VLOOKUP($A1358,'[2]Team lists'!$A$2:$L$800,2,FALSE)</f>
        <v>#N/A</v>
      </c>
      <c r="C1358" s="43" t="e">
        <f>VLOOKUP($A1358,'[2]Team lists'!$A$2:$L$800,3,FALSE)</f>
        <v>#N/A</v>
      </c>
      <c r="D1358" s="43" t="e">
        <f>VLOOKUP($A1358,'[2]Team lists'!$A$2:$L$800,4,FALSE)</f>
        <v>#N/A</v>
      </c>
      <c r="E1358" s="43" t="e">
        <f>VLOOKUP($A1358,'[2]Team lists'!$A$2:$L$800,5,FALSE)</f>
        <v>#N/A</v>
      </c>
      <c r="F1358" s="43" t="e">
        <f>VLOOKUP($A1358,'[2]Team lists'!$A$2:$L$800,6,FALSE)</f>
        <v>#N/A</v>
      </c>
      <c r="G1358" s="43" t="e">
        <f>VLOOKUP($A1358,'[2]Team lists'!$A$2:$L$800,7,FALSE)</f>
        <v>#N/A</v>
      </c>
      <c r="H1358" s="43" t="e">
        <f>VLOOKUP($A1358,'[2]Team lists'!$A$2:$L$800,8,FALSE)</f>
        <v>#N/A</v>
      </c>
      <c r="I1358" s="43" t="e">
        <f>VLOOKUP($A1358,'[2]Team lists'!$A$2:$L$800,9,FALSE)</f>
        <v>#N/A</v>
      </c>
      <c r="J1358" s="43" t="e">
        <f>VLOOKUP($A1358,'[2]Team lists'!$A$2:$L$800,9,FALSE)</f>
        <v>#N/A</v>
      </c>
      <c r="K1358" s="43" t="e">
        <f>VLOOKUP($A1358,'[2]Team lists'!$A$2:$L$800,10,FALSE)</f>
        <v>#N/A</v>
      </c>
      <c r="L1358" s="43" t="e">
        <f>VLOOKUP($A1358,'[2]Team lists'!$A$2:$L$800,11,FALSE)</f>
        <v>#N/A</v>
      </c>
    </row>
    <row r="1359" spans="2:13" ht="18" thickBot="1">
      <c r="B1359" s="45" t="s">
        <v>3210</v>
      </c>
      <c r="C1359" s="46"/>
      <c r="D1359" s="47"/>
      <c r="E1359" s="48" t="e">
        <f t="shared" ref="E1359:L1359" si="84">SUM(E1348:E1358)</f>
        <v>#N/A</v>
      </c>
      <c r="F1359" s="49" t="e">
        <f t="shared" si="84"/>
        <v>#N/A</v>
      </c>
      <c r="G1359" s="49" t="e">
        <f t="shared" si="84"/>
        <v>#N/A</v>
      </c>
      <c r="H1359" s="49" t="e">
        <f t="shared" si="84"/>
        <v>#N/A</v>
      </c>
      <c r="I1359" s="49" t="e">
        <f t="shared" si="84"/>
        <v>#N/A</v>
      </c>
      <c r="J1359" s="49" t="e">
        <f t="shared" si="84"/>
        <v>#N/A</v>
      </c>
      <c r="K1359" s="49" t="e">
        <f t="shared" si="84"/>
        <v>#N/A</v>
      </c>
      <c r="L1359" s="50" t="e">
        <f t="shared" si="84"/>
        <v>#N/A</v>
      </c>
    </row>
    <row r="1360" spans="2:13" ht="18.600000000000001" thickTop="1" thickBot="1"/>
    <row r="1361" spans="2:13" ht="18" thickTop="1">
      <c r="B1361" s="23" t="s">
        <v>3204</v>
      </c>
      <c r="C1361" s="24" t="s">
        <v>3205</v>
      </c>
      <c r="D1361" s="25"/>
      <c r="E1361" s="25"/>
      <c r="F1361" s="53"/>
      <c r="G1361" s="28" t="s">
        <v>3206</v>
      </c>
      <c r="H1361" s="54"/>
      <c r="I1361" s="54"/>
      <c r="J1361" s="54"/>
      <c r="K1361" s="28" t="s">
        <v>3207</v>
      </c>
      <c r="L1361" s="29"/>
      <c r="M1361" s="22" t="str">
        <f>G1361</f>
        <v>Manager:</v>
      </c>
    </row>
    <row r="1362" spans="2:13" ht="18" thickBot="1">
      <c r="B1362" s="30">
        <v>86</v>
      </c>
      <c r="C1362" s="57"/>
      <c r="D1362" s="31"/>
      <c r="E1362" s="31"/>
      <c r="F1362" s="33"/>
      <c r="G1362" s="55"/>
      <c r="H1362" s="55"/>
      <c r="I1362" s="55"/>
      <c r="J1362" s="55"/>
      <c r="K1362" s="34" t="e">
        <f>SUM(F1375:L1375)</f>
        <v>#N/A</v>
      </c>
      <c r="L1362" s="35"/>
      <c r="M1362" s="22">
        <f>G1362</f>
        <v>0</v>
      </c>
    </row>
    <row r="1363" spans="2:13" ht="18.600000000000001" thickTop="1">
      <c r="B1363" s="58" t="s">
        <v>913</v>
      </c>
      <c r="C1363" s="59" t="s">
        <v>912</v>
      </c>
      <c r="D1363" s="60" t="s">
        <v>911</v>
      </c>
      <c r="E1363" s="61" t="s">
        <v>3209</v>
      </c>
      <c r="F1363" s="62" t="s">
        <v>3162</v>
      </c>
      <c r="G1363" s="62" t="s">
        <v>3163</v>
      </c>
      <c r="H1363" s="62" t="s">
        <v>3164</v>
      </c>
      <c r="I1363" s="62" t="s">
        <v>3165</v>
      </c>
      <c r="J1363" s="62" t="s">
        <v>3166</v>
      </c>
      <c r="K1363" s="62" t="s">
        <v>3167</v>
      </c>
      <c r="L1363" s="63" t="s">
        <v>3168</v>
      </c>
    </row>
    <row r="1364" spans="2:13">
      <c r="B1364" s="43" t="e">
        <f>VLOOKUP($A1364,'[2]Team lists'!$A$2:$L$800,2,FALSE)</f>
        <v>#N/A</v>
      </c>
      <c r="C1364" s="43" t="e">
        <f>VLOOKUP($A1364,'[2]Team lists'!$A$2:$L$800,3,FALSE)</f>
        <v>#N/A</v>
      </c>
      <c r="D1364" s="43" t="e">
        <f>VLOOKUP($A1364,'[2]Team lists'!$A$2:$L$800,4,FALSE)</f>
        <v>#N/A</v>
      </c>
      <c r="E1364" s="43" t="e">
        <f>VLOOKUP($A1364,'[2]Team lists'!$A$2:$L$800,5,FALSE)</f>
        <v>#N/A</v>
      </c>
      <c r="F1364" s="43" t="e">
        <f>VLOOKUP($A1364,'[2]Team lists'!$A$2:$L$800,6,FALSE)</f>
        <v>#N/A</v>
      </c>
      <c r="G1364" s="43" t="e">
        <f>VLOOKUP($A1364,'[2]Team lists'!$A$2:$L$800,7,FALSE)</f>
        <v>#N/A</v>
      </c>
      <c r="H1364" s="43" t="e">
        <f>VLOOKUP($A1364,'[2]Team lists'!$A$2:$L$800,8,FALSE)</f>
        <v>#N/A</v>
      </c>
      <c r="I1364" s="43" t="e">
        <f>VLOOKUP($A1364,'[2]Team lists'!$A$2:$L$800,9,FALSE)</f>
        <v>#N/A</v>
      </c>
      <c r="J1364" s="43" t="e">
        <f>VLOOKUP($A1364,'[2]Team lists'!$A$2:$L$800,9,FALSE)</f>
        <v>#N/A</v>
      </c>
      <c r="K1364" s="43" t="e">
        <f>VLOOKUP($A1364,'[2]Team lists'!$A$2:$L$800,10,FALSE)</f>
        <v>#N/A</v>
      </c>
      <c r="L1364" s="43" t="e">
        <f>VLOOKUP($A1364,'[2]Team lists'!$A$2:$L$800,11,FALSE)</f>
        <v>#N/A</v>
      </c>
    </row>
    <row r="1365" spans="2:13">
      <c r="B1365" s="43" t="e">
        <f>VLOOKUP($A1365,'[2]Team lists'!$A$2:$L$800,2,FALSE)</f>
        <v>#N/A</v>
      </c>
      <c r="C1365" s="43" t="e">
        <f>VLOOKUP($A1365,'[2]Team lists'!$A$2:$L$800,3,FALSE)</f>
        <v>#N/A</v>
      </c>
      <c r="D1365" s="43" t="e">
        <f>VLOOKUP($A1365,'[2]Team lists'!$A$2:$L$800,4,FALSE)</f>
        <v>#N/A</v>
      </c>
      <c r="E1365" s="43" t="e">
        <f>VLOOKUP($A1365,'[2]Team lists'!$A$2:$L$800,5,FALSE)</f>
        <v>#N/A</v>
      </c>
      <c r="F1365" s="43" t="e">
        <f>VLOOKUP($A1365,'[2]Team lists'!$A$2:$L$800,6,FALSE)</f>
        <v>#N/A</v>
      </c>
      <c r="G1365" s="43" t="e">
        <f>VLOOKUP($A1365,'[2]Team lists'!$A$2:$L$800,7,FALSE)</f>
        <v>#N/A</v>
      </c>
      <c r="H1365" s="43" t="e">
        <f>VLOOKUP($A1365,'[2]Team lists'!$A$2:$L$800,8,FALSE)</f>
        <v>#N/A</v>
      </c>
      <c r="I1365" s="43" t="e">
        <f>VLOOKUP($A1365,'[2]Team lists'!$A$2:$L$800,9,FALSE)</f>
        <v>#N/A</v>
      </c>
      <c r="J1365" s="43" t="e">
        <f>VLOOKUP($A1365,'[2]Team lists'!$A$2:$L$800,9,FALSE)</f>
        <v>#N/A</v>
      </c>
      <c r="K1365" s="43" t="e">
        <f>VLOOKUP($A1365,'[2]Team lists'!$A$2:$L$800,10,FALSE)</f>
        <v>#N/A</v>
      </c>
      <c r="L1365" s="43" t="e">
        <f>VLOOKUP($A1365,'[2]Team lists'!$A$2:$L$800,11,FALSE)</f>
        <v>#N/A</v>
      </c>
    </row>
    <row r="1366" spans="2:13">
      <c r="B1366" s="43" t="e">
        <f>VLOOKUP($A1366,'[2]Team lists'!$A$2:$L$800,2,FALSE)</f>
        <v>#N/A</v>
      </c>
      <c r="C1366" s="43" t="e">
        <f>VLOOKUP($A1366,'[2]Team lists'!$A$2:$L$800,3,FALSE)</f>
        <v>#N/A</v>
      </c>
      <c r="D1366" s="43" t="e">
        <f>VLOOKUP($A1366,'[2]Team lists'!$A$2:$L$800,4,FALSE)</f>
        <v>#N/A</v>
      </c>
      <c r="E1366" s="43" t="e">
        <f>VLOOKUP($A1366,'[2]Team lists'!$A$2:$L$800,5,FALSE)</f>
        <v>#N/A</v>
      </c>
      <c r="F1366" s="43" t="e">
        <f>VLOOKUP($A1366,'[2]Team lists'!$A$2:$L$800,6,FALSE)</f>
        <v>#N/A</v>
      </c>
      <c r="G1366" s="43" t="e">
        <f>VLOOKUP($A1366,'[2]Team lists'!$A$2:$L$800,7,FALSE)</f>
        <v>#N/A</v>
      </c>
      <c r="H1366" s="43" t="e">
        <f>VLOOKUP($A1366,'[2]Team lists'!$A$2:$L$800,8,FALSE)</f>
        <v>#N/A</v>
      </c>
      <c r="I1366" s="43" t="e">
        <f>VLOOKUP($A1366,'[2]Team lists'!$A$2:$L$800,9,FALSE)</f>
        <v>#N/A</v>
      </c>
      <c r="J1366" s="43" t="e">
        <f>VLOOKUP($A1366,'[2]Team lists'!$A$2:$L$800,9,FALSE)</f>
        <v>#N/A</v>
      </c>
      <c r="K1366" s="43" t="e">
        <f>VLOOKUP($A1366,'[2]Team lists'!$A$2:$L$800,10,FALSE)</f>
        <v>#N/A</v>
      </c>
      <c r="L1366" s="43" t="e">
        <f>VLOOKUP($A1366,'[2]Team lists'!$A$2:$L$800,11,FALSE)</f>
        <v>#N/A</v>
      </c>
    </row>
    <row r="1367" spans="2:13">
      <c r="B1367" s="43" t="e">
        <f>VLOOKUP($A1367,'[2]Team lists'!$A$2:$L$800,2,FALSE)</f>
        <v>#N/A</v>
      </c>
      <c r="C1367" s="43" t="e">
        <f>VLOOKUP($A1367,'[2]Team lists'!$A$2:$L$800,3,FALSE)</f>
        <v>#N/A</v>
      </c>
      <c r="D1367" s="43" t="e">
        <f>VLOOKUP($A1367,'[2]Team lists'!$A$2:$L$800,4,FALSE)</f>
        <v>#N/A</v>
      </c>
      <c r="E1367" s="43" t="e">
        <f>VLOOKUP($A1367,'[2]Team lists'!$A$2:$L$800,5,FALSE)</f>
        <v>#N/A</v>
      </c>
      <c r="F1367" s="43" t="e">
        <f>VLOOKUP($A1367,'[2]Team lists'!$A$2:$L$800,6,FALSE)</f>
        <v>#N/A</v>
      </c>
      <c r="G1367" s="43" t="e">
        <f>VLOOKUP($A1367,'[2]Team lists'!$A$2:$L$800,7,FALSE)</f>
        <v>#N/A</v>
      </c>
      <c r="H1367" s="43" t="e">
        <f>VLOOKUP($A1367,'[2]Team lists'!$A$2:$L$800,8,FALSE)</f>
        <v>#N/A</v>
      </c>
      <c r="I1367" s="43" t="e">
        <f>VLOOKUP($A1367,'[2]Team lists'!$A$2:$L$800,9,FALSE)</f>
        <v>#N/A</v>
      </c>
      <c r="J1367" s="43" t="e">
        <f>VLOOKUP($A1367,'[2]Team lists'!$A$2:$L$800,9,FALSE)</f>
        <v>#N/A</v>
      </c>
      <c r="K1367" s="43" t="e">
        <f>VLOOKUP($A1367,'[2]Team lists'!$A$2:$L$800,10,FALSE)</f>
        <v>#N/A</v>
      </c>
      <c r="L1367" s="43" t="e">
        <f>VLOOKUP($A1367,'[2]Team lists'!$A$2:$L$800,11,FALSE)</f>
        <v>#N/A</v>
      </c>
    </row>
    <row r="1368" spans="2:13">
      <c r="B1368" s="43" t="e">
        <f>VLOOKUP($A1368,'[2]Team lists'!$A$2:$L$800,2,FALSE)</f>
        <v>#N/A</v>
      </c>
      <c r="C1368" s="43" t="e">
        <f>VLOOKUP($A1368,'[2]Team lists'!$A$2:$L$800,3,FALSE)</f>
        <v>#N/A</v>
      </c>
      <c r="D1368" s="43" t="e">
        <f>VLOOKUP($A1368,'[2]Team lists'!$A$2:$L$800,4,FALSE)</f>
        <v>#N/A</v>
      </c>
      <c r="E1368" s="43" t="e">
        <f>VLOOKUP($A1368,'[2]Team lists'!$A$2:$L$800,5,FALSE)</f>
        <v>#N/A</v>
      </c>
      <c r="F1368" s="43" t="e">
        <f>VLOOKUP($A1368,'[2]Team lists'!$A$2:$L$800,6,FALSE)</f>
        <v>#N/A</v>
      </c>
      <c r="G1368" s="43" t="e">
        <f>VLOOKUP($A1368,'[2]Team lists'!$A$2:$L$800,7,FALSE)</f>
        <v>#N/A</v>
      </c>
      <c r="H1368" s="43" t="e">
        <f>VLOOKUP($A1368,'[2]Team lists'!$A$2:$L$800,8,FALSE)</f>
        <v>#N/A</v>
      </c>
      <c r="I1368" s="43" t="e">
        <f>VLOOKUP($A1368,'[2]Team lists'!$A$2:$L$800,9,FALSE)</f>
        <v>#N/A</v>
      </c>
      <c r="J1368" s="43" t="e">
        <f>VLOOKUP($A1368,'[2]Team lists'!$A$2:$L$800,9,FALSE)</f>
        <v>#N/A</v>
      </c>
      <c r="K1368" s="43" t="e">
        <f>VLOOKUP($A1368,'[2]Team lists'!$A$2:$L$800,10,FALSE)</f>
        <v>#N/A</v>
      </c>
      <c r="L1368" s="43" t="e">
        <f>VLOOKUP($A1368,'[2]Team lists'!$A$2:$L$800,11,FALSE)</f>
        <v>#N/A</v>
      </c>
    </row>
    <row r="1369" spans="2:13">
      <c r="B1369" s="43" t="e">
        <f>VLOOKUP($A1369,'[2]Team lists'!$A$2:$L$800,2,FALSE)</f>
        <v>#N/A</v>
      </c>
      <c r="C1369" s="43" t="e">
        <f>VLOOKUP($A1369,'[2]Team lists'!$A$2:$L$800,3,FALSE)</f>
        <v>#N/A</v>
      </c>
      <c r="D1369" s="43" t="e">
        <f>VLOOKUP($A1369,'[2]Team lists'!$A$2:$L$800,4,FALSE)</f>
        <v>#N/A</v>
      </c>
      <c r="E1369" s="43" t="e">
        <f>VLOOKUP($A1369,'[2]Team lists'!$A$2:$L$800,5,FALSE)</f>
        <v>#N/A</v>
      </c>
      <c r="F1369" s="43" t="e">
        <f>VLOOKUP($A1369,'[2]Team lists'!$A$2:$L$800,6,FALSE)</f>
        <v>#N/A</v>
      </c>
      <c r="G1369" s="43" t="e">
        <f>VLOOKUP($A1369,'[2]Team lists'!$A$2:$L$800,7,FALSE)</f>
        <v>#N/A</v>
      </c>
      <c r="H1369" s="43" t="e">
        <f>VLOOKUP($A1369,'[2]Team lists'!$A$2:$L$800,8,FALSE)</f>
        <v>#N/A</v>
      </c>
      <c r="I1369" s="43" t="e">
        <f>VLOOKUP($A1369,'[2]Team lists'!$A$2:$L$800,9,FALSE)</f>
        <v>#N/A</v>
      </c>
      <c r="J1369" s="43" t="e">
        <f>VLOOKUP($A1369,'[2]Team lists'!$A$2:$L$800,9,FALSE)</f>
        <v>#N/A</v>
      </c>
      <c r="K1369" s="43" t="e">
        <f>VLOOKUP($A1369,'[2]Team lists'!$A$2:$L$800,10,FALSE)</f>
        <v>#N/A</v>
      </c>
      <c r="L1369" s="43" t="e">
        <f>VLOOKUP($A1369,'[2]Team lists'!$A$2:$L$800,11,FALSE)</f>
        <v>#N/A</v>
      </c>
    </row>
    <row r="1370" spans="2:13">
      <c r="B1370" s="43" t="e">
        <f>VLOOKUP($A1370,'[2]Team lists'!$A$2:$L$800,2,FALSE)</f>
        <v>#N/A</v>
      </c>
      <c r="C1370" s="43" t="e">
        <f>VLOOKUP($A1370,'[2]Team lists'!$A$2:$L$800,3,FALSE)</f>
        <v>#N/A</v>
      </c>
      <c r="D1370" s="43" t="e">
        <f>VLOOKUP($A1370,'[2]Team lists'!$A$2:$L$800,4,FALSE)</f>
        <v>#N/A</v>
      </c>
      <c r="E1370" s="43" t="e">
        <f>VLOOKUP($A1370,'[2]Team lists'!$A$2:$L$800,5,FALSE)</f>
        <v>#N/A</v>
      </c>
      <c r="F1370" s="43" t="e">
        <f>VLOOKUP($A1370,'[2]Team lists'!$A$2:$L$800,6,FALSE)</f>
        <v>#N/A</v>
      </c>
      <c r="G1370" s="43" t="e">
        <f>VLOOKUP($A1370,'[2]Team lists'!$A$2:$L$800,7,FALSE)</f>
        <v>#N/A</v>
      </c>
      <c r="H1370" s="43" t="e">
        <f>VLOOKUP($A1370,'[2]Team lists'!$A$2:$L$800,8,FALSE)</f>
        <v>#N/A</v>
      </c>
      <c r="I1370" s="43" t="e">
        <f>VLOOKUP($A1370,'[2]Team lists'!$A$2:$L$800,9,FALSE)</f>
        <v>#N/A</v>
      </c>
      <c r="J1370" s="43" t="e">
        <f>VLOOKUP($A1370,'[2]Team lists'!$A$2:$L$800,9,FALSE)</f>
        <v>#N/A</v>
      </c>
      <c r="K1370" s="43" t="e">
        <f>VLOOKUP($A1370,'[2]Team lists'!$A$2:$L$800,10,FALSE)</f>
        <v>#N/A</v>
      </c>
      <c r="L1370" s="43" t="e">
        <f>VLOOKUP($A1370,'[2]Team lists'!$A$2:$L$800,11,FALSE)</f>
        <v>#N/A</v>
      </c>
    </row>
    <row r="1371" spans="2:13">
      <c r="B1371" s="43" t="e">
        <f>VLOOKUP($A1371,'[2]Team lists'!$A$2:$L$800,2,FALSE)</f>
        <v>#N/A</v>
      </c>
      <c r="C1371" s="43" t="e">
        <f>VLOOKUP($A1371,'[2]Team lists'!$A$2:$L$800,3,FALSE)</f>
        <v>#N/A</v>
      </c>
      <c r="D1371" s="43" t="e">
        <f>VLOOKUP($A1371,'[2]Team lists'!$A$2:$L$800,4,FALSE)</f>
        <v>#N/A</v>
      </c>
      <c r="E1371" s="43" t="e">
        <f>VLOOKUP($A1371,'[2]Team lists'!$A$2:$L$800,5,FALSE)</f>
        <v>#N/A</v>
      </c>
      <c r="F1371" s="43" t="e">
        <f>VLOOKUP($A1371,'[2]Team lists'!$A$2:$L$800,6,FALSE)</f>
        <v>#N/A</v>
      </c>
      <c r="G1371" s="43" t="e">
        <f>VLOOKUP($A1371,'[2]Team lists'!$A$2:$L$800,7,FALSE)</f>
        <v>#N/A</v>
      </c>
      <c r="H1371" s="43" t="e">
        <f>VLOOKUP($A1371,'[2]Team lists'!$A$2:$L$800,8,FALSE)</f>
        <v>#N/A</v>
      </c>
      <c r="I1371" s="43" t="e">
        <f>VLOOKUP($A1371,'[2]Team lists'!$A$2:$L$800,9,FALSE)</f>
        <v>#N/A</v>
      </c>
      <c r="J1371" s="43" t="e">
        <f>VLOOKUP($A1371,'[2]Team lists'!$A$2:$L$800,9,FALSE)</f>
        <v>#N/A</v>
      </c>
      <c r="K1371" s="43" t="e">
        <f>VLOOKUP($A1371,'[2]Team lists'!$A$2:$L$800,10,FALSE)</f>
        <v>#N/A</v>
      </c>
      <c r="L1371" s="43" t="e">
        <f>VLOOKUP($A1371,'[2]Team lists'!$A$2:$L$800,11,FALSE)</f>
        <v>#N/A</v>
      </c>
    </row>
    <row r="1372" spans="2:13">
      <c r="B1372" s="43" t="e">
        <f>VLOOKUP($A1372,'[2]Team lists'!$A$2:$L$800,2,FALSE)</f>
        <v>#N/A</v>
      </c>
      <c r="C1372" s="43" t="e">
        <f>VLOOKUP($A1372,'[2]Team lists'!$A$2:$L$800,3,FALSE)</f>
        <v>#N/A</v>
      </c>
      <c r="D1372" s="43" t="e">
        <f>VLOOKUP($A1372,'[2]Team lists'!$A$2:$L$800,4,FALSE)</f>
        <v>#N/A</v>
      </c>
      <c r="E1372" s="43" t="e">
        <f>VLOOKUP($A1372,'[2]Team lists'!$A$2:$L$800,5,FALSE)</f>
        <v>#N/A</v>
      </c>
      <c r="F1372" s="43" t="e">
        <f>VLOOKUP($A1372,'[2]Team lists'!$A$2:$L$800,6,FALSE)</f>
        <v>#N/A</v>
      </c>
      <c r="G1372" s="43" t="e">
        <f>VLOOKUP($A1372,'[2]Team lists'!$A$2:$L$800,7,FALSE)</f>
        <v>#N/A</v>
      </c>
      <c r="H1372" s="43" t="e">
        <f>VLOOKUP($A1372,'[2]Team lists'!$A$2:$L$800,8,FALSE)</f>
        <v>#N/A</v>
      </c>
      <c r="I1372" s="43" t="e">
        <f>VLOOKUP($A1372,'[2]Team lists'!$A$2:$L$800,9,FALSE)</f>
        <v>#N/A</v>
      </c>
      <c r="J1372" s="43" t="e">
        <f>VLOOKUP($A1372,'[2]Team lists'!$A$2:$L$800,9,FALSE)</f>
        <v>#N/A</v>
      </c>
      <c r="K1372" s="43" t="e">
        <f>VLOOKUP($A1372,'[2]Team lists'!$A$2:$L$800,10,FALSE)</f>
        <v>#N/A</v>
      </c>
      <c r="L1372" s="43" t="e">
        <f>VLOOKUP($A1372,'[2]Team lists'!$A$2:$L$800,11,FALSE)</f>
        <v>#N/A</v>
      </c>
    </row>
    <row r="1373" spans="2:13">
      <c r="B1373" s="43" t="e">
        <f>VLOOKUP($A1373,'[2]Team lists'!$A$2:$L$800,2,FALSE)</f>
        <v>#N/A</v>
      </c>
      <c r="C1373" s="43" t="e">
        <f>VLOOKUP($A1373,'[2]Team lists'!$A$2:$L$800,3,FALSE)</f>
        <v>#N/A</v>
      </c>
      <c r="D1373" s="43" t="e">
        <f>VLOOKUP($A1373,'[2]Team lists'!$A$2:$L$800,4,FALSE)</f>
        <v>#N/A</v>
      </c>
      <c r="E1373" s="43" t="e">
        <f>VLOOKUP($A1373,'[2]Team lists'!$A$2:$L$800,5,FALSE)</f>
        <v>#N/A</v>
      </c>
      <c r="F1373" s="43" t="e">
        <f>VLOOKUP($A1373,'[2]Team lists'!$A$2:$L$800,6,FALSE)</f>
        <v>#N/A</v>
      </c>
      <c r="G1373" s="43" t="e">
        <f>VLOOKUP($A1373,'[2]Team lists'!$A$2:$L$800,7,FALSE)</f>
        <v>#N/A</v>
      </c>
      <c r="H1373" s="43" t="e">
        <f>VLOOKUP($A1373,'[2]Team lists'!$A$2:$L$800,8,FALSE)</f>
        <v>#N/A</v>
      </c>
      <c r="I1373" s="43" t="e">
        <f>VLOOKUP($A1373,'[2]Team lists'!$A$2:$L$800,9,FALSE)</f>
        <v>#N/A</v>
      </c>
      <c r="J1373" s="43" t="e">
        <f>VLOOKUP($A1373,'[2]Team lists'!$A$2:$L$800,9,FALSE)</f>
        <v>#N/A</v>
      </c>
      <c r="K1373" s="43" t="e">
        <f>VLOOKUP($A1373,'[2]Team lists'!$A$2:$L$800,10,FALSE)</f>
        <v>#N/A</v>
      </c>
      <c r="L1373" s="43" t="e">
        <f>VLOOKUP($A1373,'[2]Team lists'!$A$2:$L$800,11,FALSE)</f>
        <v>#N/A</v>
      </c>
    </row>
    <row r="1374" spans="2:13">
      <c r="B1374" s="43" t="e">
        <f>VLOOKUP($A1374,'[2]Team lists'!$A$2:$L$800,2,FALSE)</f>
        <v>#N/A</v>
      </c>
      <c r="C1374" s="43" t="e">
        <f>VLOOKUP($A1374,'[2]Team lists'!$A$2:$L$800,3,FALSE)</f>
        <v>#N/A</v>
      </c>
      <c r="D1374" s="43" t="e">
        <f>VLOOKUP($A1374,'[2]Team lists'!$A$2:$L$800,4,FALSE)</f>
        <v>#N/A</v>
      </c>
      <c r="E1374" s="43" t="e">
        <f>VLOOKUP($A1374,'[2]Team lists'!$A$2:$L$800,5,FALSE)</f>
        <v>#N/A</v>
      </c>
      <c r="F1374" s="43" t="e">
        <f>VLOOKUP($A1374,'[2]Team lists'!$A$2:$L$800,6,FALSE)</f>
        <v>#N/A</v>
      </c>
      <c r="G1374" s="43" t="e">
        <f>VLOOKUP($A1374,'[2]Team lists'!$A$2:$L$800,7,FALSE)</f>
        <v>#N/A</v>
      </c>
      <c r="H1374" s="43" t="e">
        <f>VLOOKUP($A1374,'[2]Team lists'!$A$2:$L$800,8,FALSE)</f>
        <v>#N/A</v>
      </c>
      <c r="I1374" s="43" t="e">
        <f>VLOOKUP($A1374,'[2]Team lists'!$A$2:$L$800,9,FALSE)</f>
        <v>#N/A</v>
      </c>
      <c r="J1374" s="43" t="e">
        <f>VLOOKUP($A1374,'[2]Team lists'!$A$2:$L$800,9,FALSE)</f>
        <v>#N/A</v>
      </c>
      <c r="K1374" s="43" t="e">
        <f>VLOOKUP($A1374,'[2]Team lists'!$A$2:$L$800,10,FALSE)</f>
        <v>#N/A</v>
      </c>
      <c r="L1374" s="43" t="e">
        <f>VLOOKUP($A1374,'[2]Team lists'!$A$2:$L$800,11,FALSE)</f>
        <v>#N/A</v>
      </c>
    </row>
    <row r="1375" spans="2:13" ht="18" thickBot="1">
      <c r="B1375" s="45" t="s">
        <v>3210</v>
      </c>
      <c r="C1375" s="46"/>
      <c r="D1375" s="47"/>
      <c r="E1375" s="48" t="e">
        <f t="shared" ref="E1375:L1375" si="85">SUM(E1364:E1374)</f>
        <v>#N/A</v>
      </c>
      <c r="F1375" s="49" t="e">
        <f t="shared" si="85"/>
        <v>#N/A</v>
      </c>
      <c r="G1375" s="49" t="e">
        <f t="shared" si="85"/>
        <v>#N/A</v>
      </c>
      <c r="H1375" s="49" t="e">
        <f t="shared" si="85"/>
        <v>#N/A</v>
      </c>
      <c r="I1375" s="49" t="e">
        <f t="shared" si="85"/>
        <v>#N/A</v>
      </c>
      <c r="J1375" s="49" t="e">
        <f t="shared" si="85"/>
        <v>#N/A</v>
      </c>
      <c r="K1375" s="49" t="e">
        <f t="shared" si="85"/>
        <v>#N/A</v>
      </c>
      <c r="L1375" s="50" t="e">
        <f t="shared" si="85"/>
        <v>#N/A</v>
      </c>
    </row>
    <row r="1376" spans="2:13" ht="18.600000000000001" thickTop="1" thickBot="1"/>
    <row r="1377" spans="2:13" ht="18" thickTop="1">
      <c r="B1377" s="23" t="s">
        <v>3204</v>
      </c>
      <c r="C1377" s="24" t="s">
        <v>3205</v>
      </c>
      <c r="D1377" s="25"/>
      <c r="E1377" s="25"/>
      <c r="F1377" s="53"/>
      <c r="G1377" s="28" t="s">
        <v>3206</v>
      </c>
      <c r="H1377" s="54"/>
      <c r="I1377" s="54"/>
      <c r="J1377" s="54"/>
      <c r="K1377" s="28" t="s">
        <v>3207</v>
      </c>
      <c r="L1377" s="29"/>
      <c r="M1377" s="22" t="str">
        <f>G1377</f>
        <v>Manager:</v>
      </c>
    </row>
    <row r="1378" spans="2:13" ht="18" thickBot="1">
      <c r="B1378" s="30">
        <v>87</v>
      </c>
      <c r="C1378" s="57"/>
      <c r="D1378" s="31"/>
      <c r="E1378" s="31"/>
      <c r="F1378" s="33"/>
      <c r="G1378" s="55"/>
      <c r="H1378" s="55"/>
      <c r="I1378" s="55"/>
      <c r="J1378" s="55"/>
      <c r="K1378" s="34" t="e">
        <f>SUM(F1391:L1391)</f>
        <v>#N/A</v>
      </c>
      <c r="L1378" s="35"/>
      <c r="M1378" s="22">
        <f>G1378</f>
        <v>0</v>
      </c>
    </row>
    <row r="1379" spans="2:13" ht="18.600000000000001" thickTop="1">
      <c r="B1379" s="58" t="s">
        <v>913</v>
      </c>
      <c r="C1379" s="59" t="s">
        <v>912</v>
      </c>
      <c r="D1379" s="60" t="s">
        <v>911</v>
      </c>
      <c r="E1379" s="61" t="s">
        <v>3209</v>
      </c>
      <c r="F1379" s="62" t="s">
        <v>3162</v>
      </c>
      <c r="G1379" s="62" t="s">
        <v>3163</v>
      </c>
      <c r="H1379" s="62" t="s">
        <v>3164</v>
      </c>
      <c r="I1379" s="62" t="s">
        <v>3165</v>
      </c>
      <c r="J1379" s="62" t="s">
        <v>3166</v>
      </c>
      <c r="K1379" s="62" t="s">
        <v>3167</v>
      </c>
      <c r="L1379" s="63" t="s">
        <v>3168</v>
      </c>
    </row>
    <row r="1380" spans="2:13">
      <c r="B1380" s="43" t="e">
        <f>VLOOKUP($A1380,'[2]Team lists'!$A$2:$L$800,2,FALSE)</f>
        <v>#N/A</v>
      </c>
      <c r="C1380" s="43" t="e">
        <f>VLOOKUP($A1380,'[2]Team lists'!$A$2:$L$800,3,FALSE)</f>
        <v>#N/A</v>
      </c>
      <c r="D1380" s="43" t="e">
        <f>VLOOKUP($A1380,'[2]Team lists'!$A$2:$L$800,4,FALSE)</f>
        <v>#N/A</v>
      </c>
      <c r="E1380" s="43" t="e">
        <f>VLOOKUP($A1380,'[2]Team lists'!$A$2:$L$800,5,FALSE)</f>
        <v>#N/A</v>
      </c>
      <c r="F1380" s="43" t="e">
        <f>VLOOKUP($A1380,'[2]Team lists'!$A$2:$L$800,6,FALSE)</f>
        <v>#N/A</v>
      </c>
      <c r="G1380" s="43" t="e">
        <f>VLOOKUP($A1380,'[2]Team lists'!$A$2:$L$800,7,FALSE)</f>
        <v>#N/A</v>
      </c>
      <c r="H1380" s="43" t="e">
        <f>VLOOKUP($A1380,'[2]Team lists'!$A$2:$L$800,8,FALSE)</f>
        <v>#N/A</v>
      </c>
      <c r="I1380" s="43" t="e">
        <f>VLOOKUP($A1380,'[2]Team lists'!$A$2:$L$800,9,FALSE)</f>
        <v>#N/A</v>
      </c>
      <c r="J1380" s="43" t="e">
        <f>VLOOKUP($A1380,'[2]Team lists'!$A$2:$L$800,9,FALSE)</f>
        <v>#N/A</v>
      </c>
      <c r="K1380" s="43" t="e">
        <f>VLOOKUP($A1380,'[2]Team lists'!$A$2:$L$800,10,FALSE)</f>
        <v>#N/A</v>
      </c>
      <c r="L1380" s="43" t="e">
        <f>VLOOKUP($A1380,'[2]Team lists'!$A$2:$L$800,11,FALSE)</f>
        <v>#N/A</v>
      </c>
    </row>
    <row r="1381" spans="2:13">
      <c r="B1381" s="43" t="e">
        <f>VLOOKUP($A1381,'[2]Team lists'!$A$2:$L$800,2,FALSE)</f>
        <v>#N/A</v>
      </c>
      <c r="C1381" s="43" t="e">
        <f>VLOOKUP($A1381,'[2]Team lists'!$A$2:$L$800,3,FALSE)</f>
        <v>#N/A</v>
      </c>
      <c r="D1381" s="43" t="e">
        <f>VLOOKUP($A1381,'[2]Team lists'!$A$2:$L$800,4,FALSE)</f>
        <v>#N/A</v>
      </c>
      <c r="E1381" s="43" t="e">
        <f>VLOOKUP($A1381,'[2]Team lists'!$A$2:$L$800,5,FALSE)</f>
        <v>#N/A</v>
      </c>
      <c r="F1381" s="43" t="e">
        <f>VLOOKUP($A1381,'[2]Team lists'!$A$2:$L$800,6,FALSE)</f>
        <v>#N/A</v>
      </c>
      <c r="G1381" s="43" t="e">
        <f>VLOOKUP($A1381,'[2]Team lists'!$A$2:$L$800,7,FALSE)</f>
        <v>#N/A</v>
      </c>
      <c r="H1381" s="43" t="e">
        <f>VLOOKUP($A1381,'[2]Team lists'!$A$2:$L$800,8,FALSE)</f>
        <v>#N/A</v>
      </c>
      <c r="I1381" s="43" t="e">
        <f>VLOOKUP($A1381,'[2]Team lists'!$A$2:$L$800,9,FALSE)</f>
        <v>#N/A</v>
      </c>
      <c r="J1381" s="43" t="e">
        <f>VLOOKUP($A1381,'[2]Team lists'!$A$2:$L$800,9,FALSE)</f>
        <v>#N/A</v>
      </c>
      <c r="K1381" s="43" t="e">
        <f>VLOOKUP($A1381,'[2]Team lists'!$A$2:$L$800,10,FALSE)</f>
        <v>#N/A</v>
      </c>
      <c r="L1381" s="43" t="e">
        <f>VLOOKUP($A1381,'[2]Team lists'!$A$2:$L$800,11,FALSE)</f>
        <v>#N/A</v>
      </c>
    </row>
    <row r="1382" spans="2:13">
      <c r="B1382" s="43" t="e">
        <f>VLOOKUP($A1382,'[2]Team lists'!$A$2:$L$800,2,FALSE)</f>
        <v>#N/A</v>
      </c>
      <c r="C1382" s="43" t="e">
        <f>VLOOKUP($A1382,'[2]Team lists'!$A$2:$L$800,3,FALSE)</f>
        <v>#N/A</v>
      </c>
      <c r="D1382" s="43" t="e">
        <f>VLOOKUP($A1382,'[2]Team lists'!$A$2:$L$800,4,FALSE)</f>
        <v>#N/A</v>
      </c>
      <c r="E1382" s="43" t="e">
        <f>VLOOKUP($A1382,'[2]Team lists'!$A$2:$L$800,5,FALSE)</f>
        <v>#N/A</v>
      </c>
      <c r="F1382" s="43" t="e">
        <f>VLOOKUP($A1382,'[2]Team lists'!$A$2:$L$800,6,FALSE)</f>
        <v>#N/A</v>
      </c>
      <c r="G1382" s="43" t="e">
        <f>VLOOKUP($A1382,'[2]Team lists'!$A$2:$L$800,7,FALSE)</f>
        <v>#N/A</v>
      </c>
      <c r="H1382" s="43" t="e">
        <f>VLOOKUP($A1382,'[2]Team lists'!$A$2:$L$800,8,FALSE)</f>
        <v>#N/A</v>
      </c>
      <c r="I1382" s="43" t="e">
        <f>VLOOKUP($A1382,'[2]Team lists'!$A$2:$L$800,9,FALSE)</f>
        <v>#N/A</v>
      </c>
      <c r="J1382" s="43" t="e">
        <f>VLOOKUP($A1382,'[2]Team lists'!$A$2:$L$800,9,FALSE)</f>
        <v>#N/A</v>
      </c>
      <c r="K1382" s="43" t="e">
        <f>VLOOKUP($A1382,'[2]Team lists'!$A$2:$L$800,10,FALSE)</f>
        <v>#N/A</v>
      </c>
      <c r="L1382" s="43" t="e">
        <f>VLOOKUP($A1382,'[2]Team lists'!$A$2:$L$800,11,FALSE)</f>
        <v>#N/A</v>
      </c>
    </row>
    <row r="1383" spans="2:13">
      <c r="B1383" s="43" t="e">
        <f>VLOOKUP($A1383,'[2]Team lists'!$A$2:$L$800,2,FALSE)</f>
        <v>#N/A</v>
      </c>
      <c r="C1383" s="43" t="e">
        <f>VLOOKUP($A1383,'[2]Team lists'!$A$2:$L$800,3,FALSE)</f>
        <v>#N/A</v>
      </c>
      <c r="D1383" s="43" t="e">
        <f>VLOOKUP($A1383,'[2]Team lists'!$A$2:$L$800,4,FALSE)</f>
        <v>#N/A</v>
      </c>
      <c r="E1383" s="43" t="e">
        <f>VLOOKUP($A1383,'[2]Team lists'!$A$2:$L$800,5,FALSE)</f>
        <v>#N/A</v>
      </c>
      <c r="F1383" s="43" t="e">
        <f>VLOOKUP($A1383,'[2]Team lists'!$A$2:$L$800,6,FALSE)</f>
        <v>#N/A</v>
      </c>
      <c r="G1383" s="43" t="e">
        <f>VLOOKUP($A1383,'[2]Team lists'!$A$2:$L$800,7,FALSE)</f>
        <v>#N/A</v>
      </c>
      <c r="H1383" s="43" t="e">
        <f>VLOOKUP($A1383,'[2]Team lists'!$A$2:$L$800,8,FALSE)</f>
        <v>#N/A</v>
      </c>
      <c r="I1383" s="43" t="e">
        <f>VLOOKUP($A1383,'[2]Team lists'!$A$2:$L$800,9,FALSE)</f>
        <v>#N/A</v>
      </c>
      <c r="J1383" s="43" t="e">
        <f>VLOOKUP($A1383,'[2]Team lists'!$A$2:$L$800,9,FALSE)</f>
        <v>#N/A</v>
      </c>
      <c r="K1383" s="43" t="e">
        <f>VLOOKUP($A1383,'[2]Team lists'!$A$2:$L$800,10,FALSE)</f>
        <v>#N/A</v>
      </c>
      <c r="L1383" s="43" t="e">
        <f>VLOOKUP($A1383,'[2]Team lists'!$A$2:$L$800,11,FALSE)</f>
        <v>#N/A</v>
      </c>
    </row>
    <row r="1384" spans="2:13">
      <c r="B1384" s="43" t="e">
        <f>VLOOKUP($A1384,'[2]Team lists'!$A$2:$L$800,2,FALSE)</f>
        <v>#N/A</v>
      </c>
      <c r="C1384" s="43" t="e">
        <f>VLOOKUP($A1384,'[2]Team lists'!$A$2:$L$800,3,FALSE)</f>
        <v>#N/A</v>
      </c>
      <c r="D1384" s="43" t="e">
        <f>VLOOKUP($A1384,'[2]Team lists'!$A$2:$L$800,4,FALSE)</f>
        <v>#N/A</v>
      </c>
      <c r="E1384" s="43" t="e">
        <f>VLOOKUP($A1384,'[2]Team lists'!$A$2:$L$800,5,FALSE)</f>
        <v>#N/A</v>
      </c>
      <c r="F1384" s="43" t="e">
        <f>VLOOKUP($A1384,'[2]Team lists'!$A$2:$L$800,6,FALSE)</f>
        <v>#N/A</v>
      </c>
      <c r="G1384" s="43" t="e">
        <f>VLOOKUP($A1384,'[2]Team lists'!$A$2:$L$800,7,FALSE)</f>
        <v>#N/A</v>
      </c>
      <c r="H1384" s="43" t="e">
        <f>VLOOKUP($A1384,'[2]Team lists'!$A$2:$L$800,8,FALSE)</f>
        <v>#N/A</v>
      </c>
      <c r="I1384" s="43" t="e">
        <f>VLOOKUP($A1384,'[2]Team lists'!$A$2:$L$800,9,FALSE)</f>
        <v>#N/A</v>
      </c>
      <c r="J1384" s="43" t="e">
        <f>VLOOKUP($A1384,'[2]Team lists'!$A$2:$L$800,9,FALSE)</f>
        <v>#N/A</v>
      </c>
      <c r="K1384" s="43" t="e">
        <f>VLOOKUP($A1384,'[2]Team lists'!$A$2:$L$800,10,FALSE)</f>
        <v>#N/A</v>
      </c>
      <c r="L1384" s="43" t="e">
        <f>VLOOKUP($A1384,'[2]Team lists'!$A$2:$L$800,11,FALSE)</f>
        <v>#N/A</v>
      </c>
    </row>
    <row r="1385" spans="2:13">
      <c r="B1385" s="43" t="e">
        <f>VLOOKUP($A1385,'[2]Team lists'!$A$2:$L$800,2,FALSE)</f>
        <v>#N/A</v>
      </c>
      <c r="C1385" s="43" t="e">
        <f>VLOOKUP($A1385,'[2]Team lists'!$A$2:$L$800,3,FALSE)</f>
        <v>#N/A</v>
      </c>
      <c r="D1385" s="43" t="e">
        <f>VLOOKUP($A1385,'[2]Team lists'!$A$2:$L$800,4,FALSE)</f>
        <v>#N/A</v>
      </c>
      <c r="E1385" s="43" t="e">
        <f>VLOOKUP($A1385,'[2]Team lists'!$A$2:$L$800,5,FALSE)</f>
        <v>#N/A</v>
      </c>
      <c r="F1385" s="43" t="e">
        <f>VLOOKUP($A1385,'[2]Team lists'!$A$2:$L$800,6,FALSE)</f>
        <v>#N/A</v>
      </c>
      <c r="G1385" s="43" t="e">
        <f>VLOOKUP($A1385,'[2]Team lists'!$A$2:$L$800,7,FALSE)</f>
        <v>#N/A</v>
      </c>
      <c r="H1385" s="43" t="e">
        <f>VLOOKUP($A1385,'[2]Team lists'!$A$2:$L$800,8,FALSE)</f>
        <v>#N/A</v>
      </c>
      <c r="I1385" s="43" t="e">
        <f>VLOOKUP($A1385,'[2]Team lists'!$A$2:$L$800,9,FALSE)</f>
        <v>#N/A</v>
      </c>
      <c r="J1385" s="43" t="e">
        <f>VLOOKUP($A1385,'[2]Team lists'!$A$2:$L$800,9,FALSE)</f>
        <v>#N/A</v>
      </c>
      <c r="K1385" s="43" t="e">
        <f>VLOOKUP($A1385,'[2]Team lists'!$A$2:$L$800,10,FALSE)</f>
        <v>#N/A</v>
      </c>
      <c r="L1385" s="43" t="e">
        <f>VLOOKUP($A1385,'[2]Team lists'!$A$2:$L$800,11,FALSE)</f>
        <v>#N/A</v>
      </c>
    </row>
    <row r="1386" spans="2:13">
      <c r="B1386" s="43" t="e">
        <f>VLOOKUP($A1386,'[2]Team lists'!$A$2:$L$800,2,FALSE)</f>
        <v>#N/A</v>
      </c>
      <c r="C1386" s="43" t="e">
        <f>VLOOKUP($A1386,'[2]Team lists'!$A$2:$L$800,3,FALSE)</f>
        <v>#N/A</v>
      </c>
      <c r="D1386" s="43" t="e">
        <f>VLOOKUP($A1386,'[2]Team lists'!$A$2:$L$800,4,FALSE)</f>
        <v>#N/A</v>
      </c>
      <c r="E1386" s="43" t="e">
        <f>VLOOKUP($A1386,'[2]Team lists'!$A$2:$L$800,5,FALSE)</f>
        <v>#N/A</v>
      </c>
      <c r="F1386" s="43" t="e">
        <f>VLOOKUP($A1386,'[2]Team lists'!$A$2:$L$800,6,FALSE)</f>
        <v>#N/A</v>
      </c>
      <c r="G1386" s="43" t="e">
        <f>VLOOKUP($A1386,'[2]Team lists'!$A$2:$L$800,7,FALSE)</f>
        <v>#N/A</v>
      </c>
      <c r="H1386" s="43" t="e">
        <f>VLOOKUP($A1386,'[2]Team lists'!$A$2:$L$800,8,FALSE)</f>
        <v>#N/A</v>
      </c>
      <c r="I1386" s="43" t="e">
        <f>VLOOKUP($A1386,'[2]Team lists'!$A$2:$L$800,9,FALSE)</f>
        <v>#N/A</v>
      </c>
      <c r="J1386" s="43" t="e">
        <f>VLOOKUP($A1386,'[2]Team lists'!$A$2:$L$800,9,FALSE)</f>
        <v>#N/A</v>
      </c>
      <c r="K1386" s="43" t="e">
        <f>VLOOKUP($A1386,'[2]Team lists'!$A$2:$L$800,10,FALSE)</f>
        <v>#N/A</v>
      </c>
      <c r="L1386" s="43" t="e">
        <f>VLOOKUP($A1386,'[2]Team lists'!$A$2:$L$800,11,FALSE)</f>
        <v>#N/A</v>
      </c>
    </row>
    <row r="1387" spans="2:13">
      <c r="B1387" s="43" t="e">
        <f>VLOOKUP($A1387,'[2]Team lists'!$A$2:$L$800,2,FALSE)</f>
        <v>#N/A</v>
      </c>
      <c r="C1387" s="43" t="e">
        <f>VLOOKUP($A1387,'[2]Team lists'!$A$2:$L$800,3,FALSE)</f>
        <v>#N/A</v>
      </c>
      <c r="D1387" s="43" t="e">
        <f>VLOOKUP($A1387,'[2]Team lists'!$A$2:$L$800,4,FALSE)</f>
        <v>#N/A</v>
      </c>
      <c r="E1387" s="43" t="e">
        <f>VLOOKUP($A1387,'[2]Team lists'!$A$2:$L$800,5,FALSE)</f>
        <v>#N/A</v>
      </c>
      <c r="F1387" s="43" t="e">
        <f>VLOOKUP($A1387,'[2]Team lists'!$A$2:$L$800,6,FALSE)</f>
        <v>#N/A</v>
      </c>
      <c r="G1387" s="43" t="e">
        <f>VLOOKUP($A1387,'[2]Team lists'!$A$2:$L$800,7,FALSE)</f>
        <v>#N/A</v>
      </c>
      <c r="H1387" s="43" t="e">
        <f>VLOOKUP($A1387,'[2]Team lists'!$A$2:$L$800,8,FALSE)</f>
        <v>#N/A</v>
      </c>
      <c r="I1387" s="43" t="e">
        <f>VLOOKUP($A1387,'[2]Team lists'!$A$2:$L$800,9,FALSE)</f>
        <v>#N/A</v>
      </c>
      <c r="J1387" s="43" t="e">
        <f>VLOOKUP($A1387,'[2]Team lists'!$A$2:$L$800,9,FALSE)</f>
        <v>#N/A</v>
      </c>
      <c r="K1387" s="43" t="e">
        <f>VLOOKUP($A1387,'[2]Team lists'!$A$2:$L$800,10,FALSE)</f>
        <v>#N/A</v>
      </c>
      <c r="L1387" s="43" t="e">
        <f>VLOOKUP($A1387,'[2]Team lists'!$A$2:$L$800,11,FALSE)</f>
        <v>#N/A</v>
      </c>
    </row>
    <row r="1388" spans="2:13">
      <c r="B1388" s="43" t="e">
        <f>VLOOKUP($A1388,'[2]Team lists'!$A$2:$L$800,2,FALSE)</f>
        <v>#N/A</v>
      </c>
      <c r="C1388" s="43" t="e">
        <f>VLOOKUP($A1388,'[2]Team lists'!$A$2:$L$800,3,FALSE)</f>
        <v>#N/A</v>
      </c>
      <c r="D1388" s="43" t="e">
        <f>VLOOKUP($A1388,'[2]Team lists'!$A$2:$L$800,4,FALSE)</f>
        <v>#N/A</v>
      </c>
      <c r="E1388" s="43" t="e">
        <f>VLOOKUP($A1388,'[2]Team lists'!$A$2:$L$800,5,FALSE)</f>
        <v>#N/A</v>
      </c>
      <c r="F1388" s="43" t="e">
        <f>VLOOKUP($A1388,'[2]Team lists'!$A$2:$L$800,6,FALSE)</f>
        <v>#N/A</v>
      </c>
      <c r="G1388" s="43" t="e">
        <f>VLOOKUP($A1388,'[2]Team lists'!$A$2:$L$800,7,FALSE)</f>
        <v>#N/A</v>
      </c>
      <c r="H1388" s="43" t="e">
        <f>VLOOKUP($A1388,'[2]Team lists'!$A$2:$L$800,8,FALSE)</f>
        <v>#N/A</v>
      </c>
      <c r="I1388" s="43" t="e">
        <f>VLOOKUP($A1388,'[2]Team lists'!$A$2:$L$800,9,FALSE)</f>
        <v>#N/A</v>
      </c>
      <c r="J1388" s="43" t="e">
        <f>VLOOKUP($A1388,'[2]Team lists'!$A$2:$L$800,9,FALSE)</f>
        <v>#N/A</v>
      </c>
      <c r="K1388" s="43" t="e">
        <f>VLOOKUP($A1388,'[2]Team lists'!$A$2:$L$800,10,FALSE)</f>
        <v>#N/A</v>
      </c>
      <c r="L1388" s="43" t="e">
        <f>VLOOKUP($A1388,'[2]Team lists'!$A$2:$L$800,11,FALSE)</f>
        <v>#N/A</v>
      </c>
    </row>
    <row r="1389" spans="2:13">
      <c r="B1389" s="43" t="e">
        <f>VLOOKUP($A1389,'[2]Team lists'!$A$2:$L$800,2,FALSE)</f>
        <v>#N/A</v>
      </c>
      <c r="C1389" s="43" t="e">
        <f>VLOOKUP($A1389,'[2]Team lists'!$A$2:$L$800,3,FALSE)</f>
        <v>#N/A</v>
      </c>
      <c r="D1389" s="43" t="e">
        <f>VLOOKUP($A1389,'[2]Team lists'!$A$2:$L$800,4,FALSE)</f>
        <v>#N/A</v>
      </c>
      <c r="E1389" s="43" t="e">
        <f>VLOOKUP($A1389,'[2]Team lists'!$A$2:$L$800,5,FALSE)</f>
        <v>#N/A</v>
      </c>
      <c r="F1389" s="43" t="e">
        <f>VLOOKUP($A1389,'[2]Team lists'!$A$2:$L$800,6,FALSE)</f>
        <v>#N/A</v>
      </c>
      <c r="G1389" s="43" t="e">
        <f>VLOOKUP($A1389,'[2]Team lists'!$A$2:$L$800,7,FALSE)</f>
        <v>#N/A</v>
      </c>
      <c r="H1389" s="43" t="e">
        <f>VLOOKUP($A1389,'[2]Team lists'!$A$2:$L$800,8,FALSE)</f>
        <v>#N/A</v>
      </c>
      <c r="I1389" s="43" t="e">
        <f>VLOOKUP($A1389,'[2]Team lists'!$A$2:$L$800,9,FALSE)</f>
        <v>#N/A</v>
      </c>
      <c r="J1389" s="43" t="e">
        <f>VLOOKUP($A1389,'[2]Team lists'!$A$2:$L$800,9,FALSE)</f>
        <v>#N/A</v>
      </c>
      <c r="K1389" s="43" t="e">
        <f>VLOOKUP($A1389,'[2]Team lists'!$A$2:$L$800,10,FALSE)</f>
        <v>#N/A</v>
      </c>
      <c r="L1389" s="43" t="e">
        <f>VLOOKUP($A1389,'[2]Team lists'!$A$2:$L$800,11,FALSE)</f>
        <v>#N/A</v>
      </c>
    </row>
    <row r="1390" spans="2:13">
      <c r="B1390" s="43" t="e">
        <f>VLOOKUP($A1390,'[2]Team lists'!$A$2:$L$800,2,FALSE)</f>
        <v>#N/A</v>
      </c>
      <c r="C1390" s="43" t="e">
        <f>VLOOKUP($A1390,'[2]Team lists'!$A$2:$L$800,3,FALSE)</f>
        <v>#N/A</v>
      </c>
      <c r="D1390" s="43" t="e">
        <f>VLOOKUP($A1390,'[2]Team lists'!$A$2:$L$800,4,FALSE)</f>
        <v>#N/A</v>
      </c>
      <c r="E1390" s="43" t="e">
        <f>VLOOKUP($A1390,'[2]Team lists'!$A$2:$L$800,5,FALSE)</f>
        <v>#N/A</v>
      </c>
      <c r="F1390" s="43" t="e">
        <f>VLOOKUP($A1390,'[2]Team lists'!$A$2:$L$800,6,FALSE)</f>
        <v>#N/A</v>
      </c>
      <c r="G1390" s="43" t="e">
        <f>VLOOKUP($A1390,'[2]Team lists'!$A$2:$L$800,7,FALSE)</f>
        <v>#N/A</v>
      </c>
      <c r="H1390" s="43" t="e">
        <f>VLOOKUP($A1390,'[2]Team lists'!$A$2:$L$800,8,FALSE)</f>
        <v>#N/A</v>
      </c>
      <c r="I1390" s="43" t="e">
        <f>VLOOKUP($A1390,'[2]Team lists'!$A$2:$L$800,9,FALSE)</f>
        <v>#N/A</v>
      </c>
      <c r="J1390" s="43" t="e">
        <f>VLOOKUP($A1390,'[2]Team lists'!$A$2:$L$800,9,FALSE)</f>
        <v>#N/A</v>
      </c>
      <c r="K1390" s="43" t="e">
        <f>VLOOKUP($A1390,'[2]Team lists'!$A$2:$L$800,10,FALSE)</f>
        <v>#N/A</v>
      </c>
      <c r="L1390" s="43" t="e">
        <f>VLOOKUP($A1390,'[2]Team lists'!$A$2:$L$800,11,FALSE)</f>
        <v>#N/A</v>
      </c>
    </row>
    <row r="1391" spans="2:13" ht="18" thickBot="1">
      <c r="B1391" s="45" t="s">
        <v>3210</v>
      </c>
      <c r="C1391" s="46"/>
      <c r="D1391" s="47"/>
      <c r="E1391" s="48" t="e">
        <f t="shared" ref="E1391:L1391" si="86">SUM(E1380:E1390)</f>
        <v>#N/A</v>
      </c>
      <c r="F1391" s="49" t="e">
        <f t="shared" si="86"/>
        <v>#N/A</v>
      </c>
      <c r="G1391" s="49" t="e">
        <f t="shared" si="86"/>
        <v>#N/A</v>
      </c>
      <c r="H1391" s="49" t="e">
        <f t="shared" si="86"/>
        <v>#N/A</v>
      </c>
      <c r="I1391" s="49" t="e">
        <f t="shared" si="86"/>
        <v>#N/A</v>
      </c>
      <c r="J1391" s="49" t="e">
        <f t="shared" si="86"/>
        <v>#N/A</v>
      </c>
      <c r="K1391" s="49" t="e">
        <f t="shared" si="86"/>
        <v>#N/A</v>
      </c>
      <c r="L1391" s="50" t="e">
        <f t="shared" si="86"/>
        <v>#N/A</v>
      </c>
    </row>
    <row r="1392" spans="2:13" ht="18.600000000000001" thickTop="1" thickBot="1"/>
    <row r="1393" spans="2:13" ht="18" thickTop="1">
      <c r="B1393" s="23" t="s">
        <v>3204</v>
      </c>
      <c r="C1393" s="24" t="s">
        <v>3205</v>
      </c>
      <c r="D1393" s="25"/>
      <c r="E1393" s="25"/>
      <c r="F1393" s="53"/>
      <c r="G1393" s="28" t="s">
        <v>3206</v>
      </c>
      <c r="H1393" s="54"/>
      <c r="I1393" s="54"/>
      <c r="J1393" s="54"/>
      <c r="K1393" s="28" t="s">
        <v>3207</v>
      </c>
      <c r="L1393" s="29"/>
      <c r="M1393" s="22" t="str">
        <f>G1393</f>
        <v>Manager:</v>
      </c>
    </row>
    <row r="1394" spans="2:13" ht="18" thickBot="1">
      <c r="B1394" s="30">
        <v>88</v>
      </c>
      <c r="C1394" s="57"/>
      <c r="D1394" s="31"/>
      <c r="E1394" s="31"/>
      <c r="F1394" s="33"/>
      <c r="G1394" s="55"/>
      <c r="H1394" s="55"/>
      <c r="I1394" s="55"/>
      <c r="J1394" s="55"/>
      <c r="K1394" s="34" t="e">
        <f>SUM(F1407:L1407)</f>
        <v>#N/A</v>
      </c>
      <c r="L1394" s="35"/>
      <c r="M1394" s="22">
        <f>G1394</f>
        <v>0</v>
      </c>
    </row>
    <row r="1395" spans="2:13" ht="18.600000000000001" thickTop="1">
      <c r="B1395" s="58" t="s">
        <v>913</v>
      </c>
      <c r="C1395" s="59" t="s">
        <v>912</v>
      </c>
      <c r="D1395" s="60" t="s">
        <v>911</v>
      </c>
      <c r="E1395" s="61" t="s">
        <v>3209</v>
      </c>
      <c r="F1395" s="62" t="s">
        <v>3162</v>
      </c>
      <c r="G1395" s="62" t="s">
        <v>3163</v>
      </c>
      <c r="H1395" s="62" t="s">
        <v>3164</v>
      </c>
      <c r="I1395" s="62" t="s">
        <v>3165</v>
      </c>
      <c r="J1395" s="62" t="s">
        <v>3166</v>
      </c>
      <c r="K1395" s="62" t="s">
        <v>3167</v>
      </c>
      <c r="L1395" s="63" t="s">
        <v>3168</v>
      </c>
    </row>
    <row r="1396" spans="2:13">
      <c r="B1396" s="43" t="e">
        <f>VLOOKUP($A1396,'[2]Team lists'!$A$2:$L$800,2,FALSE)</f>
        <v>#N/A</v>
      </c>
      <c r="C1396" s="43" t="e">
        <f>VLOOKUP($A1396,'[2]Team lists'!$A$2:$L$800,3,FALSE)</f>
        <v>#N/A</v>
      </c>
      <c r="D1396" s="43" t="e">
        <f>VLOOKUP($A1396,'[2]Team lists'!$A$2:$L$800,4,FALSE)</f>
        <v>#N/A</v>
      </c>
      <c r="E1396" s="43" t="e">
        <f>VLOOKUP($A1396,'[2]Team lists'!$A$2:$L$800,5,FALSE)</f>
        <v>#N/A</v>
      </c>
      <c r="F1396" s="43" t="e">
        <f>VLOOKUP($A1396,'[2]Team lists'!$A$2:$L$800,6,FALSE)</f>
        <v>#N/A</v>
      </c>
      <c r="G1396" s="43" t="e">
        <f>VLOOKUP($A1396,'[2]Team lists'!$A$2:$L$800,7,FALSE)</f>
        <v>#N/A</v>
      </c>
      <c r="H1396" s="43" t="e">
        <f>VLOOKUP($A1396,'[2]Team lists'!$A$2:$L$800,8,FALSE)</f>
        <v>#N/A</v>
      </c>
      <c r="I1396" s="43" t="e">
        <f>VLOOKUP($A1396,'[2]Team lists'!$A$2:$L$800,9,FALSE)</f>
        <v>#N/A</v>
      </c>
      <c r="J1396" s="43" t="e">
        <f>VLOOKUP($A1396,'[2]Team lists'!$A$2:$L$800,9,FALSE)</f>
        <v>#N/A</v>
      </c>
      <c r="K1396" s="43" t="e">
        <f>VLOOKUP($A1396,'[2]Team lists'!$A$2:$L$800,10,FALSE)</f>
        <v>#N/A</v>
      </c>
      <c r="L1396" s="43" t="e">
        <f>VLOOKUP($A1396,'[2]Team lists'!$A$2:$L$800,11,FALSE)</f>
        <v>#N/A</v>
      </c>
    </row>
    <row r="1397" spans="2:13">
      <c r="B1397" s="43" t="e">
        <f>VLOOKUP($A1397,'[2]Team lists'!$A$2:$L$800,2,FALSE)</f>
        <v>#N/A</v>
      </c>
      <c r="C1397" s="43" t="e">
        <f>VLOOKUP($A1397,'[2]Team lists'!$A$2:$L$800,3,FALSE)</f>
        <v>#N/A</v>
      </c>
      <c r="D1397" s="43" t="e">
        <f>VLOOKUP($A1397,'[2]Team lists'!$A$2:$L$800,4,FALSE)</f>
        <v>#N/A</v>
      </c>
      <c r="E1397" s="43" t="e">
        <f>VLOOKUP($A1397,'[2]Team lists'!$A$2:$L$800,5,FALSE)</f>
        <v>#N/A</v>
      </c>
      <c r="F1397" s="43" t="e">
        <f>VLOOKUP($A1397,'[2]Team lists'!$A$2:$L$800,6,FALSE)</f>
        <v>#N/A</v>
      </c>
      <c r="G1397" s="43" t="e">
        <f>VLOOKUP($A1397,'[2]Team lists'!$A$2:$L$800,7,FALSE)</f>
        <v>#N/A</v>
      </c>
      <c r="H1397" s="43" t="e">
        <f>VLOOKUP($A1397,'[2]Team lists'!$A$2:$L$800,8,FALSE)</f>
        <v>#N/A</v>
      </c>
      <c r="I1397" s="43" t="e">
        <f>VLOOKUP($A1397,'[2]Team lists'!$A$2:$L$800,9,FALSE)</f>
        <v>#N/A</v>
      </c>
      <c r="J1397" s="43" t="e">
        <f>VLOOKUP($A1397,'[2]Team lists'!$A$2:$L$800,9,FALSE)</f>
        <v>#N/A</v>
      </c>
      <c r="K1397" s="43" t="e">
        <f>VLOOKUP($A1397,'[2]Team lists'!$A$2:$L$800,10,FALSE)</f>
        <v>#N/A</v>
      </c>
      <c r="L1397" s="43" t="e">
        <f>VLOOKUP($A1397,'[2]Team lists'!$A$2:$L$800,11,FALSE)</f>
        <v>#N/A</v>
      </c>
    </row>
    <row r="1398" spans="2:13">
      <c r="B1398" s="43" t="e">
        <f>VLOOKUP($A1398,'[2]Team lists'!$A$2:$L$800,2,FALSE)</f>
        <v>#N/A</v>
      </c>
      <c r="C1398" s="43" t="e">
        <f>VLOOKUP($A1398,'[2]Team lists'!$A$2:$L$800,3,FALSE)</f>
        <v>#N/A</v>
      </c>
      <c r="D1398" s="43" t="e">
        <f>VLOOKUP($A1398,'[2]Team lists'!$A$2:$L$800,4,FALSE)</f>
        <v>#N/A</v>
      </c>
      <c r="E1398" s="43" t="e">
        <f>VLOOKUP($A1398,'[2]Team lists'!$A$2:$L$800,5,FALSE)</f>
        <v>#N/A</v>
      </c>
      <c r="F1398" s="43" t="e">
        <f>VLOOKUP($A1398,'[2]Team lists'!$A$2:$L$800,6,FALSE)</f>
        <v>#N/A</v>
      </c>
      <c r="G1398" s="43" t="e">
        <f>VLOOKUP($A1398,'[2]Team lists'!$A$2:$L$800,7,FALSE)</f>
        <v>#N/A</v>
      </c>
      <c r="H1398" s="43" t="e">
        <f>VLOOKUP($A1398,'[2]Team lists'!$A$2:$L$800,8,FALSE)</f>
        <v>#N/A</v>
      </c>
      <c r="I1398" s="43" t="e">
        <f>VLOOKUP($A1398,'[2]Team lists'!$A$2:$L$800,9,FALSE)</f>
        <v>#N/A</v>
      </c>
      <c r="J1398" s="43" t="e">
        <f>VLOOKUP($A1398,'[2]Team lists'!$A$2:$L$800,9,FALSE)</f>
        <v>#N/A</v>
      </c>
      <c r="K1398" s="43" t="e">
        <f>VLOOKUP($A1398,'[2]Team lists'!$A$2:$L$800,10,FALSE)</f>
        <v>#N/A</v>
      </c>
      <c r="L1398" s="43" t="e">
        <f>VLOOKUP($A1398,'[2]Team lists'!$A$2:$L$800,11,FALSE)</f>
        <v>#N/A</v>
      </c>
    </row>
    <row r="1399" spans="2:13">
      <c r="B1399" s="43" t="e">
        <f>VLOOKUP($A1399,'[2]Team lists'!$A$2:$L$800,2,FALSE)</f>
        <v>#N/A</v>
      </c>
      <c r="C1399" s="43" t="e">
        <f>VLOOKUP($A1399,'[2]Team lists'!$A$2:$L$800,3,FALSE)</f>
        <v>#N/A</v>
      </c>
      <c r="D1399" s="43" t="e">
        <f>VLOOKUP($A1399,'[2]Team lists'!$A$2:$L$800,4,FALSE)</f>
        <v>#N/A</v>
      </c>
      <c r="E1399" s="43" t="e">
        <f>VLOOKUP($A1399,'[2]Team lists'!$A$2:$L$800,5,FALSE)</f>
        <v>#N/A</v>
      </c>
      <c r="F1399" s="43" t="e">
        <f>VLOOKUP($A1399,'[2]Team lists'!$A$2:$L$800,6,FALSE)</f>
        <v>#N/A</v>
      </c>
      <c r="G1399" s="43" t="e">
        <f>VLOOKUP($A1399,'[2]Team lists'!$A$2:$L$800,7,FALSE)</f>
        <v>#N/A</v>
      </c>
      <c r="H1399" s="43" t="e">
        <f>VLOOKUP($A1399,'[2]Team lists'!$A$2:$L$800,8,FALSE)</f>
        <v>#N/A</v>
      </c>
      <c r="I1399" s="43" t="e">
        <f>VLOOKUP($A1399,'[2]Team lists'!$A$2:$L$800,9,FALSE)</f>
        <v>#N/A</v>
      </c>
      <c r="J1399" s="43" t="e">
        <f>VLOOKUP($A1399,'[2]Team lists'!$A$2:$L$800,9,FALSE)</f>
        <v>#N/A</v>
      </c>
      <c r="K1399" s="43" t="e">
        <f>VLOOKUP($A1399,'[2]Team lists'!$A$2:$L$800,10,FALSE)</f>
        <v>#N/A</v>
      </c>
      <c r="L1399" s="43" t="e">
        <f>VLOOKUP($A1399,'[2]Team lists'!$A$2:$L$800,11,FALSE)</f>
        <v>#N/A</v>
      </c>
    </row>
    <row r="1400" spans="2:13">
      <c r="B1400" s="43" t="e">
        <f>VLOOKUP($A1400,'[2]Team lists'!$A$2:$L$800,2,FALSE)</f>
        <v>#N/A</v>
      </c>
      <c r="C1400" s="43" t="e">
        <f>VLOOKUP($A1400,'[2]Team lists'!$A$2:$L$800,3,FALSE)</f>
        <v>#N/A</v>
      </c>
      <c r="D1400" s="43" t="e">
        <f>VLOOKUP($A1400,'[2]Team lists'!$A$2:$L$800,4,FALSE)</f>
        <v>#N/A</v>
      </c>
      <c r="E1400" s="43" t="e">
        <f>VLOOKUP($A1400,'[2]Team lists'!$A$2:$L$800,5,FALSE)</f>
        <v>#N/A</v>
      </c>
      <c r="F1400" s="43" t="e">
        <f>VLOOKUP($A1400,'[2]Team lists'!$A$2:$L$800,6,FALSE)</f>
        <v>#N/A</v>
      </c>
      <c r="G1400" s="43" t="e">
        <f>VLOOKUP($A1400,'[2]Team lists'!$A$2:$L$800,7,FALSE)</f>
        <v>#N/A</v>
      </c>
      <c r="H1400" s="43" t="e">
        <f>VLOOKUP($A1400,'[2]Team lists'!$A$2:$L$800,8,FALSE)</f>
        <v>#N/A</v>
      </c>
      <c r="I1400" s="43" t="e">
        <f>VLOOKUP($A1400,'[2]Team lists'!$A$2:$L$800,9,FALSE)</f>
        <v>#N/A</v>
      </c>
      <c r="J1400" s="43" t="e">
        <f>VLOOKUP($A1400,'[2]Team lists'!$A$2:$L$800,9,FALSE)</f>
        <v>#N/A</v>
      </c>
      <c r="K1400" s="43" t="e">
        <f>VLOOKUP($A1400,'[2]Team lists'!$A$2:$L$800,10,FALSE)</f>
        <v>#N/A</v>
      </c>
      <c r="L1400" s="43" t="e">
        <f>VLOOKUP($A1400,'[2]Team lists'!$A$2:$L$800,11,FALSE)</f>
        <v>#N/A</v>
      </c>
    </row>
    <row r="1401" spans="2:13">
      <c r="B1401" s="43" t="e">
        <f>VLOOKUP($A1401,'[2]Team lists'!$A$2:$L$800,2,FALSE)</f>
        <v>#N/A</v>
      </c>
      <c r="C1401" s="43" t="e">
        <f>VLOOKUP($A1401,'[2]Team lists'!$A$2:$L$800,3,FALSE)</f>
        <v>#N/A</v>
      </c>
      <c r="D1401" s="43" t="e">
        <f>VLOOKUP($A1401,'[2]Team lists'!$A$2:$L$800,4,FALSE)</f>
        <v>#N/A</v>
      </c>
      <c r="E1401" s="43" t="e">
        <f>VLOOKUP($A1401,'[2]Team lists'!$A$2:$L$800,5,FALSE)</f>
        <v>#N/A</v>
      </c>
      <c r="F1401" s="43" t="e">
        <f>VLOOKUP($A1401,'[2]Team lists'!$A$2:$L$800,6,FALSE)</f>
        <v>#N/A</v>
      </c>
      <c r="G1401" s="43" t="e">
        <f>VLOOKUP($A1401,'[2]Team lists'!$A$2:$L$800,7,FALSE)</f>
        <v>#N/A</v>
      </c>
      <c r="H1401" s="43" t="e">
        <f>VLOOKUP($A1401,'[2]Team lists'!$A$2:$L$800,8,FALSE)</f>
        <v>#N/A</v>
      </c>
      <c r="I1401" s="43" t="e">
        <f>VLOOKUP($A1401,'[2]Team lists'!$A$2:$L$800,9,FALSE)</f>
        <v>#N/A</v>
      </c>
      <c r="J1401" s="43" t="e">
        <f>VLOOKUP($A1401,'[2]Team lists'!$A$2:$L$800,9,FALSE)</f>
        <v>#N/A</v>
      </c>
      <c r="K1401" s="43" t="e">
        <f>VLOOKUP($A1401,'[2]Team lists'!$A$2:$L$800,10,FALSE)</f>
        <v>#N/A</v>
      </c>
      <c r="L1401" s="43" t="e">
        <f>VLOOKUP($A1401,'[2]Team lists'!$A$2:$L$800,11,FALSE)</f>
        <v>#N/A</v>
      </c>
    </row>
    <row r="1402" spans="2:13">
      <c r="B1402" s="43" t="e">
        <f>VLOOKUP($A1402,'[2]Team lists'!$A$2:$L$800,2,FALSE)</f>
        <v>#N/A</v>
      </c>
      <c r="C1402" s="43" t="e">
        <f>VLOOKUP($A1402,'[2]Team lists'!$A$2:$L$800,3,FALSE)</f>
        <v>#N/A</v>
      </c>
      <c r="D1402" s="43" t="e">
        <f>VLOOKUP($A1402,'[2]Team lists'!$A$2:$L$800,4,FALSE)</f>
        <v>#N/A</v>
      </c>
      <c r="E1402" s="43" t="e">
        <f>VLOOKUP($A1402,'[2]Team lists'!$A$2:$L$800,5,FALSE)</f>
        <v>#N/A</v>
      </c>
      <c r="F1402" s="43" t="e">
        <f>VLOOKUP($A1402,'[2]Team lists'!$A$2:$L$800,6,FALSE)</f>
        <v>#N/A</v>
      </c>
      <c r="G1402" s="43" t="e">
        <f>VLOOKUP($A1402,'[2]Team lists'!$A$2:$L$800,7,FALSE)</f>
        <v>#N/A</v>
      </c>
      <c r="H1402" s="43" t="e">
        <f>VLOOKUP($A1402,'[2]Team lists'!$A$2:$L$800,8,FALSE)</f>
        <v>#N/A</v>
      </c>
      <c r="I1402" s="43" t="e">
        <f>VLOOKUP($A1402,'[2]Team lists'!$A$2:$L$800,9,FALSE)</f>
        <v>#N/A</v>
      </c>
      <c r="J1402" s="43" t="e">
        <f>VLOOKUP($A1402,'[2]Team lists'!$A$2:$L$800,9,FALSE)</f>
        <v>#N/A</v>
      </c>
      <c r="K1402" s="43" t="e">
        <f>VLOOKUP($A1402,'[2]Team lists'!$A$2:$L$800,10,FALSE)</f>
        <v>#N/A</v>
      </c>
      <c r="L1402" s="43" t="e">
        <f>VLOOKUP($A1402,'[2]Team lists'!$A$2:$L$800,11,FALSE)</f>
        <v>#N/A</v>
      </c>
    </row>
    <row r="1403" spans="2:13">
      <c r="B1403" s="43" t="e">
        <f>VLOOKUP($A1403,'[2]Team lists'!$A$2:$L$800,2,FALSE)</f>
        <v>#N/A</v>
      </c>
      <c r="C1403" s="43" t="e">
        <f>VLOOKUP($A1403,'[2]Team lists'!$A$2:$L$800,3,FALSE)</f>
        <v>#N/A</v>
      </c>
      <c r="D1403" s="43" t="e">
        <f>VLOOKUP($A1403,'[2]Team lists'!$A$2:$L$800,4,FALSE)</f>
        <v>#N/A</v>
      </c>
      <c r="E1403" s="43" t="e">
        <f>VLOOKUP($A1403,'[2]Team lists'!$A$2:$L$800,5,FALSE)</f>
        <v>#N/A</v>
      </c>
      <c r="F1403" s="43" t="e">
        <f>VLOOKUP($A1403,'[2]Team lists'!$A$2:$L$800,6,FALSE)</f>
        <v>#N/A</v>
      </c>
      <c r="G1403" s="43" t="e">
        <f>VLOOKUP($A1403,'[2]Team lists'!$A$2:$L$800,7,FALSE)</f>
        <v>#N/A</v>
      </c>
      <c r="H1403" s="43" t="e">
        <f>VLOOKUP($A1403,'[2]Team lists'!$A$2:$L$800,8,FALSE)</f>
        <v>#N/A</v>
      </c>
      <c r="I1403" s="43" t="e">
        <f>VLOOKUP($A1403,'[2]Team lists'!$A$2:$L$800,9,FALSE)</f>
        <v>#N/A</v>
      </c>
      <c r="J1403" s="43" t="e">
        <f>VLOOKUP($A1403,'[2]Team lists'!$A$2:$L$800,9,FALSE)</f>
        <v>#N/A</v>
      </c>
      <c r="K1403" s="43" t="e">
        <f>VLOOKUP($A1403,'[2]Team lists'!$A$2:$L$800,10,FALSE)</f>
        <v>#N/A</v>
      </c>
      <c r="L1403" s="43" t="e">
        <f>VLOOKUP($A1403,'[2]Team lists'!$A$2:$L$800,11,FALSE)</f>
        <v>#N/A</v>
      </c>
    </row>
    <row r="1404" spans="2:13">
      <c r="B1404" s="43" t="e">
        <f>VLOOKUP($A1404,'[2]Team lists'!$A$2:$L$800,2,FALSE)</f>
        <v>#N/A</v>
      </c>
      <c r="C1404" s="43" t="e">
        <f>VLOOKUP($A1404,'[2]Team lists'!$A$2:$L$800,3,FALSE)</f>
        <v>#N/A</v>
      </c>
      <c r="D1404" s="43" t="e">
        <f>VLOOKUP($A1404,'[2]Team lists'!$A$2:$L$800,4,FALSE)</f>
        <v>#N/A</v>
      </c>
      <c r="E1404" s="43" t="e">
        <f>VLOOKUP($A1404,'[2]Team lists'!$A$2:$L$800,5,FALSE)</f>
        <v>#N/A</v>
      </c>
      <c r="F1404" s="43" t="e">
        <f>VLOOKUP($A1404,'[2]Team lists'!$A$2:$L$800,6,FALSE)</f>
        <v>#N/A</v>
      </c>
      <c r="G1404" s="43" t="e">
        <f>VLOOKUP($A1404,'[2]Team lists'!$A$2:$L$800,7,FALSE)</f>
        <v>#N/A</v>
      </c>
      <c r="H1404" s="43" t="e">
        <f>VLOOKUP($A1404,'[2]Team lists'!$A$2:$L$800,8,FALSE)</f>
        <v>#N/A</v>
      </c>
      <c r="I1404" s="43" t="e">
        <f>VLOOKUP($A1404,'[2]Team lists'!$A$2:$L$800,9,FALSE)</f>
        <v>#N/A</v>
      </c>
      <c r="J1404" s="43" t="e">
        <f>VLOOKUP($A1404,'[2]Team lists'!$A$2:$L$800,9,FALSE)</f>
        <v>#N/A</v>
      </c>
      <c r="K1404" s="43" t="e">
        <f>VLOOKUP($A1404,'[2]Team lists'!$A$2:$L$800,10,FALSE)</f>
        <v>#N/A</v>
      </c>
      <c r="L1404" s="43" t="e">
        <f>VLOOKUP($A1404,'[2]Team lists'!$A$2:$L$800,11,FALSE)</f>
        <v>#N/A</v>
      </c>
    </row>
    <row r="1405" spans="2:13">
      <c r="B1405" s="43" t="e">
        <f>VLOOKUP($A1405,'[2]Team lists'!$A$2:$L$800,2,FALSE)</f>
        <v>#N/A</v>
      </c>
      <c r="C1405" s="43" t="e">
        <f>VLOOKUP($A1405,'[2]Team lists'!$A$2:$L$800,3,FALSE)</f>
        <v>#N/A</v>
      </c>
      <c r="D1405" s="43" t="e">
        <f>VLOOKUP($A1405,'[2]Team lists'!$A$2:$L$800,4,FALSE)</f>
        <v>#N/A</v>
      </c>
      <c r="E1405" s="43" t="e">
        <f>VLOOKUP($A1405,'[2]Team lists'!$A$2:$L$800,5,FALSE)</f>
        <v>#N/A</v>
      </c>
      <c r="F1405" s="43" t="e">
        <f>VLOOKUP($A1405,'[2]Team lists'!$A$2:$L$800,6,FALSE)</f>
        <v>#N/A</v>
      </c>
      <c r="G1405" s="43" t="e">
        <f>VLOOKUP($A1405,'[2]Team lists'!$A$2:$L$800,7,FALSE)</f>
        <v>#N/A</v>
      </c>
      <c r="H1405" s="43" t="e">
        <f>VLOOKUP($A1405,'[2]Team lists'!$A$2:$L$800,8,FALSE)</f>
        <v>#N/A</v>
      </c>
      <c r="I1405" s="43" t="e">
        <f>VLOOKUP($A1405,'[2]Team lists'!$A$2:$L$800,9,FALSE)</f>
        <v>#N/A</v>
      </c>
      <c r="J1405" s="43" t="e">
        <f>VLOOKUP($A1405,'[2]Team lists'!$A$2:$L$800,9,FALSE)</f>
        <v>#N/A</v>
      </c>
      <c r="K1405" s="43" t="e">
        <f>VLOOKUP($A1405,'[2]Team lists'!$A$2:$L$800,10,FALSE)</f>
        <v>#N/A</v>
      </c>
      <c r="L1405" s="43" t="e">
        <f>VLOOKUP($A1405,'[2]Team lists'!$A$2:$L$800,11,FALSE)</f>
        <v>#N/A</v>
      </c>
    </row>
    <row r="1406" spans="2:13">
      <c r="B1406" s="43" t="e">
        <f>VLOOKUP($A1406,'[2]Team lists'!$A$2:$L$800,2,FALSE)</f>
        <v>#N/A</v>
      </c>
      <c r="C1406" s="43" t="e">
        <f>VLOOKUP($A1406,'[2]Team lists'!$A$2:$L$800,3,FALSE)</f>
        <v>#N/A</v>
      </c>
      <c r="D1406" s="43" t="e">
        <f>VLOOKUP($A1406,'[2]Team lists'!$A$2:$L$800,4,FALSE)</f>
        <v>#N/A</v>
      </c>
      <c r="E1406" s="43" t="e">
        <f>VLOOKUP($A1406,'[2]Team lists'!$A$2:$L$800,5,FALSE)</f>
        <v>#N/A</v>
      </c>
      <c r="F1406" s="43" t="e">
        <f>VLOOKUP($A1406,'[2]Team lists'!$A$2:$L$800,6,FALSE)</f>
        <v>#N/A</v>
      </c>
      <c r="G1406" s="43" t="e">
        <f>VLOOKUP($A1406,'[2]Team lists'!$A$2:$L$800,7,FALSE)</f>
        <v>#N/A</v>
      </c>
      <c r="H1406" s="43" t="e">
        <f>VLOOKUP($A1406,'[2]Team lists'!$A$2:$L$800,8,FALSE)</f>
        <v>#N/A</v>
      </c>
      <c r="I1406" s="43" t="e">
        <f>VLOOKUP($A1406,'[2]Team lists'!$A$2:$L$800,9,FALSE)</f>
        <v>#N/A</v>
      </c>
      <c r="J1406" s="43" t="e">
        <f>VLOOKUP($A1406,'[2]Team lists'!$A$2:$L$800,9,FALSE)</f>
        <v>#N/A</v>
      </c>
      <c r="K1406" s="43" t="e">
        <f>VLOOKUP($A1406,'[2]Team lists'!$A$2:$L$800,10,FALSE)</f>
        <v>#N/A</v>
      </c>
      <c r="L1406" s="43" t="e">
        <f>VLOOKUP($A1406,'[2]Team lists'!$A$2:$L$800,11,FALSE)</f>
        <v>#N/A</v>
      </c>
    </row>
    <row r="1407" spans="2:13" ht="18" thickBot="1">
      <c r="B1407" s="45" t="s">
        <v>3210</v>
      </c>
      <c r="C1407" s="46"/>
      <c r="D1407" s="47"/>
      <c r="E1407" s="48" t="e">
        <f t="shared" ref="E1407:L1407" si="87">SUM(E1396:E1406)</f>
        <v>#N/A</v>
      </c>
      <c r="F1407" s="49" t="e">
        <f t="shared" si="87"/>
        <v>#N/A</v>
      </c>
      <c r="G1407" s="49" t="e">
        <f t="shared" si="87"/>
        <v>#N/A</v>
      </c>
      <c r="H1407" s="49" t="e">
        <f t="shared" si="87"/>
        <v>#N/A</v>
      </c>
      <c r="I1407" s="49" t="e">
        <f t="shared" si="87"/>
        <v>#N/A</v>
      </c>
      <c r="J1407" s="49" t="e">
        <f t="shared" si="87"/>
        <v>#N/A</v>
      </c>
      <c r="K1407" s="49" t="e">
        <f t="shared" si="87"/>
        <v>#N/A</v>
      </c>
      <c r="L1407" s="50" t="e">
        <f t="shared" si="87"/>
        <v>#N/A</v>
      </c>
    </row>
    <row r="1408" spans="2:13" ht="18.600000000000001" thickTop="1" thickBot="1"/>
    <row r="1409" spans="2:13" ht="18" thickTop="1">
      <c r="B1409" s="23" t="s">
        <v>3204</v>
      </c>
      <c r="C1409" s="24" t="s">
        <v>3205</v>
      </c>
      <c r="D1409" s="25"/>
      <c r="E1409" s="25"/>
      <c r="F1409" s="53"/>
      <c r="G1409" s="28" t="s">
        <v>3206</v>
      </c>
      <c r="H1409" s="54"/>
      <c r="I1409" s="54"/>
      <c r="J1409" s="54"/>
      <c r="K1409" s="28" t="s">
        <v>3207</v>
      </c>
      <c r="L1409" s="29"/>
      <c r="M1409" s="22" t="str">
        <f>G1409</f>
        <v>Manager:</v>
      </c>
    </row>
    <row r="1410" spans="2:13" ht="18" thickBot="1">
      <c r="B1410" s="30">
        <v>89</v>
      </c>
      <c r="C1410" s="57"/>
      <c r="D1410" s="31"/>
      <c r="E1410" s="31"/>
      <c r="F1410" s="33"/>
      <c r="G1410" s="55"/>
      <c r="H1410" s="55"/>
      <c r="I1410" s="55"/>
      <c r="J1410" s="55"/>
      <c r="K1410" s="34" t="e">
        <f>SUM(F1423:L1423)</f>
        <v>#N/A</v>
      </c>
      <c r="L1410" s="35"/>
      <c r="M1410" s="22">
        <f>G1410</f>
        <v>0</v>
      </c>
    </row>
    <row r="1411" spans="2:13" ht="18.600000000000001" thickTop="1">
      <c r="B1411" s="58" t="s">
        <v>913</v>
      </c>
      <c r="C1411" s="59" t="s">
        <v>912</v>
      </c>
      <c r="D1411" s="60" t="s">
        <v>911</v>
      </c>
      <c r="E1411" s="61" t="s">
        <v>3209</v>
      </c>
      <c r="F1411" s="62" t="s">
        <v>3162</v>
      </c>
      <c r="G1411" s="62" t="s">
        <v>3163</v>
      </c>
      <c r="H1411" s="62" t="s">
        <v>3164</v>
      </c>
      <c r="I1411" s="62" t="s">
        <v>3165</v>
      </c>
      <c r="J1411" s="62" t="s">
        <v>3166</v>
      </c>
      <c r="K1411" s="62" t="s">
        <v>3167</v>
      </c>
      <c r="L1411" s="63" t="s">
        <v>3168</v>
      </c>
    </row>
    <row r="1412" spans="2:13">
      <c r="B1412" s="43" t="e">
        <f>VLOOKUP($A1412,'[2]Team lists'!$A$2:$L$800,2,FALSE)</f>
        <v>#N/A</v>
      </c>
      <c r="C1412" s="43" t="e">
        <f>VLOOKUP($A1412,'[2]Team lists'!$A$2:$L$800,3,FALSE)</f>
        <v>#N/A</v>
      </c>
      <c r="D1412" s="43" t="e">
        <f>VLOOKUP($A1412,'[2]Team lists'!$A$2:$L$800,4,FALSE)</f>
        <v>#N/A</v>
      </c>
      <c r="E1412" s="43" t="e">
        <f>VLOOKUP($A1412,'[2]Team lists'!$A$2:$L$800,5,FALSE)</f>
        <v>#N/A</v>
      </c>
      <c r="F1412" s="43" t="e">
        <f>VLOOKUP($A1412,'[2]Team lists'!$A$2:$L$800,6,FALSE)</f>
        <v>#N/A</v>
      </c>
      <c r="G1412" s="43" t="e">
        <f>VLOOKUP($A1412,'[2]Team lists'!$A$2:$L$800,7,FALSE)</f>
        <v>#N/A</v>
      </c>
      <c r="H1412" s="43" t="e">
        <f>VLOOKUP($A1412,'[2]Team lists'!$A$2:$L$800,8,FALSE)</f>
        <v>#N/A</v>
      </c>
      <c r="I1412" s="43" t="e">
        <f>VLOOKUP($A1412,'[2]Team lists'!$A$2:$L$800,9,FALSE)</f>
        <v>#N/A</v>
      </c>
      <c r="J1412" s="43" t="e">
        <f>VLOOKUP($A1412,'[2]Team lists'!$A$2:$L$800,9,FALSE)</f>
        <v>#N/A</v>
      </c>
      <c r="K1412" s="43" t="e">
        <f>VLOOKUP($A1412,'[2]Team lists'!$A$2:$L$800,10,FALSE)</f>
        <v>#N/A</v>
      </c>
      <c r="L1412" s="43" t="e">
        <f>VLOOKUP($A1412,'[2]Team lists'!$A$2:$L$800,11,FALSE)</f>
        <v>#N/A</v>
      </c>
    </row>
    <row r="1413" spans="2:13">
      <c r="B1413" s="43" t="e">
        <f>VLOOKUP($A1413,'[2]Team lists'!$A$2:$L$800,2,FALSE)</f>
        <v>#N/A</v>
      </c>
      <c r="C1413" s="43" t="e">
        <f>VLOOKUP($A1413,'[2]Team lists'!$A$2:$L$800,3,FALSE)</f>
        <v>#N/A</v>
      </c>
      <c r="D1413" s="43" t="e">
        <f>VLOOKUP($A1413,'[2]Team lists'!$A$2:$L$800,4,FALSE)</f>
        <v>#N/A</v>
      </c>
      <c r="E1413" s="43" t="e">
        <f>VLOOKUP($A1413,'[2]Team lists'!$A$2:$L$800,5,FALSE)</f>
        <v>#N/A</v>
      </c>
      <c r="F1413" s="43" t="e">
        <f>VLOOKUP($A1413,'[2]Team lists'!$A$2:$L$800,6,FALSE)</f>
        <v>#N/A</v>
      </c>
      <c r="G1413" s="43" t="e">
        <f>VLOOKUP($A1413,'[2]Team lists'!$A$2:$L$800,7,FALSE)</f>
        <v>#N/A</v>
      </c>
      <c r="H1413" s="43" t="e">
        <f>VLOOKUP($A1413,'[2]Team lists'!$A$2:$L$800,8,FALSE)</f>
        <v>#N/A</v>
      </c>
      <c r="I1413" s="43" t="e">
        <f>VLOOKUP($A1413,'[2]Team lists'!$A$2:$L$800,9,FALSE)</f>
        <v>#N/A</v>
      </c>
      <c r="J1413" s="43" t="e">
        <f>VLOOKUP($A1413,'[2]Team lists'!$A$2:$L$800,9,FALSE)</f>
        <v>#N/A</v>
      </c>
      <c r="K1413" s="43" t="e">
        <f>VLOOKUP($A1413,'[2]Team lists'!$A$2:$L$800,10,FALSE)</f>
        <v>#N/A</v>
      </c>
      <c r="L1413" s="43" t="e">
        <f>VLOOKUP($A1413,'[2]Team lists'!$A$2:$L$800,11,FALSE)</f>
        <v>#N/A</v>
      </c>
    </row>
    <row r="1414" spans="2:13">
      <c r="B1414" s="43" t="e">
        <f>VLOOKUP($A1414,'[2]Team lists'!$A$2:$L$800,2,FALSE)</f>
        <v>#N/A</v>
      </c>
      <c r="C1414" s="43" t="e">
        <f>VLOOKUP($A1414,'[2]Team lists'!$A$2:$L$800,3,FALSE)</f>
        <v>#N/A</v>
      </c>
      <c r="D1414" s="43" t="e">
        <f>VLOOKUP($A1414,'[2]Team lists'!$A$2:$L$800,4,FALSE)</f>
        <v>#N/A</v>
      </c>
      <c r="E1414" s="43" t="e">
        <f>VLOOKUP($A1414,'[2]Team lists'!$A$2:$L$800,5,FALSE)</f>
        <v>#N/A</v>
      </c>
      <c r="F1414" s="43" t="e">
        <f>VLOOKUP($A1414,'[2]Team lists'!$A$2:$L$800,6,FALSE)</f>
        <v>#N/A</v>
      </c>
      <c r="G1414" s="43" t="e">
        <f>VLOOKUP($A1414,'[2]Team lists'!$A$2:$L$800,7,FALSE)</f>
        <v>#N/A</v>
      </c>
      <c r="H1414" s="43" t="e">
        <f>VLOOKUP($A1414,'[2]Team lists'!$A$2:$L$800,8,FALSE)</f>
        <v>#N/A</v>
      </c>
      <c r="I1414" s="43" t="e">
        <f>VLOOKUP($A1414,'[2]Team lists'!$A$2:$L$800,9,FALSE)</f>
        <v>#N/A</v>
      </c>
      <c r="J1414" s="43" t="e">
        <f>VLOOKUP($A1414,'[2]Team lists'!$A$2:$L$800,9,FALSE)</f>
        <v>#N/A</v>
      </c>
      <c r="K1414" s="43" t="e">
        <f>VLOOKUP($A1414,'[2]Team lists'!$A$2:$L$800,10,FALSE)</f>
        <v>#N/A</v>
      </c>
      <c r="L1414" s="43" t="e">
        <f>VLOOKUP($A1414,'[2]Team lists'!$A$2:$L$800,11,FALSE)</f>
        <v>#N/A</v>
      </c>
    </row>
    <row r="1415" spans="2:13">
      <c r="B1415" s="43" t="e">
        <f>VLOOKUP($A1415,'[2]Team lists'!$A$2:$L$800,2,FALSE)</f>
        <v>#N/A</v>
      </c>
      <c r="C1415" s="43" t="e">
        <f>VLOOKUP($A1415,'[2]Team lists'!$A$2:$L$800,3,FALSE)</f>
        <v>#N/A</v>
      </c>
      <c r="D1415" s="43" t="e">
        <f>VLOOKUP($A1415,'[2]Team lists'!$A$2:$L$800,4,FALSE)</f>
        <v>#N/A</v>
      </c>
      <c r="E1415" s="43" t="e">
        <f>VLOOKUP($A1415,'[2]Team lists'!$A$2:$L$800,5,FALSE)</f>
        <v>#N/A</v>
      </c>
      <c r="F1415" s="43" t="e">
        <f>VLOOKUP($A1415,'[2]Team lists'!$A$2:$L$800,6,FALSE)</f>
        <v>#N/A</v>
      </c>
      <c r="G1415" s="43" t="e">
        <f>VLOOKUP($A1415,'[2]Team lists'!$A$2:$L$800,7,FALSE)</f>
        <v>#N/A</v>
      </c>
      <c r="H1415" s="43" t="e">
        <f>VLOOKUP($A1415,'[2]Team lists'!$A$2:$L$800,8,FALSE)</f>
        <v>#N/A</v>
      </c>
      <c r="I1415" s="43" t="e">
        <f>VLOOKUP($A1415,'[2]Team lists'!$A$2:$L$800,9,FALSE)</f>
        <v>#N/A</v>
      </c>
      <c r="J1415" s="43" t="e">
        <f>VLOOKUP($A1415,'[2]Team lists'!$A$2:$L$800,9,FALSE)</f>
        <v>#N/A</v>
      </c>
      <c r="K1415" s="43" t="e">
        <f>VLOOKUP($A1415,'[2]Team lists'!$A$2:$L$800,10,FALSE)</f>
        <v>#N/A</v>
      </c>
      <c r="L1415" s="43" t="e">
        <f>VLOOKUP($A1415,'[2]Team lists'!$A$2:$L$800,11,FALSE)</f>
        <v>#N/A</v>
      </c>
    </row>
    <row r="1416" spans="2:13">
      <c r="B1416" s="43" t="e">
        <f>VLOOKUP($A1416,'[2]Team lists'!$A$2:$L$800,2,FALSE)</f>
        <v>#N/A</v>
      </c>
      <c r="C1416" s="43" t="e">
        <f>VLOOKUP($A1416,'[2]Team lists'!$A$2:$L$800,3,FALSE)</f>
        <v>#N/A</v>
      </c>
      <c r="D1416" s="43" t="e">
        <f>VLOOKUP($A1416,'[2]Team lists'!$A$2:$L$800,4,FALSE)</f>
        <v>#N/A</v>
      </c>
      <c r="E1416" s="43" t="e">
        <f>VLOOKUP($A1416,'[2]Team lists'!$A$2:$L$800,5,FALSE)</f>
        <v>#N/A</v>
      </c>
      <c r="F1416" s="43" t="e">
        <f>VLOOKUP($A1416,'[2]Team lists'!$A$2:$L$800,6,FALSE)</f>
        <v>#N/A</v>
      </c>
      <c r="G1416" s="43" t="e">
        <f>VLOOKUP($A1416,'[2]Team lists'!$A$2:$L$800,7,FALSE)</f>
        <v>#N/A</v>
      </c>
      <c r="H1416" s="43" t="e">
        <f>VLOOKUP($A1416,'[2]Team lists'!$A$2:$L$800,8,FALSE)</f>
        <v>#N/A</v>
      </c>
      <c r="I1416" s="43" t="e">
        <f>VLOOKUP($A1416,'[2]Team lists'!$A$2:$L$800,9,FALSE)</f>
        <v>#N/A</v>
      </c>
      <c r="J1416" s="43" t="e">
        <f>VLOOKUP($A1416,'[2]Team lists'!$A$2:$L$800,9,FALSE)</f>
        <v>#N/A</v>
      </c>
      <c r="K1416" s="43" t="e">
        <f>VLOOKUP($A1416,'[2]Team lists'!$A$2:$L$800,10,FALSE)</f>
        <v>#N/A</v>
      </c>
      <c r="L1416" s="43" t="e">
        <f>VLOOKUP($A1416,'[2]Team lists'!$A$2:$L$800,11,FALSE)</f>
        <v>#N/A</v>
      </c>
    </row>
    <row r="1417" spans="2:13">
      <c r="B1417" s="43" t="e">
        <f>VLOOKUP($A1417,'[2]Team lists'!$A$2:$L$800,2,FALSE)</f>
        <v>#N/A</v>
      </c>
      <c r="C1417" s="43" t="e">
        <f>VLOOKUP($A1417,'[2]Team lists'!$A$2:$L$800,3,FALSE)</f>
        <v>#N/A</v>
      </c>
      <c r="D1417" s="43" t="e">
        <f>VLOOKUP($A1417,'[2]Team lists'!$A$2:$L$800,4,FALSE)</f>
        <v>#N/A</v>
      </c>
      <c r="E1417" s="43" t="e">
        <f>VLOOKUP($A1417,'[2]Team lists'!$A$2:$L$800,5,FALSE)</f>
        <v>#N/A</v>
      </c>
      <c r="F1417" s="43" t="e">
        <f>VLOOKUP($A1417,'[2]Team lists'!$A$2:$L$800,6,FALSE)</f>
        <v>#N/A</v>
      </c>
      <c r="G1417" s="43" t="e">
        <f>VLOOKUP($A1417,'[2]Team lists'!$A$2:$L$800,7,FALSE)</f>
        <v>#N/A</v>
      </c>
      <c r="H1417" s="43" t="e">
        <f>VLOOKUP($A1417,'[2]Team lists'!$A$2:$L$800,8,FALSE)</f>
        <v>#N/A</v>
      </c>
      <c r="I1417" s="43" t="e">
        <f>VLOOKUP($A1417,'[2]Team lists'!$A$2:$L$800,9,FALSE)</f>
        <v>#N/A</v>
      </c>
      <c r="J1417" s="43" t="e">
        <f>VLOOKUP($A1417,'[2]Team lists'!$A$2:$L$800,9,FALSE)</f>
        <v>#N/A</v>
      </c>
      <c r="K1417" s="43" t="e">
        <f>VLOOKUP($A1417,'[2]Team lists'!$A$2:$L$800,10,FALSE)</f>
        <v>#N/A</v>
      </c>
      <c r="L1417" s="43" t="e">
        <f>VLOOKUP($A1417,'[2]Team lists'!$A$2:$L$800,11,FALSE)</f>
        <v>#N/A</v>
      </c>
    </row>
    <row r="1418" spans="2:13">
      <c r="B1418" s="43" t="e">
        <f>VLOOKUP($A1418,'[2]Team lists'!$A$2:$L$800,2,FALSE)</f>
        <v>#N/A</v>
      </c>
      <c r="C1418" s="43" t="e">
        <f>VLOOKUP($A1418,'[2]Team lists'!$A$2:$L$800,3,FALSE)</f>
        <v>#N/A</v>
      </c>
      <c r="D1418" s="43" t="e">
        <f>VLOOKUP($A1418,'[2]Team lists'!$A$2:$L$800,4,FALSE)</f>
        <v>#N/A</v>
      </c>
      <c r="E1418" s="43" t="e">
        <f>VLOOKUP($A1418,'[2]Team lists'!$A$2:$L$800,5,FALSE)</f>
        <v>#N/A</v>
      </c>
      <c r="F1418" s="43" t="e">
        <f>VLOOKUP($A1418,'[2]Team lists'!$A$2:$L$800,6,FALSE)</f>
        <v>#N/A</v>
      </c>
      <c r="G1418" s="43" t="e">
        <f>VLOOKUP($A1418,'[2]Team lists'!$A$2:$L$800,7,FALSE)</f>
        <v>#N/A</v>
      </c>
      <c r="H1418" s="43" t="e">
        <f>VLOOKUP($A1418,'[2]Team lists'!$A$2:$L$800,8,FALSE)</f>
        <v>#N/A</v>
      </c>
      <c r="I1418" s="43" t="e">
        <f>VLOOKUP($A1418,'[2]Team lists'!$A$2:$L$800,9,FALSE)</f>
        <v>#N/A</v>
      </c>
      <c r="J1418" s="43" t="e">
        <f>VLOOKUP($A1418,'[2]Team lists'!$A$2:$L$800,9,FALSE)</f>
        <v>#N/A</v>
      </c>
      <c r="K1418" s="43" t="e">
        <f>VLOOKUP($A1418,'[2]Team lists'!$A$2:$L$800,10,FALSE)</f>
        <v>#N/A</v>
      </c>
      <c r="L1418" s="43" t="e">
        <f>VLOOKUP($A1418,'[2]Team lists'!$A$2:$L$800,11,FALSE)</f>
        <v>#N/A</v>
      </c>
    </row>
    <row r="1419" spans="2:13">
      <c r="B1419" s="43" t="e">
        <f>VLOOKUP($A1419,'[2]Team lists'!$A$2:$L$800,2,FALSE)</f>
        <v>#N/A</v>
      </c>
      <c r="C1419" s="43" t="e">
        <f>VLOOKUP($A1419,'[2]Team lists'!$A$2:$L$800,3,FALSE)</f>
        <v>#N/A</v>
      </c>
      <c r="D1419" s="43" t="e">
        <f>VLOOKUP($A1419,'[2]Team lists'!$A$2:$L$800,4,FALSE)</f>
        <v>#N/A</v>
      </c>
      <c r="E1419" s="43" t="e">
        <f>VLOOKUP($A1419,'[2]Team lists'!$A$2:$L$800,5,FALSE)</f>
        <v>#N/A</v>
      </c>
      <c r="F1419" s="43" t="e">
        <f>VLOOKUP($A1419,'[2]Team lists'!$A$2:$L$800,6,FALSE)</f>
        <v>#N/A</v>
      </c>
      <c r="G1419" s="43" t="e">
        <f>VLOOKUP($A1419,'[2]Team lists'!$A$2:$L$800,7,FALSE)</f>
        <v>#N/A</v>
      </c>
      <c r="H1419" s="43" t="e">
        <f>VLOOKUP($A1419,'[2]Team lists'!$A$2:$L$800,8,FALSE)</f>
        <v>#N/A</v>
      </c>
      <c r="I1419" s="43" t="e">
        <f>VLOOKUP($A1419,'[2]Team lists'!$A$2:$L$800,9,FALSE)</f>
        <v>#N/A</v>
      </c>
      <c r="J1419" s="43" t="e">
        <f>VLOOKUP($A1419,'[2]Team lists'!$A$2:$L$800,9,FALSE)</f>
        <v>#N/A</v>
      </c>
      <c r="K1419" s="43" t="e">
        <f>VLOOKUP($A1419,'[2]Team lists'!$A$2:$L$800,10,FALSE)</f>
        <v>#N/A</v>
      </c>
      <c r="L1419" s="43" t="e">
        <f>VLOOKUP($A1419,'[2]Team lists'!$A$2:$L$800,11,FALSE)</f>
        <v>#N/A</v>
      </c>
    </row>
    <row r="1420" spans="2:13">
      <c r="B1420" s="43" t="e">
        <f>VLOOKUP($A1420,'[2]Team lists'!$A$2:$L$800,2,FALSE)</f>
        <v>#N/A</v>
      </c>
      <c r="C1420" s="43" t="e">
        <f>VLOOKUP($A1420,'[2]Team lists'!$A$2:$L$800,3,FALSE)</f>
        <v>#N/A</v>
      </c>
      <c r="D1420" s="43" t="e">
        <f>VLOOKUP($A1420,'[2]Team lists'!$A$2:$L$800,4,FALSE)</f>
        <v>#N/A</v>
      </c>
      <c r="E1420" s="43" t="e">
        <f>VLOOKUP($A1420,'[2]Team lists'!$A$2:$L$800,5,FALSE)</f>
        <v>#N/A</v>
      </c>
      <c r="F1420" s="43" t="e">
        <f>VLOOKUP($A1420,'[2]Team lists'!$A$2:$L$800,6,FALSE)</f>
        <v>#N/A</v>
      </c>
      <c r="G1420" s="43" t="e">
        <f>VLOOKUP($A1420,'[2]Team lists'!$A$2:$L$800,7,FALSE)</f>
        <v>#N/A</v>
      </c>
      <c r="H1420" s="43" t="e">
        <f>VLOOKUP($A1420,'[2]Team lists'!$A$2:$L$800,8,FALSE)</f>
        <v>#N/A</v>
      </c>
      <c r="I1420" s="43" t="e">
        <f>VLOOKUP($A1420,'[2]Team lists'!$A$2:$L$800,9,FALSE)</f>
        <v>#N/A</v>
      </c>
      <c r="J1420" s="43" t="e">
        <f>VLOOKUP($A1420,'[2]Team lists'!$A$2:$L$800,9,FALSE)</f>
        <v>#N/A</v>
      </c>
      <c r="K1420" s="43" t="e">
        <f>VLOOKUP($A1420,'[2]Team lists'!$A$2:$L$800,10,FALSE)</f>
        <v>#N/A</v>
      </c>
      <c r="L1420" s="43" t="e">
        <f>VLOOKUP($A1420,'[2]Team lists'!$A$2:$L$800,11,FALSE)</f>
        <v>#N/A</v>
      </c>
    </row>
    <row r="1421" spans="2:13">
      <c r="B1421" s="43" t="e">
        <f>VLOOKUP($A1421,'[2]Team lists'!$A$2:$L$800,2,FALSE)</f>
        <v>#N/A</v>
      </c>
      <c r="C1421" s="43" t="e">
        <f>VLOOKUP($A1421,'[2]Team lists'!$A$2:$L$800,3,FALSE)</f>
        <v>#N/A</v>
      </c>
      <c r="D1421" s="43" t="e">
        <f>VLOOKUP($A1421,'[2]Team lists'!$A$2:$L$800,4,FALSE)</f>
        <v>#N/A</v>
      </c>
      <c r="E1421" s="43" t="e">
        <f>VLOOKUP($A1421,'[2]Team lists'!$A$2:$L$800,5,FALSE)</f>
        <v>#N/A</v>
      </c>
      <c r="F1421" s="43" t="e">
        <f>VLOOKUP($A1421,'[2]Team lists'!$A$2:$L$800,6,FALSE)</f>
        <v>#N/A</v>
      </c>
      <c r="G1421" s="43" t="e">
        <f>VLOOKUP($A1421,'[2]Team lists'!$A$2:$L$800,7,FALSE)</f>
        <v>#N/A</v>
      </c>
      <c r="H1421" s="43" t="e">
        <f>VLOOKUP($A1421,'[2]Team lists'!$A$2:$L$800,8,FALSE)</f>
        <v>#N/A</v>
      </c>
      <c r="I1421" s="43" t="e">
        <f>VLOOKUP($A1421,'[2]Team lists'!$A$2:$L$800,9,FALSE)</f>
        <v>#N/A</v>
      </c>
      <c r="J1421" s="43" t="e">
        <f>VLOOKUP($A1421,'[2]Team lists'!$A$2:$L$800,9,FALSE)</f>
        <v>#N/A</v>
      </c>
      <c r="K1421" s="43" t="e">
        <f>VLOOKUP($A1421,'[2]Team lists'!$A$2:$L$800,10,FALSE)</f>
        <v>#N/A</v>
      </c>
      <c r="L1421" s="43" t="e">
        <f>VLOOKUP($A1421,'[2]Team lists'!$A$2:$L$800,11,FALSE)</f>
        <v>#N/A</v>
      </c>
    </row>
    <row r="1422" spans="2:13">
      <c r="B1422" s="43" t="e">
        <f>VLOOKUP($A1422,'[2]Team lists'!$A$2:$L$800,2,FALSE)</f>
        <v>#N/A</v>
      </c>
      <c r="C1422" s="43" t="e">
        <f>VLOOKUP($A1422,'[2]Team lists'!$A$2:$L$800,3,FALSE)</f>
        <v>#N/A</v>
      </c>
      <c r="D1422" s="43" t="e">
        <f>VLOOKUP($A1422,'[2]Team lists'!$A$2:$L$800,4,FALSE)</f>
        <v>#N/A</v>
      </c>
      <c r="E1422" s="43" t="e">
        <f>VLOOKUP($A1422,'[2]Team lists'!$A$2:$L$800,5,FALSE)</f>
        <v>#N/A</v>
      </c>
      <c r="F1422" s="43" t="e">
        <f>VLOOKUP($A1422,'[2]Team lists'!$A$2:$L$800,6,FALSE)</f>
        <v>#N/A</v>
      </c>
      <c r="G1422" s="43" t="e">
        <f>VLOOKUP($A1422,'[2]Team lists'!$A$2:$L$800,7,FALSE)</f>
        <v>#N/A</v>
      </c>
      <c r="H1422" s="43" t="e">
        <f>VLOOKUP($A1422,'[2]Team lists'!$A$2:$L$800,8,FALSE)</f>
        <v>#N/A</v>
      </c>
      <c r="I1422" s="43" t="e">
        <f>VLOOKUP($A1422,'[2]Team lists'!$A$2:$L$800,9,FALSE)</f>
        <v>#N/A</v>
      </c>
      <c r="J1422" s="43" t="e">
        <f>VLOOKUP($A1422,'[2]Team lists'!$A$2:$L$800,9,FALSE)</f>
        <v>#N/A</v>
      </c>
      <c r="K1422" s="43" t="e">
        <f>VLOOKUP($A1422,'[2]Team lists'!$A$2:$L$800,10,FALSE)</f>
        <v>#N/A</v>
      </c>
      <c r="L1422" s="43" t="e">
        <f>VLOOKUP($A1422,'[2]Team lists'!$A$2:$L$800,11,FALSE)</f>
        <v>#N/A</v>
      </c>
    </row>
    <row r="1423" spans="2:13" ht="18" thickBot="1">
      <c r="B1423" s="45" t="s">
        <v>3210</v>
      </c>
      <c r="C1423" s="46"/>
      <c r="D1423" s="47"/>
      <c r="E1423" s="48" t="e">
        <f t="shared" ref="E1423:L1423" si="88">SUM(E1412:E1422)</f>
        <v>#N/A</v>
      </c>
      <c r="F1423" s="49" t="e">
        <f t="shared" si="88"/>
        <v>#N/A</v>
      </c>
      <c r="G1423" s="49" t="e">
        <f t="shared" si="88"/>
        <v>#N/A</v>
      </c>
      <c r="H1423" s="49" t="e">
        <f t="shared" si="88"/>
        <v>#N/A</v>
      </c>
      <c r="I1423" s="49" t="e">
        <f t="shared" si="88"/>
        <v>#N/A</v>
      </c>
      <c r="J1423" s="49" t="e">
        <f t="shared" si="88"/>
        <v>#N/A</v>
      </c>
      <c r="K1423" s="49" t="e">
        <f t="shared" si="88"/>
        <v>#N/A</v>
      </c>
      <c r="L1423" s="50" t="e">
        <f t="shared" si="88"/>
        <v>#N/A</v>
      </c>
    </row>
    <row r="1424" spans="2:13" ht="18.600000000000001" thickTop="1" thickBot="1"/>
    <row r="1425" spans="2:13" ht="18" thickTop="1">
      <c r="B1425" s="23" t="s">
        <v>3204</v>
      </c>
      <c r="C1425" s="24" t="s">
        <v>3205</v>
      </c>
      <c r="D1425" s="25"/>
      <c r="E1425" s="25"/>
      <c r="F1425" s="53"/>
      <c r="G1425" s="28" t="s">
        <v>3206</v>
      </c>
      <c r="H1425" s="54"/>
      <c r="I1425" s="54"/>
      <c r="J1425" s="54"/>
      <c r="K1425" s="28" t="s">
        <v>3207</v>
      </c>
      <c r="L1425" s="29"/>
      <c r="M1425" s="22" t="str">
        <f>G1425</f>
        <v>Manager:</v>
      </c>
    </row>
    <row r="1426" spans="2:13" ht="18" thickBot="1">
      <c r="B1426" s="30">
        <v>90</v>
      </c>
      <c r="C1426" s="57"/>
      <c r="D1426" s="31"/>
      <c r="E1426" s="31"/>
      <c r="F1426" s="33"/>
      <c r="G1426" s="55"/>
      <c r="H1426" s="55"/>
      <c r="I1426" s="55"/>
      <c r="J1426" s="55"/>
      <c r="K1426" s="34" t="e">
        <f>SUM(F1439:L1439)</f>
        <v>#N/A</v>
      </c>
      <c r="L1426" s="35"/>
      <c r="M1426" s="22">
        <f>G1426</f>
        <v>0</v>
      </c>
    </row>
    <row r="1427" spans="2:13" ht="18.600000000000001" thickTop="1">
      <c r="B1427" s="58" t="s">
        <v>913</v>
      </c>
      <c r="C1427" s="59" t="s">
        <v>912</v>
      </c>
      <c r="D1427" s="60" t="s">
        <v>911</v>
      </c>
      <c r="E1427" s="61" t="s">
        <v>3209</v>
      </c>
      <c r="F1427" s="62" t="s">
        <v>3162</v>
      </c>
      <c r="G1427" s="62" t="s">
        <v>3163</v>
      </c>
      <c r="H1427" s="62" t="s">
        <v>3164</v>
      </c>
      <c r="I1427" s="62" t="s">
        <v>3165</v>
      </c>
      <c r="J1427" s="62" t="s">
        <v>3166</v>
      </c>
      <c r="K1427" s="62" t="s">
        <v>3167</v>
      </c>
      <c r="L1427" s="63" t="s">
        <v>3168</v>
      </c>
    </row>
    <row r="1428" spans="2:13">
      <c r="B1428" s="43" t="e">
        <f>VLOOKUP($A1428,'[2]Team lists'!$A$2:$L$800,2,FALSE)</f>
        <v>#N/A</v>
      </c>
      <c r="C1428" s="43" t="e">
        <f>VLOOKUP($A1428,'[2]Team lists'!$A$2:$L$800,3,FALSE)</f>
        <v>#N/A</v>
      </c>
      <c r="D1428" s="43" t="e">
        <f>VLOOKUP($A1428,'[2]Team lists'!$A$2:$L$800,4,FALSE)</f>
        <v>#N/A</v>
      </c>
      <c r="E1428" s="43" t="e">
        <f>VLOOKUP($A1428,'[2]Team lists'!$A$2:$L$800,5,FALSE)</f>
        <v>#N/A</v>
      </c>
      <c r="F1428" s="43" t="e">
        <f>VLOOKUP($A1428,'[2]Team lists'!$A$2:$L$800,6,FALSE)</f>
        <v>#N/A</v>
      </c>
      <c r="G1428" s="43" t="e">
        <f>VLOOKUP($A1428,'[2]Team lists'!$A$2:$L$800,7,FALSE)</f>
        <v>#N/A</v>
      </c>
      <c r="H1428" s="43" t="e">
        <f>VLOOKUP($A1428,'[2]Team lists'!$A$2:$L$800,8,FALSE)</f>
        <v>#N/A</v>
      </c>
      <c r="I1428" s="43" t="e">
        <f>VLOOKUP($A1428,'[2]Team lists'!$A$2:$L$800,9,FALSE)</f>
        <v>#N/A</v>
      </c>
      <c r="J1428" s="43" t="e">
        <f>VLOOKUP($A1428,'[2]Team lists'!$A$2:$L$800,9,FALSE)</f>
        <v>#N/A</v>
      </c>
      <c r="K1428" s="43" t="e">
        <f>VLOOKUP($A1428,'[2]Team lists'!$A$2:$L$800,10,FALSE)</f>
        <v>#N/A</v>
      </c>
      <c r="L1428" s="43" t="e">
        <f>VLOOKUP($A1428,'[2]Team lists'!$A$2:$L$800,11,FALSE)</f>
        <v>#N/A</v>
      </c>
    </row>
    <row r="1429" spans="2:13">
      <c r="B1429" s="43" t="e">
        <f>VLOOKUP($A1429,'[2]Team lists'!$A$2:$L$800,2,FALSE)</f>
        <v>#N/A</v>
      </c>
      <c r="C1429" s="43" t="e">
        <f>VLOOKUP($A1429,'[2]Team lists'!$A$2:$L$800,3,FALSE)</f>
        <v>#N/A</v>
      </c>
      <c r="D1429" s="43" t="e">
        <f>VLOOKUP($A1429,'[2]Team lists'!$A$2:$L$800,4,FALSE)</f>
        <v>#N/A</v>
      </c>
      <c r="E1429" s="43" t="e">
        <f>VLOOKUP($A1429,'[2]Team lists'!$A$2:$L$800,5,FALSE)</f>
        <v>#N/A</v>
      </c>
      <c r="F1429" s="43" t="e">
        <f>VLOOKUP($A1429,'[2]Team lists'!$A$2:$L$800,6,FALSE)</f>
        <v>#N/A</v>
      </c>
      <c r="G1429" s="43" t="e">
        <f>VLOOKUP($A1429,'[2]Team lists'!$A$2:$L$800,7,FALSE)</f>
        <v>#N/A</v>
      </c>
      <c r="H1429" s="43" t="e">
        <f>VLOOKUP($A1429,'[2]Team lists'!$A$2:$L$800,8,FALSE)</f>
        <v>#N/A</v>
      </c>
      <c r="I1429" s="43" t="e">
        <f>VLOOKUP($A1429,'[2]Team lists'!$A$2:$L$800,9,FALSE)</f>
        <v>#N/A</v>
      </c>
      <c r="J1429" s="43" t="e">
        <f>VLOOKUP($A1429,'[2]Team lists'!$A$2:$L$800,9,FALSE)</f>
        <v>#N/A</v>
      </c>
      <c r="K1429" s="43" t="e">
        <f>VLOOKUP($A1429,'[2]Team lists'!$A$2:$L$800,10,FALSE)</f>
        <v>#N/A</v>
      </c>
      <c r="L1429" s="43" t="e">
        <f>VLOOKUP($A1429,'[2]Team lists'!$A$2:$L$800,11,FALSE)</f>
        <v>#N/A</v>
      </c>
    </row>
    <row r="1430" spans="2:13">
      <c r="B1430" s="43" t="e">
        <f>VLOOKUP($A1430,'[2]Team lists'!$A$2:$L$800,2,FALSE)</f>
        <v>#N/A</v>
      </c>
      <c r="C1430" s="43" t="e">
        <f>VLOOKUP($A1430,'[2]Team lists'!$A$2:$L$800,3,FALSE)</f>
        <v>#N/A</v>
      </c>
      <c r="D1430" s="43" t="e">
        <f>VLOOKUP($A1430,'[2]Team lists'!$A$2:$L$800,4,FALSE)</f>
        <v>#N/A</v>
      </c>
      <c r="E1430" s="43" t="e">
        <f>VLOOKUP($A1430,'[2]Team lists'!$A$2:$L$800,5,FALSE)</f>
        <v>#N/A</v>
      </c>
      <c r="F1430" s="43" t="e">
        <f>VLOOKUP($A1430,'[2]Team lists'!$A$2:$L$800,6,FALSE)</f>
        <v>#N/A</v>
      </c>
      <c r="G1430" s="43" t="e">
        <f>VLOOKUP($A1430,'[2]Team lists'!$A$2:$L$800,7,FALSE)</f>
        <v>#N/A</v>
      </c>
      <c r="H1430" s="43" t="e">
        <f>VLOOKUP($A1430,'[2]Team lists'!$A$2:$L$800,8,FALSE)</f>
        <v>#N/A</v>
      </c>
      <c r="I1430" s="43" t="e">
        <f>VLOOKUP($A1430,'[2]Team lists'!$A$2:$L$800,9,FALSE)</f>
        <v>#N/A</v>
      </c>
      <c r="J1430" s="43" t="e">
        <f>VLOOKUP($A1430,'[2]Team lists'!$A$2:$L$800,9,FALSE)</f>
        <v>#N/A</v>
      </c>
      <c r="K1430" s="43" t="e">
        <f>VLOOKUP($A1430,'[2]Team lists'!$A$2:$L$800,10,FALSE)</f>
        <v>#N/A</v>
      </c>
      <c r="L1430" s="43" t="e">
        <f>VLOOKUP($A1430,'[2]Team lists'!$A$2:$L$800,11,FALSE)</f>
        <v>#N/A</v>
      </c>
    </row>
    <row r="1431" spans="2:13">
      <c r="B1431" s="43" t="e">
        <f>VLOOKUP($A1431,'[2]Team lists'!$A$2:$L$800,2,FALSE)</f>
        <v>#N/A</v>
      </c>
      <c r="C1431" s="43" t="e">
        <f>VLOOKUP($A1431,'[2]Team lists'!$A$2:$L$800,3,FALSE)</f>
        <v>#N/A</v>
      </c>
      <c r="D1431" s="43" t="e">
        <f>VLOOKUP($A1431,'[2]Team lists'!$A$2:$L$800,4,FALSE)</f>
        <v>#N/A</v>
      </c>
      <c r="E1431" s="43" t="e">
        <f>VLOOKUP($A1431,'[2]Team lists'!$A$2:$L$800,5,FALSE)</f>
        <v>#N/A</v>
      </c>
      <c r="F1431" s="43" t="e">
        <f>VLOOKUP($A1431,'[2]Team lists'!$A$2:$L$800,6,FALSE)</f>
        <v>#N/A</v>
      </c>
      <c r="G1431" s="43" t="e">
        <f>VLOOKUP($A1431,'[2]Team lists'!$A$2:$L$800,7,FALSE)</f>
        <v>#N/A</v>
      </c>
      <c r="H1431" s="43" t="e">
        <f>VLOOKUP($A1431,'[2]Team lists'!$A$2:$L$800,8,FALSE)</f>
        <v>#N/A</v>
      </c>
      <c r="I1431" s="43" t="e">
        <f>VLOOKUP($A1431,'[2]Team lists'!$A$2:$L$800,9,FALSE)</f>
        <v>#N/A</v>
      </c>
      <c r="J1431" s="43" t="e">
        <f>VLOOKUP($A1431,'[2]Team lists'!$A$2:$L$800,9,FALSE)</f>
        <v>#N/A</v>
      </c>
      <c r="K1431" s="43" t="e">
        <f>VLOOKUP($A1431,'[2]Team lists'!$A$2:$L$800,10,FALSE)</f>
        <v>#N/A</v>
      </c>
      <c r="L1431" s="43" t="e">
        <f>VLOOKUP($A1431,'[2]Team lists'!$A$2:$L$800,11,FALSE)</f>
        <v>#N/A</v>
      </c>
    </row>
    <row r="1432" spans="2:13">
      <c r="B1432" s="43" t="e">
        <f>VLOOKUP($A1432,'[2]Team lists'!$A$2:$L$800,2,FALSE)</f>
        <v>#N/A</v>
      </c>
      <c r="C1432" s="43" t="e">
        <f>VLOOKUP($A1432,'[2]Team lists'!$A$2:$L$800,3,FALSE)</f>
        <v>#N/A</v>
      </c>
      <c r="D1432" s="43" t="e">
        <f>VLOOKUP($A1432,'[2]Team lists'!$A$2:$L$800,4,FALSE)</f>
        <v>#N/A</v>
      </c>
      <c r="E1432" s="43" t="e">
        <f>VLOOKUP($A1432,'[2]Team lists'!$A$2:$L$800,5,FALSE)</f>
        <v>#N/A</v>
      </c>
      <c r="F1432" s="43" t="e">
        <f>VLOOKUP($A1432,'[2]Team lists'!$A$2:$L$800,6,FALSE)</f>
        <v>#N/A</v>
      </c>
      <c r="G1432" s="43" t="e">
        <f>VLOOKUP($A1432,'[2]Team lists'!$A$2:$L$800,7,FALSE)</f>
        <v>#N/A</v>
      </c>
      <c r="H1432" s="43" t="e">
        <f>VLOOKUP($A1432,'[2]Team lists'!$A$2:$L$800,8,FALSE)</f>
        <v>#N/A</v>
      </c>
      <c r="I1432" s="43" t="e">
        <f>VLOOKUP($A1432,'[2]Team lists'!$A$2:$L$800,9,FALSE)</f>
        <v>#N/A</v>
      </c>
      <c r="J1432" s="43" t="e">
        <f>VLOOKUP($A1432,'[2]Team lists'!$A$2:$L$800,9,FALSE)</f>
        <v>#N/A</v>
      </c>
      <c r="K1432" s="43" t="e">
        <f>VLOOKUP($A1432,'[2]Team lists'!$A$2:$L$800,10,FALSE)</f>
        <v>#N/A</v>
      </c>
      <c r="L1432" s="43" t="e">
        <f>VLOOKUP($A1432,'[2]Team lists'!$A$2:$L$800,11,FALSE)</f>
        <v>#N/A</v>
      </c>
    </row>
    <row r="1433" spans="2:13">
      <c r="B1433" s="43" t="e">
        <f>VLOOKUP($A1433,'[2]Team lists'!$A$2:$L$800,2,FALSE)</f>
        <v>#N/A</v>
      </c>
      <c r="C1433" s="43" t="e">
        <f>VLOOKUP($A1433,'[2]Team lists'!$A$2:$L$800,3,FALSE)</f>
        <v>#N/A</v>
      </c>
      <c r="D1433" s="43" t="e">
        <f>VLOOKUP($A1433,'[2]Team lists'!$A$2:$L$800,4,FALSE)</f>
        <v>#N/A</v>
      </c>
      <c r="E1433" s="43" t="e">
        <f>VLOOKUP($A1433,'[2]Team lists'!$A$2:$L$800,5,FALSE)</f>
        <v>#N/A</v>
      </c>
      <c r="F1433" s="43" t="e">
        <f>VLOOKUP($A1433,'[2]Team lists'!$A$2:$L$800,6,FALSE)</f>
        <v>#N/A</v>
      </c>
      <c r="G1433" s="43" t="e">
        <f>VLOOKUP($A1433,'[2]Team lists'!$A$2:$L$800,7,FALSE)</f>
        <v>#N/A</v>
      </c>
      <c r="H1433" s="43" t="e">
        <f>VLOOKUP($A1433,'[2]Team lists'!$A$2:$L$800,8,FALSE)</f>
        <v>#N/A</v>
      </c>
      <c r="I1433" s="43" t="e">
        <f>VLOOKUP($A1433,'[2]Team lists'!$A$2:$L$800,9,FALSE)</f>
        <v>#N/A</v>
      </c>
      <c r="J1433" s="43" t="e">
        <f>VLOOKUP($A1433,'[2]Team lists'!$A$2:$L$800,9,FALSE)</f>
        <v>#N/A</v>
      </c>
      <c r="K1433" s="43" t="e">
        <f>VLOOKUP($A1433,'[2]Team lists'!$A$2:$L$800,10,FALSE)</f>
        <v>#N/A</v>
      </c>
      <c r="L1433" s="43" t="e">
        <f>VLOOKUP($A1433,'[2]Team lists'!$A$2:$L$800,11,FALSE)</f>
        <v>#N/A</v>
      </c>
    </row>
    <row r="1434" spans="2:13">
      <c r="B1434" s="43" t="e">
        <f>VLOOKUP($A1434,'[2]Team lists'!$A$2:$L$800,2,FALSE)</f>
        <v>#N/A</v>
      </c>
      <c r="C1434" s="43" t="e">
        <f>VLOOKUP($A1434,'[2]Team lists'!$A$2:$L$800,3,FALSE)</f>
        <v>#N/A</v>
      </c>
      <c r="D1434" s="43" t="e">
        <f>VLOOKUP($A1434,'[2]Team lists'!$A$2:$L$800,4,FALSE)</f>
        <v>#N/A</v>
      </c>
      <c r="E1434" s="43" t="e">
        <f>VLOOKUP($A1434,'[2]Team lists'!$A$2:$L$800,5,FALSE)</f>
        <v>#N/A</v>
      </c>
      <c r="F1434" s="43" t="e">
        <f>VLOOKUP($A1434,'[2]Team lists'!$A$2:$L$800,6,FALSE)</f>
        <v>#N/A</v>
      </c>
      <c r="G1434" s="43" t="e">
        <f>VLOOKUP($A1434,'[2]Team lists'!$A$2:$L$800,7,FALSE)</f>
        <v>#N/A</v>
      </c>
      <c r="H1434" s="43" t="e">
        <f>VLOOKUP($A1434,'[2]Team lists'!$A$2:$L$800,8,FALSE)</f>
        <v>#N/A</v>
      </c>
      <c r="I1434" s="43" t="e">
        <f>VLOOKUP($A1434,'[2]Team lists'!$A$2:$L$800,9,FALSE)</f>
        <v>#N/A</v>
      </c>
      <c r="J1434" s="43" t="e">
        <f>VLOOKUP($A1434,'[2]Team lists'!$A$2:$L$800,9,FALSE)</f>
        <v>#N/A</v>
      </c>
      <c r="K1434" s="43" t="e">
        <f>VLOOKUP($A1434,'[2]Team lists'!$A$2:$L$800,10,FALSE)</f>
        <v>#N/A</v>
      </c>
      <c r="L1434" s="43" t="e">
        <f>VLOOKUP($A1434,'[2]Team lists'!$A$2:$L$800,11,FALSE)</f>
        <v>#N/A</v>
      </c>
    </row>
    <row r="1435" spans="2:13">
      <c r="B1435" s="43" t="e">
        <f>VLOOKUP($A1435,'[2]Team lists'!$A$2:$L$800,2,FALSE)</f>
        <v>#N/A</v>
      </c>
      <c r="C1435" s="43" t="e">
        <f>VLOOKUP($A1435,'[2]Team lists'!$A$2:$L$800,3,FALSE)</f>
        <v>#N/A</v>
      </c>
      <c r="D1435" s="43" t="e">
        <f>VLOOKUP($A1435,'[2]Team lists'!$A$2:$L$800,4,FALSE)</f>
        <v>#N/A</v>
      </c>
      <c r="E1435" s="43" t="e">
        <f>VLOOKUP($A1435,'[2]Team lists'!$A$2:$L$800,5,FALSE)</f>
        <v>#N/A</v>
      </c>
      <c r="F1435" s="43" t="e">
        <f>VLOOKUP($A1435,'[2]Team lists'!$A$2:$L$800,6,FALSE)</f>
        <v>#N/A</v>
      </c>
      <c r="G1435" s="43" t="e">
        <f>VLOOKUP($A1435,'[2]Team lists'!$A$2:$L$800,7,FALSE)</f>
        <v>#N/A</v>
      </c>
      <c r="H1435" s="43" t="e">
        <f>VLOOKUP($A1435,'[2]Team lists'!$A$2:$L$800,8,FALSE)</f>
        <v>#N/A</v>
      </c>
      <c r="I1435" s="43" t="e">
        <f>VLOOKUP($A1435,'[2]Team lists'!$A$2:$L$800,9,FALSE)</f>
        <v>#N/A</v>
      </c>
      <c r="J1435" s="43" t="e">
        <f>VLOOKUP($A1435,'[2]Team lists'!$A$2:$L$800,9,FALSE)</f>
        <v>#N/A</v>
      </c>
      <c r="K1435" s="43" t="e">
        <f>VLOOKUP($A1435,'[2]Team lists'!$A$2:$L$800,10,FALSE)</f>
        <v>#N/A</v>
      </c>
      <c r="L1435" s="43" t="e">
        <f>VLOOKUP($A1435,'[2]Team lists'!$A$2:$L$800,11,FALSE)</f>
        <v>#N/A</v>
      </c>
    </row>
    <row r="1436" spans="2:13">
      <c r="B1436" s="43" t="e">
        <f>VLOOKUP($A1436,'[2]Team lists'!$A$2:$L$800,2,FALSE)</f>
        <v>#N/A</v>
      </c>
      <c r="C1436" s="43" t="e">
        <f>VLOOKUP($A1436,'[2]Team lists'!$A$2:$L$800,3,FALSE)</f>
        <v>#N/A</v>
      </c>
      <c r="D1436" s="43" t="e">
        <f>VLOOKUP($A1436,'[2]Team lists'!$A$2:$L$800,4,FALSE)</f>
        <v>#N/A</v>
      </c>
      <c r="E1436" s="43" t="e">
        <f>VLOOKUP($A1436,'[2]Team lists'!$A$2:$L$800,5,FALSE)</f>
        <v>#N/A</v>
      </c>
      <c r="F1436" s="43" t="e">
        <f>VLOOKUP($A1436,'[2]Team lists'!$A$2:$L$800,6,FALSE)</f>
        <v>#N/A</v>
      </c>
      <c r="G1436" s="43" t="e">
        <f>VLOOKUP($A1436,'[2]Team lists'!$A$2:$L$800,7,FALSE)</f>
        <v>#N/A</v>
      </c>
      <c r="H1436" s="43" t="e">
        <f>VLOOKUP($A1436,'[2]Team lists'!$A$2:$L$800,8,FALSE)</f>
        <v>#N/A</v>
      </c>
      <c r="I1436" s="43" t="e">
        <f>VLOOKUP($A1436,'[2]Team lists'!$A$2:$L$800,9,FALSE)</f>
        <v>#N/A</v>
      </c>
      <c r="J1436" s="43" t="e">
        <f>VLOOKUP($A1436,'[2]Team lists'!$A$2:$L$800,9,FALSE)</f>
        <v>#N/A</v>
      </c>
      <c r="K1436" s="43" t="e">
        <f>VLOOKUP($A1436,'[2]Team lists'!$A$2:$L$800,10,FALSE)</f>
        <v>#N/A</v>
      </c>
      <c r="L1436" s="43" t="e">
        <f>VLOOKUP($A1436,'[2]Team lists'!$A$2:$L$800,11,FALSE)</f>
        <v>#N/A</v>
      </c>
    </row>
    <row r="1437" spans="2:13">
      <c r="B1437" s="43" t="e">
        <f>VLOOKUP($A1437,'[2]Team lists'!$A$2:$L$800,2,FALSE)</f>
        <v>#N/A</v>
      </c>
      <c r="C1437" s="43" t="e">
        <f>VLOOKUP($A1437,'[2]Team lists'!$A$2:$L$800,3,FALSE)</f>
        <v>#N/A</v>
      </c>
      <c r="D1437" s="43" t="e">
        <f>VLOOKUP($A1437,'[2]Team lists'!$A$2:$L$800,4,FALSE)</f>
        <v>#N/A</v>
      </c>
      <c r="E1437" s="43" t="e">
        <f>VLOOKUP($A1437,'[2]Team lists'!$A$2:$L$800,5,FALSE)</f>
        <v>#N/A</v>
      </c>
      <c r="F1437" s="43" t="e">
        <f>VLOOKUP($A1437,'[2]Team lists'!$A$2:$L$800,6,FALSE)</f>
        <v>#N/A</v>
      </c>
      <c r="G1437" s="43" t="e">
        <f>VLOOKUP($A1437,'[2]Team lists'!$A$2:$L$800,7,FALSE)</f>
        <v>#N/A</v>
      </c>
      <c r="H1437" s="43" t="e">
        <f>VLOOKUP($A1437,'[2]Team lists'!$A$2:$L$800,8,FALSE)</f>
        <v>#N/A</v>
      </c>
      <c r="I1437" s="43" t="e">
        <f>VLOOKUP($A1437,'[2]Team lists'!$A$2:$L$800,9,FALSE)</f>
        <v>#N/A</v>
      </c>
      <c r="J1437" s="43" t="e">
        <f>VLOOKUP($A1437,'[2]Team lists'!$A$2:$L$800,9,FALSE)</f>
        <v>#N/A</v>
      </c>
      <c r="K1437" s="43" t="e">
        <f>VLOOKUP($A1437,'[2]Team lists'!$A$2:$L$800,10,FALSE)</f>
        <v>#N/A</v>
      </c>
      <c r="L1437" s="43" t="e">
        <f>VLOOKUP($A1437,'[2]Team lists'!$A$2:$L$800,11,FALSE)</f>
        <v>#N/A</v>
      </c>
    </row>
    <row r="1438" spans="2:13">
      <c r="B1438" s="43" t="e">
        <f>VLOOKUP($A1438,'[2]Team lists'!$A$2:$L$800,2,FALSE)</f>
        <v>#N/A</v>
      </c>
      <c r="C1438" s="43" t="e">
        <f>VLOOKUP($A1438,'[2]Team lists'!$A$2:$L$800,3,FALSE)</f>
        <v>#N/A</v>
      </c>
      <c r="D1438" s="43" t="e">
        <f>VLOOKUP($A1438,'[2]Team lists'!$A$2:$L$800,4,FALSE)</f>
        <v>#N/A</v>
      </c>
      <c r="E1438" s="43" t="e">
        <f>VLOOKUP($A1438,'[2]Team lists'!$A$2:$L$800,5,FALSE)</f>
        <v>#N/A</v>
      </c>
      <c r="F1438" s="43" t="e">
        <f>VLOOKUP($A1438,'[2]Team lists'!$A$2:$L$800,6,FALSE)</f>
        <v>#N/A</v>
      </c>
      <c r="G1438" s="43" t="e">
        <f>VLOOKUP($A1438,'[2]Team lists'!$A$2:$L$800,7,FALSE)</f>
        <v>#N/A</v>
      </c>
      <c r="H1438" s="43" t="e">
        <f>VLOOKUP($A1438,'[2]Team lists'!$A$2:$L$800,8,FALSE)</f>
        <v>#N/A</v>
      </c>
      <c r="I1438" s="43" t="e">
        <f>VLOOKUP($A1438,'[2]Team lists'!$A$2:$L$800,9,FALSE)</f>
        <v>#N/A</v>
      </c>
      <c r="J1438" s="43" t="e">
        <f>VLOOKUP($A1438,'[2]Team lists'!$A$2:$L$800,9,FALSE)</f>
        <v>#N/A</v>
      </c>
      <c r="K1438" s="43" t="e">
        <f>VLOOKUP($A1438,'[2]Team lists'!$A$2:$L$800,10,FALSE)</f>
        <v>#N/A</v>
      </c>
      <c r="L1438" s="43" t="e">
        <f>VLOOKUP($A1438,'[2]Team lists'!$A$2:$L$800,11,FALSE)</f>
        <v>#N/A</v>
      </c>
    </row>
    <row r="1439" spans="2:13" ht="18" thickBot="1">
      <c r="B1439" s="45" t="s">
        <v>3210</v>
      </c>
      <c r="C1439" s="46"/>
      <c r="D1439" s="47"/>
      <c r="E1439" s="48" t="e">
        <f t="shared" ref="E1439:L1439" si="89">SUM(E1428:E1438)</f>
        <v>#N/A</v>
      </c>
      <c r="F1439" s="49" t="e">
        <f t="shared" si="89"/>
        <v>#N/A</v>
      </c>
      <c r="G1439" s="49" t="e">
        <f t="shared" si="89"/>
        <v>#N/A</v>
      </c>
      <c r="H1439" s="49" t="e">
        <f t="shared" si="89"/>
        <v>#N/A</v>
      </c>
      <c r="I1439" s="49" t="e">
        <f t="shared" si="89"/>
        <v>#N/A</v>
      </c>
      <c r="J1439" s="49" t="e">
        <f t="shared" si="89"/>
        <v>#N/A</v>
      </c>
      <c r="K1439" s="49" t="e">
        <f t="shared" si="89"/>
        <v>#N/A</v>
      </c>
      <c r="L1439" s="50" t="e">
        <f t="shared" si="89"/>
        <v>#N/A</v>
      </c>
    </row>
    <row r="1440" spans="2:13" ht="18.600000000000001" thickTop="1" thickBot="1"/>
    <row r="1441" spans="2:13" ht="18" thickTop="1">
      <c r="B1441" s="23" t="s">
        <v>3204</v>
      </c>
      <c r="C1441" s="24" t="s">
        <v>3205</v>
      </c>
      <c r="D1441" s="25"/>
      <c r="E1441" s="25"/>
      <c r="F1441" s="53"/>
      <c r="G1441" s="28" t="s">
        <v>3206</v>
      </c>
      <c r="H1441" s="54"/>
      <c r="I1441" s="54"/>
      <c r="J1441" s="54"/>
      <c r="K1441" s="28" t="s">
        <v>3207</v>
      </c>
      <c r="L1441" s="29"/>
      <c r="M1441" s="22" t="str">
        <f>G1441</f>
        <v>Manager:</v>
      </c>
    </row>
    <row r="1442" spans="2:13" ht="18" thickBot="1">
      <c r="B1442" s="30">
        <v>91</v>
      </c>
      <c r="C1442" s="57"/>
      <c r="D1442" s="31"/>
      <c r="E1442" s="31"/>
      <c r="F1442" s="33"/>
      <c r="G1442" s="55"/>
      <c r="H1442" s="55"/>
      <c r="I1442" s="55"/>
      <c r="J1442" s="55"/>
      <c r="K1442" s="34" t="e">
        <f>SUM(F1455:L1455)</f>
        <v>#N/A</v>
      </c>
      <c r="L1442" s="35"/>
      <c r="M1442" s="22">
        <f>G1442</f>
        <v>0</v>
      </c>
    </row>
    <row r="1443" spans="2:13" ht="18.600000000000001" thickTop="1">
      <c r="B1443" s="58" t="s">
        <v>913</v>
      </c>
      <c r="C1443" s="59" t="s">
        <v>912</v>
      </c>
      <c r="D1443" s="60" t="s">
        <v>911</v>
      </c>
      <c r="E1443" s="61" t="s">
        <v>3209</v>
      </c>
      <c r="F1443" s="62" t="s">
        <v>3162</v>
      </c>
      <c r="G1443" s="62" t="s">
        <v>3163</v>
      </c>
      <c r="H1443" s="62" t="s">
        <v>3164</v>
      </c>
      <c r="I1443" s="62" t="s">
        <v>3165</v>
      </c>
      <c r="J1443" s="62" t="s">
        <v>3166</v>
      </c>
      <c r="K1443" s="62" t="s">
        <v>3167</v>
      </c>
      <c r="L1443" s="63" t="s">
        <v>3168</v>
      </c>
    </row>
    <row r="1444" spans="2:13">
      <c r="B1444" s="43" t="e">
        <f>VLOOKUP($A1444,'[2]Team lists'!$A$2:$L$800,2,FALSE)</f>
        <v>#N/A</v>
      </c>
      <c r="C1444" s="43" t="e">
        <f>VLOOKUP($A1444,'[2]Team lists'!$A$2:$L$800,3,FALSE)</f>
        <v>#N/A</v>
      </c>
      <c r="D1444" s="43" t="e">
        <f>VLOOKUP($A1444,'[2]Team lists'!$A$2:$L$800,4,FALSE)</f>
        <v>#N/A</v>
      </c>
      <c r="E1444" s="43" t="e">
        <f>VLOOKUP($A1444,'[2]Team lists'!$A$2:$L$800,5,FALSE)</f>
        <v>#N/A</v>
      </c>
      <c r="F1444" s="43" t="e">
        <f>VLOOKUP($A1444,'[2]Team lists'!$A$2:$L$800,6,FALSE)</f>
        <v>#N/A</v>
      </c>
      <c r="G1444" s="43" t="e">
        <f>VLOOKUP($A1444,'[2]Team lists'!$A$2:$L$800,7,FALSE)</f>
        <v>#N/A</v>
      </c>
      <c r="H1444" s="43" t="e">
        <f>VLOOKUP($A1444,'[2]Team lists'!$A$2:$L$800,8,FALSE)</f>
        <v>#N/A</v>
      </c>
      <c r="I1444" s="43" t="e">
        <f>VLOOKUP($A1444,'[2]Team lists'!$A$2:$L$800,9,FALSE)</f>
        <v>#N/A</v>
      </c>
      <c r="J1444" s="43" t="e">
        <f>VLOOKUP($A1444,'[2]Team lists'!$A$2:$L$800,9,FALSE)</f>
        <v>#N/A</v>
      </c>
      <c r="K1444" s="43" t="e">
        <f>VLOOKUP($A1444,'[2]Team lists'!$A$2:$L$800,10,FALSE)</f>
        <v>#N/A</v>
      </c>
      <c r="L1444" s="43" t="e">
        <f>VLOOKUP($A1444,'[2]Team lists'!$A$2:$L$800,11,FALSE)</f>
        <v>#N/A</v>
      </c>
    </row>
    <row r="1445" spans="2:13">
      <c r="B1445" s="43" t="e">
        <f>VLOOKUP($A1445,'[2]Team lists'!$A$2:$L$800,2,FALSE)</f>
        <v>#N/A</v>
      </c>
      <c r="C1445" s="43" t="e">
        <f>VLOOKUP($A1445,'[2]Team lists'!$A$2:$L$800,3,FALSE)</f>
        <v>#N/A</v>
      </c>
      <c r="D1445" s="43" t="e">
        <f>VLOOKUP($A1445,'[2]Team lists'!$A$2:$L$800,4,FALSE)</f>
        <v>#N/A</v>
      </c>
      <c r="E1445" s="43" t="e">
        <f>VLOOKUP($A1445,'[2]Team lists'!$A$2:$L$800,5,FALSE)</f>
        <v>#N/A</v>
      </c>
      <c r="F1445" s="43" t="e">
        <f>VLOOKUP($A1445,'[2]Team lists'!$A$2:$L$800,6,FALSE)</f>
        <v>#N/A</v>
      </c>
      <c r="G1445" s="43" t="e">
        <f>VLOOKUP($A1445,'[2]Team lists'!$A$2:$L$800,7,FALSE)</f>
        <v>#N/A</v>
      </c>
      <c r="H1445" s="43" t="e">
        <f>VLOOKUP($A1445,'[2]Team lists'!$A$2:$L$800,8,FALSE)</f>
        <v>#N/A</v>
      </c>
      <c r="I1445" s="43" t="e">
        <f>VLOOKUP($A1445,'[2]Team lists'!$A$2:$L$800,9,FALSE)</f>
        <v>#N/A</v>
      </c>
      <c r="J1445" s="43" t="e">
        <f>VLOOKUP($A1445,'[2]Team lists'!$A$2:$L$800,9,FALSE)</f>
        <v>#N/A</v>
      </c>
      <c r="K1445" s="43" t="e">
        <f>VLOOKUP($A1445,'[2]Team lists'!$A$2:$L$800,10,FALSE)</f>
        <v>#N/A</v>
      </c>
      <c r="L1445" s="43" t="e">
        <f>VLOOKUP($A1445,'[2]Team lists'!$A$2:$L$800,11,FALSE)</f>
        <v>#N/A</v>
      </c>
    </row>
    <row r="1446" spans="2:13">
      <c r="B1446" s="43" t="e">
        <f>VLOOKUP($A1446,'[2]Team lists'!$A$2:$L$800,2,FALSE)</f>
        <v>#N/A</v>
      </c>
      <c r="C1446" s="43" t="e">
        <f>VLOOKUP($A1446,'[2]Team lists'!$A$2:$L$800,3,FALSE)</f>
        <v>#N/A</v>
      </c>
      <c r="D1446" s="43" t="e">
        <f>VLOOKUP($A1446,'[2]Team lists'!$A$2:$L$800,4,FALSE)</f>
        <v>#N/A</v>
      </c>
      <c r="E1446" s="43" t="e">
        <f>VLOOKUP($A1446,'[2]Team lists'!$A$2:$L$800,5,FALSE)</f>
        <v>#N/A</v>
      </c>
      <c r="F1446" s="43" t="e">
        <f>VLOOKUP($A1446,'[2]Team lists'!$A$2:$L$800,6,FALSE)</f>
        <v>#N/A</v>
      </c>
      <c r="G1446" s="43" t="e">
        <f>VLOOKUP($A1446,'[2]Team lists'!$A$2:$L$800,7,FALSE)</f>
        <v>#N/A</v>
      </c>
      <c r="H1446" s="43" t="e">
        <f>VLOOKUP($A1446,'[2]Team lists'!$A$2:$L$800,8,FALSE)</f>
        <v>#N/A</v>
      </c>
      <c r="I1446" s="43" t="e">
        <f>VLOOKUP($A1446,'[2]Team lists'!$A$2:$L$800,9,FALSE)</f>
        <v>#N/A</v>
      </c>
      <c r="J1446" s="43" t="e">
        <f>VLOOKUP($A1446,'[2]Team lists'!$A$2:$L$800,9,FALSE)</f>
        <v>#N/A</v>
      </c>
      <c r="K1446" s="43" t="e">
        <f>VLOOKUP($A1446,'[2]Team lists'!$A$2:$L$800,10,FALSE)</f>
        <v>#N/A</v>
      </c>
      <c r="L1446" s="43" t="e">
        <f>VLOOKUP($A1446,'[2]Team lists'!$A$2:$L$800,11,FALSE)</f>
        <v>#N/A</v>
      </c>
    </row>
    <row r="1447" spans="2:13">
      <c r="B1447" s="43" t="e">
        <f>VLOOKUP($A1447,'[2]Team lists'!$A$2:$L$800,2,FALSE)</f>
        <v>#N/A</v>
      </c>
      <c r="C1447" s="43" t="e">
        <f>VLOOKUP($A1447,'[2]Team lists'!$A$2:$L$800,3,FALSE)</f>
        <v>#N/A</v>
      </c>
      <c r="D1447" s="43" t="e">
        <f>VLOOKUP($A1447,'[2]Team lists'!$A$2:$L$800,4,FALSE)</f>
        <v>#N/A</v>
      </c>
      <c r="E1447" s="43" t="e">
        <f>VLOOKUP($A1447,'[2]Team lists'!$A$2:$L$800,5,FALSE)</f>
        <v>#N/A</v>
      </c>
      <c r="F1447" s="43" t="e">
        <f>VLOOKUP($A1447,'[2]Team lists'!$A$2:$L$800,6,FALSE)</f>
        <v>#N/A</v>
      </c>
      <c r="G1447" s="43" t="e">
        <f>VLOOKUP($A1447,'[2]Team lists'!$A$2:$L$800,7,FALSE)</f>
        <v>#N/A</v>
      </c>
      <c r="H1447" s="43" t="e">
        <f>VLOOKUP($A1447,'[2]Team lists'!$A$2:$L$800,8,FALSE)</f>
        <v>#N/A</v>
      </c>
      <c r="I1447" s="43" t="e">
        <f>VLOOKUP($A1447,'[2]Team lists'!$A$2:$L$800,9,FALSE)</f>
        <v>#N/A</v>
      </c>
      <c r="J1447" s="43" t="e">
        <f>VLOOKUP($A1447,'[2]Team lists'!$A$2:$L$800,9,FALSE)</f>
        <v>#N/A</v>
      </c>
      <c r="K1447" s="43" t="e">
        <f>VLOOKUP($A1447,'[2]Team lists'!$A$2:$L$800,10,FALSE)</f>
        <v>#N/A</v>
      </c>
      <c r="L1447" s="43" t="e">
        <f>VLOOKUP($A1447,'[2]Team lists'!$A$2:$L$800,11,FALSE)</f>
        <v>#N/A</v>
      </c>
    </row>
    <row r="1448" spans="2:13">
      <c r="B1448" s="43" t="e">
        <f>VLOOKUP($A1448,'[2]Team lists'!$A$2:$L$800,2,FALSE)</f>
        <v>#N/A</v>
      </c>
      <c r="C1448" s="43" t="e">
        <f>VLOOKUP($A1448,'[2]Team lists'!$A$2:$L$800,3,FALSE)</f>
        <v>#N/A</v>
      </c>
      <c r="D1448" s="43" t="e">
        <f>VLOOKUP($A1448,'[2]Team lists'!$A$2:$L$800,4,FALSE)</f>
        <v>#N/A</v>
      </c>
      <c r="E1448" s="43" t="e">
        <f>VLOOKUP($A1448,'[2]Team lists'!$A$2:$L$800,5,FALSE)</f>
        <v>#N/A</v>
      </c>
      <c r="F1448" s="43" t="e">
        <f>VLOOKUP($A1448,'[2]Team lists'!$A$2:$L$800,6,FALSE)</f>
        <v>#N/A</v>
      </c>
      <c r="G1448" s="43" t="e">
        <f>VLOOKUP($A1448,'[2]Team lists'!$A$2:$L$800,7,FALSE)</f>
        <v>#N/A</v>
      </c>
      <c r="H1448" s="43" t="e">
        <f>VLOOKUP($A1448,'[2]Team lists'!$A$2:$L$800,8,FALSE)</f>
        <v>#N/A</v>
      </c>
      <c r="I1448" s="43" t="e">
        <f>VLOOKUP($A1448,'[2]Team lists'!$A$2:$L$800,9,FALSE)</f>
        <v>#N/A</v>
      </c>
      <c r="J1448" s="43" t="e">
        <f>VLOOKUP($A1448,'[2]Team lists'!$A$2:$L$800,9,FALSE)</f>
        <v>#N/A</v>
      </c>
      <c r="K1448" s="43" t="e">
        <f>VLOOKUP($A1448,'[2]Team lists'!$A$2:$L$800,10,FALSE)</f>
        <v>#N/A</v>
      </c>
      <c r="L1448" s="43" t="e">
        <f>VLOOKUP($A1448,'[2]Team lists'!$A$2:$L$800,11,FALSE)</f>
        <v>#N/A</v>
      </c>
    </row>
    <row r="1449" spans="2:13">
      <c r="B1449" s="43" t="e">
        <f>VLOOKUP($A1449,'[2]Team lists'!$A$2:$L$800,2,FALSE)</f>
        <v>#N/A</v>
      </c>
      <c r="C1449" s="43" t="e">
        <f>VLOOKUP($A1449,'[2]Team lists'!$A$2:$L$800,3,FALSE)</f>
        <v>#N/A</v>
      </c>
      <c r="D1449" s="43" t="e">
        <f>VLOOKUP($A1449,'[2]Team lists'!$A$2:$L$800,4,FALSE)</f>
        <v>#N/A</v>
      </c>
      <c r="E1449" s="43" t="e">
        <f>VLOOKUP($A1449,'[2]Team lists'!$A$2:$L$800,5,FALSE)</f>
        <v>#N/A</v>
      </c>
      <c r="F1449" s="43" t="e">
        <f>VLOOKUP($A1449,'[2]Team lists'!$A$2:$L$800,6,FALSE)</f>
        <v>#N/A</v>
      </c>
      <c r="G1449" s="43" t="e">
        <f>VLOOKUP($A1449,'[2]Team lists'!$A$2:$L$800,7,FALSE)</f>
        <v>#N/A</v>
      </c>
      <c r="H1449" s="43" t="e">
        <f>VLOOKUP($A1449,'[2]Team lists'!$A$2:$L$800,8,FALSE)</f>
        <v>#N/A</v>
      </c>
      <c r="I1449" s="43" t="e">
        <f>VLOOKUP($A1449,'[2]Team lists'!$A$2:$L$800,9,FALSE)</f>
        <v>#N/A</v>
      </c>
      <c r="J1449" s="43" t="e">
        <f>VLOOKUP($A1449,'[2]Team lists'!$A$2:$L$800,9,FALSE)</f>
        <v>#N/A</v>
      </c>
      <c r="K1449" s="43" t="e">
        <f>VLOOKUP($A1449,'[2]Team lists'!$A$2:$L$800,10,FALSE)</f>
        <v>#N/A</v>
      </c>
      <c r="L1449" s="43" t="e">
        <f>VLOOKUP($A1449,'[2]Team lists'!$A$2:$L$800,11,FALSE)</f>
        <v>#N/A</v>
      </c>
    </row>
    <row r="1450" spans="2:13">
      <c r="B1450" s="43" t="e">
        <f>VLOOKUP($A1450,'[2]Team lists'!$A$2:$L$800,2,FALSE)</f>
        <v>#N/A</v>
      </c>
      <c r="C1450" s="43" t="e">
        <f>VLOOKUP($A1450,'[2]Team lists'!$A$2:$L$800,3,FALSE)</f>
        <v>#N/A</v>
      </c>
      <c r="D1450" s="43" t="e">
        <f>VLOOKUP($A1450,'[2]Team lists'!$A$2:$L$800,4,FALSE)</f>
        <v>#N/A</v>
      </c>
      <c r="E1450" s="43" t="e">
        <f>VLOOKUP($A1450,'[2]Team lists'!$A$2:$L$800,5,FALSE)</f>
        <v>#N/A</v>
      </c>
      <c r="F1450" s="43" t="e">
        <f>VLOOKUP($A1450,'[2]Team lists'!$A$2:$L$800,6,FALSE)</f>
        <v>#N/A</v>
      </c>
      <c r="G1450" s="43" t="e">
        <f>VLOOKUP($A1450,'[2]Team lists'!$A$2:$L$800,7,FALSE)</f>
        <v>#N/A</v>
      </c>
      <c r="H1450" s="43" t="e">
        <f>VLOOKUP($A1450,'[2]Team lists'!$A$2:$L$800,8,FALSE)</f>
        <v>#N/A</v>
      </c>
      <c r="I1450" s="43" t="e">
        <f>VLOOKUP($A1450,'[2]Team lists'!$A$2:$L$800,9,FALSE)</f>
        <v>#N/A</v>
      </c>
      <c r="J1450" s="43" t="e">
        <f>VLOOKUP($A1450,'[2]Team lists'!$A$2:$L$800,9,FALSE)</f>
        <v>#N/A</v>
      </c>
      <c r="K1450" s="43" t="e">
        <f>VLOOKUP($A1450,'[2]Team lists'!$A$2:$L$800,10,FALSE)</f>
        <v>#N/A</v>
      </c>
      <c r="L1450" s="43" t="e">
        <f>VLOOKUP($A1450,'[2]Team lists'!$A$2:$L$800,11,FALSE)</f>
        <v>#N/A</v>
      </c>
    </row>
    <row r="1451" spans="2:13">
      <c r="B1451" s="43" t="e">
        <f>VLOOKUP($A1451,'[2]Team lists'!$A$2:$L$800,2,FALSE)</f>
        <v>#N/A</v>
      </c>
      <c r="C1451" s="43" t="e">
        <f>VLOOKUP($A1451,'[2]Team lists'!$A$2:$L$800,3,FALSE)</f>
        <v>#N/A</v>
      </c>
      <c r="D1451" s="43" t="e">
        <f>VLOOKUP($A1451,'[2]Team lists'!$A$2:$L$800,4,FALSE)</f>
        <v>#N/A</v>
      </c>
      <c r="E1451" s="43" t="e">
        <f>VLOOKUP($A1451,'[2]Team lists'!$A$2:$L$800,5,FALSE)</f>
        <v>#N/A</v>
      </c>
      <c r="F1451" s="43" t="e">
        <f>VLOOKUP($A1451,'[2]Team lists'!$A$2:$L$800,6,FALSE)</f>
        <v>#N/A</v>
      </c>
      <c r="G1451" s="43" t="e">
        <f>VLOOKUP($A1451,'[2]Team lists'!$A$2:$L$800,7,FALSE)</f>
        <v>#N/A</v>
      </c>
      <c r="H1451" s="43" t="e">
        <f>VLOOKUP($A1451,'[2]Team lists'!$A$2:$L$800,8,FALSE)</f>
        <v>#N/A</v>
      </c>
      <c r="I1451" s="43" t="e">
        <f>VLOOKUP($A1451,'[2]Team lists'!$A$2:$L$800,9,FALSE)</f>
        <v>#N/A</v>
      </c>
      <c r="J1451" s="43" t="e">
        <f>VLOOKUP($A1451,'[2]Team lists'!$A$2:$L$800,9,FALSE)</f>
        <v>#N/A</v>
      </c>
      <c r="K1451" s="43" t="e">
        <f>VLOOKUP($A1451,'[2]Team lists'!$A$2:$L$800,10,FALSE)</f>
        <v>#N/A</v>
      </c>
      <c r="L1451" s="43" t="e">
        <f>VLOOKUP($A1451,'[2]Team lists'!$A$2:$L$800,11,FALSE)</f>
        <v>#N/A</v>
      </c>
    </row>
    <row r="1452" spans="2:13">
      <c r="B1452" s="43" t="e">
        <f>VLOOKUP($A1452,'[2]Team lists'!$A$2:$L$800,2,FALSE)</f>
        <v>#N/A</v>
      </c>
      <c r="C1452" s="43" t="e">
        <f>VLOOKUP($A1452,'[2]Team lists'!$A$2:$L$800,3,FALSE)</f>
        <v>#N/A</v>
      </c>
      <c r="D1452" s="43" t="e">
        <f>VLOOKUP($A1452,'[2]Team lists'!$A$2:$L$800,4,FALSE)</f>
        <v>#N/A</v>
      </c>
      <c r="E1452" s="43" t="e">
        <f>VLOOKUP($A1452,'[2]Team lists'!$A$2:$L$800,5,FALSE)</f>
        <v>#N/A</v>
      </c>
      <c r="F1452" s="43" t="e">
        <f>VLOOKUP($A1452,'[2]Team lists'!$A$2:$L$800,6,FALSE)</f>
        <v>#N/A</v>
      </c>
      <c r="G1452" s="43" t="e">
        <f>VLOOKUP($A1452,'[2]Team lists'!$A$2:$L$800,7,FALSE)</f>
        <v>#N/A</v>
      </c>
      <c r="H1452" s="43" t="e">
        <f>VLOOKUP($A1452,'[2]Team lists'!$A$2:$L$800,8,FALSE)</f>
        <v>#N/A</v>
      </c>
      <c r="I1452" s="43" t="e">
        <f>VLOOKUP($A1452,'[2]Team lists'!$A$2:$L$800,9,FALSE)</f>
        <v>#N/A</v>
      </c>
      <c r="J1452" s="43" t="e">
        <f>VLOOKUP($A1452,'[2]Team lists'!$A$2:$L$800,9,FALSE)</f>
        <v>#N/A</v>
      </c>
      <c r="K1452" s="43" t="e">
        <f>VLOOKUP($A1452,'[2]Team lists'!$A$2:$L$800,10,FALSE)</f>
        <v>#N/A</v>
      </c>
      <c r="L1452" s="43" t="e">
        <f>VLOOKUP($A1452,'[2]Team lists'!$A$2:$L$800,11,FALSE)</f>
        <v>#N/A</v>
      </c>
    </row>
    <row r="1453" spans="2:13">
      <c r="B1453" s="43" t="e">
        <f>VLOOKUP($A1453,'[2]Team lists'!$A$2:$L$800,2,FALSE)</f>
        <v>#N/A</v>
      </c>
      <c r="C1453" s="43" t="e">
        <f>VLOOKUP($A1453,'[2]Team lists'!$A$2:$L$800,3,FALSE)</f>
        <v>#N/A</v>
      </c>
      <c r="D1453" s="43" t="e">
        <f>VLOOKUP($A1453,'[2]Team lists'!$A$2:$L$800,4,FALSE)</f>
        <v>#N/A</v>
      </c>
      <c r="E1453" s="43" t="e">
        <f>VLOOKUP($A1453,'[2]Team lists'!$A$2:$L$800,5,FALSE)</f>
        <v>#N/A</v>
      </c>
      <c r="F1453" s="43" t="e">
        <f>VLOOKUP($A1453,'[2]Team lists'!$A$2:$L$800,6,FALSE)</f>
        <v>#N/A</v>
      </c>
      <c r="G1453" s="43" t="e">
        <f>VLOOKUP($A1453,'[2]Team lists'!$A$2:$L$800,7,FALSE)</f>
        <v>#N/A</v>
      </c>
      <c r="H1453" s="43" t="e">
        <f>VLOOKUP($A1453,'[2]Team lists'!$A$2:$L$800,8,FALSE)</f>
        <v>#N/A</v>
      </c>
      <c r="I1453" s="43" t="e">
        <f>VLOOKUP($A1453,'[2]Team lists'!$A$2:$L$800,9,FALSE)</f>
        <v>#N/A</v>
      </c>
      <c r="J1453" s="43" t="e">
        <f>VLOOKUP($A1453,'[2]Team lists'!$A$2:$L$800,9,FALSE)</f>
        <v>#N/A</v>
      </c>
      <c r="K1453" s="43" t="e">
        <f>VLOOKUP($A1453,'[2]Team lists'!$A$2:$L$800,10,FALSE)</f>
        <v>#N/A</v>
      </c>
      <c r="L1453" s="43" t="e">
        <f>VLOOKUP($A1453,'[2]Team lists'!$A$2:$L$800,11,FALSE)</f>
        <v>#N/A</v>
      </c>
    </row>
    <row r="1454" spans="2:13">
      <c r="B1454" s="43" t="e">
        <f>VLOOKUP($A1454,'[2]Team lists'!$A$2:$L$800,2,FALSE)</f>
        <v>#N/A</v>
      </c>
      <c r="C1454" s="43" t="e">
        <f>VLOOKUP($A1454,'[2]Team lists'!$A$2:$L$800,3,FALSE)</f>
        <v>#N/A</v>
      </c>
      <c r="D1454" s="43" t="e">
        <f>VLOOKUP($A1454,'[2]Team lists'!$A$2:$L$800,4,FALSE)</f>
        <v>#N/A</v>
      </c>
      <c r="E1454" s="43" t="e">
        <f>VLOOKUP($A1454,'[2]Team lists'!$A$2:$L$800,5,FALSE)</f>
        <v>#N/A</v>
      </c>
      <c r="F1454" s="43" t="e">
        <f>VLOOKUP($A1454,'[2]Team lists'!$A$2:$L$800,6,FALSE)</f>
        <v>#N/A</v>
      </c>
      <c r="G1454" s="43" t="e">
        <f>VLOOKUP($A1454,'[2]Team lists'!$A$2:$L$800,7,FALSE)</f>
        <v>#N/A</v>
      </c>
      <c r="H1454" s="43" t="e">
        <f>VLOOKUP($A1454,'[2]Team lists'!$A$2:$L$800,8,FALSE)</f>
        <v>#N/A</v>
      </c>
      <c r="I1454" s="43" t="e">
        <f>VLOOKUP($A1454,'[2]Team lists'!$A$2:$L$800,9,FALSE)</f>
        <v>#N/A</v>
      </c>
      <c r="J1454" s="43" t="e">
        <f>VLOOKUP($A1454,'[2]Team lists'!$A$2:$L$800,9,FALSE)</f>
        <v>#N/A</v>
      </c>
      <c r="K1454" s="43" t="e">
        <f>VLOOKUP($A1454,'[2]Team lists'!$A$2:$L$800,10,FALSE)</f>
        <v>#N/A</v>
      </c>
      <c r="L1454" s="43" t="e">
        <f>VLOOKUP($A1454,'[2]Team lists'!$A$2:$L$800,11,FALSE)</f>
        <v>#N/A</v>
      </c>
    </row>
    <row r="1455" spans="2:13" ht="18" thickBot="1">
      <c r="B1455" s="45" t="s">
        <v>3210</v>
      </c>
      <c r="C1455" s="46"/>
      <c r="D1455" s="47"/>
      <c r="E1455" s="48" t="e">
        <f t="shared" ref="E1455:L1455" si="90">SUM(E1444:E1454)</f>
        <v>#N/A</v>
      </c>
      <c r="F1455" s="49" t="e">
        <f t="shared" si="90"/>
        <v>#N/A</v>
      </c>
      <c r="G1455" s="49" t="e">
        <f t="shared" si="90"/>
        <v>#N/A</v>
      </c>
      <c r="H1455" s="49" t="e">
        <f t="shared" si="90"/>
        <v>#N/A</v>
      </c>
      <c r="I1455" s="49" t="e">
        <f t="shared" si="90"/>
        <v>#N/A</v>
      </c>
      <c r="J1455" s="49" t="e">
        <f t="shared" si="90"/>
        <v>#N/A</v>
      </c>
      <c r="K1455" s="49" t="e">
        <f t="shared" si="90"/>
        <v>#N/A</v>
      </c>
      <c r="L1455" s="50" t="e">
        <f t="shared" si="90"/>
        <v>#N/A</v>
      </c>
    </row>
    <row r="1456" spans="2:13" ht="18.600000000000001" thickTop="1" thickBot="1"/>
    <row r="1457" spans="2:13" ht="18" thickTop="1">
      <c r="B1457" s="23" t="s">
        <v>3204</v>
      </c>
      <c r="C1457" s="24" t="s">
        <v>3205</v>
      </c>
      <c r="D1457" s="25"/>
      <c r="E1457" s="25"/>
      <c r="F1457" s="53"/>
      <c r="G1457" s="28" t="s">
        <v>3206</v>
      </c>
      <c r="H1457" s="54"/>
      <c r="I1457" s="54"/>
      <c r="J1457" s="54"/>
      <c r="K1457" s="28" t="s">
        <v>3207</v>
      </c>
      <c r="L1457" s="29"/>
      <c r="M1457" s="22" t="str">
        <f>G1457</f>
        <v>Manager:</v>
      </c>
    </row>
    <row r="1458" spans="2:13" ht="18" thickBot="1">
      <c r="B1458" s="30">
        <v>92</v>
      </c>
      <c r="C1458" s="57"/>
      <c r="D1458" s="31"/>
      <c r="E1458" s="31"/>
      <c r="F1458" s="33"/>
      <c r="G1458" s="55"/>
      <c r="H1458" s="55"/>
      <c r="I1458" s="55"/>
      <c r="J1458" s="55"/>
      <c r="K1458" s="34" t="e">
        <f>SUM(F1471:L1471)</f>
        <v>#N/A</v>
      </c>
      <c r="L1458" s="35"/>
      <c r="M1458" s="22">
        <f>G1458</f>
        <v>0</v>
      </c>
    </row>
    <row r="1459" spans="2:13" ht="18.600000000000001" thickTop="1">
      <c r="B1459" s="58" t="s">
        <v>913</v>
      </c>
      <c r="C1459" s="59" t="s">
        <v>912</v>
      </c>
      <c r="D1459" s="60" t="s">
        <v>911</v>
      </c>
      <c r="E1459" s="61" t="s">
        <v>3209</v>
      </c>
      <c r="F1459" s="62" t="s">
        <v>3162</v>
      </c>
      <c r="G1459" s="62" t="s">
        <v>3163</v>
      </c>
      <c r="H1459" s="62" t="s">
        <v>3164</v>
      </c>
      <c r="I1459" s="62" t="s">
        <v>3165</v>
      </c>
      <c r="J1459" s="62" t="s">
        <v>3166</v>
      </c>
      <c r="K1459" s="62" t="s">
        <v>3167</v>
      </c>
      <c r="L1459" s="63" t="s">
        <v>3168</v>
      </c>
    </row>
    <row r="1460" spans="2:13">
      <c r="B1460" s="43" t="e">
        <f>VLOOKUP($A1460,'[2]Team lists'!$A$2:$L$800,2,FALSE)</f>
        <v>#N/A</v>
      </c>
      <c r="C1460" s="43" t="e">
        <f>VLOOKUP($A1460,'[2]Team lists'!$A$2:$L$800,3,FALSE)</f>
        <v>#N/A</v>
      </c>
      <c r="D1460" s="43" t="e">
        <f>VLOOKUP($A1460,'[2]Team lists'!$A$2:$L$800,4,FALSE)</f>
        <v>#N/A</v>
      </c>
      <c r="E1460" s="43" t="e">
        <f>VLOOKUP($A1460,'[2]Team lists'!$A$2:$L$800,5,FALSE)</f>
        <v>#N/A</v>
      </c>
      <c r="F1460" s="43" t="e">
        <f>VLOOKUP($A1460,'[2]Team lists'!$A$2:$L$800,6,FALSE)</f>
        <v>#N/A</v>
      </c>
      <c r="G1460" s="43" t="e">
        <f>VLOOKUP($A1460,'[2]Team lists'!$A$2:$L$800,7,FALSE)</f>
        <v>#N/A</v>
      </c>
      <c r="H1460" s="43" t="e">
        <f>VLOOKUP($A1460,'[2]Team lists'!$A$2:$L$800,8,FALSE)</f>
        <v>#N/A</v>
      </c>
      <c r="I1460" s="43" t="e">
        <f>VLOOKUP($A1460,'[2]Team lists'!$A$2:$L$800,9,FALSE)</f>
        <v>#N/A</v>
      </c>
      <c r="J1460" s="43" t="e">
        <f>VLOOKUP($A1460,'[2]Team lists'!$A$2:$L$800,9,FALSE)</f>
        <v>#N/A</v>
      </c>
      <c r="K1460" s="43" t="e">
        <f>VLOOKUP($A1460,'[2]Team lists'!$A$2:$L$800,10,FALSE)</f>
        <v>#N/A</v>
      </c>
      <c r="L1460" s="43" t="e">
        <f>VLOOKUP($A1460,'[2]Team lists'!$A$2:$L$800,11,FALSE)</f>
        <v>#N/A</v>
      </c>
    </row>
    <row r="1461" spans="2:13">
      <c r="B1461" s="43" t="e">
        <f>VLOOKUP($A1461,'[2]Team lists'!$A$2:$L$800,2,FALSE)</f>
        <v>#N/A</v>
      </c>
      <c r="C1461" s="43" t="e">
        <f>VLOOKUP($A1461,'[2]Team lists'!$A$2:$L$800,3,FALSE)</f>
        <v>#N/A</v>
      </c>
      <c r="D1461" s="43" t="e">
        <f>VLOOKUP($A1461,'[2]Team lists'!$A$2:$L$800,4,FALSE)</f>
        <v>#N/A</v>
      </c>
      <c r="E1461" s="43" t="e">
        <f>VLOOKUP($A1461,'[2]Team lists'!$A$2:$L$800,5,FALSE)</f>
        <v>#N/A</v>
      </c>
      <c r="F1461" s="43" t="e">
        <f>VLOOKUP($A1461,'[2]Team lists'!$A$2:$L$800,6,FALSE)</f>
        <v>#N/A</v>
      </c>
      <c r="G1461" s="43" t="e">
        <f>VLOOKUP($A1461,'[2]Team lists'!$A$2:$L$800,7,FALSE)</f>
        <v>#N/A</v>
      </c>
      <c r="H1461" s="43" t="e">
        <f>VLOOKUP($A1461,'[2]Team lists'!$A$2:$L$800,8,FALSE)</f>
        <v>#N/A</v>
      </c>
      <c r="I1461" s="43" t="e">
        <f>VLOOKUP($A1461,'[2]Team lists'!$A$2:$L$800,9,FALSE)</f>
        <v>#N/A</v>
      </c>
      <c r="J1461" s="43" t="e">
        <f>VLOOKUP($A1461,'[2]Team lists'!$A$2:$L$800,9,FALSE)</f>
        <v>#N/A</v>
      </c>
      <c r="K1461" s="43" t="e">
        <f>VLOOKUP($A1461,'[2]Team lists'!$A$2:$L$800,10,FALSE)</f>
        <v>#N/A</v>
      </c>
      <c r="L1461" s="43" t="e">
        <f>VLOOKUP($A1461,'[2]Team lists'!$A$2:$L$800,11,FALSE)</f>
        <v>#N/A</v>
      </c>
    </row>
    <row r="1462" spans="2:13">
      <c r="B1462" s="43" t="e">
        <f>VLOOKUP($A1462,'[2]Team lists'!$A$2:$L$800,2,FALSE)</f>
        <v>#N/A</v>
      </c>
      <c r="C1462" s="43" t="e">
        <f>VLOOKUP($A1462,'[2]Team lists'!$A$2:$L$800,3,FALSE)</f>
        <v>#N/A</v>
      </c>
      <c r="D1462" s="43" t="e">
        <f>VLOOKUP($A1462,'[2]Team lists'!$A$2:$L$800,4,FALSE)</f>
        <v>#N/A</v>
      </c>
      <c r="E1462" s="43" t="e">
        <f>VLOOKUP($A1462,'[2]Team lists'!$A$2:$L$800,5,FALSE)</f>
        <v>#N/A</v>
      </c>
      <c r="F1462" s="43" t="e">
        <f>VLOOKUP($A1462,'[2]Team lists'!$A$2:$L$800,6,FALSE)</f>
        <v>#N/A</v>
      </c>
      <c r="G1462" s="43" t="e">
        <f>VLOOKUP($A1462,'[2]Team lists'!$A$2:$L$800,7,FALSE)</f>
        <v>#N/A</v>
      </c>
      <c r="H1462" s="43" t="e">
        <f>VLOOKUP($A1462,'[2]Team lists'!$A$2:$L$800,8,FALSE)</f>
        <v>#N/A</v>
      </c>
      <c r="I1462" s="43" t="e">
        <f>VLOOKUP($A1462,'[2]Team lists'!$A$2:$L$800,9,FALSE)</f>
        <v>#N/A</v>
      </c>
      <c r="J1462" s="43" t="e">
        <f>VLOOKUP($A1462,'[2]Team lists'!$A$2:$L$800,9,FALSE)</f>
        <v>#N/A</v>
      </c>
      <c r="K1462" s="43" t="e">
        <f>VLOOKUP($A1462,'[2]Team lists'!$A$2:$L$800,10,FALSE)</f>
        <v>#N/A</v>
      </c>
      <c r="L1462" s="43" t="e">
        <f>VLOOKUP($A1462,'[2]Team lists'!$A$2:$L$800,11,FALSE)</f>
        <v>#N/A</v>
      </c>
    </row>
    <row r="1463" spans="2:13">
      <c r="B1463" s="43" t="e">
        <f>VLOOKUP($A1463,'[2]Team lists'!$A$2:$L$800,2,FALSE)</f>
        <v>#N/A</v>
      </c>
      <c r="C1463" s="43" t="e">
        <f>VLOOKUP($A1463,'[2]Team lists'!$A$2:$L$800,3,FALSE)</f>
        <v>#N/A</v>
      </c>
      <c r="D1463" s="43" t="e">
        <f>VLOOKUP($A1463,'[2]Team lists'!$A$2:$L$800,4,FALSE)</f>
        <v>#N/A</v>
      </c>
      <c r="E1463" s="43" t="e">
        <f>VLOOKUP($A1463,'[2]Team lists'!$A$2:$L$800,5,FALSE)</f>
        <v>#N/A</v>
      </c>
      <c r="F1463" s="43" t="e">
        <f>VLOOKUP($A1463,'[2]Team lists'!$A$2:$L$800,6,FALSE)</f>
        <v>#N/A</v>
      </c>
      <c r="G1463" s="43" t="e">
        <f>VLOOKUP($A1463,'[2]Team lists'!$A$2:$L$800,7,FALSE)</f>
        <v>#N/A</v>
      </c>
      <c r="H1463" s="43" t="e">
        <f>VLOOKUP($A1463,'[2]Team lists'!$A$2:$L$800,8,FALSE)</f>
        <v>#N/A</v>
      </c>
      <c r="I1463" s="43" t="e">
        <f>VLOOKUP($A1463,'[2]Team lists'!$A$2:$L$800,9,FALSE)</f>
        <v>#N/A</v>
      </c>
      <c r="J1463" s="43" t="e">
        <f>VLOOKUP($A1463,'[2]Team lists'!$A$2:$L$800,9,FALSE)</f>
        <v>#N/A</v>
      </c>
      <c r="K1463" s="43" t="e">
        <f>VLOOKUP($A1463,'[2]Team lists'!$A$2:$L$800,10,FALSE)</f>
        <v>#N/A</v>
      </c>
      <c r="L1463" s="43" t="e">
        <f>VLOOKUP($A1463,'[2]Team lists'!$A$2:$L$800,11,FALSE)</f>
        <v>#N/A</v>
      </c>
    </row>
    <row r="1464" spans="2:13">
      <c r="B1464" s="43" t="e">
        <f>VLOOKUP($A1464,'[2]Team lists'!$A$2:$L$800,2,FALSE)</f>
        <v>#N/A</v>
      </c>
      <c r="C1464" s="43" t="e">
        <f>VLOOKUP($A1464,'[2]Team lists'!$A$2:$L$800,3,FALSE)</f>
        <v>#N/A</v>
      </c>
      <c r="D1464" s="43" t="e">
        <f>VLOOKUP($A1464,'[2]Team lists'!$A$2:$L$800,4,FALSE)</f>
        <v>#N/A</v>
      </c>
      <c r="E1464" s="43" t="e">
        <f>VLOOKUP($A1464,'[2]Team lists'!$A$2:$L$800,5,FALSE)</f>
        <v>#N/A</v>
      </c>
      <c r="F1464" s="43" t="e">
        <f>VLOOKUP($A1464,'[2]Team lists'!$A$2:$L$800,6,FALSE)</f>
        <v>#N/A</v>
      </c>
      <c r="G1464" s="43" t="e">
        <f>VLOOKUP($A1464,'[2]Team lists'!$A$2:$L$800,7,FALSE)</f>
        <v>#N/A</v>
      </c>
      <c r="H1464" s="43" t="e">
        <f>VLOOKUP($A1464,'[2]Team lists'!$A$2:$L$800,8,FALSE)</f>
        <v>#N/A</v>
      </c>
      <c r="I1464" s="43" t="e">
        <f>VLOOKUP($A1464,'[2]Team lists'!$A$2:$L$800,9,FALSE)</f>
        <v>#N/A</v>
      </c>
      <c r="J1464" s="43" t="e">
        <f>VLOOKUP($A1464,'[2]Team lists'!$A$2:$L$800,9,FALSE)</f>
        <v>#N/A</v>
      </c>
      <c r="K1464" s="43" t="e">
        <f>VLOOKUP($A1464,'[2]Team lists'!$A$2:$L$800,10,FALSE)</f>
        <v>#N/A</v>
      </c>
      <c r="L1464" s="43" t="e">
        <f>VLOOKUP($A1464,'[2]Team lists'!$A$2:$L$800,11,FALSE)</f>
        <v>#N/A</v>
      </c>
    </row>
    <row r="1465" spans="2:13">
      <c r="B1465" s="43" t="e">
        <f>VLOOKUP($A1465,'[2]Team lists'!$A$2:$L$800,2,FALSE)</f>
        <v>#N/A</v>
      </c>
      <c r="C1465" s="43" t="e">
        <f>VLOOKUP($A1465,'[2]Team lists'!$A$2:$L$800,3,FALSE)</f>
        <v>#N/A</v>
      </c>
      <c r="D1465" s="43" t="e">
        <f>VLOOKUP($A1465,'[2]Team lists'!$A$2:$L$800,4,FALSE)</f>
        <v>#N/A</v>
      </c>
      <c r="E1465" s="43" t="e">
        <f>VLOOKUP($A1465,'[2]Team lists'!$A$2:$L$800,5,FALSE)</f>
        <v>#N/A</v>
      </c>
      <c r="F1465" s="43" t="e">
        <f>VLOOKUP($A1465,'[2]Team lists'!$A$2:$L$800,6,FALSE)</f>
        <v>#N/A</v>
      </c>
      <c r="G1465" s="43" t="e">
        <f>VLOOKUP($A1465,'[2]Team lists'!$A$2:$L$800,7,FALSE)</f>
        <v>#N/A</v>
      </c>
      <c r="H1465" s="43" t="e">
        <f>VLOOKUP($A1465,'[2]Team lists'!$A$2:$L$800,8,FALSE)</f>
        <v>#N/A</v>
      </c>
      <c r="I1465" s="43" t="e">
        <f>VLOOKUP($A1465,'[2]Team lists'!$A$2:$L$800,9,FALSE)</f>
        <v>#N/A</v>
      </c>
      <c r="J1465" s="43" t="e">
        <f>VLOOKUP($A1465,'[2]Team lists'!$A$2:$L$800,9,FALSE)</f>
        <v>#N/A</v>
      </c>
      <c r="K1465" s="43" t="e">
        <f>VLOOKUP($A1465,'[2]Team lists'!$A$2:$L$800,10,FALSE)</f>
        <v>#N/A</v>
      </c>
      <c r="L1465" s="43" t="e">
        <f>VLOOKUP($A1465,'[2]Team lists'!$A$2:$L$800,11,FALSE)</f>
        <v>#N/A</v>
      </c>
    </row>
    <row r="1466" spans="2:13">
      <c r="B1466" s="43" t="e">
        <f>VLOOKUP($A1466,'[2]Team lists'!$A$2:$L$800,2,FALSE)</f>
        <v>#N/A</v>
      </c>
      <c r="C1466" s="43" t="e">
        <f>VLOOKUP($A1466,'[2]Team lists'!$A$2:$L$800,3,FALSE)</f>
        <v>#N/A</v>
      </c>
      <c r="D1466" s="43" t="e">
        <f>VLOOKUP($A1466,'[2]Team lists'!$A$2:$L$800,4,FALSE)</f>
        <v>#N/A</v>
      </c>
      <c r="E1466" s="43" t="e">
        <f>VLOOKUP($A1466,'[2]Team lists'!$A$2:$L$800,5,FALSE)</f>
        <v>#N/A</v>
      </c>
      <c r="F1466" s="43" t="e">
        <f>VLOOKUP($A1466,'[2]Team lists'!$A$2:$L$800,6,FALSE)</f>
        <v>#N/A</v>
      </c>
      <c r="G1466" s="43" t="e">
        <f>VLOOKUP($A1466,'[2]Team lists'!$A$2:$L$800,7,FALSE)</f>
        <v>#N/A</v>
      </c>
      <c r="H1466" s="43" t="e">
        <f>VLOOKUP($A1466,'[2]Team lists'!$A$2:$L$800,8,FALSE)</f>
        <v>#N/A</v>
      </c>
      <c r="I1466" s="43" t="e">
        <f>VLOOKUP($A1466,'[2]Team lists'!$A$2:$L$800,9,FALSE)</f>
        <v>#N/A</v>
      </c>
      <c r="J1466" s="43" t="e">
        <f>VLOOKUP($A1466,'[2]Team lists'!$A$2:$L$800,9,FALSE)</f>
        <v>#N/A</v>
      </c>
      <c r="K1466" s="43" t="e">
        <f>VLOOKUP($A1466,'[2]Team lists'!$A$2:$L$800,10,FALSE)</f>
        <v>#N/A</v>
      </c>
      <c r="L1466" s="43" t="e">
        <f>VLOOKUP($A1466,'[2]Team lists'!$A$2:$L$800,11,FALSE)</f>
        <v>#N/A</v>
      </c>
    </row>
    <row r="1467" spans="2:13">
      <c r="B1467" s="43" t="e">
        <f>VLOOKUP($A1467,'[2]Team lists'!$A$2:$L$800,2,FALSE)</f>
        <v>#N/A</v>
      </c>
      <c r="C1467" s="43" t="e">
        <f>VLOOKUP($A1467,'[2]Team lists'!$A$2:$L$800,3,FALSE)</f>
        <v>#N/A</v>
      </c>
      <c r="D1467" s="43" t="e">
        <f>VLOOKUP($A1467,'[2]Team lists'!$A$2:$L$800,4,FALSE)</f>
        <v>#N/A</v>
      </c>
      <c r="E1467" s="43" t="e">
        <f>VLOOKUP($A1467,'[2]Team lists'!$A$2:$L$800,5,FALSE)</f>
        <v>#N/A</v>
      </c>
      <c r="F1467" s="43" t="e">
        <f>VLOOKUP($A1467,'[2]Team lists'!$A$2:$L$800,6,FALSE)</f>
        <v>#N/A</v>
      </c>
      <c r="G1467" s="43" t="e">
        <f>VLOOKUP($A1467,'[2]Team lists'!$A$2:$L$800,7,FALSE)</f>
        <v>#N/A</v>
      </c>
      <c r="H1467" s="43" t="e">
        <f>VLOOKUP($A1467,'[2]Team lists'!$A$2:$L$800,8,FALSE)</f>
        <v>#N/A</v>
      </c>
      <c r="I1467" s="43" t="e">
        <f>VLOOKUP($A1467,'[2]Team lists'!$A$2:$L$800,9,FALSE)</f>
        <v>#N/A</v>
      </c>
      <c r="J1467" s="43" t="e">
        <f>VLOOKUP($A1467,'[2]Team lists'!$A$2:$L$800,9,FALSE)</f>
        <v>#N/A</v>
      </c>
      <c r="K1467" s="43" t="e">
        <f>VLOOKUP($A1467,'[2]Team lists'!$A$2:$L$800,10,FALSE)</f>
        <v>#N/A</v>
      </c>
      <c r="L1467" s="43" t="e">
        <f>VLOOKUP($A1467,'[2]Team lists'!$A$2:$L$800,11,FALSE)</f>
        <v>#N/A</v>
      </c>
    </row>
    <row r="1468" spans="2:13">
      <c r="B1468" s="43" t="e">
        <f>VLOOKUP($A1468,'[2]Team lists'!$A$2:$L$800,2,FALSE)</f>
        <v>#N/A</v>
      </c>
      <c r="C1468" s="43" t="e">
        <f>VLOOKUP($A1468,'[2]Team lists'!$A$2:$L$800,3,FALSE)</f>
        <v>#N/A</v>
      </c>
      <c r="D1468" s="43" t="e">
        <f>VLOOKUP($A1468,'[2]Team lists'!$A$2:$L$800,4,FALSE)</f>
        <v>#N/A</v>
      </c>
      <c r="E1468" s="43" t="e">
        <f>VLOOKUP($A1468,'[2]Team lists'!$A$2:$L$800,5,FALSE)</f>
        <v>#N/A</v>
      </c>
      <c r="F1468" s="43" t="e">
        <f>VLOOKUP($A1468,'[2]Team lists'!$A$2:$L$800,6,FALSE)</f>
        <v>#N/A</v>
      </c>
      <c r="G1468" s="43" t="e">
        <f>VLOOKUP($A1468,'[2]Team lists'!$A$2:$L$800,7,FALSE)</f>
        <v>#N/A</v>
      </c>
      <c r="H1468" s="43" t="e">
        <f>VLOOKUP($A1468,'[2]Team lists'!$A$2:$L$800,8,FALSE)</f>
        <v>#N/A</v>
      </c>
      <c r="I1468" s="43" t="e">
        <f>VLOOKUP($A1468,'[2]Team lists'!$A$2:$L$800,9,FALSE)</f>
        <v>#N/A</v>
      </c>
      <c r="J1468" s="43" t="e">
        <f>VLOOKUP($A1468,'[2]Team lists'!$A$2:$L$800,9,FALSE)</f>
        <v>#N/A</v>
      </c>
      <c r="K1468" s="43" t="e">
        <f>VLOOKUP($A1468,'[2]Team lists'!$A$2:$L$800,10,FALSE)</f>
        <v>#N/A</v>
      </c>
      <c r="L1468" s="43" t="e">
        <f>VLOOKUP($A1468,'[2]Team lists'!$A$2:$L$800,11,FALSE)</f>
        <v>#N/A</v>
      </c>
    </row>
    <row r="1469" spans="2:13">
      <c r="B1469" s="43" t="e">
        <f>VLOOKUP($A1469,'[2]Team lists'!$A$2:$L$800,2,FALSE)</f>
        <v>#N/A</v>
      </c>
      <c r="C1469" s="43" t="e">
        <f>VLOOKUP($A1469,'[2]Team lists'!$A$2:$L$800,3,FALSE)</f>
        <v>#N/A</v>
      </c>
      <c r="D1469" s="43" t="e">
        <f>VLOOKUP($A1469,'[2]Team lists'!$A$2:$L$800,4,FALSE)</f>
        <v>#N/A</v>
      </c>
      <c r="E1469" s="43" t="e">
        <f>VLOOKUP($A1469,'[2]Team lists'!$A$2:$L$800,5,FALSE)</f>
        <v>#N/A</v>
      </c>
      <c r="F1469" s="43" t="e">
        <f>VLOOKUP($A1469,'[2]Team lists'!$A$2:$L$800,6,FALSE)</f>
        <v>#N/A</v>
      </c>
      <c r="G1469" s="43" t="e">
        <f>VLOOKUP($A1469,'[2]Team lists'!$A$2:$L$800,7,FALSE)</f>
        <v>#N/A</v>
      </c>
      <c r="H1469" s="43" t="e">
        <f>VLOOKUP($A1469,'[2]Team lists'!$A$2:$L$800,8,FALSE)</f>
        <v>#N/A</v>
      </c>
      <c r="I1469" s="43" t="e">
        <f>VLOOKUP($A1469,'[2]Team lists'!$A$2:$L$800,9,FALSE)</f>
        <v>#N/A</v>
      </c>
      <c r="J1469" s="43" t="e">
        <f>VLOOKUP($A1469,'[2]Team lists'!$A$2:$L$800,9,FALSE)</f>
        <v>#N/A</v>
      </c>
      <c r="K1469" s="43" t="e">
        <f>VLOOKUP($A1469,'[2]Team lists'!$A$2:$L$800,10,FALSE)</f>
        <v>#N/A</v>
      </c>
      <c r="L1469" s="43" t="e">
        <f>VLOOKUP($A1469,'[2]Team lists'!$A$2:$L$800,11,FALSE)</f>
        <v>#N/A</v>
      </c>
    </row>
    <row r="1470" spans="2:13">
      <c r="B1470" s="43" t="e">
        <f>VLOOKUP($A1470,'[2]Team lists'!$A$2:$L$800,2,FALSE)</f>
        <v>#N/A</v>
      </c>
      <c r="C1470" s="43" t="e">
        <f>VLOOKUP($A1470,'[2]Team lists'!$A$2:$L$800,3,FALSE)</f>
        <v>#N/A</v>
      </c>
      <c r="D1470" s="43" t="e">
        <f>VLOOKUP($A1470,'[2]Team lists'!$A$2:$L$800,4,FALSE)</f>
        <v>#N/A</v>
      </c>
      <c r="E1470" s="43" t="e">
        <f>VLOOKUP($A1470,'[2]Team lists'!$A$2:$L$800,5,FALSE)</f>
        <v>#N/A</v>
      </c>
      <c r="F1470" s="43" t="e">
        <f>VLOOKUP($A1470,'[2]Team lists'!$A$2:$L$800,6,FALSE)</f>
        <v>#N/A</v>
      </c>
      <c r="G1470" s="43" t="e">
        <f>VLOOKUP($A1470,'[2]Team lists'!$A$2:$L$800,7,FALSE)</f>
        <v>#N/A</v>
      </c>
      <c r="H1470" s="43" t="e">
        <f>VLOOKUP($A1470,'[2]Team lists'!$A$2:$L$800,8,FALSE)</f>
        <v>#N/A</v>
      </c>
      <c r="I1470" s="43" t="e">
        <f>VLOOKUP($A1470,'[2]Team lists'!$A$2:$L$800,9,FALSE)</f>
        <v>#N/A</v>
      </c>
      <c r="J1470" s="43" t="e">
        <f>VLOOKUP($A1470,'[2]Team lists'!$A$2:$L$800,9,FALSE)</f>
        <v>#N/A</v>
      </c>
      <c r="K1470" s="43" t="e">
        <f>VLOOKUP($A1470,'[2]Team lists'!$A$2:$L$800,10,FALSE)</f>
        <v>#N/A</v>
      </c>
      <c r="L1470" s="43" t="e">
        <f>VLOOKUP($A1470,'[2]Team lists'!$A$2:$L$800,11,FALSE)</f>
        <v>#N/A</v>
      </c>
    </row>
    <row r="1471" spans="2:13" ht="18" thickBot="1">
      <c r="B1471" s="45" t="s">
        <v>3210</v>
      </c>
      <c r="C1471" s="46"/>
      <c r="D1471" s="47"/>
      <c r="E1471" s="48" t="e">
        <f t="shared" ref="E1471:L1471" si="91">SUM(E1460:E1470)</f>
        <v>#N/A</v>
      </c>
      <c r="F1471" s="49" t="e">
        <f t="shared" si="91"/>
        <v>#N/A</v>
      </c>
      <c r="G1471" s="49" t="e">
        <f t="shared" si="91"/>
        <v>#N/A</v>
      </c>
      <c r="H1471" s="49" t="e">
        <f t="shared" si="91"/>
        <v>#N/A</v>
      </c>
      <c r="I1471" s="49" t="e">
        <f t="shared" si="91"/>
        <v>#N/A</v>
      </c>
      <c r="J1471" s="49" t="e">
        <f t="shared" si="91"/>
        <v>#N/A</v>
      </c>
      <c r="K1471" s="49" t="e">
        <f t="shared" si="91"/>
        <v>#N/A</v>
      </c>
      <c r="L1471" s="50" t="e">
        <f t="shared" si="91"/>
        <v>#N/A</v>
      </c>
    </row>
    <row r="1472" spans="2:13" ht="18.600000000000001" thickTop="1" thickBot="1"/>
    <row r="1473" spans="2:13" ht="18" thickTop="1">
      <c r="B1473" s="23" t="s">
        <v>3204</v>
      </c>
      <c r="C1473" s="24" t="s">
        <v>3205</v>
      </c>
      <c r="D1473" s="25"/>
      <c r="E1473" s="25"/>
      <c r="F1473" s="53"/>
      <c r="G1473" s="28" t="s">
        <v>3206</v>
      </c>
      <c r="H1473" s="54"/>
      <c r="I1473" s="54"/>
      <c r="J1473" s="54"/>
      <c r="K1473" s="28" t="s">
        <v>3207</v>
      </c>
      <c r="L1473" s="29"/>
      <c r="M1473" s="22" t="str">
        <f>G1473</f>
        <v>Manager:</v>
      </c>
    </row>
    <row r="1474" spans="2:13" ht="18" thickBot="1">
      <c r="B1474" s="30">
        <v>93</v>
      </c>
      <c r="C1474" s="57"/>
      <c r="D1474" s="31"/>
      <c r="E1474" s="31"/>
      <c r="F1474" s="33"/>
      <c r="G1474" s="55"/>
      <c r="H1474" s="55"/>
      <c r="I1474" s="55"/>
      <c r="J1474" s="55"/>
      <c r="K1474" s="34" t="e">
        <f>SUM(F1487:L1487)</f>
        <v>#N/A</v>
      </c>
      <c r="L1474" s="35"/>
      <c r="M1474" s="22">
        <f>G1474</f>
        <v>0</v>
      </c>
    </row>
    <row r="1475" spans="2:13" ht="18.600000000000001" thickTop="1">
      <c r="B1475" s="58" t="s">
        <v>913</v>
      </c>
      <c r="C1475" s="59" t="s">
        <v>912</v>
      </c>
      <c r="D1475" s="60" t="s">
        <v>911</v>
      </c>
      <c r="E1475" s="61" t="s">
        <v>3209</v>
      </c>
      <c r="F1475" s="62" t="s">
        <v>3162</v>
      </c>
      <c r="G1475" s="62" t="s">
        <v>3163</v>
      </c>
      <c r="H1475" s="62" t="s">
        <v>3164</v>
      </c>
      <c r="I1475" s="62" t="s">
        <v>3165</v>
      </c>
      <c r="J1475" s="62" t="s">
        <v>3166</v>
      </c>
      <c r="K1475" s="62" t="s">
        <v>3167</v>
      </c>
      <c r="L1475" s="63" t="s">
        <v>3168</v>
      </c>
    </row>
    <row r="1476" spans="2:13">
      <c r="B1476" s="43" t="e">
        <f>VLOOKUP($A1476,'[2]Team lists'!$A$2:$L$800,2,FALSE)</f>
        <v>#N/A</v>
      </c>
      <c r="C1476" s="43" t="e">
        <f>VLOOKUP($A1476,'[2]Team lists'!$A$2:$L$800,3,FALSE)</f>
        <v>#N/A</v>
      </c>
      <c r="D1476" s="43" t="e">
        <f>VLOOKUP($A1476,'[2]Team lists'!$A$2:$L$800,4,FALSE)</f>
        <v>#N/A</v>
      </c>
      <c r="E1476" s="43" t="e">
        <f>VLOOKUP($A1476,'[2]Team lists'!$A$2:$L$800,5,FALSE)</f>
        <v>#N/A</v>
      </c>
      <c r="F1476" s="43" t="e">
        <f>VLOOKUP($A1476,'[2]Team lists'!$A$2:$L$800,6,FALSE)</f>
        <v>#N/A</v>
      </c>
      <c r="G1476" s="43" t="e">
        <f>VLOOKUP($A1476,'[2]Team lists'!$A$2:$L$800,7,FALSE)</f>
        <v>#N/A</v>
      </c>
      <c r="H1476" s="43" t="e">
        <f>VLOOKUP($A1476,'[2]Team lists'!$A$2:$L$800,8,FALSE)</f>
        <v>#N/A</v>
      </c>
      <c r="I1476" s="43" t="e">
        <f>VLOOKUP($A1476,'[2]Team lists'!$A$2:$L$800,9,FALSE)</f>
        <v>#N/A</v>
      </c>
      <c r="J1476" s="43" t="e">
        <f>VLOOKUP($A1476,'[2]Team lists'!$A$2:$L$800,9,FALSE)</f>
        <v>#N/A</v>
      </c>
      <c r="K1476" s="43" t="e">
        <f>VLOOKUP($A1476,'[2]Team lists'!$A$2:$L$800,10,FALSE)</f>
        <v>#N/A</v>
      </c>
      <c r="L1476" s="43" t="e">
        <f>VLOOKUP($A1476,'[2]Team lists'!$A$2:$L$800,11,FALSE)</f>
        <v>#N/A</v>
      </c>
    </row>
    <row r="1477" spans="2:13">
      <c r="B1477" s="43" t="e">
        <f>VLOOKUP($A1477,'[2]Team lists'!$A$2:$L$800,2,FALSE)</f>
        <v>#N/A</v>
      </c>
      <c r="C1477" s="43" t="e">
        <f>VLOOKUP($A1477,'[2]Team lists'!$A$2:$L$800,3,FALSE)</f>
        <v>#N/A</v>
      </c>
      <c r="D1477" s="43" t="e">
        <f>VLOOKUP($A1477,'[2]Team lists'!$A$2:$L$800,4,FALSE)</f>
        <v>#N/A</v>
      </c>
      <c r="E1477" s="43" t="e">
        <f>VLOOKUP($A1477,'[2]Team lists'!$A$2:$L$800,5,FALSE)</f>
        <v>#N/A</v>
      </c>
      <c r="F1477" s="43" t="e">
        <f>VLOOKUP($A1477,'[2]Team lists'!$A$2:$L$800,6,FALSE)</f>
        <v>#N/A</v>
      </c>
      <c r="G1477" s="43" t="e">
        <f>VLOOKUP($A1477,'[2]Team lists'!$A$2:$L$800,7,FALSE)</f>
        <v>#N/A</v>
      </c>
      <c r="H1477" s="43" t="e">
        <f>VLOOKUP($A1477,'[2]Team lists'!$A$2:$L$800,8,FALSE)</f>
        <v>#N/A</v>
      </c>
      <c r="I1477" s="43" t="e">
        <f>VLOOKUP($A1477,'[2]Team lists'!$A$2:$L$800,9,FALSE)</f>
        <v>#N/A</v>
      </c>
      <c r="J1477" s="43" t="e">
        <f>VLOOKUP($A1477,'[2]Team lists'!$A$2:$L$800,9,FALSE)</f>
        <v>#N/A</v>
      </c>
      <c r="K1477" s="43" t="e">
        <f>VLOOKUP($A1477,'[2]Team lists'!$A$2:$L$800,10,FALSE)</f>
        <v>#N/A</v>
      </c>
      <c r="L1477" s="43" t="e">
        <f>VLOOKUP($A1477,'[2]Team lists'!$A$2:$L$800,11,FALSE)</f>
        <v>#N/A</v>
      </c>
    </row>
    <row r="1478" spans="2:13">
      <c r="B1478" s="43" t="e">
        <f>VLOOKUP($A1478,'[2]Team lists'!$A$2:$L$800,2,FALSE)</f>
        <v>#N/A</v>
      </c>
      <c r="C1478" s="43" t="e">
        <f>VLOOKUP($A1478,'[2]Team lists'!$A$2:$L$800,3,FALSE)</f>
        <v>#N/A</v>
      </c>
      <c r="D1478" s="43" t="e">
        <f>VLOOKUP($A1478,'[2]Team lists'!$A$2:$L$800,4,FALSE)</f>
        <v>#N/A</v>
      </c>
      <c r="E1478" s="43" t="e">
        <f>VLOOKUP($A1478,'[2]Team lists'!$A$2:$L$800,5,FALSE)</f>
        <v>#N/A</v>
      </c>
      <c r="F1478" s="43" t="e">
        <f>VLOOKUP($A1478,'[2]Team lists'!$A$2:$L$800,6,FALSE)</f>
        <v>#N/A</v>
      </c>
      <c r="G1478" s="43" t="e">
        <f>VLOOKUP($A1478,'[2]Team lists'!$A$2:$L$800,7,FALSE)</f>
        <v>#N/A</v>
      </c>
      <c r="H1478" s="43" t="e">
        <f>VLOOKUP($A1478,'[2]Team lists'!$A$2:$L$800,8,FALSE)</f>
        <v>#N/A</v>
      </c>
      <c r="I1478" s="43" t="e">
        <f>VLOOKUP($A1478,'[2]Team lists'!$A$2:$L$800,9,FALSE)</f>
        <v>#N/A</v>
      </c>
      <c r="J1478" s="43" t="e">
        <f>VLOOKUP($A1478,'[2]Team lists'!$A$2:$L$800,9,FALSE)</f>
        <v>#N/A</v>
      </c>
      <c r="K1478" s="43" t="e">
        <f>VLOOKUP($A1478,'[2]Team lists'!$A$2:$L$800,10,FALSE)</f>
        <v>#N/A</v>
      </c>
      <c r="L1478" s="43" t="e">
        <f>VLOOKUP($A1478,'[2]Team lists'!$A$2:$L$800,11,FALSE)</f>
        <v>#N/A</v>
      </c>
    </row>
    <row r="1479" spans="2:13">
      <c r="B1479" s="43" t="e">
        <f>VLOOKUP($A1479,'[2]Team lists'!$A$2:$L$800,2,FALSE)</f>
        <v>#N/A</v>
      </c>
      <c r="C1479" s="43" t="e">
        <f>VLOOKUP($A1479,'[2]Team lists'!$A$2:$L$800,3,FALSE)</f>
        <v>#N/A</v>
      </c>
      <c r="D1479" s="43" t="e">
        <f>VLOOKUP($A1479,'[2]Team lists'!$A$2:$L$800,4,FALSE)</f>
        <v>#N/A</v>
      </c>
      <c r="E1479" s="43" t="e">
        <f>VLOOKUP($A1479,'[2]Team lists'!$A$2:$L$800,5,FALSE)</f>
        <v>#N/A</v>
      </c>
      <c r="F1479" s="43" t="e">
        <f>VLOOKUP($A1479,'[2]Team lists'!$A$2:$L$800,6,FALSE)</f>
        <v>#N/A</v>
      </c>
      <c r="G1479" s="43" t="e">
        <f>VLOOKUP($A1479,'[2]Team lists'!$A$2:$L$800,7,FALSE)</f>
        <v>#N/A</v>
      </c>
      <c r="H1479" s="43" t="e">
        <f>VLOOKUP($A1479,'[2]Team lists'!$A$2:$L$800,8,FALSE)</f>
        <v>#N/A</v>
      </c>
      <c r="I1479" s="43" t="e">
        <f>VLOOKUP($A1479,'[2]Team lists'!$A$2:$L$800,9,FALSE)</f>
        <v>#N/A</v>
      </c>
      <c r="J1479" s="43" t="e">
        <f>VLOOKUP($A1479,'[2]Team lists'!$A$2:$L$800,9,FALSE)</f>
        <v>#N/A</v>
      </c>
      <c r="K1479" s="43" t="e">
        <f>VLOOKUP($A1479,'[2]Team lists'!$A$2:$L$800,10,FALSE)</f>
        <v>#N/A</v>
      </c>
      <c r="L1479" s="43" t="e">
        <f>VLOOKUP($A1479,'[2]Team lists'!$A$2:$L$800,11,FALSE)</f>
        <v>#N/A</v>
      </c>
    </row>
    <row r="1480" spans="2:13">
      <c r="B1480" s="43" t="e">
        <f>VLOOKUP($A1480,'[2]Team lists'!$A$2:$L$800,2,FALSE)</f>
        <v>#N/A</v>
      </c>
      <c r="C1480" s="43" t="e">
        <f>VLOOKUP($A1480,'[2]Team lists'!$A$2:$L$800,3,FALSE)</f>
        <v>#N/A</v>
      </c>
      <c r="D1480" s="43" t="e">
        <f>VLOOKUP($A1480,'[2]Team lists'!$A$2:$L$800,4,FALSE)</f>
        <v>#N/A</v>
      </c>
      <c r="E1480" s="43" t="e">
        <f>VLOOKUP($A1480,'[2]Team lists'!$A$2:$L$800,5,FALSE)</f>
        <v>#N/A</v>
      </c>
      <c r="F1480" s="43" t="e">
        <f>VLOOKUP($A1480,'[2]Team lists'!$A$2:$L$800,6,FALSE)</f>
        <v>#N/A</v>
      </c>
      <c r="G1480" s="43" t="e">
        <f>VLOOKUP($A1480,'[2]Team lists'!$A$2:$L$800,7,FALSE)</f>
        <v>#N/A</v>
      </c>
      <c r="H1480" s="43" t="e">
        <f>VLOOKUP($A1480,'[2]Team lists'!$A$2:$L$800,8,FALSE)</f>
        <v>#N/A</v>
      </c>
      <c r="I1480" s="43" t="e">
        <f>VLOOKUP($A1480,'[2]Team lists'!$A$2:$L$800,9,FALSE)</f>
        <v>#N/A</v>
      </c>
      <c r="J1480" s="43" t="e">
        <f>VLOOKUP($A1480,'[2]Team lists'!$A$2:$L$800,9,FALSE)</f>
        <v>#N/A</v>
      </c>
      <c r="K1480" s="43" t="e">
        <f>VLOOKUP($A1480,'[2]Team lists'!$A$2:$L$800,10,FALSE)</f>
        <v>#N/A</v>
      </c>
      <c r="L1480" s="43" t="e">
        <f>VLOOKUP($A1480,'[2]Team lists'!$A$2:$L$800,11,FALSE)</f>
        <v>#N/A</v>
      </c>
    </row>
    <row r="1481" spans="2:13">
      <c r="B1481" s="43" t="e">
        <f>VLOOKUP($A1481,'[2]Team lists'!$A$2:$L$800,2,FALSE)</f>
        <v>#N/A</v>
      </c>
      <c r="C1481" s="43" t="e">
        <f>VLOOKUP($A1481,'[2]Team lists'!$A$2:$L$800,3,FALSE)</f>
        <v>#N/A</v>
      </c>
      <c r="D1481" s="43" t="e">
        <f>VLOOKUP($A1481,'[2]Team lists'!$A$2:$L$800,4,FALSE)</f>
        <v>#N/A</v>
      </c>
      <c r="E1481" s="43" t="e">
        <f>VLOOKUP($A1481,'[2]Team lists'!$A$2:$L$800,5,FALSE)</f>
        <v>#N/A</v>
      </c>
      <c r="F1481" s="43" t="e">
        <f>VLOOKUP($A1481,'[2]Team lists'!$A$2:$L$800,6,FALSE)</f>
        <v>#N/A</v>
      </c>
      <c r="G1481" s="43" t="e">
        <f>VLOOKUP($A1481,'[2]Team lists'!$A$2:$L$800,7,FALSE)</f>
        <v>#N/A</v>
      </c>
      <c r="H1481" s="43" t="e">
        <f>VLOOKUP($A1481,'[2]Team lists'!$A$2:$L$800,8,FALSE)</f>
        <v>#N/A</v>
      </c>
      <c r="I1481" s="43" t="e">
        <f>VLOOKUP($A1481,'[2]Team lists'!$A$2:$L$800,9,FALSE)</f>
        <v>#N/A</v>
      </c>
      <c r="J1481" s="43" t="e">
        <f>VLOOKUP($A1481,'[2]Team lists'!$A$2:$L$800,9,FALSE)</f>
        <v>#N/A</v>
      </c>
      <c r="K1481" s="43" t="e">
        <f>VLOOKUP($A1481,'[2]Team lists'!$A$2:$L$800,10,FALSE)</f>
        <v>#N/A</v>
      </c>
      <c r="L1481" s="43" t="e">
        <f>VLOOKUP($A1481,'[2]Team lists'!$A$2:$L$800,11,FALSE)</f>
        <v>#N/A</v>
      </c>
    </row>
    <row r="1482" spans="2:13">
      <c r="B1482" s="43" t="e">
        <f>VLOOKUP($A1482,'[2]Team lists'!$A$2:$L$800,2,FALSE)</f>
        <v>#N/A</v>
      </c>
      <c r="C1482" s="43" t="e">
        <f>VLOOKUP($A1482,'[2]Team lists'!$A$2:$L$800,3,FALSE)</f>
        <v>#N/A</v>
      </c>
      <c r="D1482" s="43" t="e">
        <f>VLOOKUP($A1482,'[2]Team lists'!$A$2:$L$800,4,FALSE)</f>
        <v>#N/A</v>
      </c>
      <c r="E1482" s="43" t="e">
        <f>VLOOKUP($A1482,'[2]Team lists'!$A$2:$L$800,5,FALSE)</f>
        <v>#N/A</v>
      </c>
      <c r="F1482" s="43" t="e">
        <f>VLOOKUP($A1482,'[2]Team lists'!$A$2:$L$800,6,FALSE)</f>
        <v>#N/A</v>
      </c>
      <c r="G1482" s="43" t="e">
        <f>VLOOKUP($A1482,'[2]Team lists'!$A$2:$L$800,7,FALSE)</f>
        <v>#N/A</v>
      </c>
      <c r="H1482" s="43" t="e">
        <f>VLOOKUP($A1482,'[2]Team lists'!$A$2:$L$800,8,FALSE)</f>
        <v>#N/A</v>
      </c>
      <c r="I1482" s="43" t="e">
        <f>VLOOKUP($A1482,'[2]Team lists'!$A$2:$L$800,9,FALSE)</f>
        <v>#N/A</v>
      </c>
      <c r="J1482" s="43" t="e">
        <f>VLOOKUP($A1482,'[2]Team lists'!$A$2:$L$800,9,FALSE)</f>
        <v>#N/A</v>
      </c>
      <c r="K1482" s="43" t="e">
        <f>VLOOKUP($A1482,'[2]Team lists'!$A$2:$L$800,10,FALSE)</f>
        <v>#N/A</v>
      </c>
      <c r="L1482" s="43" t="e">
        <f>VLOOKUP($A1482,'[2]Team lists'!$A$2:$L$800,11,FALSE)</f>
        <v>#N/A</v>
      </c>
    </row>
    <row r="1483" spans="2:13">
      <c r="B1483" s="43" t="e">
        <f>VLOOKUP($A1483,'[2]Team lists'!$A$2:$L$800,2,FALSE)</f>
        <v>#N/A</v>
      </c>
      <c r="C1483" s="43" t="e">
        <f>VLOOKUP($A1483,'[2]Team lists'!$A$2:$L$800,3,FALSE)</f>
        <v>#N/A</v>
      </c>
      <c r="D1483" s="43" t="e">
        <f>VLOOKUP($A1483,'[2]Team lists'!$A$2:$L$800,4,FALSE)</f>
        <v>#N/A</v>
      </c>
      <c r="E1483" s="43" t="e">
        <f>VLOOKUP($A1483,'[2]Team lists'!$A$2:$L$800,5,FALSE)</f>
        <v>#N/A</v>
      </c>
      <c r="F1483" s="43" t="e">
        <f>VLOOKUP($A1483,'[2]Team lists'!$A$2:$L$800,6,FALSE)</f>
        <v>#N/A</v>
      </c>
      <c r="G1483" s="43" t="e">
        <f>VLOOKUP($A1483,'[2]Team lists'!$A$2:$L$800,7,FALSE)</f>
        <v>#N/A</v>
      </c>
      <c r="H1483" s="43" t="e">
        <f>VLOOKUP($A1483,'[2]Team lists'!$A$2:$L$800,8,FALSE)</f>
        <v>#N/A</v>
      </c>
      <c r="I1483" s="43" t="e">
        <f>VLOOKUP($A1483,'[2]Team lists'!$A$2:$L$800,9,FALSE)</f>
        <v>#N/A</v>
      </c>
      <c r="J1483" s="43" t="e">
        <f>VLOOKUP($A1483,'[2]Team lists'!$A$2:$L$800,9,FALSE)</f>
        <v>#N/A</v>
      </c>
      <c r="K1483" s="43" t="e">
        <f>VLOOKUP($A1483,'[2]Team lists'!$A$2:$L$800,10,FALSE)</f>
        <v>#N/A</v>
      </c>
      <c r="L1483" s="43" t="e">
        <f>VLOOKUP($A1483,'[2]Team lists'!$A$2:$L$800,11,FALSE)</f>
        <v>#N/A</v>
      </c>
    </row>
    <row r="1484" spans="2:13">
      <c r="B1484" s="43" t="e">
        <f>VLOOKUP($A1484,'[2]Team lists'!$A$2:$L$800,2,FALSE)</f>
        <v>#N/A</v>
      </c>
      <c r="C1484" s="43" t="e">
        <f>VLOOKUP($A1484,'[2]Team lists'!$A$2:$L$800,3,FALSE)</f>
        <v>#N/A</v>
      </c>
      <c r="D1484" s="43" t="e">
        <f>VLOOKUP($A1484,'[2]Team lists'!$A$2:$L$800,4,FALSE)</f>
        <v>#N/A</v>
      </c>
      <c r="E1484" s="43" t="e">
        <f>VLOOKUP($A1484,'[2]Team lists'!$A$2:$L$800,5,FALSE)</f>
        <v>#N/A</v>
      </c>
      <c r="F1484" s="43" t="e">
        <f>VLOOKUP($A1484,'[2]Team lists'!$A$2:$L$800,6,FALSE)</f>
        <v>#N/A</v>
      </c>
      <c r="G1484" s="43" t="e">
        <f>VLOOKUP($A1484,'[2]Team lists'!$A$2:$L$800,7,FALSE)</f>
        <v>#N/A</v>
      </c>
      <c r="H1484" s="43" t="e">
        <f>VLOOKUP($A1484,'[2]Team lists'!$A$2:$L$800,8,FALSE)</f>
        <v>#N/A</v>
      </c>
      <c r="I1484" s="43" t="e">
        <f>VLOOKUP($A1484,'[2]Team lists'!$A$2:$L$800,9,FALSE)</f>
        <v>#N/A</v>
      </c>
      <c r="J1484" s="43" t="e">
        <f>VLOOKUP($A1484,'[2]Team lists'!$A$2:$L$800,9,FALSE)</f>
        <v>#N/A</v>
      </c>
      <c r="K1484" s="43" t="e">
        <f>VLOOKUP($A1484,'[2]Team lists'!$A$2:$L$800,10,FALSE)</f>
        <v>#N/A</v>
      </c>
      <c r="L1484" s="43" t="e">
        <f>VLOOKUP($A1484,'[2]Team lists'!$A$2:$L$800,11,FALSE)</f>
        <v>#N/A</v>
      </c>
    </row>
    <row r="1485" spans="2:13">
      <c r="B1485" s="43" t="e">
        <f>VLOOKUP($A1485,'[2]Team lists'!$A$2:$L$800,2,FALSE)</f>
        <v>#N/A</v>
      </c>
      <c r="C1485" s="43" t="e">
        <f>VLOOKUP($A1485,'[2]Team lists'!$A$2:$L$800,3,FALSE)</f>
        <v>#N/A</v>
      </c>
      <c r="D1485" s="43" t="e">
        <f>VLOOKUP($A1485,'[2]Team lists'!$A$2:$L$800,4,FALSE)</f>
        <v>#N/A</v>
      </c>
      <c r="E1485" s="43" t="e">
        <f>VLOOKUP($A1485,'[2]Team lists'!$A$2:$L$800,5,FALSE)</f>
        <v>#N/A</v>
      </c>
      <c r="F1485" s="43" t="e">
        <f>VLOOKUP($A1485,'[2]Team lists'!$A$2:$L$800,6,FALSE)</f>
        <v>#N/A</v>
      </c>
      <c r="G1485" s="43" t="e">
        <f>VLOOKUP($A1485,'[2]Team lists'!$A$2:$L$800,7,FALSE)</f>
        <v>#N/A</v>
      </c>
      <c r="H1485" s="43" t="e">
        <f>VLOOKUP($A1485,'[2]Team lists'!$A$2:$L$800,8,FALSE)</f>
        <v>#N/A</v>
      </c>
      <c r="I1485" s="43" t="e">
        <f>VLOOKUP($A1485,'[2]Team lists'!$A$2:$L$800,9,FALSE)</f>
        <v>#N/A</v>
      </c>
      <c r="J1485" s="43" t="e">
        <f>VLOOKUP($A1485,'[2]Team lists'!$A$2:$L$800,9,FALSE)</f>
        <v>#N/A</v>
      </c>
      <c r="K1485" s="43" t="e">
        <f>VLOOKUP($A1485,'[2]Team lists'!$A$2:$L$800,10,FALSE)</f>
        <v>#N/A</v>
      </c>
      <c r="L1485" s="43" t="e">
        <f>VLOOKUP($A1485,'[2]Team lists'!$A$2:$L$800,11,FALSE)</f>
        <v>#N/A</v>
      </c>
    </row>
    <row r="1486" spans="2:13">
      <c r="B1486" s="43" t="e">
        <f>VLOOKUP($A1486,'[2]Team lists'!$A$2:$L$800,2,FALSE)</f>
        <v>#N/A</v>
      </c>
      <c r="C1486" s="43" t="e">
        <f>VLOOKUP($A1486,'[2]Team lists'!$A$2:$L$800,3,FALSE)</f>
        <v>#N/A</v>
      </c>
      <c r="D1486" s="43" t="e">
        <f>VLOOKUP($A1486,'[2]Team lists'!$A$2:$L$800,4,FALSE)</f>
        <v>#N/A</v>
      </c>
      <c r="E1486" s="43" t="e">
        <f>VLOOKUP($A1486,'[2]Team lists'!$A$2:$L$800,5,FALSE)</f>
        <v>#N/A</v>
      </c>
      <c r="F1486" s="43" t="e">
        <f>VLOOKUP($A1486,'[2]Team lists'!$A$2:$L$800,6,FALSE)</f>
        <v>#N/A</v>
      </c>
      <c r="G1486" s="43" t="e">
        <f>VLOOKUP($A1486,'[2]Team lists'!$A$2:$L$800,7,FALSE)</f>
        <v>#N/A</v>
      </c>
      <c r="H1486" s="43" t="e">
        <f>VLOOKUP($A1486,'[2]Team lists'!$A$2:$L$800,8,FALSE)</f>
        <v>#N/A</v>
      </c>
      <c r="I1486" s="43" t="e">
        <f>VLOOKUP($A1486,'[2]Team lists'!$A$2:$L$800,9,FALSE)</f>
        <v>#N/A</v>
      </c>
      <c r="J1486" s="43" t="e">
        <f>VLOOKUP($A1486,'[2]Team lists'!$A$2:$L$800,9,FALSE)</f>
        <v>#N/A</v>
      </c>
      <c r="K1486" s="43" t="e">
        <f>VLOOKUP($A1486,'[2]Team lists'!$A$2:$L$800,10,FALSE)</f>
        <v>#N/A</v>
      </c>
      <c r="L1486" s="43" t="e">
        <f>VLOOKUP($A1486,'[2]Team lists'!$A$2:$L$800,11,FALSE)</f>
        <v>#N/A</v>
      </c>
    </row>
    <row r="1487" spans="2:13" ht="18" thickBot="1">
      <c r="B1487" s="45" t="s">
        <v>3210</v>
      </c>
      <c r="C1487" s="46"/>
      <c r="D1487" s="47"/>
      <c r="E1487" s="48" t="e">
        <f t="shared" ref="E1487:L1487" si="92">SUM(E1476:E1486)</f>
        <v>#N/A</v>
      </c>
      <c r="F1487" s="49" t="e">
        <f t="shared" si="92"/>
        <v>#N/A</v>
      </c>
      <c r="G1487" s="49" t="e">
        <f t="shared" si="92"/>
        <v>#N/A</v>
      </c>
      <c r="H1487" s="49" t="e">
        <f t="shared" si="92"/>
        <v>#N/A</v>
      </c>
      <c r="I1487" s="49" t="e">
        <f t="shared" si="92"/>
        <v>#N/A</v>
      </c>
      <c r="J1487" s="49" t="e">
        <f t="shared" si="92"/>
        <v>#N/A</v>
      </c>
      <c r="K1487" s="49" t="e">
        <f t="shared" si="92"/>
        <v>#N/A</v>
      </c>
      <c r="L1487" s="50" t="e">
        <f t="shared" si="92"/>
        <v>#N/A</v>
      </c>
    </row>
    <row r="1488" spans="2:13" ht="18.600000000000001" thickTop="1" thickBot="1"/>
    <row r="1489" spans="2:13" ht="18" thickTop="1">
      <c r="B1489" s="23" t="s">
        <v>3204</v>
      </c>
      <c r="C1489" s="24" t="s">
        <v>3205</v>
      </c>
      <c r="D1489" s="25"/>
      <c r="E1489" s="25"/>
      <c r="F1489" s="53"/>
      <c r="G1489" s="28" t="s">
        <v>3206</v>
      </c>
      <c r="H1489" s="54"/>
      <c r="I1489" s="54"/>
      <c r="J1489" s="54"/>
      <c r="K1489" s="28" t="s">
        <v>3207</v>
      </c>
      <c r="L1489" s="29"/>
      <c r="M1489" s="22" t="str">
        <f>G1489</f>
        <v>Manager:</v>
      </c>
    </row>
    <row r="1490" spans="2:13" ht="18" thickBot="1">
      <c r="B1490" s="30">
        <v>94</v>
      </c>
      <c r="C1490" s="57"/>
      <c r="D1490" s="31"/>
      <c r="E1490" s="31"/>
      <c r="F1490" s="33"/>
      <c r="G1490" s="55"/>
      <c r="H1490" s="55"/>
      <c r="I1490" s="55"/>
      <c r="J1490" s="55"/>
      <c r="K1490" s="34" t="e">
        <f>SUM(F1503:L1503)</f>
        <v>#N/A</v>
      </c>
      <c r="L1490" s="35"/>
      <c r="M1490" s="22">
        <f>G1490</f>
        <v>0</v>
      </c>
    </row>
    <row r="1491" spans="2:13" ht="18.600000000000001" thickTop="1">
      <c r="B1491" s="58" t="s">
        <v>913</v>
      </c>
      <c r="C1491" s="59" t="s">
        <v>912</v>
      </c>
      <c r="D1491" s="60" t="s">
        <v>911</v>
      </c>
      <c r="E1491" s="61" t="s">
        <v>3209</v>
      </c>
      <c r="F1491" s="62" t="s">
        <v>3162</v>
      </c>
      <c r="G1491" s="62" t="s">
        <v>3163</v>
      </c>
      <c r="H1491" s="62" t="s">
        <v>3164</v>
      </c>
      <c r="I1491" s="62" t="s">
        <v>3165</v>
      </c>
      <c r="J1491" s="62" t="s">
        <v>3166</v>
      </c>
      <c r="K1491" s="62" t="s">
        <v>3167</v>
      </c>
      <c r="L1491" s="63" t="s">
        <v>3168</v>
      </c>
    </row>
    <row r="1492" spans="2:13">
      <c r="B1492" s="43" t="e">
        <f>VLOOKUP($A1492,'[2]Team lists'!$A$2:$L$800,2,FALSE)</f>
        <v>#N/A</v>
      </c>
      <c r="C1492" s="43" t="e">
        <f>VLOOKUP($A1492,'[2]Team lists'!$A$2:$L$800,3,FALSE)</f>
        <v>#N/A</v>
      </c>
      <c r="D1492" s="43" t="e">
        <f>VLOOKUP($A1492,'[2]Team lists'!$A$2:$L$800,4,FALSE)</f>
        <v>#N/A</v>
      </c>
      <c r="E1492" s="43" t="e">
        <f>VLOOKUP($A1492,'[2]Team lists'!$A$2:$L$800,5,FALSE)</f>
        <v>#N/A</v>
      </c>
      <c r="F1492" s="43" t="e">
        <f>VLOOKUP($A1492,'[2]Team lists'!$A$2:$L$800,6,FALSE)</f>
        <v>#N/A</v>
      </c>
      <c r="G1492" s="43" t="e">
        <f>VLOOKUP($A1492,'[2]Team lists'!$A$2:$L$800,7,FALSE)</f>
        <v>#N/A</v>
      </c>
      <c r="H1492" s="43" t="e">
        <f>VLOOKUP($A1492,'[2]Team lists'!$A$2:$L$800,8,FALSE)</f>
        <v>#N/A</v>
      </c>
      <c r="I1492" s="43" t="e">
        <f>VLOOKUP($A1492,'[2]Team lists'!$A$2:$L$800,9,FALSE)</f>
        <v>#N/A</v>
      </c>
      <c r="J1492" s="43" t="e">
        <f>VLOOKUP($A1492,'[2]Team lists'!$A$2:$L$800,9,FALSE)</f>
        <v>#N/A</v>
      </c>
      <c r="K1492" s="43" t="e">
        <f>VLOOKUP($A1492,'[2]Team lists'!$A$2:$L$800,10,FALSE)</f>
        <v>#N/A</v>
      </c>
      <c r="L1492" s="43" t="e">
        <f>VLOOKUP($A1492,'[2]Team lists'!$A$2:$L$800,11,FALSE)</f>
        <v>#N/A</v>
      </c>
    </row>
    <row r="1493" spans="2:13">
      <c r="B1493" s="43" t="e">
        <f>VLOOKUP($A1493,'[2]Team lists'!$A$2:$L$800,2,FALSE)</f>
        <v>#N/A</v>
      </c>
      <c r="C1493" s="43" t="e">
        <f>VLOOKUP($A1493,'[2]Team lists'!$A$2:$L$800,3,FALSE)</f>
        <v>#N/A</v>
      </c>
      <c r="D1493" s="43" t="e">
        <f>VLOOKUP($A1493,'[2]Team lists'!$A$2:$L$800,4,FALSE)</f>
        <v>#N/A</v>
      </c>
      <c r="E1493" s="43" t="e">
        <f>VLOOKUP($A1493,'[2]Team lists'!$A$2:$L$800,5,FALSE)</f>
        <v>#N/A</v>
      </c>
      <c r="F1493" s="43" t="e">
        <f>VLOOKUP($A1493,'[2]Team lists'!$A$2:$L$800,6,FALSE)</f>
        <v>#N/A</v>
      </c>
      <c r="G1493" s="43" t="e">
        <f>VLOOKUP($A1493,'[2]Team lists'!$A$2:$L$800,7,FALSE)</f>
        <v>#N/A</v>
      </c>
      <c r="H1493" s="43" t="e">
        <f>VLOOKUP($A1493,'[2]Team lists'!$A$2:$L$800,8,FALSE)</f>
        <v>#N/A</v>
      </c>
      <c r="I1493" s="43" t="e">
        <f>VLOOKUP($A1493,'[2]Team lists'!$A$2:$L$800,9,FALSE)</f>
        <v>#N/A</v>
      </c>
      <c r="J1493" s="43" t="e">
        <f>VLOOKUP($A1493,'[2]Team lists'!$A$2:$L$800,9,FALSE)</f>
        <v>#N/A</v>
      </c>
      <c r="K1493" s="43" t="e">
        <f>VLOOKUP($A1493,'[2]Team lists'!$A$2:$L$800,10,FALSE)</f>
        <v>#N/A</v>
      </c>
      <c r="L1493" s="43" t="e">
        <f>VLOOKUP($A1493,'[2]Team lists'!$A$2:$L$800,11,FALSE)</f>
        <v>#N/A</v>
      </c>
    </row>
    <row r="1494" spans="2:13">
      <c r="B1494" s="43" t="e">
        <f>VLOOKUP($A1494,'[2]Team lists'!$A$2:$L$800,2,FALSE)</f>
        <v>#N/A</v>
      </c>
      <c r="C1494" s="43" t="e">
        <f>VLOOKUP($A1494,'[2]Team lists'!$A$2:$L$800,3,FALSE)</f>
        <v>#N/A</v>
      </c>
      <c r="D1494" s="43" t="e">
        <f>VLOOKUP($A1494,'[2]Team lists'!$A$2:$L$800,4,FALSE)</f>
        <v>#N/A</v>
      </c>
      <c r="E1494" s="43" t="e">
        <f>VLOOKUP($A1494,'[2]Team lists'!$A$2:$L$800,5,FALSE)</f>
        <v>#N/A</v>
      </c>
      <c r="F1494" s="43" t="e">
        <f>VLOOKUP($A1494,'[2]Team lists'!$A$2:$L$800,6,FALSE)</f>
        <v>#N/A</v>
      </c>
      <c r="G1494" s="43" t="e">
        <f>VLOOKUP($A1494,'[2]Team lists'!$A$2:$L$800,7,FALSE)</f>
        <v>#N/A</v>
      </c>
      <c r="H1494" s="43" t="e">
        <f>VLOOKUP($A1494,'[2]Team lists'!$A$2:$L$800,8,FALSE)</f>
        <v>#N/A</v>
      </c>
      <c r="I1494" s="43" t="e">
        <f>VLOOKUP($A1494,'[2]Team lists'!$A$2:$L$800,9,FALSE)</f>
        <v>#N/A</v>
      </c>
      <c r="J1494" s="43" t="e">
        <f>VLOOKUP($A1494,'[2]Team lists'!$A$2:$L$800,9,FALSE)</f>
        <v>#N/A</v>
      </c>
      <c r="K1494" s="43" t="e">
        <f>VLOOKUP($A1494,'[2]Team lists'!$A$2:$L$800,10,FALSE)</f>
        <v>#N/A</v>
      </c>
      <c r="L1494" s="43" t="e">
        <f>VLOOKUP($A1494,'[2]Team lists'!$A$2:$L$800,11,FALSE)</f>
        <v>#N/A</v>
      </c>
    </row>
    <row r="1495" spans="2:13">
      <c r="B1495" s="43" t="e">
        <f>VLOOKUP($A1495,'[2]Team lists'!$A$2:$L$800,2,FALSE)</f>
        <v>#N/A</v>
      </c>
      <c r="C1495" s="43" t="e">
        <f>VLOOKUP($A1495,'[2]Team lists'!$A$2:$L$800,3,FALSE)</f>
        <v>#N/A</v>
      </c>
      <c r="D1495" s="43" t="e">
        <f>VLOOKUP($A1495,'[2]Team lists'!$A$2:$L$800,4,FALSE)</f>
        <v>#N/A</v>
      </c>
      <c r="E1495" s="43" t="e">
        <f>VLOOKUP($A1495,'[2]Team lists'!$A$2:$L$800,5,FALSE)</f>
        <v>#N/A</v>
      </c>
      <c r="F1495" s="43" t="e">
        <f>VLOOKUP($A1495,'[2]Team lists'!$A$2:$L$800,6,FALSE)</f>
        <v>#N/A</v>
      </c>
      <c r="G1495" s="43" t="e">
        <f>VLOOKUP($A1495,'[2]Team lists'!$A$2:$L$800,7,FALSE)</f>
        <v>#N/A</v>
      </c>
      <c r="H1495" s="43" t="e">
        <f>VLOOKUP($A1495,'[2]Team lists'!$A$2:$L$800,8,FALSE)</f>
        <v>#N/A</v>
      </c>
      <c r="I1495" s="43" t="e">
        <f>VLOOKUP($A1495,'[2]Team lists'!$A$2:$L$800,9,FALSE)</f>
        <v>#N/A</v>
      </c>
      <c r="J1495" s="43" t="e">
        <f>VLOOKUP($A1495,'[2]Team lists'!$A$2:$L$800,9,FALSE)</f>
        <v>#N/A</v>
      </c>
      <c r="K1495" s="43" t="e">
        <f>VLOOKUP($A1495,'[2]Team lists'!$A$2:$L$800,10,FALSE)</f>
        <v>#N/A</v>
      </c>
      <c r="L1495" s="43" t="e">
        <f>VLOOKUP($A1495,'[2]Team lists'!$A$2:$L$800,11,FALSE)</f>
        <v>#N/A</v>
      </c>
    </row>
    <row r="1496" spans="2:13">
      <c r="B1496" s="43" t="e">
        <f>VLOOKUP($A1496,'[2]Team lists'!$A$2:$L$800,2,FALSE)</f>
        <v>#N/A</v>
      </c>
      <c r="C1496" s="43" t="e">
        <f>VLOOKUP($A1496,'[2]Team lists'!$A$2:$L$800,3,FALSE)</f>
        <v>#N/A</v>
      </c>
      <c r="D1496" s="43" t="e">
        <f>VLOOKUP($A1496,'[2]Team lists'!$A$2:$L$800,4,FALSE)</f>
        <v>#N/A</v>
      </c>
      <c r="E1496" s="43" t="e">
        <f>VLOOKUP($A1496,'[2]Team lists'!$A$2:$L$800,5,FALSE)</f>
        <v>#N/A</v>
      </c>
      <c r="F1496" s="43" t="e">
        <f>VLOOKUP($A1496,'[2]Team lists'!$A$2:$L$800,6,FALSE)</f>
        <v>#N/A</v>
      </c>
      <c r="G1496" s="43" t="e">
        <f>VLOOKUP($A1496,'[2]Team lists'!$A$2:$L$800,7,FALSE)</f>
        <v>#N/A</v>
      </c>
      <c r="H1496" s="43" t="e">
        <f>VLOOKUP($A1496,'[2]Team lists'!$A$2:$L$800,8,FALSE)</f>
        <v>#N/A</v>
      </c>
      <c r="I1496" s="43" t="e">
        <f>VLOOKUP($A1496,'[2]Team lists'!$A$2:$L$800,9,FALSE)</f>
        <v>#N/A</v>
      </c>
      <c r="J1496" s="43" t="e">
        <f>VLOOKUP($A1496,'[2]Team lists'!$A$2:$L$800,9,FALSE)</f>
        <v>#N/A</v>
      </c>
      <c r="K1496" s="43" t="e">
        <f>VLOOKUP($A1496,'[2]Team lists'!$A$2:$L$800,10,FALSE)</f>
        <v>#N/A</v>
      </c>
      <c r="L1496" s="43" t="e">
        <f>VLOOKUP($A1496,'[2]Team lists'!$A$2:$L$800,11,FALSE)</f>
        <v>#N/A</v>
      </c>
    </row>
    <row r="1497" spans="2:13">
      <c r="B1497" s="43" t="e">
        <f>VLOOKUP($A1497,'[2]Team lists'!$A$2:$L$800,2,FALSE)</f>
        <v>#N/A</v>
      </c>
      <c r="C1497" s="43" t="e">
        <f>VLOOKUP($A1497,'[2]Team lists'!$A$2:$L$800,3,FALSE)</f>
        <v>#N/A</v>
      </c>
      <c r="D1497" s="43" t="e">
        <f>VLOOKUP($A1497,'[2]Team lists'!$A$2:$L$800,4,FALSE)</f>
        <v>#N/A</v>
      </c>
      <c r="E1497" s="43" t="e">
        <f>VLOOKUP($A1497,'[2]Team lists'!$A$2:$L$800,5,FALSE)</f>
        <v>#N/A</v>
      </c>
      <c r="F1497" s="43" t="e">
        <f>VLOOKUP($A1497,'[2]Team lists'!$A$2:$L$800,6,FALSE)</f>
        <v>#N/A</v>
      </c>
      <c r="G1497" s="43" t="e">
        <f>VLOOKUP($A1497,'[2]Team lists'!$A$2:$L$800,7,FALSE)</f>
        <v>#N/A</v>
      </c>
      <c r="H1497" s="43" t="e">
        <f>VLOOKUP($A1497,'[2]Team lists'!$A$2:$L$800,8,FALSE)</f>
        <v>#N/A</v>
      </c>
      <c r="I1497" s="43" t="e">
        <f>VLOOKUP($A1497,'[2]Team lists'!$A$2:$L$800,9,FALSE)</f>
        <v>#N/A</v>
      </c>
      <c r="J1497" s="43" t="e">
        <f>VLOOKUP($A1497,'[2]Team lists'!$A$2:$L$800,9,FALSE)</f>
        <v>#N/A</v>
      </c>
      <c r="K1497" s="43" t="e">
        <f>VLOOKUP($A1497,'[2]Team lists'!$A$2:$L$800,10,FALSE)</f>
        <v>#N/A</v>
      </c>
      <c r="L1497" s="43" t="e">
        <f>VLOOKUP($A1497,'[2]Team lists'!$A$2:$L$800,11,FALSE)</f>
        <v>#N/A</v>
      </c>
    </row>
    <row r="1498" spans="2:13">
      <c r="B1498" s="43" t="e">
        <f>VLOOKUP($A1498,'[2]Team lists'!$A$2:$L$800,2,FALSE)</f>
        <v>#N/A</v>
      </c>
      <c r="C1498" s="43" t="e">
        <f>VLOOKUP($A1498,'[2]Team lists'!$A$2:$L$800,3,FALSE)</f>
        <v>#N/A</v>
      </c>
      <c r="D1498" s="43" t="e">
        <f>VLOOKUP($A1498,'[2]Team lists'!$A$2:$L$800,4,FALSE)</f>
        <v>#N/A</v>
      </c>
      <c r="E1498" s="43" t="e">
        <f>VLOOKUP($A1498,'[2]Team lists'!$A$2:$L$800,5,FALSE)</f>
        <v>#N/A</v>
      </c>
      <c r="F1498" s="43" t="e">
        <f>VLOOKUP($A1498,'[2]Team lists'!$A$2:$L$800,6,FALSE)</f>
        <v>#N/A</v>
      </c>
      <c r="G1498" s="43" t="e">
        <f>VLOOKUP($A1498,'[2]Team lists'!$A$2:$L$800,7,FALSE)</f>
        <v>#N/A</v>
      </c>
      <c r="H1498" s="43" t="e">
        <f>VLOOKUP($A1498,'[2]Team lists'!$A$2:$L$800,8,FALSE)</f>
        <v>#N/A</v>
      </c>
      <c r="I1498" s="43" t="e">
        <f>VLOOKUP($A1498,'[2]Team lists'!$A$2:$L$800,9,FALSE)</f>
        <v>#N/A</v>
      </c>
      <c r="J1498" s="43" t="e">
        <f>VLOOKUP($A1498,'[2]Team lists'!$A$2:$L$800,9,FALSE)</f>
        <v>#N/A</v>
      </c>
      <c r="K1498" s="43" t="e">
        <f>VLOOKUP($A1498,'[2]Team lists'!$A$2:$L$800,10,FALSE)</f>
        <v>#N/A</v>
      </c>
      <c r="L1498" s="43" t="e">
        <f>VLOOKUP($A1498,'[2]Team lists'!$A$2:$L$800,11,FALSE)</f>
        <v>#N/A</v>
      </c>
    </row>
    <row r="1499" spans="2:13">
      <c r="B1499" s="43" t="e">
        <f>VLOOKUP($A1499,'[2]Team lists'!$A$2:$L$800,2,FALSE)</f>
        <v>#N/A</v>
      </c>
      <c r="C1499" s="43" t="e">
        <f>VLOOKUP($A1499,'[2]Team lists'!$A$2:$L$800,3,FALSE)</f>
        <v>#N/A</v>
      </c>
      <c r="D1499" s="43" t="e">
        <f>VLOOKUP($A1499,'[2]Team lists'!$A$2:$L$800,4,FALSE)</f>
        <v>#N/A</v>
      </c>
      <c r="E1499" s="43" t="e">
        <f>VLOOKUP($A1499,'[2]Team lists'!$A$2:$L$800,5,FALSE)</f>
        <v>#N/A</v>
      </c>
      <c r="F1499" s="43" t="e">
        <f>VLOOKUP($A1499,'[2]Team lists'!$A$2:$L$800,6,FALSE)</f>
        <v>#N/A</v>
      </c>
      <c r="G1499" s="43" t="e">
        <f>VLOOKUP($A1499,'[2]Team lists'!$A$2:$L$800,7,FALSE)</f>
        <v>#N/A</v>
      </c>
      <c r="H1499" s="43" t="e">
        <f>VLOOKUP($A1499,'[2]Team lists'!$A$2:$L$800,8,FALSE)</f>
        <v>#N/A</v>
      </c>
      <c r="I1499" s="43" t="e">
        <f>VLOOKUP($A1499,'[2]Team lists'!$A$2:$L$800,9,FALSE)</f>
        <v>#N/A</v>
      </c>
      <c r="J1499" s="43" t="e">
        <f>VLOOKUP($A1499,'[2]Team lists'!$A$2:$L$800,9,FALSE)</f>
        <v>#N/A</v>
      </c>
      <c r="K1499" s="43" t="e">
        <f>VLOOKUP($A1499,'[2]Team lists'!$A$2:$L$800,10,FALSE)</f>
        <v>#N/A</v>
      </c>
      <c r="L1499" s="43" t="e">
        <f>VLOOKUP($A1499,'[2]Team lists'!$A$2:$L$800,11,FALSE)</f>
        <v>#N/A</v>
      </c>
    </row>
    <row r="1500" spans="2:13">
      <c r="B1500" s="43" t="e">
        <f>VLOOKUP($A1500,'[2]Team lists'!$A$2:$L$800,2,FALSE)</f>
        <v>#N/A</v>
      </c>
      <c r="C1500" s="43" t="e">
        <f>VLOOKUP($A1500,'[2]Team lists'!$A$2:$L$800,3,FALSE)</f>
        <v>#N/A</v>
      </c>
      <c r="D1500" s="43" t="e">
        <f>VLOOKUP($A1500,'[2]Team lists'!$A$2:$L$800,4,FALSE)</f>
        <v>#N/A</v>
      </c>
      <c r="E1500" s="43" t="e">
        <f>VLOOKUP($A1500,'[2]Team lists'!$A$2:$L$800,5,FALSE)</f>
        <v>#N/A</v>
      </c>
      <c r="F1500" s="43" t="e">
        <f>VLOOKUP($A1500,'[2]Team lists'!$A$2:$L$800,6,FALSE)</f>
        <v>#N/A</v>
      </c>
      <c r="G1500" s="43" t="e">
        <f>VLOOKUP($A1500,'[2]Team lists'!$A$2:$L$800,7,FALSE)</f>
        <v>#N/A</v>
      </c>
      <c r="H1500" s="43" t="e">
        <f>VLOOKUP($A1500,'[2]Team lists'!$A$2:$L$800,8,FALSE)</f>
        <v>#N/A</v>
      </c>
      <c r="I1500" s="43" t="e">
        <f>VLOOKUP($A1500,'[2]Team lists'!$A$2:$L$800,9,FALSE)</f>
        <v>#N/A</v>
      </c>
      <c r="J1500" s="43" t="e">
        <f>VLOOKUP($A1500,'[2]Team lists'!$A$2:$L$800,9,FALSE)</f>
        <v>#N/A</v>
      </c>
      <c r="K1500" s="43" t="e">
        <f>VLOOKUP($A1500,'[2]Team lists'!$A$2:$L$800,10,FALSE)</f>
        <v>#N/A</v>
      </c>
      <c r="L1500" s="43" t="e">
        <f>VLOOKUP($A1500,'[2]Team lists'!$A$2:$L$800,11,FALSE)</f>
        <v>#N/A</v>
      </c>
    </row>
    <row r="1501" spans="2:13">
      <c r="B1501" s="43" t="e">
        <f>VLOOKUP($A1501,'[2]Team lists'!$A$2:$L$800,2,FALSE)</f>
        <v>#N/A</v>
      </c>
      <c r="C1501" s="43" t="e">
        <f>VLOOKUP($A1501,'[2]Team lists'!$A$2:$L$800,3,FALSE)</f>
        <v>#N/A</v>
      </c>
      <c r="D1501" s="43" t="e">
        <f>VLOOKUP($A1501,'[2]Team lists'!$A$2:$L$800,4,FALSE)</f>
        <v>#N/A</v>
      </c>
      <c r="E1501" s="43" t="e">
        <f>VLOOKUP($A1501,'[2]Team lists'!$A$2:$L$800,5,FALSE)</f>
        <v>#N/A</v>
      </c>
      <c r="F1501" s="43" t="e">
        <f>VLOOKUP($A1501,'[2]Team lists'!$A$2:$L$800,6,FALSE)</f>
        <v>#N/A</v>
      </c>
      <c r="G1501" s="43" t="e">
        <f>VLOOKUP($A1501,'[2]Team lists'!$A$2:$L$800,7,FALSE)</f>
        <v>#N/A</v>
      </c>
      <c r="H1501" s="43" t="e">
        <f>VLOOKUP($A1501,'[2]Team lists'!$A$2:$L$800,8,FALSE)</f>
        <v>#N/A</v>
      </c>
      <c r="I1501" s="43" t="e">
        <f>VLOOKUP($A1501,'[2]Team lists'!$A$2:$L$800,9,FALSE)</f>
        <v>#N/A</v>
      </c>
      <c r="J1501" s="43" t="e">
        <f>VLOOKUP($A1501,'[2]Team lists'!$A$2:$L$800,9,FALSE)</f>
        <v>#N/A</v>
      </c>
      <c r="K1501" s="43" t="e">
        <f>VLOOKUP($A1501,'[2]Team lists'!$A$2:$L$800,10,FALSE)</f>
        <v>#N/A</v>
      </c>
      <c r="L1501" s="43" t="e">
        <f>VLOOKUP($A1501,'[2]Team lists'!$A$2:$L$800,11,FALSE)</f>
        <v>#N/A</v>
      </c>
    </row>
    <row r="1502" spans="2:13">
      <c r="B1502" s="43" t="e">
        <f>VLOOKUP($A1502,'[2]Team lists'!$A$2:$L$800,2,FALSE)</f>
        <v>#N/A</v>
      </c>
      <c r="C1502" s="43" t="e">
        <f>VLOOKUP($A1502,'[2]Team lists'!$A$2:$L$800,3,FALSE)</f>
        <v>#N/A</v>
      </c>
      <c r="D1502" s="43" t="e">
        <f>VLOOKUP($A1502,'[2]Team lists'!$A$2:$L$800,4,FALSE)</f>
        <v>#N/A</v>
      </c>
      <c r="E1502" s="43" t="e">
        <f>VLOOKUP($A1502,'[2]Team lists'!$A$2:$L$800,5,FALSE)</f>
        <v>#N/A</v>
      </c>
      <c r="F1502" s="43" t="e">
        <f>VLOOKUP($A1502,'[2]Team lists'!$A$2:$L$800,6,FALSE)</f>
        <v>#N/A</v>
      </c>
      <c r="G1502" s="43" t="e">
        <f>VLOOKUP($A1502,'[2]Team lists'!$A$2:$L$800,7,FALSE)</f>
        <v>#N/A</v>
      </c>
      <c r="H1502" s="43" t="e">
        <f>VLOOKUP($A1502,'[2]Team lists'!$A$2:$L$800,8,FALSE)</f>
        <v>#N/A</v>
      </c>
      <c r="I1502" s="43" t="e">
        <f>VLOOKUP($A1502,'[2]Team lists'!$A$2:$L$800,9,FALSE)</f>
        <v>#N/A</v>
      </c>
      <c r="J1502" s="43" t="e">
        <f>VLOOKUP($A1502,'[2]Team lists'!$A$2:$L$800,9,FALSE)</f>
        <v>#N/A</v>
      </c>
      <c r="K1502" s="43" t="e">
        <f>VLOOKUP($A1502,'[2]Team lists'!$A$2:$L$800,10,FALSE)</f>
        <v>#N/A</v>
      </c>
      <c r="L1502" s="43" t="e">
        <f>VLOOKUP($A1502,'[2]Team lists'!$A$2:$L$800,11,FALSE)</f>
        <v>#N/A</v>
      </c>
    </row>
    <row r="1503" spans="2:13" ht="18" thickBot="1">
      <c r="B1503" s="45" t="s">
        <v>3210</v>
      </c>
      <c r="C1503" s="46"/>
      <c r="D1503" s="47"/>
      <c r="E1503" s="48" t="e">
        <f t="shared" ref="E1503:L1503" si="93">SUM(E1492:E1502)</f>
        <v>#N/A</v>
      </c>
      <c r="F1503" s="49" t="e">
        <f t="shared" si="93"/>
        <v>#N/A</v>
      </c>
      <c r="G1503" s="49" t="e">
        <f t="shared" si="93"/>
        <v>#N/A</v>
      </c>
      <c r="H1503" s="49" t="e">
        <f t="shared" si="93"/>
        <v>#N/A</v>
      </c>
      <c r="I1503" s="49" t="e">
        <f t="shared" si="93"/>
        <v>#N/A</v>
      </c>
      <c r="J1503" s="49" t="e">
        <f t="shared" si="93"/>
        <v>#N/A</v>
      </c>
      <c r="K1503" s="49" t="e">
        <f t="shared" si="93"/>
        <v>#N/A</v>
      </c>
      <c r="L1503" s="50" t="e">
        <f t="shared" si="93"/>
        <v>#N/A</v>
      </c>
    </row>
    <row r="1504" spans="2:13" ht="18.600000000000001" thickTop="1" thickBot="1"/>
    <row r="1505" spans="2:13" ht="18" thickTop="1">
      <c r="B1505" s="23" t="s">
        <v>3204</v>
      </c>
      <c r="C1505" s="24" t="s">
        <v>3205</v>
      </c>
      <c r="D1505" s="25"/>
      <c r="E1505" s="25"/>
      <c r="F1505" s="53"/>
      <c r="G1505" s="28" t="s">
        <v>3206</v>
      </c>
      <c r="H1505" s="54"/>
      <c r="I1505" s="54"/>
      <c r="J1505" s="54"/>
      <c r="K1505" s="28" t="s">
        <v>3207</v>
      </c>
      <c r="L1505" s="29"/>
      <c r="M1505" s="22" t="str">
        <f>G1505</f>
        <v>Manager:</v>
      </c>
    </row>
    <row r="1506" spans="2:13" ht="18" thickBot="1">
      <c r="B1506" s="30">
        <v>95</v>
      </c>
      <c r="C1506" s="57"/>
      <c r="D1506" s="31"/>
      <c r="E1506" s="31"/>
      <c r="F1506" s="33"/>
      <c r="G1506" s="55"/>
      <c r="H1506" s="55"/>
      <c r="I1506" s="55"/>
      <c r="J1506" s="55"/>
      <c r="K1506" s="34" t="e">
        <f>SUM(F1519:L1519)</f>
        <v>#N/A</v>
      </c>
      <c r="L1506" s="35"/>
      <c r="M1506" s="22">
        <f>G1506</f>
        <v>0</v>
      </c>
    </row>
    <row r="1507" spans="2:13" ht="18.600000000000001" thickTop="1">
      <c r="B1507" s="58" t="s">
        <v>913</v>
      </c>
      <c r="C1507" s="59" t="s">
        <v>912</v>
      </c>
      <c r="D1507" s="60" t="s">
        <v>911</v>
      </c>
      <c r="E1507" s="61" t="s">
        <v>3209</v>
      </c>
      <c r="F1507" s="62" t="s">
        <v>3162</v>
      </c>
      <c r="G1507" s="62" t="s">
        <v>3163</v>
      </c>
      <c r="H1507" s="62" t="s">
        <v>3164</v>
      </c>
      <c r="I1507" s="62" t="s">
        <v>3165</v>
      </c>
      <c r="J1507" s="62" t="s">
        <v>3166</v>
      </c>
      <c r="K1507" s="62" t="s">
        <v>3167</v>
      </c>
      <c r="L1507" s="63" t="s">
        <v>3168</v>
      </c>
    </row>
    <row r="1508" spans="2:13">
      <c r="B1508" s="43" t="e">
        <f>VLOOKUP($A1508,'[2]Team lists'!$A$2:$L$800,2,FALSE)</f>
        <v>#N/A</v>
      </c>
      <c r="C1508" s="43" t="e">
        <f>VLOOKUP($A1508,'[2]Team lists'!$A$2:$L$800,3,FALSE)</f>
        <v>#N/A</v>
      </c>
      <c r="D1508" s="43" t="e">
        <f>VLOOKUP($A1508,'[2]Team lists'!$A$2:$L$800,4,FALSE)</f>
        <v>#N/A</v>
      </c>
      <c r="E1508" s="43" t="e">
        <f>VLOOKUP($A1508,'[2]Team lists'!$A$2:$L$800,5,FALSE)</f>
        <v>#N/A</v>
      </c>
      <c r="F1508" s="43" t="e">
        <f>VLOOKUP($A1508,'[2]Team lists'!$A$2:$L$800,6,FALSE)</f>
        <v>#N/A</v>
      </c>
      <c r="G1508" s="43" t="e">
        <f>VLOOKUP($A1508,'[2]Team lists'!$A$2:$L$800,7,FALSE)</f>
        <v>#N/A</v>
      </c>
      <c r="H1508" s="43" t="e">
        <f>VLOOKUP($A1508,'[2]Team lists'!$A$2:$L$800,8,FALSE)</f>
        <v>#N/A</v>
      </c>
      <c r="I1508" s="43" t="e">
        <f>VLOOKUP($A1508,'[2]Team lists'!$A$2:$L$800,9,FALSE)</f>
        <v>#N/A</v>
      </c>
      <c r="J1508" s="43" t="e">
        <f>VLOOKUP($A1508,'[2]Team lists'!$A$2:$L$800,9,FALSE)</f>
        <v>#N/A</v>
      </c>
      <c r="K1508" s="43" t="e">
        <f>VLOOKUP($A1508,'[2]Team lists'!$A$2:$L$800,10,FALSE)</f>
        <v>#N/A</v>
      </c>
      <c r="L1508" s="43" t="e">
        <f>VLOOKUP($A1508,'[2]Team lists'!$A$2:$L$800,11,FALSE)</f>
        <v>#N/A</v>
      </c>
    </row>
    <row r="1509" spans="2:13">
      <c r="B1509" s="43" t="e">
        <f>VLOOKUP($A1509,'[2]Team lists'!$A$2:$L$800,2,FALSE)</f>
        <v>#N/A</v>
      </c>
      <c r="C1509" s="43" t="e">
        <f>VLOOKUP($A1509,'[2]Team lists'!$A$2:$L$800,3,FALSE)</f>
        <v>#N/A</v>
      </c>
      <c r="D1509" s="43" t="e">
        <f>VLOOKUP($A1509,'[2]Team lists'!$A$2:$L$800,4,FALSE)</f>
        <v>#N/A</v>
      </c>
      <c r="E1509" s="43" t="e">
        <f>VLOOKUP($A1509,'[2]Team lists'!$A$2:$L$800,5,FALSE)</f>
        <v>#N/A</v>
      </c>
      <c r="F1509" s="43" t="e">
        <f>VLOOKUP($A1509,'[2]Team lists'!$A$2:$L$800,6,FALSE)</f>
        <v>#N/A</v>
      </c>
      <c r="G1509" s="43" t="e">
        <f>VLOOKUP($A1509,'[2]Team lists'!$A$2:$L$800,7,FALSE)</f>
        <v>#N/A</v>
      </c>
      <c r="H1509" s="43" t="e">
        <f>VLOOKUP($A1509,'[2]Team lists'!$A$2:$L$800,8,FALSE)</f>
        <v>#N/A</v>
      </c>
      <c r="I1509" s="43" t="e">
        <f>VLOOKUP($A1509,'[2]Team lists'!$A$2:$L$800,9,FALSE)</f>
        <v>#N/A</v>
      </c>
      <c r="J1509" s="43" t="e">
        <f>VLOOKUP($A1509,'[2]Team lists'!$A$2:$L$800,9,FALSE)</f>
        <v>#N/A</v>
      </c>
      <c r="K1509" s="43" t="e">
        <f>VLOOKUP($A1509,'[2]Team lists'!$A$2:$L$800,10,FALSE)</f>
        <v>#N/A</v>
      </c>
      <c r="L1509" s="43" t="e">
        <f>VLOOKUP($A1509,'[2]Team lists'!$A$2:$L$800,11,FALSE)</f>
        <v>#N/A</v>
      </c>
    </row>
    <row r="1510" spans="2:13">
      <c r="B1510" s="43" t="e">
        <f>VLOOKUP($A1510,'[2]Team lists'!$A$2:$L$800,2,FALSE)</f>
        <v>#N/A</v>
      </c>
      <c r="C1510" s="43" t="e">
        <f>VLOOKUP($A1510,'[2]Team lists'!$A$2:$L$800,3,FALSE)</f>
        <v>#N/A</v>
      </c>
      <c r="D1510" s="43" t="e">
        <f>VLOOKUP($A1510,'[2]Team lists'!$A$2:$L$800,4,FALSE)</f>
        <v>#N/A</v>
      </c>
      <c r="E1510" s="43" t="e">
        <f>VLOOKUP($A1510,'[2]Team lists'!$A$2:$L$800,5,FALSE)</f>
        <v>#N/A</v>
      </c>
      <c r="F1510" s="43" t="e">
        <f>VLOOKUP($A1510,'[2]Team lists'!$A$2:$L$800,6,FALSE)</f>
        <v>#N/A</v>
      </c>
      <c r="G1510" s="43" t="e">
        <f>VLOOKUP($A1510,'[2]Team lists'!$A$2:$L$800,7,FALSE)</f>
        <v>#N/A</v>
      </c>
      <c r="H1510" s="43" t="e">
        <f>VLOOKUP($A1510,'[2]Team lists'!$A$2:$L$800,8,FALSE)</f>
        <v>#N/A</v>
      </c>
      <c r="I1510" s="43" t="e">
        <f>VLOOKUP($A1510,'[2]Team lists'!$A$2:$L$800,9,FALSE)</f>
        <v>#N/A</v>
      </c>
      <c r="J1510" s="43" t="e">
        <f>VLOOKUP($A1510,'[2]Team lists'!$A$2:$L$800,9,FALSE)</f>
        <v>#N/A</v>
      </c>
      <c r="K1510" s="43" t="e">
        <f>VLOOKUP($A1510,'[2]Team lists'!$A$2:$L$800,10,FALSE)</f>
        <v>#N/A</v>
      </c>
      <c r="L1510" s="43" t="e">
        <f>VLOOKUP($A1510,'[2]Team lists'!$A$2:$L$800,11,FALSE)</f>
        <v>#N/A</v>
      </c>
    </row>
    <row r="1511" spans="2:13">
      <c r="B1511" s="43" t="e">
        <f>VLOOKUP($A1511,'[2]Team lists'!$A$2:$L$800,2,FALSE)</f>
        <v>#N/A</v>
      </c>
      <c r="C1511" s="43" t="e">
        <f>VLOOKUP($A1511,'[2]Team lists'!$A$2:$L$800,3,FALSE)</f>
        <v>#N/A</v>
      </c>
      <c r="D1511" s="43" t="e">
        <f>VLOOKUP($A1511,'[2]Team lists'!$A$2:$L$800,4,FALSE)</f>
        <v>#N/A</v>
      </c>
      <c r="E1511" s="43" t="e">
        <f>VLOOKUP($A1511,'[2]Team lists'!$A$2:$L$800,5,FALSE)</f>
        <v>#N/A</v>
      </c>
      <c r="F1511" s="43" t="e">
        <f>VLOOKUP($A1511,'[2]Team lists'!$A$2:$L$800,6,FALSE)</f>
        <v>#N/A</v>
      </c>
      <c r="G1511" s="43" t="e">
        <f>VLOOKUP($A1511,'[2]Team lists'!$A$2:$L$800,7,FALSE)</f>
        <v>#N/A</v>
      </c>
      <c r="H1511" s="43" t="e">
        <f>VLOOKUP($A1511,'[2]Team lists'!$A$2:$L$800,8,FALSE)</f>
        <v>#N/A</v>
      </c>
      <c r="I1511" s="43" t="e">
        <f>VLOOKUP($A1511,'[2]Team lists'!$A$2:$L$800,9,FALSE)</f>
        <v>#N/A</v>
      </c>
      <c r="J1511" s="43" t="e">
        <f>VLOOKUP($A1511,'[2]Team lists'!$A$2:$L$800,9,FALSE)</f>
        <v>#N/A</v>
      </c>
      <c r="K1511" s="43" t="e">
        <f>VLOOKUP($A1511,'[2]Team lists'!$A$2:$L$800,10,FALSE)</f>
        <v>#N/A</v>
      </c>
      <c r="L1511" s="43" t="e">
        <f>VLOOKUP($A1511,'[2]Team lists'!$A$2:$L$800,11,FALSE)</f>
        <v>#N/A</v>
      </c>
    </row>
    <row r="1512" spans="2:13">
      <c r="B1512" s="43" t="e">
        <f>VLOOKUP($A1512,'[2]Team lists'!$A$2:$L$800,2,FALSE)</f>
        <v>#N/A</v>
      </c>
      <c r="C1512" s="43" t="e">
        <f>VLOOKUP($A1512,'[2]Team lists'!$A$2:$L$800,3,FALSE)</f>
        <v>#N/A</v>
      </c>
      <c r="D1512" s="43" t="e">
        <f>VLOOKUP($A1512,'[2]Team lists'!$A$2:$L$800,4,FALSE)</f>
        <v>#N/A</v>
      </c>
      <c r="E1512" s="43" t="e">
        <f>VLOOKUP($A1512,'[2]Team lists'!$A$2:$L$800,5,FALSE)</f>
        <v>#N/A</v>
      </c>
      <c r="F1512" s="43" t="e">
        <f>VLOOKUP($A1512,'[2]Team lists'!$A$2:$L$800,6,FALSE)</f>
        <v>#N/A</v>
      </c>
      <c r="G1512" s="43" t="e">
        <f>VLOOKUP($A1512,'[2]Team lists'!$A$2:$L$800,7,FALSE)</f>
        <v>#N/A</v>
      </c>
      <c r="H1512" s="43" t="e">
        <f>VLOOKUP($A1512,'[2]Team lists'!$A$2:$L$800,8,FALSE)</f>
        <v>#N/A</v>
      </c>
      <c r="I1512" s="43" t="e">
        <f>VLOOKUP($A1512,'[2]Team lists'!$A$2:$L$800,9,FALSE)</f>
        <v>#N/A</v>
      </c>
      <c r="J1512" s="43" t="e">
        <f>VLOOKUP($A1512,'[2]Team lists'!$A$2:$L$800,9,FALSE)</f>
        <v>#N/A</v>
      </c>
      <c r="K1512" s="43" t="e">
        <f>VLOOKUP($A1512,'[2]Team lists'!$A$2:$L$800,10,FALSE)</f>
        <v>#N/A</v>
      </c>
      <c r="L1512" s="43" t="e">
        <f>VLOOKUP($A1512,'[2]Team lists'!$A$2:$L$800,11,FALSE)</f>
        <v>#N/A</v>
      </c>
    </row>
    <row r="1513" spans="2:13">
      <c r="B1513" s="43" t="e">
        <f>VLOOKUP($A1513,'[2]Team lists'!$A$2:$L$800,2,FALSE)</f>
        <v>#N/A</v>
      </c>
      <c r="C1513" s="43" t="e">
        <f>VLOOKUP($A1513,'[2]Team lists'!$A$2:$L$800,3,FALSE)</f>
        <v>#N/A</v>
      </c>
      <c r="D1513" s="43" t="e">
        <f>VLOOKUP($A1513,'[2]Team lists'!$A$2:$L$800,4,FALSE)</f>
        <v>#N/A</v>
      </c>
      <c r="E1513" s="43" t="e">
        <f>VLOOKUP($A1513,'[2]Team lists'!$A$2:$L$800,5,FALSE)</f>
        <v>#N/A</v>
      </c>
      <c r="F1513" s="43" t="e">
        <f>VLOOKUP($A1513,'[2]Team lists'!$A$2:$L$800,6,FALSE)</f>
        <v>#N/A</v>
      </c>
      <c r="G1513" s="43" t="e">
        <f>VLOOKUP($A1513,'[2]Team lists'!$A$2:$L$800,7,FALSE)</f>
        <v>#N/A</v>
      </c>
      <c r="H1513" s="43" t="e">
        <f>VLOOKUP($A1513,'[2]Team lists'!$A$2:$L$800,8,FALSE)</f>
        <v>#N/A</v>
      </c>
      <c r="I1513" s="43" t="e">
        <f>VLOOKUP($A1513,'[2]Team lists'!$A$2:$L$800,9,FALSE)</f>
        <v>#N/A</v>
      </c>
      <c r="J1513" s="43" t="e">
        <f>VLOOKUP($A1513,'[2]Team lists'!$A$2:$L$800,9,FALSE)</f>
        <v>#N/A</v>
      </c>
      <c r="K1513" s="43" t="e">
        <f>VLOOKUP($A1513,'[2]Team lists'!$A$2:$L$800,10,FALSE)</f>
        <v>#N/A</v>
      </c>
      <c r="L1513" s="43" t="e">
        <f>VLOOKUP($A1513,'[2]Team lists'!$A$2:$L$800,11,FALSE)</f>
        <v>#N/A</v>
      </c>
    </row>
    <row r="1514" spans="2:13">
      <c r="B1514" s="43" t="e">
        <f>VLOOKUP($A1514,'[2]Team lists'!$A$2:$L$800,2,FALSE)</f>
        <v>#N/A</v>
      </c>
      <c r="C1514" s="43" t="e">
        <f>VLOOKUP($A1514,'[2]Team lists'!$A$2:$L$800,3,FALSE)</f>
        <v>#N/A</v>
      </c>
      <c r="D1514" s="43" t="e">
        <f>VLOOKUP($A1514,'[2]Team lists'!$A$2:$L$800,4,FALSE)</f>
        <v>#N/A</v>
      </c>
      <c r="E1514" s="43" t="e">
        <f>VLOOKUP($A1514,'[2]Team lists'!$A$2:$L$800,5,FALSE)</f>
        <v>#N/A</v>
      </c>
      <c r="F1514" s="43" t="e">
        <f>VLOOKUP($A1514,'[2]Team lists'!$A$2:$L$800,6,FALSE)</f>
        <v>#N/A</v>
      </c>
      <c r="G1514" s="43" t="e">
        <f>VLOOKUP($A1514,'[2]Team lists'!$A$2:$L$800,7,FALSE)</f>
        <v>#N/A</v>
      </c>
      <c r="H1514" s="43" t="e">
        <f>VLOOKUP($A1514,'[2]Team lists'!$A$2:$L$800,8,FALSE)</f>
        <v>#N/A</v>
      </c>
      <c r="I1514" s="43" t="e">
        <f>VLOOKUP($A1514,'[2]Team lists'!$A$2:$L$800,9,FALSE)</f>
        <v>#N/A</v>
      </c>
      <c r="J1514" s="43" t="e">
        <f>VLOOKUP($A1514,'[2]Team lists'!$A$2:$L$800,9,FALSE)</f>
        <v>#N/A</v>
      </c>
      <c r="K1514" s="43" t="e">
        <f>VLOOKUP($A1514,'[2]Team lists'!$A$2:$L$800,10,FALSE)</f>
        <v>#N/A</v>
      </c>
      <c r="L1514" s="43" t="e">
        <f>VLOOKUP($A1514,'[2]Team lists'!$A$2:$L$800,11,FALSE)</f>
        <v>#N/A</v>
      </c>
    </row>
    <row r="1515" spans="2:13">
      <c r="B1515" s="43" t="e">
        <f>VLOOKUP($A1515,'[2]Team lists'!$A$2:$L$800,2,FALSE)</f>
        <v>#N/A</v>
      </c>
      <c r="C1515" s="43" t="e">
        <f>VLOOKUP($A1515,'[2]Team lists'!$A$2:$L$800,3,FALSE)</f>
        <v>#N/A</v>
      </c>
      <c r="D1515" s="43" t="e">
        <f>VLOOKUP($A1515,'[2]Team lists'!$A$2:$L$800,4,FALSE)</f>
        <v>#N/A</v>
      </c>
      <c r="E1515" s="43" t="e">
        <f>VLOOKUP($A1515,'[2]Team lists'!$A$2:$L$800,5,FALSE)</f>
        <v>#N/A</v>
      </c>
      <c r="F1515" s="43" t="e">
        <f>VLOOKUP($A1515,'[2]Team lists'!$A$2:$L$800,6,FALSE)</f>
        <v>#N/A</v>
      </c>
      <c r="G1515" s="43" t="e">
        <f>VLOOKUP($A1515,'[2]Team lists'!$A$2:$L$800,7,FALSE)</f>
        <v>#N/A</v>
      </c>
      <c r="H1515" s="43" t="e">
        <f>VLOOKUP($A1515,'[2]Team lists'!$A$2:$L$800,8,FALSE)</f>
        <v>#N/A</v>
      </c>
      <c r="I1515" s="43" t="e">
        <f>VLOOKUP($A1515,'[2]Team lists'!$A$2:$L$800,9,FALSE)</f>
        <v>#N/A</v>
      </c>
      <c r="J1515" s="43" t="e">
        <f>VLOOKUP($A1515,'[2]Team lists'!$A$2:$L$800,9,FALSE)</f>
        <v>#N/A</v>
      </c>
      <c r="K1515" s="43" t="e">
        <f>VLOOKUP($A1515,'[2]Team lists'!$A$2:$L$800,10,FALSE)</f>
        <v>#N/A</v>
      </c>
      <c r="L1515" s="43" t="e">
        <f>VLOOKUP($A1515,'[2]Team lists'!$A$2:$L$800,11,FALSE)</f>
        <v>#N/A</v>
      </c>
    </row>
    <row r="1516" spans="2:13">
      <c r="B1516" s="43" t="e">
        <f>VLOOKUP($A1516,'[2]Team lists'!$A$2:$L$800,2,FALSE)</f>
        <v>#N/A</v>
      </c>
      <c r="C1516" s="43" t="e">
        <f>VLOOKUP($A1516,'[2]Team lists'!$A$2:$L$800,3,FALSE)</f>
        <v>#N/A</v>
      </c>
      <c r="D1516" s="43" t="e">
        <f>VLOOKUP($A1516,'[2]Team lists'!$A$2:$L$800,4,FALSE)</f>
        <v>#N/A</v>
      </c>
      <c r="E1516" s="43" t="e">
        <f>VLOOKUP($A1516,'[2]Team lists'!$A$2:$L$800,5,FALSE)</f>
        <v>#N/A</v>
      </c>
      <c r="F1516" s="43" t="e">
        <f>VLOOKUP($A1516,'[2]Team lists'!$A$2:$L$800,6,FALSE)</f>
        <v>#N/A</v>
      </c>
      <c r="G1516" s="43" t="e">
        <f>VLOOKUP($A1516,'[2]Team lists'!$A$2:$L$800,7,FALSE)</f>
        <v>#N/A</v>
      </c>
      <c r="H1516" s="43" t="e">
        <f>VLOOKUP($A1516,'[2]Team lists'!$A$2:$L$800,8,FALSE)</f>
        <v>#N/A</v>
      </c>
      <c r="I1516" s="43" t="e">
        <f>VLOOKUP($A1516,'[2]Team lists'!$A$2:$L$800,9,FALSE)</f>
        <v>#N/A</v>
      </c>
      <c r="J1516" s="43" t="e">
        <f>VLOOKUP($A1516,'[2]Team lists'!$A$2:$L$800,9,FALSE)</f>
        <v>#N/A</v>
      </c>
      <c r="K1516" s="43" t="e">
        <f>VLOOKUP($A1516,'[2]Team lists'!$A$2:$L$800,10,FALSE)</f>
        <v>#N/A</v>
      </c>
      <c r="L1516" s="43" t="e">
        <f>VLOOKUP($A1516,'[2]Team lists'!$A$2:$L$800,11,FALSE)</f>
        <v>#N/A</v>
      </c>
    </row>
    <row r="1517" spans="2:13">
      <c r="B1517" s="43" t="e">
        <f>VLOOKUP($A1517,'[2]Team lists'!$A$2:$L$800,2,FALSE)</f>
        <v>#N/A</v>
      </c>
      <c r="C1517" s="43" t="e">
        <f>VLOOKUP($A1517,'[2]Team lists'!$A$2:$L$800,3,FALSE)</f>
        <v>#N/A</v>
      </c>
      <c r="D1517" s="43" t="e">
        <f>VLOOKUP($A1517,'[2]Team lists'!$A$2:$L$800,4,FALSE)</f>
        <v>#N/A</v>
      </c>
      <c r="E1517" s="43" t="e">
        <f>VLOOKUP($A1517,'[2]Team lists'!$A$2:$L$800,5,FALSE)</f>
        <v>#N/A</v>
      </c>
      <c r="F1517" s="43" t="e">
        <f>VLOOKUP($A1517,'[2]Team lists'!$A$2:$L$800,6,FALSE)</f>
        <v>#N/A</v>
      </c>
      <c r="G1517" s="43" t="e">
        <f>VLOOKUP($A1517,'[2]Team lists'!$A$2:$L$800,7,FALSE)</f>
        <v>#N/A</v>
      </c>
      <c r="H1517" s="43" t="e">
        <f>VLOOKUP($A1517,'[2]Team lists'!$A$2:$L$800,8,FALSE)</f>
        <v>#N/A</v>
      </c>
      <c r="I1517" s="43" t="e">
        <f>VLOOKUP($A1517,'[2]Team lists'!$A$2:$L$800,9,FALSE)</f>
        <v>#N/A</v>
      </c>
      <c r="J1517" s="43" t="e">
        <f>VLOOKUP($A1517,'[2]Team lists'!$A$2:$L$800,9,FALSE)</f>
        <v>#N/A</v>
      </c>
      <c r="K1517" s="43" t="e">
        <f>VLOOKUP($A1517,'[2]Team lists'!$A$2:$L$800,10,FALSE)</f>
        <v>#N/A</v>
      </c>
      <c r="L1517" s="43" t="e">
        <f>VLOOKUP($A1517,'[2]Team lists'!$A$2:$L$800,11,FALSE)</f>
        <v>#N/A</v>
      </c>
    </row>
    <row r="1518" spans="2:13">
      <c r="B1518" s="43" t="e">
        <f>VLOOKUP($A1518,'[2]Team lists'!$A$2:$L$800,2,FALSE)</f>
        <v>#N/A</v>
      </c>
      <c r="C1518" s="43" t="e">
        <f>VLOOKUP($A1518,'[2]Team lists'!$A$2:$L$800,3,FALSE)</f>
        <v>#N/A</v>
      </c>
      <c r="D1518" s="43" t="e">
        <f>VLOOKUP($A1518,'[2]Team lists'!$A$2:$L$800,4,FALSE)</f>
        <v>#N/A</v>
      </c>
      <c r="E1518" s="43" t="e">
        <f>VLOOKUP($A1518,'[2]Team lists'!$A$2:$L$800,5,FALSE)</f>
        <v>#N/A</v>
      </c>
      <c r="F1518" s="43" t="e">
        <f>VLOOKUP($A1518,'[2]Team lists'!$A$2:$L$800,6,FALSE)</f>
        <v>#N/A</v>
      </c>
      <c r="G1518" s="43" t="e">
        <f>VLOOKUP($A1518,'[2]Team lists'!$A$2:$L$800,7,FALSE)</f>
        <v>#N/A</v>
      </c>
      <c r="H1518" s="43" t="e">
        <f>VLOOKUP($A1518,'[2]Team lists'!$A$2:$L$800,8,FALSE)</f>
        <v>#N/A</v>
      </c>
      <c r="I1518" s="43" t="e">
        <f>VLOOKUP($A1518,'[2]Team lists'!$A$2:$L$800,9,FALSE)</f>
        <v>#N/A</v>
      </c>
      <c r="J1518" s="43" t="e">
        <f>VLOOKUP($A1518,'[2]Team lists'!$A$2:$L$800,9,FALSE)</f>
        <v>#N/A</v>
      </c>
      <c r="K1518" s="43" t="e">
        <f>VLOOKUP($A1518,'[2]Team lists'!$A$2:$L$800,10,FALSE)</f>
        <v>#N/A</v>
      </c>
      <c r="L1518" s="43" t="e">
        <f>VLOOKUP($A1518,'[2]Team lists'!$A$2:$L$800,11,FALSE)</f>
        <v>#N/A</v>
      </c>
    </row>
    <row r="1519" spans="2:13" ht="18" thickBot="1">
      <c r="B1519" s="45" t="s">
        <v>3210</v>
      </c>
      <c r="C1519" s="46"/>
      <c r="D1519" s="47"/>
      <c r="E1519" s="48" t="e">
        <f t="shared" ref="E1519:L1519" si="94">SUM(E1508:E1518)</f>
        <v>#N/A</v>
      </c>
      <c r="F1519" s="49" t="e">
        <f t="shared" si="94"/>
        <v>#N/A</v>
      </c>
      <c r="G1519" s="49" t="e">
        <f t="shared" si="94"/>
        <v>#N/A</v>
      </c>
      <c r="H1519" s="49" t="e">
        <f t="shared" si="94"/>
        <v>#N/A</v>
      </c>
      <c r="I1519" s="49" t="e">
        <f t="shared" si="94"/>
        <v>#N/A</v>
      </c>
      <c r="J1519" s="49" t="e">
        <f t="shared" si="94"/>
        <v>#N/A</v>
      </c>
      <c r="K1519" s="49" t="e">
        <f t="shared" si="94"/>
        <v>#N/A</v>
      </c>
      <c r="L1519" s="50" t="e">
        <f t="shared" si="94"/>
        <v>#N/A</v>
      </c>
    </row>
    <row r="1520" spans="2:13" ht="18.600000000000001" thickTop="1" thickBot="1"/>
    <row r="1521" spans="2:13" ht="18" thickTop="1">
      <c r="B1521" s="23" t="s">
        <v>3204</v>
      </c>
      <c r="C1521" s="24" t="s">
        <v>3205</v>
      </c>
      <c r="D1521" s="25"/>
      <c r="E1521" s="25"/>
      <c r="F1521" s="53"/>
      <c r="G1521" s="28" t="s">
        <v>3206</v>
      </c>
      <c r="H1521" s="54"/>
      <c r="I1521" s="54"/>
      <c r="J1521" s="54"/>
      <c r="K1521" s="28" t="s">
        <v>3207</v>
      </c>
      <c r="L1521" s="29"/>
      <c r="M1521" s="22" t="str">
        <f>G1521</f>
        <v>Manager:</v>
      </c>
    </row>
    <row r="1522" spans="2:13" ht="18" thickBot="1">
      <c r="B1522" s="30">
        <v>96</v>
      </c>
      <c r="C1522" s="57"/>
      <c r="D1522" s="31"/>
      <c r="E1522" s="31"/>
      <c r="F1522" s="33"/>
      <c r="G1522" s="55"/>
      <c r="H1522" s="55"/>
      <c r="I1522" s="55"/>
      <c r="J1522" s="55"/>
      <c r="K1522" s="34" t="e">
        <f>SUM(F1535:L1535)</f>
        <v>#N/A</v>
      </c>
      <c r="L1522" s="35"/>
      <c r="M1522" s="22">
        <f>G1522</f>
        <v>0</v>
      </c>
    </row>
    <row r="1523" spans="2:13" ht="18.600000000000001" thickTop="1">
      <c r="B1523" s="58" t="s">
        <v>913</v>
      </c>
      <c r="C1523" s="59" t="s">
        <v>912</v>
      </c>
      <c r="D1523" s="60" t="s">
        <v>911</v>
      </c>
      <c r="E1523" s="61" t="s">
        <v>3209</v>
      </c>
      <c r="F1523" s="62" t="s">
        <v>3162</v>
      </c>
      <c r="G1523" s="62" t="s">
        <v>3163</v>
      </c>
      <c r="H1523" s="62" t="s">
        <v>3164</v>
      </c>
      <c r="I1523" s="62" t="s">
        <v>3165</v>
      </c>
      <c r="J1523" s="62" t="s">
        <v>3166</v>
      </c>
      <c r="K1523" s="62" t="s">
        <v>3167</v>
      </c>
      <c r="L1523" s="63" t="s">
        <v>3168</v>
      </c>
    </row>
    <row r="1524" spans="2:13">
      <c r="B1524" s="43" t="e">
        <f>VLOOKUP($A1524,'[2]Team lists'!$A$2:$L$800,2,FALSE)</f>
        <v>#N/A</v>
      </c>
      <c r="C1524" s="43" t="e">
        <f>VLOOKUP($A1524,'[2]Team lists'!$A$2:$L$800,3,FALSE)</f>
        <v>#N/A</v>
      </c>
      <c r="D1524" s="43" t="e">
        <f>VLOOKUP($A1524,'[2]Team lists'!$A$2:$L$800,4,FALSE)</f>
        <v>#N/A</v>
      </c>
      <c r="E1524" s="43" t="e">
        <f>VLOOKUP($A1524,'[2]Team lists'!$A$2:$L$800,5,FALSE)</f>
        <v>#N/A</v>
      </c>
      <c r="F1524" s="43" t="e">
        <f>VLOOKUP($A1524,'[2]Team lists'!$A$2:$L$800,6,FALSE)</f>
        <v>#N/A</v>
      </c>
      <c r="G1524" s="43" t="e">
        <f>VLOOKUP($A1524,'[2]Team lists'!$A$2:$L$800,7,FALSE)</f>
        <v>#N/A</v>
      </c>
      <c r="H1524" s="43" t="e">
        <f>VLOOKUP($A1524,'[2]Team lists'!$A$2:$L$800,8,FALSE)</f>
        <v>#N/A</v>
      </c>
      <c r="I1524" s="43" t="e">
        <f>VLOOKUP($A1524,'[2]Team lists'!$A$2:$L$800,9,FALSE)</f>
        <v>#N/A</v>
      </c>
      <c r="J1524" s="43" t="e">
        <f>VLOOKUP($A1524,'[2]Team lists'!$A$2:$L$800,9,FALSE)</f>
        <v>#N/A</v>
      </c>
      <c r="K1524" s="43" t="e">
        <f>VLOOKUP($A1524,'[2]Team lists'!$A$2:$L$800,10,FALSE)</f>
        <v>#N/A</v>
      </c>
      <c r="L1524" s="43" t="e">
        <f>VLOOKUP($A1524,'[2]Team lists'!$A$2:$L$800,11,FALSE)</f>
        <v>#N/A</v>
      </c>
    </row>
    <row r="1525" spans="2:13">
      <c r="B1525" s="43" t="e">
        <f>VLOOKUP($A1525,'[2]Team lists'!$A$2:$L$800,2,FALSE)</f>
        <v>#N/A</v>
      </c>
      <c r="C1525" s="43" t="e">
        <f>VLOOKUP($A1525,'[2]Team lists'!$A$2:$L$800,3,FALSE)</f>
        <v>#N/A</v>
      </c>
      <c r="D1525" s="43" t="e">
        <f>VLOOKUP($A1525,'[2]Team lists'!$A$2:$L$800,4,FALSE)</f>
        <v>#N/A</v>
      </c>
      <c r="E1525" s="43" t="e">
        <f>VLOOKUP($A1525,'[2]Team lists'!$A$2:$L$800,5,FALSE)</f>
        <v>#N/A</v>
      </c>
      <c r="F1525" s="43" t="e">
        <f>VLOOKUP($A1525,'[2]Team lists'!$A$2:$L$800,6,FALSE)</f>
        <v>#N/A</v>
      </c>
      <c r="G1525" s="43" t="e">
        <f>VLOOKUP($A1525,'[2]Team lists'!$A$2:$L$800,7,FALSE)</f>
        <v>#N/A</v>
      </c>
      <c r="H1525" s="43" t="e">
        <f>VLOOKUP($A1525,'[2]Team lists'!$A$2:$L$800,8,FALSE)</f>
        <v>#N/A</v>
      </c>
      <c r="I1525" s="43" t="e">
        <f>VLOOKUP($A1525,'[2]Team lists'!$A$2:$L$800,9,FALSE)</f>
        <v>#N/A</v>
      </c>
      <c r="J1525" s="43" t="e">
        <f>VLOOKUP($A1525,'[2]Team lists'!$A$2:$L$800,9,FALSE)</f>
        <v>#N/A</v>
      </c>
      <c r="K1525" s="43" t="e">
        <f>VLOOKUP($A1525,'[2]Team lists'!$A$2:$L$800,10,FALSE)</f>
        <v>#N/A</v>
      </c>
      <c r="L1525" s="43" t="e">
        <f>VLOOKUP($A1525,'[2]Team lists'!$A$2:$L$800,11,FALSE)</f>
        <v>#N/A</v>
      </c>
    </row>
    <row r="1526" spans="2:13">
      <c r="B1526" s="43" t="e">
        <f>VLOOKUP($A1526,'[2]Team lists'!$A$2:$L$800,2,FALSE)</f>
        <v>#N/A</v>
      </c>
      <c r="C1526" s="43" t="e">
        <f>VLOOKUP($A1526,'[2]Team lists'!$A$2:$L$800,3,FALSE)</f>
        <v>#N/A</v>
      </c>
      <c r="D1526" s="43" t="e">
        <f>VLOOKUP($A1526,'[2]Team lists'!$A$2:$L$800,4,FALSE)</f>
        <v>#N/A</v>
      </c>
      <c r="E1526" s="43" t="e">
        <f>VLOOKUP($A1526,'[2]Team lists'!$A$2:$L$800,5,FALSE)</f>
        <v>#N/A</v>
      </c>
      <c r="F1526" s="43" t="e">
        <f>VLOOKUP($A1526,'[2]Team lists'!$A$2:$L$800,6,FALSE)</f>
        <v>#N/A</v>
      </c>
      <c r="G1526" s="43" t="e">
        <f>VLOOKUP($A1526,'[2]Team lists'!$A$2:$L$800,7,FALSE)</f>
        <v>#N/A</v>
      </c>
      <c r="H1526" s="43" t="e">
        <f>VLOOKUP($A1526,'[2]Team lists'!$A$2:$L$800,8,FALSE)</f>
        <v>#N/A</v>
      </c>
      <c r="I1526" s="43" t="e">
        <f>VLOOKUP($A1526,'[2]Team lists'!$A$2:$L$800,9,FALSE)</f>
        <v>#N/A</v>
      </c>
      <c r="J1526" s="43" t="e">
        <f>VLOOKUP($A1526,'[2]Team lists'!$A$2:$L$800,9,FALSE)</f>
        <v>#N/A</v>
      </c>
      <c r="K1526" s="43" t="e">
        <f>VLOOKUP($A1526,'[2]Team lists'!$A$2:$L$800,10,FALSE)</f>
        <v>#N/A</v>
      </c>
      <c r="L1526" s="43" t="e">
        <f>VLOOKUP($A1526,'[2]Team lists'!$A$2:$L$800,11,FALSE)</f>
        <v>#N/A</v>
      </c>
    </row>
    <row r="1527" spans="2:13">
      <c r="B1527" s="43" t="e">
        <f>VLOOKUP($A1527,'[2]Team lists'!$A$2:$L$800,2,FALSE)</f>
        <v>#N/A</v>
      </c>
      <c r="C1527" s="43" t="e">
        <f>VLOOKUP($A1527,'[2]Team lists'!$A$2:$L$800,3,FALSE)</f>
        <v>#N/A</v>
      </c>
      <c r="D1527" s="43" t="e">
        <f>VLOOKUP($A1527,'[2]Team lists'!$A$2:$L$800,4,FALSE)</f>
        <v>#N/A</v>
      </c>
      <c r="E1527" s="43" t="e">
        <f>VLOOKUP($A1527,'[2]Team lists'!$A$2:$L$800,5,FALSE)</f>
        <v>#N/A</v>
      </c>
      <c r="F1527" s="43" t="e">
        <f>VLOOKUP($A1527,'[2]Team lists'!$A$2:$L$800,6,FALSE)</f>
        <v>#N/A</v>
      </c>
      <c r="G1527" s="43" t="e">
        <f>VLOOKUP($A1527,'[2]Team lists'!$A$2:$L$800,7,FALSE)</f>
        <v>#N/A</v>
      </c>
      <c r="H1527" s="43" t="e">
        <f>VLOOKUP($A1527,'[2]Team lists'!$A$2:$L$800,8,FALSE)</f>
        <v>#N/A</v>
      </c>
      <c r="I1527" s="43" t="e">
        <f>VLOOKUP($A1527,'[2]Team lists'!$A$2:$L$800,9,FALSE)</f>
        <v>#N/A</v>
      </c>
      <c r="J1527" s="43" t="e">
        <f>VLOOKUP($A1527,'[2]Team lists'!$A$2:$L$800,9,FALSE)</f>
        <v>#N/A</v>
      </c>
      <c r="K1527" s="43" t="e">
        <f>VLOOKUP($A1527,'[2]Team lists'!$A$2:$L$800,10,FALSE)</f>
        <v>#N/A</v>
      </c>
      <c r="L1527" s="43" t="e">
        <f>VLOOKUP($A1527,'[2]Team lists'!$A$2:$L$800,11,FALSE)</f>
        <v>#N/A</v>
      </c>
    </row>
    <row r="1528" spans="2:13">
      <c r="B1528" s="43" t="e">
        <f>VLOOKUP($A1528,'[2]Team lists'!$A$2:$L$800,2,FALSE)</f>
        <v>#N/A</v>
      </c>
      <c r="C1528" s="43" t="e">
        <f>VLOOKUP($A1528,'[2]Team lists'!$A$2:$L$800,3,FALSE)</f>
        <v>#N/A</v>
      </c>
      <c r="D1528" s="43" t="e">
        <f>VLOOKUP($A1528,'[2]Team lists'!$A$2:$L$800,4,FALSE)</f>
        <v>#N/A</v>
      </c>
      <c r="E1528" s="43" t="e">
        <f>VLOOKUP($A1528,'[2]Team lists'!$A$2:$L$800,5,FALSE)</f>
        <v>#N/A</v>
      </c>
      <c r="F1528" s="43" t="e">
        <f>VLOOKUP($A1528,'[2]Team lists'!$A$2:$L$800,6,FALSE)</f>
        <v>#N/A</v>
      </c>
      <c r="G1528" s="43" t="e">
        <f>VLOOKUP($A1528,'[2]Team lists'!$A$2:$L$800,7,FALSE)</f>
        <v>#N/A</v>
      </c>
      <c r="H1528" s="43" t="e">
        <f>VLOOKUP($A1528,'[2]Team lists'!$A$2:$L$800,8,FALSE)</f>
        <v>#N/A</v>
      </c>
      <c r="I1528" s="43" t="e">
        <f>VLOOKUP($A1528,'[2]Team lists'!$A$2:$L$800,9,FALSE)</f>
        <v>#N/A</v>
      </c>
      <c r="J1528" s="43" t="e">
        <f>VLOOKUP($A1528,'[2]Team lists'!$A$2:$L$800,9,FALSE)</f>
        <v>#N/A</v>
      </c>
      <c r="K1528" s="43" t="e">
        <f>VLOOKUP($A1528,'[2]Team lists'!$A$2:$L$800,10,FALSE)</f>
        <v>#N/A</v>
      </c>
      <c r="L1528" s="43" t="e">
        <f>VLOOKUP($A1528,'[2]Team lists'!$A$2:$L$800,11,FALSE)</f>
        <v>#N/A</v>
      </c>
    </row>
    <row r="1529" spans="2:13">
      <c r="B1529" s="43" t="e">
        <f>VLOOKUP($A1529,'[2]Team lists'!$A$2:$L$800,2,FALSE)</f>
        <v>#N/A</v>
      </c>
      <c r="C1529" s="43" t="e">
        <f>VLOOKUP($A1529,'[2]Team lists'!$A$2:$L$800,3,FALSE)</f>
        <v>#N/A</v>
      </c>
      <c r="D1529" s="43" t="e">
        <f>VLOOKUP($A1529,'[2]Team lists'!$A$2:$L$800,4,FALSE)</f>
        <v>#N/A</v>
      </c>
      <c r="E1529" s="43" t="e">
        <f>VLOOKUP($A1529,'[2]Team lists'!$A$2:$L$800,5,FALSE)</f>
        <v>#N/A</v>
      </c>
      <c r="F1529" s="43" t="e">
        <f>VLOOKUP($A1529,'[2]Team lists'!$A$2:$L$800,6,FALSE)</f>
        <v>#N/A</v>
      </c>
      <c r="G1529" s="43" t="e">
        <f>VLOOKUP($A1529,'[2]Team lists'!$A$2:$L$800,7,FALSE)</f>
        <v>#N/A</v>
      </c>
      <c r="H1529" s="43" t="e">
        <f>VLOOKUP($A1529,'[2]Team lists'!$A$2:$L$800,8,FALSE)</f>
        <v>#N/A</v>
      </c>
      <c r="I1529" s="43" t="e">
        <f>VLOOKUP($A1529,'[2]Team lists'!$A$2:$L$800,9,FALSE)</f>
        <v>#N/A</v>
      </c>
      <c r="J1529" s="43" t="e">
        <f>VLOOKUP($A1529,'[2]Team lists'!$A$2:$L$800,9,FALSE)</f>
        <v>#N/A</v>
      </c>
      <c r="K1529" s="43" t="e">
        <f>VLOOKUP($A1529,'[2]Team lists'!$A$2:$L$800,10,FALSE)</f>
        <v>#N/A</v>
      </c>
      <c r="L1529" s="43" t="e">
        <f>VLOOKUP($A1529,'[2]Team lists'!$A$2:$L$800,11,FALSE)</f>
        <v>#N/A</v>
      </c>
    </row>
    <row r="1530" spans="2:13">
      <c r="B1530" s="43" t="e">
        <f>VLOOKUP($A1530,'[2]Team lists'!$A$2:$L$800,2,FALSE)</f>
        <v>#N/A</v>
      </c>
      <c r="C1530" s="43" t="e">
        <f>VLOOKUP($A1530,'[2]Team lists'!$A$2:$L$800,3,FALSE)</f>
        <v>#N/A</v>
      </c>
      <c r="D1530" s="43" t="e">
        <f>VLOOKUP($A1530,'[2]Team lists'!$A$2:$L$800,4,FALSE)</f>
        <v>#N/A</v>
      </c>
      <c r="E1530" s="43" t="e">
        <f>VLOOKUP($A1530,'[2]Team lists'!$A$2:$L$800,5,FALSE)</f>
        <v>#N/A</v>
      </c>
      <c r="F1530" s="43" t="e">
        <f>VLOOKUP($A1530,'[2]Team lists'!$A$2:$L$800,6,FALSE)</f>
        <v>#N/A</v>
      </c>
      <c r="G1530" s="43" t="e">
        <f>VLOOKUP($A1530,'[2]Team lists'!$A$2:$L$800,7,FALSE)</f>
        <v>#N/A</v>
      </c>
      <c r="H1530" s="43" t="e">
        <f>VLOOKUP($A1530,'[2]Team lists'!$A$2:$L$800,8,FALSE)</f>
        <v>#N/A</v>
      </c>
      <c r="I1530" s="43" t="e">
        <f>VLOOKUP($A1530,'[2]Team lists'!$A$2:$L$800,9,FALSE)</f>
        <v>#N/A</v>
      </c>
      <c r="J1530" s="43" t="e">
        <f>VLOOKUP($A1530,'[2]Team lists'!$A$2:$L$800,9,FALSE)</f>
        <v>#N/A</v>
      </c>
      <c r="K1530" s="43" t="e">
        <f>VLOOKUP($A1530,'[2]Team lists'!$A$2:$L$800,10,FALSE)</f>
        <v>#N/A</v>
      </c>
      <c r="L1530" s="43" t="e">
        <f>VLOOKUP($A1530,'[2]Team lists'!$A$2:$L$800,11,FALSE)</f>
        <v>#N/A</v>
      </c>
    </row>
    <row r="1531" spans="2:13">
      <c r="B1531" s="43" t="e">
        <f>VLOOKUP($A1531,'[2]Team lists'!$A$2:$L$800,2,FALSE)</f>
        <v>#N/A</v>
      </c>
      <c r="C1531" s="43" t="e">
        <f>VLOOKUP($A1531,'[2]Team lists'!$A$2:$L$800,3,FALSE)</f>
        <v>#N/A</v>
      </c>
      <c r="D1531" s="43" t="e">
        <f>VLOOKUP($A1531,'[2]Team lists'!$A$2:$L$800,4,FALSE)</f>
        <v>#N/A</v>
      </c>
      <c r="E1531" s="43" t="e">
        <f>VLOOKUP($A1531,'[2]Team lists'!$A$2:$L$800,5,FALSE)</f>
        <v>#N/A</v>
      </c>
      <c r="F1531" s="43" t="e">
        <f>VLOOKUP($A1531,'[2]Team lists'!$A$2:$L$800,6,FALSE)</f>
        <v>#N/A</v>
      </c>
      <c r="G1531" s="43" t="e">
        <f>VLOOKUP($A1531,'[2]Team lists'!$A$2:$L$800,7,FALSE)</f>
        <v>#N/A</v>
      </c>
      <c r="H1531" s="43" t="e">
        <f>VLOOKUP($A1531,'[2]Team lists'!$A$2:$L$800,8,FALSE)</f>
        <v>#N/A</v>
      </c>
      <c r="I1531" s="43" t="e">
        <f>VLOOKUP($A1531,'[2]Team lists'!$A$2:$L$800,9,FALSE)</f>
        <v>#N/A</v>
      </c>
      <c r="J1531" s="43" t="e">
        <f>VLOOKUP($A1531,'[2]Team lists'!$A$2:$L$800,9,FALSE)</f>
        <v>#N/A</v>
      </c>
      <c r="K1531" s="43" t="e">
        <f>VLOOKUP($A1531,'[2]Team lists'!$A$2:$L$800,10,FALSE)</f>
        <v>#N/A</v>
      </c>
      <c r="L1531" s="43" t="e">
        <f>VLOOKUP($A1531,'[2]Team lists'!$A$2:$L$800,11,FALSE)</f>
        <v>#N/A</v>
      </c>
    </row>
    <row r="1532" spans="2:13">
      <c r="B1532" s="43" t="e">
        <f>VLOOKUP($A1532,'[2]Team lists'!$A$2:$L$800,2,FALSE)</f>
        <v>#N/A</v>
      </c>
      <c r="C1532" s="43" t="e">
        <f>VLOOKUP($A1532,'[2]Team lists'!$A$2:$L$800,3,FALSE)</f>
        <v>#N/A</v>
      </c>
      <c r="D1532" s="43" t="e">
        <f>VLOOKUP($A1532,'[2]Team lists'!$A$2:$L$800,4,FALSE)</f>
        <v>#N/A</v>
      </c>
      <c r="E1532" s="43" t="e">
        <f>VLOOKUP($A1532,'[2]Team lists'!$A$2:$L$800,5,FALSE)</f>
        <v>#N/A</v>
      </c>
      <c r="F1532" s="43" t="e">
        <f>VLOOKUP($A1532,'[2]Team lists'!$A$2:$L$800,6,FALSE)</f>
        <v>#N/A</v>
      </c>
      <c r="G1532" s="43" t="e">
        <f>VLOOKUP($A1532,'[2]Team lists'!$A$2:$L$800,7,FALSE)</f>
        <v>#N/A</v>
      </c>
      <c r="H1532" s="43" t="e">
        <f>VLOOKUP($A1532,'[2]Team lists'!$A$2:$L$800,8,FALSE)</f>
        <v>#N/A</v>
      </c>
      <c r="I1532" s="43" t="e">
        <f>VLOOKUP($A1532,'[2]Team lists'!$A$2:$L$800,9,FALSE)</f>
        <v>#N/A</v>
      </c>
      <c r="J1532" s="43" t="e">
        <f>VLOOKUP($A1532,'[2]Team lists'!$A$2:$L$800,9,FALSE)</f>
        <v>#N/A</v>
      </c>
      <c r="K1532" s="43" t="e">
        <f>VLOOKUP($A1532,'[2]Team lists'!$A$2:$L$800,10,FALSE)</f>
        <v>#N/A</v>
      </c>
      <c r="L1532" s="43" t="e">
        <f>VLOOKUP($A1532,'[2]Team lists'!$A$2:$L$800,11,FALSE)</f>
        <v>#N/A</v>
      </c>
    </row>
    <row r="1533" spans="2:13">
      <c r="B1533" s="43" t="e">
        <f>VLOOKUP($A1533,'[2]Team lists'!$A$2:$L$800,2,FALSE)</f>
        <v>#N/A</v>
      </c>
      <c r="C1533" s="43" t="e">
        <f>VLOOKUP($A1533,'[2]Team lists'!$A$2:$L$800,3,FALSE)</f>
        <v>#N/A</v>
      </c>
      <c r="D1533" s="43" t="e">
        <f>VLOOKUP($A1533,'[2]Team lists'!$A$2:$L$800,4,FALSE)</f>
        <v>#N/A</v>
      </c>
      <c r="E1533" s="43" t="e">
        <f>VLOOKUP($A1533,'[2]Team lists'!$A$2:$L$800,5,FALSE)</f>
        <v>#N/A</v>
      </c>
      <c r="F1533" s="43" t="e">
        <f>VLOOKUP($A1533,'[2]Team lists'!$A$2:$L$800,6,FALSE)</f>
        <v>#N/A</v>
      </c>
      <c r="G1533" s="43" t="e">
        <f>VLOOKUP($A1533,'[2]Team lists'!$A$2:$L$800,7,FALSE)</f>
        <v>#N/A</v>
      </c>
      <c r="H1533" s="43" t="e">
        <f>VLOOKUP($A1533,'[2]Team lists'!$A$2:$L$800,8,FALSE)</f>
        <v>#N/A</v>
      </c>
      <c r="I1533" s="43" t="e">
        <f>VLOOKUP($A1533,'[2]Team lists'!$A$2:$L$800,9,FALSE)</f>
        <v>#N/A</v>
      </c>
      <c r="J1533" s="43" t="e">
        <f>VLOOKUP($A1533,'[2]Team lists'!$A$2:$L$800,9,FALSE)</f>
        <v>#N/A</v>
      </c>
      <c r="K1533" s="43" t="e">
        <f>VLOOKUP($A1533,'[2]Team lists'!$A$2:$L$800,10,FALSE)</f>
        <v>#N/A</v>
      </c>
      <c r="L1533" s="43" t="e">
        <f>VLOOKUP($A1533,'[2]Team lists'!$A$2:$L$800,11,FALSE)</f>
        <v>#N/A</v>
      </c>
    </row>
    <row r="1534" spans="2:13">
      <c r="B1534" s="43" t="e">
        <f>VLOOKUP($A1534,'[2]Team lists'!$A$2:$L$800,2,FALSE)</f>
        <v>#N/A</v>
      </c>
      <c r="C1534" s="43" t="e">
        <f>VLOOKUP($A1534,'[2]Team lists'!$A$2:$L$800,3,FALSE)</f>
        <v>#N/A</v>
      </c>
      <c r="D1534" s="43" t="e">
        <f>VLOOKUP($A1534,'[2]Team lists'!$A$2:$L$800,4,FALSE)</f>
        <v>#N/A</v>
      </c>
      <c r="E1534" s="43" t="e">
        <f>VLOOKUP($A1534,'[2]Team lists'!$A$2:$L$800,5,FALSE)</f>
        <v>#N/A</v>
      </c>
      <c r="F1534" s="43" t="e">
        <f>VLOOKUP($A1534,'[2]Team lists'!$A$2:$L$800,6,FALSE)</f>
        <v>#N/A</v>
      </c>
      <c r="G1534" s="43" t="e">
        <f>VLOOKUP($A1534,'[2]Team lists'!$A$2:$L$800,7,FALSE)</f>
        <v>#N/A</v>
      </c>
      <c r="H1534" s="43" t="e">
        <f>VLOOKUP($A1534,'[2]Team lists'!$A$2:$L$800,8,FALSE)</f>
        <v>#N/A</v>
      </c>
      <c r="I1534" s="43" t="e">
        <f>VLOOKUP($A1534,'[2]Team lists'!$A$2:$L$800,9,FALSE)</f>
        <v>#N/A</v>
      </c>
      <c r="J1534" s="43" t="e">
        <f>VLOOKUP($A1534,'[2]Team lists'!$A$2:$L$800,9,FALSE)</f>
        <v>#N/A</v>
      </c>
      <c r="K1534" s="43" t="e">
        <f>VLOOKUP($A1534,'[2]Team lists'!$A$2:$L$800,10,FALSE)</f>
        <v>#N/A</v>
      </c>
      <c r="L1534" s="43" t="e">
        <f>VLOOKUP($A1534,'[2]Team lists'!$A$2:$L$800,11,FALSE)</f>
        <v>#N/A</v>
      </c>
    </row>
    <row r="1535" spans="2:13" ht="18" thickBot="1">
      <c r="B1535" s="45" t="s">
        <v>3210</v>
      </c>
      <c r="C1535" s="46"/>
      <c r="D1535" s="47"/>
      <c r="E1535" s="48" t="e">
        <f t="shared" ref="E1535:L1535" si="95">SUM(E1524:E1534)</f>
        <v>#N/A</v>
      </c>
      <c r="F1535" s="49" t="e">
        <f t="shared" si="95"/>
        <v>#N/A</v>
      </c>
      <c r="G1535" s="49" t="e">
        <f t="shared" si="95"/>
        <v>#N/A</v>
      </c>
      <c r="H1535" s="49" t="e">
        <f t="shared" si="95"/>
        <v>#N/A</v>
      </c>
      <c r="I1535" s="49" t="e">
        <f t="shared" si="95"/>
        <v>#N/A</v>
      </c>
      <c r="J1535" s="49" t="e">
        <f t="shared" si="95"/>
        <v>#N/A</v>
      </c>
      <c r="K1535" s="49" t="e">
        <f t="shared" si="95"/>
        <v>#N/A</v>
      </c>
      <c r="L1535" s="50" t="e">
        <f t="shared" si="95"/>
        <v>#N/A</v>
      </c>
    </row>
    <row r="1536" spans="2:13" ht="18.600000000000001" thickTop="1" thickBot="1"/>
    <row r="1537" spans="2:13" ht="18" thickTop="1">
      <c r="B1537" s="23" t="s">
        <v>3204</v>
      </c>
      <c r="C1537" s="24" t="s">
        <v>3205</v>
      </c>
      <c r="D1537" s="25"/>
      <c r="E1537" s="25"/>
      <c r="F1537" s="53"/>
      <c r="G1537" s="28" t="s">
        <v>3206</v>
      </c>
      <c r="H1537" s="54"/>
      <c r="I1537" s="54"/>
      <c r="J1537" s="54"/>
      <c r="K1537" s="28" t="s">
        <v>3207</v>
      </c>
      <c r="L1537" s="29"/>
      <c r="M1537" s="22" t="str">
        <f>G1537</f>
        <v>Manager:</v>
      </c>
    </row>
    <row r="1538" spans="2:13" ht="18" thickBot="1">
      <c r="B1538" s="30">
        <v>97</v>
      </c>
      <c r="C1538" s="57"/>
      <c r="D1538" s="31"/>
      <c r="E1538" s="31"/>
      <c r="F1538" s="33"/>
      <c r="G1538" s="55"/>
      <c r="H1538" s="55"/>
      <c r="I1538" s="55"/>
      <c r="J1538" s="55"/>
      <c r="K1538" s="34" t="e">
        <f>SUM(F1551:L1551)</f>
        <v>#N/A</v>
      </c>
      <c r="L1538" s="35"/>
      <c r="M1538" s="22">
        <f>G1538</f>
        <v>0</v>
      </c>
    </row>
    <row r="1539" spans="2:13" ht="18.600000000000001" thickTop="1">
      <c r="B1539" s="58" t="s">
        <v>913</v>
      </c>
      <c r="C1539" s="59" t="s">
        <v>912</v>
      </c>
      <c r="D1539" s="60" t="s">
        <v>911</v>
      </c>
      <c r="E1539" s="61" t="s">
        <v>3209</v>
      </c>
      <c r="F1539" s="62" t="s">
        <v>3162</v>
      </c>
      <c r="G1539" s="62" t="s">
        <v>3163</v>
      </c>
      <c r="H1539" s="62" t="s">
        <v>3164</v>
      </c>
      <c r="I1539" s="62" t="s">
        <v>3165</v>
      </c>
      <c r="J1539" s="62" t="s">
        <v>3166</v>
      </c>
      <c r="K1539" s="62" t="s">
        <v>3167</v>
      </c>
      <c r="L1539" s="63" t="s">
        <v>3168</v>
      </c>
    </row>
    <row r="1540" spans="2:13">
      <c r="B1540" s="43" t="e">
        <f>VLOOKUP($A1540,'[2]Team lists'!$A$2:$L$800,2,FALSE)</f>
        <v>#N/A</v>
      </c>
      <c r="C1540" s="43" t="e">
        <f>VLOOKUP($A1540,'[2]Team lists'!$A$2:$L$800,3,FALSE)</f>
        <v>#N/A</v>
      </c>
      <c r="D1540" s="43" t="e">
        <f>VLOOKUP($A1540,'[2]Team lists'!$A$2:$L$800,4,FALSE)</f>
        <v>#N/A</v>
      </c>
      <c r="E1540" s="43" t="e">
        <f>VLOOKUP($A1540,'[2]Team lists'!$A$2:$L$800,5,FALSE)</f>
        <v>#N/A</v>
      </c>
      <c r="F1540" s="43" t="e">
        <f>VLOOKUP($A1540,'[2]Team lists'!$A$2:$L$800,6,FALSE)</f>
        <v>#N/A</v>
      </c>
      <c r="G1540" s="43" t="e">
        <f>VLOOKUP($A1540,'[2]Team lists'!$A$2:$L$800,7,FALSE)</f>
        <v>#N/A</v>
      </c>
      <c r="H1540" s="43" t="e">
        <f>VLOOKUP($A1540,'[2]Team lists'!$A$2:$L$800,8,FALSE)</f>
        <v>#N/A</v>
      </c>
      <c r="I1540" s="43" t="e">
        <f>VLOOKUP($A1540,'[2]Team lists'!$A$2:$L$800,9,FALSE)</f>
        <v>#N/A</v>
      </c>
      <c r="J1540" s="43" t="e">
        <f>VLOOKUP($A1540,'[2]Team lists'!$A$2:$L$800,9,FALSE)</f>
        <v>#N/A</v>
      </c>
      <c r="K1540" s="43" t="e">
        <f>VLOOKUP($A1540,'[2]Team lists'!$A$2:$L$800,10,FALSE)</f>
        <v>#N/A</v>
      </c>
      <c r="L1540" s="43" t="e">
        <f>VLOOKUP($A1540,'[2]Team lists'!$A$2:$L$800,11,FALSE)</f>
        <v>#N/A</v>
      </c>
    </row>
    <row r="1541" spans="2:13">
      <c r="B1541" s="43" t="e">
        <f>VLOOKUP($A1541,'[2]Team lists'!$A$2:$L$800,2,FALSE)</f>
        <v>#N/A</v>
      </c>
      <c r="C1541" s="43" t="e">
        <f>VLOOKUP($A1541,'[2]Team lists'!$A$2:$L$800,3,FALSE)</f>
        <v>#N/A</v>
      </c>
      <c r="D1541" s="43" t="e">
        <f>VLOOKUP($A1541,'[2]Team lists'!$A$2:$L$800,4,FALSE)</f>
        <v>#N/A</v>
      </c>
      <c r="E1541" s="43" t="e">
        <f>VLOOKUP($A1541,'[2]Team lists'!$A$2:$L$800,5,FALSE)</f>
        <v>#N/A</v>
      </c>
      <c r="F1541" s="43" t="e">
        <f>VLOOKUP($A1541,'[2]Team lists'!$A$2:$L$800,6,FALSE)</f>
        <v>#N/A</v>
      </c>
      <c r="G1541" s="43" t="e">
        <f>VLOOKUP($A1541,'[2]Team lists'!$A$2:$L$800,7,FALSE)</f>
        <v>#N/A</v>
      </c>
      <c r="H1541" s="43" t="e">
        <f>VLOOKUP($A1541,'[2]Team lists'!$A$2:$L$800,8,FALSE)</f>
        <v>#N/A</v>
      </c>
      <c r="I1541" s="43" t="e">
        <f>VLOOKUP($A1541,'[2]Team lists'!$A$2:$L$800,9,FALSE)</f>
        <v>#N/A</v>
      </c>
      <c r="J1541" s="43" t="e">
        <f>VLOOKUP($A1541,'[2]Team lists'!$A$2:$L$800,9,FALSE)</f>
        <v>#N/A</v>
      </c>
      <c r="K1541" s="43" t="e">
        <f>VLOOKUP($A1541,'[2]Team lists'!$A$2:$L$800,10,FALSE)</f>
        <v>#N/A</v>
      </c>
      <c r="L1541" s="43" t="e">
        <f>VLOOKUP($A1541,'[2]Team lists'!$A$2:$L$800,11,FALSE)</f>
        <v>#N/A</v>
      </c>
    </row>
    <row r="1542" spans="2:13">
      <c r="B1542" s="43" t="e">
        <f>VLOOKUP($A1542,'[2]Team lists'!$A$2:$L$800,2,FALSE)</f>
        <v>#N/A</v>
      </c>
      <c r="C1542" s="43" t="e">
        <f>VLOOKUP($A1542,'[2]Team lists'!$A$2:$L$800,3,FALSE)</f>
        <v>#N/A</v>
      </c>
      <c r="D1542" s="43" t="e">
        <f>VLOOKUP($A1542,'[2]Team lists'!$A$2:$L$800,4,FALSE)</f>
        <v>#N/A</v>
      </c>
      <c r="E1542" s="43" t="e">
        <f>VLOOKUP($A1542,'[2]Team lists'!$A$2:$L$800,5,FALSE)</f>
        <v>#N/A</v>
      </c>
      <c r="F1542" s="43" t="e">
        <f>VLOOKUP($A1542,'[2]Team lists'!$A$2:$L$800,6,FALSE)</f>
        <v>#N/A</v>
      </c>
      <c r="G1542" s="43" t="e">
        <f>VLOOKUP($A1542,'[2]Team lists'!$A$2:$L$800,7,FALSE)</f>
        <v>#N/A</v>
      </c>
      <c r="H1542" s="43" t="e">
        <f>VLOOKUP($A1542,'[2]Team lists'!$A$2:$L$800,8,FALSE)</f>
        <v>#N/A</v>
      </c>
      <c r="I1542" s="43" t="e">
        <f>VLOOKUP($A1542,'[2]Team lists'!$A$2:$L$800,9,FALSE)</f>
        <v>#N/A</v>
      </c>
      <c r="J1542" s="43" t="e">
        <f>VLOOKUP($A1542,'[2]Team lists'!$A$2:$L$800,9,FALSE)</f>
        <v>#N/A</v>
      </c>
      <c r="K1542" s="43" t="e">
        <f>VLOOKUP($A1542,'[2]Team lists'!$A$2:$L$800,10,FALSE)</f>
        <v>#N/A</v>
      </c>
      <c r="L1542" s="43" t="e">
        <f>VLOOKUP($A1542,'[2]Team lists'!$A$2:$L$800,11,FALSE)</f>
        <v>#N/A</v>
      </c>
    </row>
    <row r="1543" spans="2:13">
      <c r="B1543" s="43" t="e">
        <f>VLOOKUP($A1543,'[2]Team lists'!$A$2:$L$800,2,FALSE)</f>
        <v>#N/A</v>
      </c>
      <c r="C1543" s="43" t="e">
        <f>VLOOKUP($A1543,'[2]Team lists'!$A$2:$L$800,3,FALSE)</f>
        <v>#N/A</v>
      </c>
      <c r="D1543" s="43" t="e">
        <f>VLOOKUP($A1543,'[2]Team lists'!$A$2:$L$800,4,FALSE)</f>
        <v>#N/A</v>
      </c>
      <c r="E1543" s="43" t="e">
        <f>VLOOKUP($A1543,'[2]Team lists'!$A$2:$L$800,5,FALSE)</f>
        <v>#N/A</v>
      </c>
      <c r="F1543" s="43" t="e">
        <f>VLOOKUP($A1543,'[2]Team lists'!$A$2:$L$800,6,FALSE)</f>
        <v>#N/A</v>
      </c>
      <c r="G1543" s="43" t="e">
        <f>VLOOKUP($A1543,'[2]Team lists'!$A$2:$L$800,7,FALSE)</f>
        <v>#N/A</v>
      </c>
      <c r="H1543" s="43" t="e">
        <f>VLOOKUP($A1543,'[2]Team lists'!$A$2:$L$800,8,FALSE)</f>
        <v>#N/A</v>
      </c>
      <c r="I1543" s="43" t="e">
        <f>VLOOKUP($A1543,'[2]Team lists'!$A$2:$L$800,9,FALSE)</f>
        <v>#N/A</v>
      </c>
      <c r="J1543" s="43" t="e">
        <f>VLOOKUP($A1543,'[2]Team lists'!$A$2:$L$800,9,FALSE)</f>
        <v>#N/A</v>
      </c>
      <c r="K1543" s="43" t="e">
        <f>VLOOKUP($A1543,'[2]Team lists'!$A$2:$L$800,10,FALSE)</f>
        <v>#N/A</v>
      </c>
      <c r="L1543" s="43" t="e">
        <f>VLOOKUP($A1543,'[2]Team lists'!$A$2:$L$800,11,FALSE)</f>
        <v>#N/A</v>
      </c>
    </row>
    <row r="1544" spans="2:13">
      <c r="B1544" s="43" t="e">
        <f>VLOOKUP($A1544,'[2]Team lists'!$A$2:$L$800,2,FALSE)</f>
        <v>#N/A</v>
      </c>
      <c r="C1544" s="43" t="e">
        <f>VLOOKUP($A1544,'[2]Team lists'!$A$2:$L$800,3,FALSE)</f>
        <v>#N/A</v>
      </c>
      <c r="D1544" s="43" t="e">
        <f>VLOOKUP($A1544,'[2]Team lists'!$A$2:$L$800,4,FALSE)</f>
        <v>#N/A</v>
      </c>
      <c r="E1544" s="43" t="e">
        <f>VLOOKUP($A1544,'[2]Team lists'!$A$2:$L$800,5,FALSE)</f>
        <v>#N/A</v>
      </c>
      <c r="F1544" s="43" t="e">
        <f>VLOOKUP($A1544,'[2]Team lists'!$A$2:$L$800,6,FALSE)</f>
        <v>#N/A</v>
      </c>
      <c r="G1544" s="43" t="e">
        <f>VLOOKUP($A1544,'[2]Team lists'!$A$2:$L$800,7,FALSE)</f>
        <v>#N/A</v>
      </c>
      <c r="H1544" s="43" t="e">
        <f>VLOOKUP($A1544,'[2]Team lists'!$A$2:$L$800,8,FALSE)</f>
        <v>#N/A</v>
      </c>
      <c r="I1544" s="43" t="e">
        <f>VLOOKUP($A1544,'[2]Team lists'!$A$2:$L$800,9,FALSE)</f>
        <v>#N/A</v>
      </c>
      <c r="J1544" s="43" t="e">
        <f>VLOOKUP($A1544,'[2]Team lists'!$A$2:$L$800,9,FALSE)</f>
        <v>#N/A</v>
      </c>
      <c r="K1544" s="43" t="e">
        <f>VLOOKUP($A1544,'[2]Team lists'!$A$2:$L$800,10,FALSE)</f>
        <v>#N/A</v>
      </c>
      <c r="L1544" s="43" t="e">
        <f>VLOOKUP($A1544,'[2]Team lists'!$A$2:$L$800,11,FALSE)</f>
        <v>#N/A</v>
      </c>
    </row>
    <row r="1545" spans="2:13">
      <c r="B1545" s="43" t="e">
        <f>VLOOKUP($A1545,'[2]Team lists'!$A$2:$L$800,2,FALSE)</f>
        <v>#N/A</v>
      </c>
      <c r="C1545" s="43" t="e">
        <f>VLOOKUP($A1545,'[2]Team lists'!$A$2:$L$800,3,FALSE)</f>
        <v>#N/A</v>
      </c>
      <c r="D1545" s="43" t="e">
        <f>VLOOKUP($A1545,'[2]Team lists'!$A$2:$L$800,4,FALSE)</f>
        <v>#N/A</v>
      </c>
      <c r="E1545" s="43" t="e">
        <f>VLOOKUP($A1545,'[2]Team lists'!$A$2:$L$800,5,FALSE)</f>
        <v>#N/A</v>
      </c>
      <c r="F1545" s="43" t="e">
        <f>VLOOKUP($A1545,'[2]Team lists'!$A$2:$L$800,6,FALSE)</f>
        <v>#N/A</v>
      </c>
      <c r="G1545" s="43" t="e">
        <f>VLOOKUP($A1545,'[2]Team lists'!$A$2:$L$800,7,FALSE)</f>
        <v>#N/A</v>
      </c>
      <c r="H1545" s="43" t="e">
        <f>VLOOKUP($A1545,'[2]Team lists'!$A$2:$L$800,8,FALSE)</f>
        <v>#N/A</v>
      </c>
      <c r="I1545" s="43" t="e">
        <f>VLOOKUP($A1545,'[2]Team lists'!$A$2:$L$800,9,FALSE)</f>
        <v>#N/A</v>
      </c>
      <c r="J1545" s="43" t="e">
        <f>VLOOKUP($A1545,'[2]Team lists'!$A$2:$L$800,9,FALSE)</f>
        <v>#N/A</v>
      </c>
      <c r="K1545" s="43" t="e">
        <f>VLOOKUP($A1545,'[2]Team lists'!$A$2:$L$800,10,FALSE)</f>
        <v>#N/A</v>
      </c>
      <c r="L1545" s="43" t="e">
        <f>VLOOKUP($A1545,'[2]Team lists'!$A$2:$L$800,11,FALSE)</f>
        <v>#N/A</v>
      </c>
    </row>
    <row r="1546" spans="2:13">
      <c r="B1546" s="43" t="e">
        <f>VLOOKUP($A1546,'[2]Team lists'!$A$2:$L$800,2,FALSE)</f>
        <v>#N/A</v>
      </c>
      <c r="C1546" s="43" t="e">
        <f>VLOOKUP($A1546,'[2]Team lists'!$A$2:$L$800,3,FALSE)</f>
        <v>#N/A</v>
      </c>
      <c r="D1546" s="43" t="e">
        <f>VLOOKUP($A1546,'[2]Team lists'!$A$2:$L$800,4,FALSE)</f>
        <v>#N/A</v>
      </c>
      <c r="E1546" s="43" t="e">
        <f>VLOOKUP($A1546,'[2]Team lists'!$A$2:$L$800,5,FALSE)</f>
        <v>#N/A</v>
      </c>
      <c r="F1546" s="43" t="e">
        <f>VLOOKUP($A1546,'[2]Team lists'!$A$2:$L$800,6,FALSE)</f>
        <v>#N/A</v>
      </c>
      <c r="G1546" s="43" t="e">
        <f>VLOOKUP($A1546,'[2]Team lists'!$A$2:$L$800,7,FALSE)</f>
        <v>#N/A</v>
      </c>
      <c r="H1546" s="43" t="e">
        <f>VLOOKUP($A1546,'[2]Team lists'!$A$2:$L$800,8,FALSE)</f>
        <v>#N/A</v>
      </c>
      <c r="I1546" s="43" t="e">
        <f>VLOOKUP($A1546,'[2]Team lists'!$A$2:$L$800,9,FALSE)</f>
        <v>#N/A</v>
      </c>
      <c r="J1546" s="43" t="e">
        <f>VLOOKUP($A1546,'[2]Team lists'!$A$2:$L$800,9,FALSE)</f>
        <v>#N/A</v>
      </c>
      <c r="K1546" s="43" t="e">
        <f>VLOOKUP($A1546,'[2]Team lists'!$A$2:$L$800,10,FALSE)</f>
        <v>#N/A</v>
      </c>
      <c r="L1546" s="43" t="e">
        <f>VLOOKUP($A1546,'[2]Team lists'!$A$2:$L$800,11,FALSE)</f>
        <v>#N/A</v>
      </c>
    </row>
    <row r="1547" spans="2:13">
      <c r="B1547" s="43" t="e">
        <f>VLOOKUP($A1547,'[2]Team lists'!$A$2:$L$800,2,FALSE)</f>
        <v>#N/A</v>
      </c>
      <c r="C1547" s="43" t="e">
        <f>VLOOKUP($A1547,'[2]Team lists'!$A$2:$L$800,3,FALSE)</f>
        <v>#N/A</v>
      </c>
      <c r="D1547" s="43" t="e">
        <f>VLOOKUP($A1547,'[2]Team lists'!$A$2:$L$800,4,FALSE)</f>
        <v>#N/A</v>
      </c>
      <c r="E1547" s="43" t="e">
        <f>VLOOKUP($A1547,'[2]Team lists'!$A$2:$L$800,5,FALSE)</f>
        <v>#N/A</v>
      </c>
      <c r="F1547" s="43" t="e">
        <f>VLOOKUP($A1547,'[2]Team lists'!$A$2:$L$800,6,FALSE)</f>
        <v>#N/A</v>
      </c>
      <c r="G1547" s="43" t="e">
        <f>VLOOKUP($A1547,'[2]Team lists'!$A$2:$L$800,7,FALSE)</f>
        <v>#N/A</v>
      </c>
      <c r="H1547" s="43" t="e">
        <f>VLOOKUP($A1547,'[2]Team lists'!$A$2:$L$800,8,FALSE)</f>
        <v>#N/A</v>
      </c>
      <c r="I1547" s="43" t="e">
        <f>VLOOKUP($A1547,'[2]Team lists'!$A$2:$L$800,9,FALSE)</f>
        <v>#N/A</v>
      </c>
      <c r="J1547" s="43" t="e">
        <f>VLOOKUP($A1547,'[2]Team lists'!$A$2:$L$800,9,FALSE)</f>
        <v>#N/A</v>
      </c>
      <c r="K1547" s="43" t="e">
        <f>VLOOKUP($A1547,'[2]Team lists'!$A$2:$L$800,10,FALSE)</f>
        <v>#N/A</v>
      </c>
      <c r="L1547" s="43" t="e">
        <f>VLOOKUP($A1547,'[2]Team lists'!$A$2:$L$800,11,FALSE)</f>
        <v>#N/A</v>
      </c>
    </row>
    <row r="1548" spans="2:13">
      <c r="B1548" s="43" t="e">
        <f>VLOOKUP($A1548,'[2]Team lists'!$A$2:$L$800,2,FALSE)</f>
        <v>#N/A</v>
      </c>
      <c r="C1548" s="43" t="e">
        <f>VLOOKUP($A1548,'[2]Team lists'!$A$2:$L$800,3,FALSE)</f>
        <v>#N/A</v>
      </c>
      <c r="D1548" s="43" t="e">
        <f>VLOOKUP($A1548,'[2]Team lists'!$A$2:$L$800,4,FALSE)</f>
        <v>#N/A</v>
      </c>
      <c r="E1548" s="43" t="e">
        <f>VLOOKUP($A1548,'[2]Team lists'!$A$2:$L$800,5,FALSE)</f>
        <v>#N/A</v>
      </c>
      <c r="F1548" s="43" t="e">
        <f>VLOOKUP($A1548,'[2]Team lists'!$A$2:$L$800,6,FALSE)</f>
        <v>#N/A</v>
      </c>
      <c r="G1548" s="43" t="e">
        <f>VLOOKUP($A1548,'[2]Team lists'!$A$2:$L$800,7,FALSE)</f>
        <v>#N/A</v>
      </c>
      <c r="H1548" s="43" t="e">
        <f>VLOOKUP($A1548,'[2]Team lists'!$A$2:$L$800,8,FALSE)</f>
        <v>#N/A</v>
      </c>
      <c r="I1548" s="43" t="e">
        <f>VLOOKUP($A1548,'[2]Team lists'!$A$2:$L$800,9,FALSE)</f>
        <v>#N/A</v>
      </c>
      <c r="J1548" s="43" t="e">
        <f>VLOOKUP($A1548,'[2]Team lists'!$A$2:$L$800,9,FALSE)</f>
        <v>#N/A</v>
      </c>
      <c r="K1548" s="43" t="e">
        <f>VLOOKUP($A1548,'[2]Team lists'!$A$2:$L$800,10,FALSE)</f>
        <v>#N/A</v>
      </c>
      <c r="L1548" s="43" t="e">
        <f>VLOOKUP($A1548,'[2]Team lists'!$A$2:$L$800,11,FALSE)</f>
        <v>#N/A</v>
      </c>
    </row>
    <row r="1549" spans="2:13">
      <c r="B1549" s="43" t="e">
        <f>VLOOKUP($A1549,'[2]Team lists'!$A$2:$L$800,2,FALSE)</f>
        <v>#N/A</v>
      </c>
      <c r="C1549" s="43" t="e">
        <f>VLOOKUP($A1549,'[2]Team lists'!$A$2:$L$800,3,FALSE)</f>
        <v>#N/A</v>
      </c>
      <c r="D1549" s="43" t="e">
        <f>VLOOKUP($A1549,'[2]Team lists'!$A$2:$L$800,4,FALSE)</f>
        <v>#N/A</v>
      </c>
      <c r="E1549" s="43" t="e">
        <f>VLOOKUP($A1549,'[2]Team lists'!$A$2:$L$800,5,FALSE)</f>
        <v>#N/A</v>
      </c>
      <c r="F1549" s="43" t="e">
        <f>VLOOKUP($A1549,'[2]Team lists'!$A$2:$L$800,6,FALSE)</f>
        <v>#N/A</v>
      </c>
      <c r="G1549" s="43" t="e">
        <f>VLOOKUP($A1549,'[2]Team lists'!$A$2:$L$800,7,FALSE)</f>
        <v>#N/A</v>
      </c>
      <c r="H1549" s="43" t="e">
        <f>VLOOKUP($A1549,'[2]Team lists'!$A$2:$L$800,8,FALSE)</f>
        <v>#N/A</v>
      </c>
      <c r="I1549" s="43" t="e">
        <f>VLOOKUP($A1549,'[2]Team lists'!$A$2:$L$800,9,FALSE)</f>
        <v>#N/A</v>
      </c>
      <c r="J1549" s="43" t="e">
        <f>VLOOKUP($A1549,'[2]Team lists'!$A$2:$L$800,9,FALSE)</f>
        <v>#N/A</v>
      </c>
      <c r="K1549" s="43" t="e">
        <f>VLOOKUP($A1549,'[2]Team lists'!$A$2:$L$800,10,FALSE)</f>
        <v>#N/A</v>
      </c>
      <c r="L1549" s="43" t="e">
        <f>VLOOKUP($A1549,'[2]Team lists'!$A$2:$L$800,11,FALSE)</f>
        <v>#N/A</v>
      </c>
    </row>
    <row r="1550" spans="2:13">
      <c r="B1550" s="43" t="e">
        <f>VLOOKUP($A1550,'[2]Team lists'!$A$2:$L$800,2,FALSE)</f>
        <v>#N/A</v>
      </c>
      <c r="C1550" s="43" t="e">
        <f>VLOOKUP($A1550,'[2]Team lists'!$A$2:$L$800,3,FALSE)</f>
        <v>#N/A</v>
      </c>
      <c r="D1550" s="43" t="e">
        <f>VLOOKUP($A1550,'[2]Team lists'!$A$2:$L$800,4,FALSE)</f>
        <v>#N/A</v>
      </c>
      <c r="E1550" s="43" t="e">
        <f>VLOOKUP($A1550,'[2]Team lists'!$A$2:$L$800,5,FALSE)</f>
        <v>#N/A</v>
      </c>
      <c r="F1550" s="43" t="e">
        <f>VLOOKUP($A1550,'[2]Team lists'!$A$2:$L$800,6,FALSE)</f>
        <v>#N/A</v>
      </c>
      <c r="G1550" s="43" t="e">
        <f>VLOOKUP($A1550,'[2]Team lists'!$A$2:$L$800,7,FALSE)</f>
        <v>#N/A</v>
      </c>
      <c r="H1550" s="43" t="e">
        <f>VLOOKUP($A1550,'[2]Team lists'!$A$2:$L$800,8,FALSE)</f>
        <v>#N/A</v>
      </c>
      <c r="I1550" s="43" t="e">
        <f>VLOOKUP($A1550,'[2]Team lists'!$A$2:$L$800,9,FALSE)</f>
        <v>#N/A</v>
      </c>
      <c r="J1550" s="43" t="e">
        <f>VLOOKUP($A1550,'[2]Team lists'!$A$2:$L$800,9,FALSE)</f>
        <v>#N/A</v>
      </c>
      <c r="K1550" s="43" t="e">
        <f>VLOOKUP($A1550,'[2]Team lists'!$A$2:$L$800,10,FALSE)</f>
        <v>#N/A</v>
      </c>
      <c r="L1550" s="43" t="e">
        <f>VLOOKUP($A1550,'[2]Team lists'!$A$2:$L$800,11,FALSE)</f>
        <v>#N/A</v>
      </c>
    </row>
    <row r="1551" spans="2:13" ht="18" thickBot="1">
      <c r="B1551" s="45" t="s">
        <v>3210</v>
      </c>
      <c r="C1551" s="46"/>
      <c r="D1551" s="47"/>
      <c r="E1551" s="48" t="e">
        <f t="shared" ref="E1551:L1551" si="96">SUM(E1540:E1550)</f>
        <v>#N/A</v>
      </c>
      <c r="F1551" s="49" t="e">
        <f t="shared" si="96"/>
        <v>#N/A</v>
      </c>
      <c r="G1551" s="49" t="e">
        <f t="shared" si="96"/>
        <v>#N/A</v>
      </c>
      <c r="H1551" s="49" t="e">
        <f t="shared" si="96"/>
        <v>#N/A</v>
      </c>
      <c r="I1551" s="49" t="e">
        <f t="shared" si="96"/>
        <v>#N/A</v>
      </c>
      <c r="J1551" s="49" t="e">
        <f t="shared" si="96"/>
        <v>#N/A</v>
      </c>
      <c r="K1551" s="49" t="e">
        <f t="shared" si="96"/>
        <v>#N/A</v>
      </c>
      <c r="L1551" s="50" t="e">
        <f t="shared" si="96"/>
        <v>#N/A</v>
      </c>
    </row>
    <row r="1552" spans="2:13" ht="18.600000000000001" thickTop="1" thickBot="1"/>
    <row r="1553" spans="2:13" ht="18" thickTop="1">
      <c r="B1553" s="23" t="s">
        <v>3204</v>
      </c>
      <c r="C1553" s="24" t="s">
        <v>3205</v>
      </c>
      <c r="D1553" s="25"/>
      <c r="E1553" s="25"/>
      <c r="F1553" s="53"/>
      <c r="G1553" s="28" t="s">
        <v>3206</v>
      </c>
      <c r="H1553" s="54"/>
      <c r="I1553" s="54"/>
      <c r="J1553" s="54"/>
      <c r="K1553" s="28" t="s">
        <v>3207</v>
      </c>
      <c r="L1553" s="29"/>
      <c r="M1553" s="22" t="str">
        <f>G1553</f>
        <v>Manager:</v>
      </c>
    </row>
    <row r="1554" spans="2:13" ht="18" thickBot="1">
      <c r="B1554" s="30">
        <v>98</v>
      </c>
      <c r="C1554" s="57"/>
      <c r="D1554" s="31"/>
      <c r="E1554" s="31"/>
      <c r="F1554" s="33"/>
      <c r="G1554" s="55"/>
      <c r="H1554" s="55"/>
      <c r="I1554" s="55"/>
      <c r="J1554" s="55"/>
      <c r="K1554" s="34" t="e">
        <f>SUM(F1567:L1567)</f>
        <v>#N/A</v>
      </c>
      <c r="L1554" s="35"/>
      <c r="M1554" s="22">
        <f>G1554</f>
        <v>0</v>
      </c>
    </row>
    <row r="1555" spans="2:13" ht="18.600000000000001" thickTop="1">
      <c r="B1555" s="58" t="s">
        <v>913</v>
      </c>
      <c r="C1555" s="59" t="s">
        <v>912</v>
      </c>
      <c r="D1555" s="60" t="s">
        <v>911</v>
      </c>
      <c r="E1555" s="61" t="s">
        <v>3209</v>
      </c>
      <c r="F1555" s="62" t="s">
        <v>3162</v>
      </c>
      <c r="G1555" s="62" t="s">
        <v>3163</v>
      </c>
      <c r="H1555" s="62" t="s">
        <v>3164</v>
      </c>
      <c r="I1555" s="62" t="s">
        <v>3165</v>
      </c>
      <c r="J1555" s="62" t="s">
        <v>3166</v>
      </c>
      <c r="K1555" s="62" t="s">
        <v>3167</v>
      </c>
      <c r="L1555" s="63" t="s">
        <v>3168</v>
      </c>
    </row>
    <row r="1556" spans="2:13">
      <c r="B1556" s="43" t="e">
        <f>VLOOKUP($A1556,'[2]Team lists'!$A$2:$L$800,2,FALSE)</f>
        <v>#N/A</v>
      </c>
      <c r="C1556" s="43" t="e">
        <f>VLOOKUP($A1556,'[2]Team lists'!$A$2:$L$800,3,FALSE)</f>
        <v>#N/A</v>
      </c>
      <c r="D1556" s="43" t="e">
        <f>VLOOKUP($A1556,'[2]Team lists'!$A$2:$L$800,4,FALSE)</f>
        <v>#N/A</v>
      </c>
      <c r="E1556" s="43" t="e">
        <f>VLOOKUP($A1556,'[2]Team lists'!$A$2:$L$800,5,FALSE)</f>
        <v>#N/A</v>
      </c>
      <c r="F1556" s="43" t="e">
        <f>VLOOKUP($A1556,'[2]Team lists'!$A$2:$L$800,6,FALSE)</f>
        <v>#N/A</v>
      </c>
      <c r="G1556" s="43" t="e">
        <f>VLOOKUP($A1556,'[2]Team lists'!$A$2:$L$800,7,FALSE)</f>
        <v>#N/A</v>
      </c>
      <c r="H1556" s="43" t="e">
        <f>VLOOKUP($A1556,'[2]Team lists'!$A$2:$L$800,8,FALSE)</f>
        <v>#N/A</v>
      </c>
      <c r="I1556" s="43" t="e">
        <f>VLOOKUP($A1556,'[2]Team lists'!$A$2:$L$800,9,FALSE)</f>
        <v>#N/A</v>
      </c>
      <c r="J1556" s="43" t="e">
        <f>VLOOKUP($A1556,'[2]Team lists'!$A$2:$L$800,9,FALSE)</f>
        <v>#N/A</v>
      </c>
      <c r="K1556" s="43" t="e">
        <f>VLOOKUP($A1556,'[2]Team lists'!$A$2:$L$800,10,FALSE)</f>
        <v>#N/A</v>
      </c>
      <c r="L1556" s="43" t="e">
        <f>VLOOKUP($A1556,'[2]Team lists'!$A$2:$L$800,11,FALSE)</f>
        <v>#N/A</v>
      </c>
    </row>
    <row r="1557" spans="2:13">
      <c r="B1557" s="43" t="e">
        <f>VLOOKUP($A1557,'[2]Team lists'!$A$2:$L$800,2,FALSE)</f>
        <v>#N/A</v>
      </c>
      <c r="C1557" s="43" t="e">
        <f>VLOOKUP($A1557,'[2]Team lists'!$A$2:$L$800,3,FALSE)</f>
        <v>#N/A</v>
      </c>
      <c r="D1557" s="43" t="e">
        <f>VLOOKUP($A1557,'[2]Team lists'!$A$2:$L$800,4,FALSE)</f>
        <v>#N/A</v>
      </c>
      <c r="E1557" s="43" t="e">
        <f>VLOOKUP($A1557,'[2]Team lists'!$A$2:$L$800,5,FALSE)</f>
        <v>#N/A</v>
      </c>
      <c r="F1557" s="43" t="e">
        <f>VLOOKUP($A1557,'[2]Team lists'!$A$2:$L$800,6,FALSE)</f>
        <v>#N/A</v>
      </c>
      <c r="G1557" s="43" t="e">
        <f>VLOOKUP($A1557,'[2]Team lists'!$A$2:$L$800,7,FALSE)</f>
        <v>#N/A</v>
      </c>
      <c r="H1557" s="43" t="e">
        <f>VLOOKUP($A1557,'[2]Team lists'!$A$2:$L$800,8,FALSE)</f>
        <v>#N/A</v>
      </c>
      <c r="I1557" s="43" t="e">
        <f>VLOOKUP($A1557,'[2]Team lists'!$A$2:$L$800,9,FALSE)</f>
        <v>#N/A</v>
      </c>
      <c r="J1557" s="43" t="e">
        <f>VLOOKUP($A1557,'[2]Team lists'!$A$2:$L$800,9,FALSE)</f>
        <v>#N/A</v>
      </c>
      <c r="K1557" s="43" t="e">
        <f>VLOOKUP($A1557,'[2]Team lists'!$A$2:$L$800,10,FALSE)</f>
        <v>#N/A</v>
      </c>
      <c r="L1557" s="43" t="e">
        <f>VLOOKUP($A1557,'[2]Team lists'!$A$2:$L$800,11,FALSE)</f>
        <v>#N/A</v>
      </c>
    </row>
    <row r="1558" spans="2:13">
      <c r="B1558" s="43" t="e">
        <f>VLOOKUP($A1558,'[2]Team lists'!$A$2:$L$800,2,FALSE)</f>
        <v>#N/A</v>
      </c>
      <c r="C1558" s="43" t="e">
        <f>VLOOKUP($A1558,'[2]Team lists'!$A$2:$L$800,3,FALSE)</f>
        <v>#N/A</v>
      </c>
      <c r="D1558" s="43" t="e">
        <f>VLOOKUP($A1558,'[2]Team lists'!$A$2:$L$800,4,FALSE)</f>
        <v>#N/A</v>
      </c>
      <c r="E1558" s="43" t="e">
        <f>VLOOKUP($A1558,'[2]Team lists'!$A$2:$L$800,5,FALSE)</f>
        <v>#N/A</v>
      </c>
      <c r="F1558" s="43" t="e">
        <f>VLOOKUP($A1558,'[2]Team lists'!$A$2:$L$800,6,FALSE)</f>
        <v>#N/A</v>
      </c>
      <c r="G1558" s="43" t="e">
        <f>VLOOKUP($A1558,'[2]Team lists'!$A$2:$L$800,7,FALSE)</f>
        <v>#N/A</v>
      </c>
      <c r="H1558" s="43" t="e">
        <f>VLOOKUP($A1558,'[2]Team lists'!$A$2:$L$800,8,FALSE)</f>
        <v>#N/A</v>
      </c>
      <c r="I1558" s="43" t="e">
        <f>VLOOKUP($A1558,'[2]Team lists'!$A$2:$L$800,9,FALSE)</f>
        <v>#N/A</v>
      </c>
      <c r="J1558" s="43" t="e">
        <f>VLOOKUP($A1558,'[2]Team lists'!$A$2:$L$800,9,FALSE)</f>
        <v>#N/A</v>
      </c>
      <c r="K1558" s="43" t="e">
        <f>VLOOKUP($A1558,'[2]Team lists'!$A$2:$L$800,10,FALSE)</f>
        <v>#N/A</v>
      </c>
      <c r="L1558" s="43" t="e">
        <f>VLOOKUP($A1558,'[2]Team lists'!$A$2:$L$800,11,FALSE)</f>
        <v>#N/A</v>
      </c>
    </row>
    <row r="1559" spans="2:13">
      <c r="B1559" s="43" t="e">
        <f>VLOOKUP($A1559,'[2]Team lists'!$A$2:$L$800,2,FALSE)</f>
        <v>#N/A</v>
      </c>
      <c r="C1559" s="43" t="e">
        <f>VLOOKUP($A1559,'[2]Team lists'!$A$2:$L$800,3,FALSE)</f>
        <v>#N/A</v>
      </c>
      <c r="D1559" s="43" t="e">
        <f>VLOOKUP($A1559,'[2]Team lists'!$A$2:$L$800,4,FALSE)</f>
        <v>#N/A</v>
      </c>
      <c r="E1559" s="43" t="e">
        <f>VLOOKUP($A1559,'[2]Team lists'!$A$2:$L$800,5,FALSE)</f>
        <v>#N/A</v>
      </c>
      <c r="F1559" s="43" t="e">
        <f>VLOOKUP($A1559,'[2]Team lists'!$A$2:$L$800,6,FALSE)</f>
        <v>#N/A</v>
      </c>
      <c r="G1559" s="43" t="e">
        <f>VLOOKUP($A1559,'[2]Team lists'!$A$2:$L$800,7,FALSE)</f>
        <v>#N/A</v>
      </c>
      <c r="H1559" s="43" t="e">
        <f>VLOOKUP($A1559,'[2]Team lists'!$A$2:$L$800,8,FALSE)</f>
        <v>#N/A</v>
      </c>
      <c r="I1559" s="43" t="e">
        <f>VLOOKUP($A1559,'[2]Team lists'!$A$2:$L$800,9,FALSE)</f>
        <v>#N/A</v>
      </c>
      <c r="J1559" s="43" t="e">
        <f>VLOOKUP($A1559,'[2]Team lists'!$A$2:$L$800,9,FALSE)</f>
        <v>#N/A</v>
      </c>
      <c r="K1559" s="43" t="e">
        <f>VLOOKUP($A1559,'[2]Team lists'!$A$2:$L$800,10,FALSE)</f>
        <v>#N/A</v>
      </c>
      <c r="L1559" s="43" t="e">
        <f>VLOOKUP($A1559,'[2]Team lists'!$A$2:$L$800,11,FALSE)</f>
        <v>#N/A</v>
      </c>
    </row>
    <row r="1560" spans="2:13">
      <c r="B1560" s="43" t="e">
        <f>VLOOKUP($A1560,'[2]Team lists'!$A$2:$L$800,2,FALSE)</f>
        <v>#N/A</v>
      </c>
      <c r="C1560" s="43" t="e">
        <f>VLOOKUP($A1560,'[2]Team lists'!$A$2:$L$800,3,FALSE)</f>
        <v>#N/A</v>
      </c>
      <c r="D1560" s="43" t="e">
        <f>VLOOKUP($A1560,'[2]Team lists'!$A$2:$L$800,4,FALSE)</f>
        <v>#N/A</v>
      </c>
      <c r="E1560" s="43" t="e">
        <f>VLOOKUP($A1560,'[2]Team lists'!$A$2:$L$800,5,FALSE)</f>
        <v>#N/A</v>
      </c>
      <c r="F1560" s="43" t="e">
        <f>VLOOKUP($A1560,'[2]Team lists'!$A$2:$L$800,6,FALSE)</f>
        <v>#N/A</v>
      </c>
      <c r="G1560" s="43" t="e">
        <f>VLOOKUP($A1560,'[2]Team lists'!$A$2:$L$800,7,FALSE)</f>
        <v>#N/A</v>
      </c>
      <c r="H1560" s="43" t="e">
        <f>VLOOKUP($A1560,'[2]Team lists'!$A$2:$L$800,8,FALSE)</f>
        <v>#N/A</v>
      </c>
      <c r="I1560" s="43" t="e">
        <f>VLOOKUP($A1560,'[2]Team lists'!$A$2:$L$800,9,FALSE)</f>
        <v>#N/A</v>
      </c>
      <c r="J1560" s="43" t="e">
        <f>VLOOKUP($A1560,'[2]Team lists'!$A$2:$L$800,9,FALSE)</f>
        <v>#N/A</v>
      </c>
      <c r="K1560" s="43" t="e">
        <f>VLOOKUP($A1560,'[2]Team lists'!$A$2:$L$800,10,FALSE)</f>
        <v>#N/A</v>
      </c>
      <c r="L1560" s="43" t="e">
        <f>VLOOKUP($A1560,'[2]Team lists'!$A$2:$L$800,11,FALSE)</f>
        <v>#N/A</v>
      </c>
    </row>
    <row r="1561" spans="2:13">
      <c r="B1561" s="43" t="e">
        <f>VLOOKUP($A1561,'[2]Team lists'!$A$2:$L$800,2,FALSE)</f>
        <v>#N/A</v>
      </c>
      <c r="C1561" s="43" t="e">
        <f>VLOOKUP($A1561,'[2]Team lists'!$A$2:$L$800,3,FALSE)</f>
        <v>#N/A</v>
      </c>
      <c r="D1561" s="43" t="e">
        <f>VLOOKUP($A1561,'[2]Team lists'!$A$2:$L$800,4,FALSE)</f>
        <v>#N/A</v>
      </c>
      <c r="E1561" s="43" t="e">
        <f>VLOOKUP($A1561,'[2]Team lists'!$A$2:$L$800,5,FALSE)</f>
        <v>#N/A</v>
      </c>
      <c r="F1561" s="43" t="e">
        <f>VLOOKUP($A1561,'[2]Team lists'!$A$2:$L$800,6,FALSE)</f>
        <v>#N/A</v>
      </c>
      <c r="G1561" s="43" t="e">
        <f>VLOOKUP($A1561,'[2]Team lists'!$A$2:$L$800,7,FALSE)</f>
        <v>#N/A</v>
      </c>
      <c r="H1561" s="43" t="e">
        <f>VLOOKUP($A1561,'[2]Team lists'!$A$2:$L$800,8,FALSE)</f>
        <v>#N/A</v>
      </c>
      <c r="I1561" s="43" t="e">
        <f>VLOOKUP($A1561,'[2]Team lists'!$A$2:$L$800,9,FALSE)</f>
        <v>#N/A</v>
      </c>
      <c r="J1561" s="43" t="e">
        <f>VLOOKUP($A1561,'[2]Team lists'!$A$2:$L$800,9,FALSE)</f>
        <v>#N/A</v>
      </c>
      <c r="K1561" s="43" t="e">
        <f>VLOOKUP($A1561,'[2]Team lists'!$A$2:$L$800,10,FALSE)</f>
        <v>#N/A</v>
      </c>
      <c r="L1561" s="43" t="e">
        <f>VLOOKUP($A1561,'[2]Team lists'!$A$2:$L$800,11,FALSE)</f>
        <v>#N/A</v>
      </c>
    </row>
    <row r="1562" spans="2:13">
      <c r="B1562" s="43" t="e">
        <f>VLOOKUP($A1562,'[2]Team lists'!$A$2:$L$800,2,FALSE)</f>
        <v>#N/A</v>
      </c>
      <c r="C1562" s="43" t="e">
        <f>VLOOKUP($A1562,'[2]Team lists'!$A$2:$L$800,3,FALSE)</f>
        <v>#N/A</v>
      </c>
      <c r="D1562" s="43" t="e">
        <f>VLOOKUP($A1562,'[2]Team lists'!$A$2:$L$800,4,FALSE)</f>
        <v>#N/A</v>
      </c>
      <c r="E1562" s="43" t="e">
        <f>VLOOKUP($A1562,'[2]Team lists'!$A$2:$L$800,5,FALSE)</f>
        <v>#N/A</v>
      </c>
      <c r="F1562" s="43" t="e">
        <f>VLOOKUP($A1562,'[2]Team lists'!$A$2:$L$800,6,FALSE)</f>
        <v>#N/A</v>
      </c>
      <c r="G1562" s="43" t="e">
        <f>VLOOKUP($A1562,'[2]Team lists'!$A$2:$L$800,7,FALSE)</f>
        <v>#N/A</v>
      </c>
      <c r="H1562" s="43" t="e">
        <f>VLOOKUP($A1562,'[2]Team lists'!$A$2:$L$800,8,FALSE)</f>
        <v>#N/A</v>
      </c>
      <c r="I1562" s="43" t="e">
        <f>VLOOKUP($A1562,'[2]Team lists'!$A$2:$L$800,9,FALSE)</f>
        <v>#N/A</v>
      </c>
      <c r="J1562" s="43" t="e">
        <f>VLOOKUP($A1562,'[2]Team lists'!$A$2:$L$800,9,FALSE)</f>
        <v>#N/A</v>
      </c>
      <c r="K1562" s="43" t="e">
        <f>VLOOKUP($A1562,'[2]Team lists'!$A$2:$L$800,10,FALSE)</f>
        <v>#N/A</v>
      </c>
      <c r="L1562" s="43" t="e">
        <f>VLOOKUP($A1562,'[2]Team lists'!$A$2:$L$800,11,FALSE)</f>
        <v>#N/A</v>
      </c>
    </row>
    <row r="1563" spans="2:13">
      <c r="B1563" s="43" t="e">
        <f>VLOOKUP($A1563,'[2]Team lists'!$A$2:$L$800,2,FALSE)</f>
        <v>#N/A</v>
      </c>
      <c r="C1563" s="43" t="e">
        <f>VLOOKUP($A1563,'[2]Team lists'!$A$2:$L$800,3,FALSE)</f>
        <v>#N/A</v>
      </c>
      <c r="D1563" s="43" t="e">
        <f>VLOOKUP($A1563,'[2]Team lists'!$A$2:$L$800,4,FALSE)</f>
        <v>#N/A</v>
      </c>
      <c r="E1563" s="43" t="e">
        <f>VLOOKUP($A1563,'[2]Team lists'!$A$2:$L$800,5,FALSE)</f>
        <v>#N/A</v>
      </c>
      <c r="F1563" s="43" t="e">
        <f>VLOOKUP($A1563,'[2]Team lists'!$A$2:$L$800,6,FALSE)</f>
        <v>#N/A</v>
      </c>
      <c r="G1563" s="43" t="e">
        <f>VLOOKUP($A1563,'[2]Team lists'!$A$2:$L$800,7,FALSE)</f>
        <v>#N/A</v>
      </c>
      <c r="H1563" s="43" t="e">
        <f>VLOOKUP($A1563,'[2]Team lists'!$A$2:$L$800,8,FALSE)</f>
        <v>#N/A</v>
      </c>
      <c r="I1563" s="43" t="e">
        <f>VLOOKUP($A1563,'[2]Team lists'!$A$2:$L$800,9,FALSE)</f>
        <v>#N/A</v>
      </c>
      <c r="J1563" s="43" t="e">
        <f>VLOOKUP($A1563,'[2]Team lists'!$A$2:$L$800,9,FALSE)</f>
        <v>#N/A</v>
      </c>
      <c r="K1563" s="43" t="e">
        <f>VLOOKUP($A1563,'[2]Team lists'!$A$2:$L$800,10,FALSE)</f>
        <v>#N/A</v>
      </c>
      <c r="L1563" s="43" t="e">
        <f>VLOOKUP($A1563,'[2]Team lists'!$A$2:$L$800,11,FALSE)</f>
        <v>#N/A</v>
      </c>
    </row>
    <row r="1564" spans="2:13">
      <c r="B1564" s="43" t="e">
        <f>VLOOKUP($A1564,'[2]Team lists'!$A$2:$L$800,2,FALSE)</f>
        <v>#N/A</v>
      </c>
      <c r="C1564" s="43" t="e">
        <f>VLOOKUP($A1564,'[2]Team lists'!$A$2:$L$800,3,FALSE)</f>
        <v>#N/A</v>
      </c>
      <c r="D1564" s="43" t="e">
        <f>VLOOKUP($A1564,'[2]Team lists'!$A$2:$L$800,4,FALSE)</f>
        <v>#N/A</v>
      </c>
      <c r="E1564" s="43" t="e">
        <f>VLOOKUP($A1564,'[2]Team lists'!$A$2:$L$800,5,FALSE)</f>
        <v>#N/A</v>
      </c>
      <c r="F1564" s="43" t="e">
        <f>VLOOKUP($A1564,'[2]Team lists'!$A$2:$L$800,6,FALSE)</f>
        <v>#N/A</v>
      </c>
      <c r="G1564" s="43" t="e">
        <f>VLOOKUP($A1564,'[2]Team lists'!$A$2:$L$800,7,FALSE)</f>
        <v>#N/A</v>
      </c>
      <c r="H1564" s="43" t="e">
        <f>VLOOKUP($A1564,'[2]Team lists'!$A$2:$L$800,8,FALSE)</f>
        <v>#N/A</v>
      </c>
      <c r="I1564" s="43" t="e">
        <f>VLOOKUP($A1564,'[2]Team lists'!$A$2:$L$800,9,FALSE)</f>
        <v>#N/A</v>
      </c>
      <c r="J1564" s="43" t="e">
        <f>VLOOKUP($A1564,'[2]Team lists'!$A$2:$L$800,9,FALSE)</f>
        <v>#N/A</v>
      </c>
      <c r="K1564" s="43" t="e">
        <f>VLOOKUP($A1564,'[2]Team lists'!$A$2:$L$800,10,FALSE)</f>
        <v>#N/A</v>
      </c>
      <c r="L1564" s="43" t="e">
        <f>VLOOKUP($A1564,'[2]Team lists'!$A$2:$L$800,11,FALSE)</f>
        <v>#N/A</v>
      </c>
    </row>
    <row r="1565" spans="2:13">
      <c r="B1565" s="43" t="e">
        <f>VLOOKUP($A1565,'[2]Team lists'!$A$2:$L$800,2,FALSE)</f>
        <v>#N/A</v>
      </c>
      <c r="C1565" s="43" t="e">
        <f>VLOOKUP($A1565,'[2]Team lists'!$A$2:$L$800,3,FALSE)</f>
        <v>#N/A</v>
      </c>
      <c r="D1565" s="43" t="e">
        <f>VLOOKUP($A1565,'[2]Team lists'!$A$2:$L$800,4,FALSE)</f>
        <v>#N/A</v>
      </c>
      <c r="E1565" s="43" t="e">
        <f>VLOOKUP($A1565,'[2]Team lists'!$A$2:$L$800,5,FALSE)</f>
        <v>#N/A</v>
      </c>
      <c r="F1565" s="43" t="e">
        <f>VLOOKUP($A1565,'[2]Team lists'!$A$2:$L$800,6,FALSE)</f>
        <v>#N/A</v>
      </c>
      <c r="G1565" s="43" t="e">
        <f>VLOOKUP($A1565,'[2]Team lists'!$A$2:$L$800,7,FALSE)</f>
        <v>#N/A</v>
      </c>
      <c r="H1565" s="43" t="e">
        <f>VLOOKUP($A1565,'[2]Team lists'!$A$2:$L$800,8,FALSE)</f>
        <v>#N/A</v>
      </c>
      <c r="I1565" s="43" t="e">
        <f>VLOOKUP($A1565,'[2]Team lists'!$A$2:$L$800,9,FALSE)</f>
        <v>#N/A</v>
      </c>
      <c r="J1565" s="43" t="e">
        <f>VLOOKUP($A1565,'[2]Team lists'!$A$2:$L$800,9,FALSE)</f>
        <v>#N/A</v>
      </c>
      <c r="K1565" s="43" t="e">
        <f>VLOOKUP($A1565,'[2]Team lists'!$A$2:$L$800,10,FALSE)</f>
        <v>#N/A</v>
      </c>
      <c r="L1565" s="43" t="e">
        <f>VLOOKUP($A1565,'[2]Team lists'!$A$2:$L$800,11,FALSE)</f>
        <v>#N/A</v>
      </c>
    </row>
    <row r="1566" spans="2:13">
      <c r="B1566" s="43" t="e">
        <f>VLOOKUP($A1566,'[2]Team lists'!$A$2:$L$800,2,FALSE)</f>
        <v>#N/A</v>
      </c>
      <c r="C1566" s="43" t="e">
        <f>VLOOKUP($A1566,'[2]Team lists'!$A$2:$L$800,3,FALSE)</f>
        <v>#N/A</v>
      </c>
      <c r="D1566" s="43" t="e">
        <f>VLOOKUP($A1566,'[2]Team lists'!$A$2:$L$800,4,FALSE)</f>
        <v>#N/A</v>
      </c>
      <c r="E1566" s="43" t="e">
        <f>VLOOKUP($A1566,'[2]Team lists'!$A$2:$L$800,5,FALSE)</f>
        <v>#N/A</v>
      </c>
      <c r="F1566" s="43" t="e">
        <f>VLOOKUP($A1566,'[2]Team lists'!$A$2:$L$800,6,FALSE)</f>
        <v>#N/A</v>
      </c>
      <c r="G1566" s="43" t="e">
        <f>VLOOKUP($A1566,'[2]Team lists'!$A$2:$L$800,7,FALSE)</f>
        <v>#N/A</v>
      </c>
      <c r="H1566" s="43" t="e">
        <f>VLOOKUP($A1566,'[2]Team lists'!$A$2:$L$800,8,FALSE)</f>
        <v>#N/A</v>
      </c>
      <c r="I1566" s="43" t="e">
        <f>VLOOKUP($A1566,'[2]Team lists'!$A$2:$L$800,9,FALSE)</f>
        <v>#N/A</v>
      </c>
      <c r="J1566" s="43" t="e">
        <f>VLOOKUP($A1566,'[2]Team lists'!$A$2:$L$800,9,FALSE)</f>
        <v>#N/A</v>
      </c>
      <c r="K1566" s="43" t="e">
        <f>VLOOKUP($A1566,'[2]Team lists'!$A$2:$L$800,10,FALSE)</f>
        <v>#N/A</v>
      </c>
      <c r="L1566" s="43" t="e">
        <f>VLOOKUP($A1566,'[2]Team lists'!$A$2:$L$800,11,FALSE)</f>
        <v>#N/A</v>
      </c>
    </row>
    <row r="1567" spans="2:13" ht="18" thickBot="1">
      <c r="B1567" s="45" t="s">
        <v>3210</v>
      </c>
      <c r="C1567" s="46"/>
      <c r="D1567" s="47"/>
      <c r="E1567" s="48" t="e">
        <f t="shared" ref="E1567:L1567" si="97">SUM(E1556:E1566)</f>
        <v>#N/A</v>
      </c>
      <c r="F1567" s="49" t="e">
        <f t="shared" si="97"/>
        <v>#N/A</v>
      </c>
      <c r="G1567" s="49" t="e">
        <f t="shared" si="97"/>
        <v>#N/A</v>
      </c>
      <c r="H1567" s="49" t="e">
        <f t="shared" si="97"/>
        <v>#N/A</v>
      </c>
      <c r="I1567" s="49" t="e">
        <f t="shared" si="97"/>
        <v>#N/A</v>
      </c>
      <c r="J1567" s="49" t="e">
        <f t="shared" si="97"/>
        <v>#N/A</v>
      </c>
      <c r="K1567" s="49" t="e">
        <f t="shared" si="97"/>
        <v>#N/A</v>
      </c>
      <c r="L1567" s="50" t="e">
        <f t="shared" si="97"/>
        <v>#N/A</v>
      </c>
    </row>
    <row r="1568" spans="2:13" ht="18.600000000000001" thickTop="1" thickBot="1"/>
    <row r="1569" spans="2:13" ht="18" thickTop="1">
      <c r="B1569" s="23" t="s">
        <v>3204</v>
      </c>
      <c r="C1569" s="24" t="s">
        <v>3205</v>
      </c>
      <c r="D1569" s="25"/>
      <c r="E1569" s="25"/>
      <c r="F1569" s="53"/>
      <c r="G1569" s="28" t="s">
        <v>3206</v>
      </c>
      <c r="H1569" s="54"/>
      <c r="I1569" s="54"/>
      <c r="J1569" s="54"/>
      <c r="K1569" s="28" t="s">
        <v>3207</v>
      </c>
      <c r="L1569" s="29"/>
      <c r="M1569" s="22" t="str">
        <f>G1569</f>
        <v>Manager:</v>
      </c>
    </row>
    <row r="1570" spans="2:13" ht="18" thickBot="1">
      <c r="B1570" s="30">
        <v>99</v>
      </c>
      <c r="C1570" s="57"/>
      <c r="D1570" s="31"/>
      <c r="E1570" s="31"/>
      <c r="F1570" s="33"/>
      <c r="G1570" s="55"/>
      <c r="H1570" s="55"/>
      <c r="I1570" s="55"/>
      <c r="J1570" s="55"/>
      <c r="K1570" s="34" t="e">
        <f>SUM(F1583:L1583)</f>
        <v>#N/A</v>
      </c>
      <c r="L1570" s="35"/>
      <c r="M1570" s="22">
        <f>G1570</f>
        <v>0</v>
      </c>
    </row>
    <row r="1571" spans="2:13" ht="18.600000000000001" thickTop="1">
      <c r="B1571" s="58" t="s">
        <v>913</v>
      </c>
      <c r="C1571" s="59" t="s">
        <v>912</v>
      </c>
      <c r="D1571" s="60" t="s">
        <v>911</v>
      </c>
      <c r="E1571" s="61" t="s">
        <v>3209</v>
      </c>
      <c r="F1571" s="62" t="s">
        <v>3162</v>
      </c>
      <c r="G1571" s="62" t="s">
        <v>3163</v>
      </c>
      <c r="H1571" s="62" t="s">
        <v>3164</v>
      </c>
      <c r="I1571" s="62" t="s">
        <v>3165</v>
      </c>
      <c r="J1571" s="62" t="s">
        <v>3166</v>
      </c>
      <c r="K1571" s="62" t="s">
        <v>3167</v>
      </c>
      <c r="L1571" s="63" t="s">
        <v>3168</v>
      </c>
    </row>
    <row r="1572" spans="2:13">
      <c r="B1572" s="43" t="e">
        <f>VLOOKUP($A1572,'[2]Team lists'!$A$2:$L$800,2,FALSE)</f>
        <v>#N/A</v>
      </c>
      <c r="C1572" s="43" t="e">
        <f>VLOOKUP($A1572,'[2]Team lists'!$A$2:$L$800,3,FALSE)</f>
        <v>#N/A</v>
      </c>
      <c r="D1572" s="43" t="e">
        <f>VLOOKUP($A1572,'[2]Team lists'!$A$2:$L$800,4,FALSE)</f>
        <v>#N/A</v>
      </c>
      <c r="E1572" s="43" t="e">
        <f>VLOOKUP($A1572,'[2]Team lists'!$A$2:$L$800,5,FALSE)</f>
        <v>#N/A</v>
      </c>
      <c r="F1572" s="43" t="e">
        <f>VLOOKUP($A1572,'[2]Team lists'!$A$2:$L$800,6,FALSE)</f>
        <v>#N/A</v>
      </c>
      <c r="G1572" s="43" t="e">
        <f>VLOOKUP($A1572,'[2]Team lists'!$A$2:$L$800,7,FALSE)</f>
        <v>#N/A</v>
      </c>
      <c r="H1572" s="43" t="e">
        <f>VLOOKUP($A1572,'[2]Team lists'!$A$2:$L$800,8,FALSE)</f>
        <v>#N/A</v>
      </c>
      <c r="I1572" s="43" t="e">
        <f>VLOOKUP($A1572,'[2]Team lists'!$A$2:$L$800,9,FALSE)</f>
        <v>#N/A</v>
      </c>
      <c r="J1572" s="43" t="e">
        <f>VLOOKUP($A1572,'[2]Team lists'!$A$2:$L$800,9,FALSE)</f>
        <v>#N/A</v>
      </c>
      <c r="K1572" s="43" t="e">
        <f>VLOOKUP($A1572,'[2]Team lists'!$A$2:$L$800,10,FALSE)</f>
        <v>#N/A</v>
      </c>
      <c r="L1572" s="43" t="e">
        <f>VLOOKUP($A1572,'[2]Team lists'!$A$2:$L$800,11,FALSE)</f>
        <v>#N/A</v>
      </c>
    </row>
    <row r="1573" spans="2:13">
      <c r="B1573" s="43" t="e">
        <f>VLOOKUP($A1573,'[2]Team lists'!$A$2:$L$800,2,FALSE)</f>
        <v>#N/A</v>
      </c>
      <c r="C1573" s="43" t="e">
        <f>VLOOKUP($A1573,'[2]Team lists'!$A$2:$L$800,3,FALSE)</f>
        <v>#N/A</v>
      </c>
      <c r="D1573" s="43" t="e">
        <f>VLOOKUP($A1573,'[2]Team lists'!$A$2:$L$800,4,FALSE)</f>
        <v>#N/A</v>
      </c>
      <c r="E1573" s="43" t="e">
        <f>VLOOKUP($A1573,'[2]Team lists'!$A$2:$L$800,5,FALSE)</f>
        <v>#N/A</v>
      </c>
      <c r="F1573" s="43" t="e">
        <f>VLOOKUP($A1573,'[2]Team lists'!$A$2:$L$800,6,FALSE)</f>
        <v>#N/A</v>
      </c>
      <c r="G1573" s="43" t="e">
        <f>VLOOKUP($A1573,'[2]Team lists'!$A$2:$L$800,7,FALSE)</f>
        <v>#N/A</v>
      </c>
      <c r="H1573" s="43" t="e">
        <f>VLOOKUP($A1573,'[2]Team lists'!$A$2:$L$800,8,FALSE)</f>
        <v>#N/A</v>
      </c>
      <c r="I1573" s="43" t="e">
        <f>VLOOKUP($A1573,'[2]Team lists'!$A$2:$L$800,9,FALSE)</f>
        <v>#N/A</v>
      </c>
      <c r="J1573" s="43" t="e">
        <f>VLOOKUP($A1573,'[2]Team lists'!$A$2:$L$800,9,FALSE)</f>
        <v>#N/A</v>
      </c>
      <c r="K1573" s="43" t="e">
        <f>VLOOKUP($A1573,'[2]Team lists'!$A$2:$L$800,10,FALSE)</f>
        <v>#N/A</v>
      </c>
      <c r="L1573" s="43" t="e">
        <f>VLOOKUP($A1573,'[2]Team lists'!$A$2:$L$800,11,FALSE)</f>
        <v>#N/A</v>
      </c>
    </row>
    <row r="1574" spans="2:13">
      <c r="B1574" s="43" t="e">
        <f>VLOOKUP($A1574,'[2]Team lists'!$A$2:$L$800,2,FALSE)</f>
        <v>#N/A</v>
      </c>
      <c r="C1574" s="43" t="e">
        <f>VLOOKUP($A1574,'[2]Team lists'!$A$2:$L$800,3,FALSE)</f>
        <v>#N/A</v>
      </c>
      <c r="D1574" s="43" t="e">
        <f>VLOOKUP($A1574,'[2]Team lists'!$A$2:$L$800,4,FALSE)</f>
        <v>#N/A</v>
      </c>
      <c r="E1574" s="43" t="e">
        <f>VLOOKUP($A1574,'[2]Team lists'!$A$2:$L$800,5,FALSE)</f>
        <v>#N/A</v>
      </c>
      <c r="F1574" s="43" t="e">
        <f>VLOOKUP($A1574,'[2]Team lists'!$A$2:$L$800,6,FALSE)</f>
        <v>#N/A</v>
      </c>
      <c r="G1574" s="43" t="e">
        <f>VLOOKUP($A1574,'[2]Team lists'!$A$2:$L$800,7,FALSE)</f>
        <v>#N/A</v>
      </c>
      <c r="H1574" s="43" t="e">
        <f>VLOOKUP($A1574,'[2]Team lists'!$A$2:$L$800,8,FALSE)</f>
        <v>#N/A</v>
      </c>
      <c r="I1574" s="43" t="e">
        <f>VLOOKUP($A1574,'[2]Team lists'!$A$2:$L$800,9,FALSE)</f>
        <v>#N/A</v>
      </c>
      <c r="J1574" s="43" t="e">
        <f>VLOOKUP($A1574,'[2]Team lists'!$A$2:$L$800,9,FALSE)</f>
        <v>#N/A</v>
      </c>
      <c r="K1574" s="43" t="e">
        <f>VLOOKUP($A1574,'[2]Team lists'!$A$2:$L$800,10,FALSE)</f>
        <v>#N/A</v>
      </c>
      <c r="L1574" s="43" t="e">
        <f>VLOOKUP($A1574,'[2]Team lists'!$A$2:$L$800,11,FALSE)</f>
        <v>#N/A</v>
      </c>
    </row>
    <row r="1575" spans="2:13">
      <c r="B1575" s="43" t="e">
        <f>VLOOKUP($A1575,'[2]Team lists'!$A$2:$L$800,2,FALSE)</f>
        <v>#N/A</v>
      </c>
      <c r="C1575" s="43" t="e">
        <f>VLOOKUP($A1575,'[2]Team lists'!$A$2:$L$800,3,FALSE)</f>
        <v>#N/A</v>
      </c>
      <c r="D1575" s="43" t="e">
        <f>VLOOKUP($A1575,'[2]Team lists'!$A$2:$L$800,4,FALSE)</f>
        <v>#N/A</v>
      </c>
      <c r="E1575" s="43" t="e">
        <f>VLOOKUP($A1575,'[2]Team lists'!$A$2:$L$800,5,FALSE)</f>
        <v>#N/A</v>
      </c>
      <c r="F1575" s="43" t="e">
        <f>VLOOKUP($A1575,'[2]Team lists'!$A$2:$L$800,6,FALSE)</f>
        <v>#N/A</v>
      </c>
      <c r="G1575" s="43" t="e">
        <f>VLOOKUP($A1575,'[2]Team lists'!$A$2:$L$800,7,FALSE)</f>
        <v>#N/A</v>
      </c>
      <c r="H1575" s="43" t="e">
        <f>VLOOKUP($A1575,'[2]Team lists'!$A$2:$L$800,8,FALSE)</f>
        <v>#N/A</v>
      </c>
      <c r="I1575" s="43" t="e">
        <f>VLOOKUP($A1575,'[2]Team lists'!$A$2:$L$800,9,FALSE)</f>
        <v>#N/A</v>
      </c>
      <c r="J1575" s="43" t="e">
        <f>VLOOKUP($A1575,'[2]Team lists'!$A$2:$L$800,9,FALSE)</f>
        <v>#N/A</v>
      </c>
      <c r="K1575" s="43" t="e">
        <f>VLOOKUP($A1575,'[2]Team lists'!$A$2:$L$800,10,FALSE)</f>
        <v>#N/A</v>
      </c>
      <c r="L1575" s="43" t="e">
        <f>VLOOKUP($A1575,'[2]Team lists'!$A$2:$L$800,11,FALSE)</f>
        <v>#N/A</v>
      </c>
    </row>
    <row r="1576" spans="2:13">
      <c r="B1576" s="43" t="e">
        <f>VLOOKUP($A1576,'[2]Team lists'!$A$2:$L$800,2,FALSE)</f>
        <v>#N/A</v>
      </c>
      <c r="C1576" s="43" t="e">
        <f>VLOOKUP($A1576,'[2]Team lists'!$A$2:$L$800,3,FALSE)</f>
        <v>#N/A</v>
      </c>
      <c r="D1576" s="43" t="e">
        <f>VLOOKUP($A1576,'[2]Team lists'!$A$2:$L$800,4,FALSE)</f>
        <v>#N/A</v>
      </c>
      <c r="E1576" s="43" t="e">
        <f>VLOOKUP($A1576,'[2]Team lists'!$A$2:$L$800,5,FALSE)</f>
        <v>#N/A</v>
      </c>
      <c r="F1576" s="43" t="e">
        <f>VLOOKUP($A1576,'[2]Team lists'!$A$2:$L$800,6,FALSE)</f>
        <v>#N/A</v>
      </c>
      <c r="G1576" s="43" t="e">
        <f>VLOOKUP($A1576,'[2]Team lists'!$A$2:$L$800,7,FALSE)</f>
        <v>#N/A</v>
      </c>
      <c r="H1576" s="43" t="e">
        <f>VLOOKUP($A1576,'[2]Team lists'!$A$2:$L$800,8,FALSE)</f>
        <v>#N/A</v>
      </c>
      <c r="I1576" s="43" t="e">
        <f>VLOOKUP($A1576,'[2]Team lists'!$A$2:$L$800,9,FALSE)</f>
        <v>#N/A</v>
      </c>
      <c r="J1576" s="43" t="e">
        <f>VLOOKUP($A1576,'[2]Team lists'!$A$2:$L$800,9,FALSE)</f>
        <v>#N/A</v>
      </c>
      <c r="K1576" s="43" t="e">
        <f>VLOOKUP($A1576,'[2]Team lists'!$A$2:$L$800,10,FALSE)</f>
        <v>#N/A</v>
      </c>
      <c r="L1576" s="43" t="e">
        <f>VLOOKUP($A1576,'[2]Team lists'!$A$2:$L$800,11,FALSE)</f>
        <v>#N/A</v>
      </c>
    </row>
    <row r="1577" spans="2:13">
      <c r="B1577" s="43" t="e">
        <f>VLOOKUP($A1577,'[2]Team lists'!$A$2:$L$800,2,FALSE)</f>
        <v>#N/A</v>
      </c>
      <c r="C1577" s="43" t="e">
        <f>VLOOKUP($A1577,'[2]Team lists'!$A$2:$L$800,3,FALSE)</f>
        <v>#N/A</v>
      </c>
      <c r="D1577" s="43" t="e">
        <f>VLOOKUP($A1577,'[2]Team lists'!$A$2:$L$800,4,FALSE)</f>
        <v>#N/A</v>
      </c>
      <c r="E1577" s="43" t="e">
        <f>VLOOKUP($A1577,'[2]Team lists'!$A$2:$L$800,5,FALSE)</f>
        <v>#N/A</v>
      </c>
      <c r="F1577" s="43" t="e">
        <f>VLOOKUP($A1577,'[2]Team lists'!$A$2:$L$800,6,FALSE)</f>
        <v>#N/A</v>
      </c>
      <c r="G1577" s="43" t="e">
        <f>VLOOKUP($A1577,'[2]Team lists'!$A$2:$L$800,7,FALSE)</f>
        <v>#N/A</v>
      </c>
      <c r="H1577" s="43" t="e">
        <f>VLOOKUP($A1577,'[2]Team lists'!$A$2:$L$800,8,FALSE)</f>
        <v>#N/A</v>
      </c>
      <c r="I1577" s="43" t="e">
        <f>VLOOKUP($A1577,'[2]Team lists'!$A$2:$L$800,9,FALSE)</f>
        <v>#N/A</v>
      </c>
      <c r="J1577" s="43" t="e">
        <f>VLOOKUP($A1577,'[2]Team lists'!$A$2:$L$800,9,FALSE)</f>
        <v>#N/A</v>
      </c>
      <c r="K1577" s="43" t="e">
        <f>VLOOKUP($A1577,'[2]Team lists'!$A$2:$L$800,10,FALSE)</f>
        <v>#N/A</v>
      </c>
      <c r="L1577" s="43" t="e">
        <f>VLOOKUP($A1577,'[2]Team lists'!$A$2:$L$800,11,FALSE)</f>
        <v>#N/A</v>
      </c>
    </row>
    <row r="1578" spans="2:13">
      <c r="B1578" s="43" t="e">
        <f>VLOOKUP($A1578,'[2]Team lists'!$A$2:$L$800,2,FALSE)</f>
        <v>#N/A</v>
      </c>
      <c r="C1578" s="43" t="e">
        <f>VLOOKUP($A1578,'[2]Team lists'!$A$2:$L$800,3,FALSE)</f>
        <v>#N/A</v>
      </c>
      <c r="D1578" s="43" t="e">
        <f>VLOOKUP($A1578,'[2]Team lists'!$A$2:$L$800,4,FALSE)</f>
        <v>#N/A</v>
      </c>
      <c r="E1578" s="43" t="e">
        <f>VLOOKUP($A1578,'[2]Team lists'!$A$2:$L$800,5,FALSE)</f>
        <v>#N/A</v>
      </c>
      <c r="F1578" s="43" t="e">
        <f>VLOOKUP($A1578,'[2]Team lists'!$A$2:$L$800,6,FALSE)</f>
        <v>#N/A</v>
      </c>
      <c r="G1578" s="43" t="e">
        <f>VLOOKUP($A1578,'[2]Team lists'!$A$2:$L$800,7,FALSE)</f>
        <v>#N/A</v>
      </c>
      <c r="H1578" s="43" t="e">
        <f>VLOOKUP($A1578,'[2]Team lists'!$A$2:$L$800,8,FALSE)</f>
        <v>#N/A</v>
      </c>
      <c r="I1578" s="43" t="e">
        <f>VLOOKUP($A1578,'[2]Team lists'!$A$2:$L$800,9,FALSE)</f>
        <v>#N/A</v>
      </c>
      <c r="J1578" s="43" t="e">
        <f>VLOOKUP($A1578,'[2]Team lists'!$A$2:$L$800,9,FALSE)</f>
        <v>#N/A</v>
      </c>
      <c r="K1578" s="43" t="e">
        <f>VLOOKUP($A1578,'[2]Team lists'!$A$2:$L$800,10,FALSE)</f>
        <v>#N/A</v>
      </c>
      <c r="L1578" s="43" t="e">
        <f>VLOOKUP($A1578,'[2]Team lists'!$A$2:$L$800,11,FALSE)</f>
        <v>#N/A</v>
      </c>
    </row>
    <row r="1579" spans="2:13">
      <c r="B1579" s="43" t="e">
        <f>VLOOKUP($A1579,'[2]Team lists'!$A$2:$L$800,2,FALSE)</f>
        <v>#N/A</v>
      </c>
      <c r="C1579" s="43" t="e">
        <f>VLOOKUP($A1579,'[2]Team lists'!$A$2:$L$800,3,FALSE)</f>
        <v>#N/A</v>
      </c>
      <c r="D1579" s="43" t="e">
        <f>VLOOKUP($A1579,'[2]Team lists'!$A$2:$L$800,4,FALSE)</f>
        <v>#N/A</v>
      </c>
      <c r="E1579" s="43" t="e">
        <f>VLOOKUP($A1579,'[2]Team lists'!$A$2:$L$800,5,FALSE)</f>
        <v>#N/A</v>
      </c>
      <c r="F1579" s="43" t="e">
        <f>VLOOKUP($A1579,'[2]Team lists'!$A$2:$L$800,6,FALSE)</f>
        <v>#N/A</v>
      </c>
      <c r="G1579" s="43" t="e">
        <f>VLOOKUP($A1579,'[2]Team lists'!$A$2:$L$800,7,FALSE)</f>
        <v>#N/A</v>
      </c>
      <c r="H1579" s="43" t="e">
        <f>VLOOKUP($A1579,'[2]Team lists'!$A$2:$L$800,8,FALSE)</f>
        <v>#N/A</v>
      </c>
      <c r="I1579" s="43" t="e">
        <f>VLOOKUP($A1579,'[2]Team lists'!$A$2:$L$800,9,FALSE)</f>
        <v>#N/A</v>
      </c>
      <c r="J1579" s="43" t="e">
        <f>VLOOKUP($A1579,'[2]Team lists'!$A$2:$L$800,9,FALSE)</f>
        <v>#N/A</v>
      </c>
      <c r="K1579" s="43" t="e">
        <f>VLOOKUP($A1579,'[2]Team lists'!$A$2:$L$800,10,FALSE)</f>
        <v>#N/A</v>
      </c>
      <c r="L1579" s="43" t="e">
        <f>VLOOKUP($A1579,'[2]Team lists'!$A$2:$L$800,11,FALSE)</f>
        <v>#N/A</v>
      </c>
    </row>
    <row r="1580" spans="2:13">
      <c r="B1580" s="43" t="e">
        <f>VLOOKUP($A1580,'[2]Team lists'!$A$2:$L$800,2,FALSE)</f>
        <v>#N/A</v>
      </c>
      <c r="C1580" s="43" t="e">
        <f>VLOOKUP($A1580,'[2]Team lists'!$A$2:$L$800,3,FALSE)</f>
        <v>#N/A</v>
      </c>
      <c r="D1580" s="43" t="e">
        <f>VLOOKUP($A1580,'[2]Team lists'!$A$2:$L$800,4,FALSE)</f>
        <v>#N/A</v>
      </c>
      <c r="E1580" s="43" t="e">
        <f>VLOOKUP($A1580,'[2]Team lists'!$A$2:$L$800,5,FALSE)</f>
        <v>#N/A</v>
      </c>
      <c r="F1580" s="43" t="e">
        <f>VLOOKUP($A1580,'[2]Team lists'!$A$2:$L$800,6,FALSE)</f>
        <v>#N/A</v>
      </c>
      <c r="G1580" s="43" t="e">
        <f>VLOOKUP($A1580,'[2]Team lists'!$A$2:$L$800,7,FALSE)</f>
        <v>#N/A</v>
      </c>
      <c r="H1580" s="43" t="e">
        <f>VLOOKUP($A1580,'[2]Team lists'!$A$2:$L$800,8,FALSE)</f>
        <v>#N/A</v>
      </c>
      <c r="I1580" s="43" t="e">
        <f>VLOOKUP($A1580,'[2]Team lists'!$A$2:$L$800,9,FALSE)</f>
        <v>#N/A</v>
      </c>
      <c r="J1580" s="43" t="e">
        <f>VLOOKUP($A1580,'[2]Team lists'!$A$2:$L$800,9,FALSE)</f>
        <v>#N/A</v>
      </c>
      <c r="K1580" s="43" t="e">
        <f>VLOOKUP($A1580,'[2]Team lists'!$A$2:$L$800,10,FALSE)</f>
        <v>#N/A</v>
      </c>
      <c r="L1580" s="43" t="e">
        <f>VLOOKUP($A1580,'[2]Team lists'!$A$2:$L$800,11,FALSE)</f>
        <v>#N/A</v>
      </c>
    </row>
    <row r="1581" spans="2:13">
      <c r="B1581" s="43" t="e">
        <f>VLOOKUP($A1581,'[2]Team lists'!$A$2:$L$800,2,FALSE)</f>
        <v>#N/A</v>
      </c>
      <c r="C1581" s="43" t="e">
        <f>VLOOKUP($A1581,'[2]Team lists'!$A$2:$L$800,3,FALSE)</f>
        <v>#N/A</v>
      </c>
      <c r="D1581" s="43" t="e">
        <f>VLOOKUP($A1581,'[2]Team lists'!$A$2:$L$800,4,FALSE)</f>
        <v>#N/A</v>
      </c>
      <c r="E1581" s="43" t="e">
        <f>VLOOKUP($A1581,'[2]Team lists'!$A$2:$L$800,5,FALSE)</f>
        <v>#N/A</v>
      </c>
      <c r="F1581" s="43" t="e">
        <f>VLOOKUP($A1581,'[2]Team lists'!$A$2:$L$800,6,FALSE)</f>
        <v>#N/A</v>
      </c>
      <c r="G1581" s="43" t="e">
        <f>VLOOKUP($A1581,'[2]Team lists'!$A$2:$L$800,7,FALSE)</f>
        <v>#N/A</v>
      </c>
      <c r="H1581" s="43" t="e">
        <f>VLOOKUP($A1581,'[2]Team lists'!$A$2:$L$800,8,FALSE)</f>
        <v>#N/A</v>
      </c>
      <c r="I1581" s="43" t="e">
        <f>VLOOKUP($A1581,'[2]Team lists'!$A$2:$L$800,9,FALSE)</f>
        <v>#N/A</v>
      </c>
      <c r="J1581" s="43" t="e">
        <f>VLOOKUP($A1581,'[2]Team lists'!$A$2:$L$800,9,FALSE)</f>
        <v>#N/A</v>
      </c>
      <c r="K1581" s="43" t="e">
        <f>VLOOKUP($A1581,'[2]Team lists'!$A$2:$L$800,10,FALSE)</f>
        <v>#N/A</v>
      </c>
      <c r="L1581" s="43" t="e">
        <f>VLOOKUP($A1581,'[2]Team lists'!$A$2:$L$800,11,FALSE)</f>
        <v>#N/A</v>
      </c>
    </row>
    <row r="1582" spans="2:13">
      <c r="B1582" s="43" t="e">
        <f>VLOOKUP($A1582,'[2]Team lists'!$A$2:$L$800,2,FALSE)</f>
        <v>#N/A</v>
      </c>
      <c r="C1582" s="43" t="e">
        <f>VLOOKUP($A1582,'[2]Team lists'!$A$2:$L$800,3,FALSE)</f>
        <v>#N/A</v>
      </c>
      <c r="D1582" s="43" t="e">
        <f>VLOOKUP($A1582,'[2]Team lists'!$A$2:$L$800,4,FALSE)</f>
        <v>#N/A</v>
      </c>
      <c r="E1582" s="43" t="e">
        <f>VLOOKUP($A1582,'[2]Team lists'!$A$2:$L$800,5,FALSE)</f>
        <v>#N/A</v>
      </c>
      <c r="F1582" s="43" t="e">
        <f>VLOOKUP($A1582,'[2]Team lists'!$A$2:$L$800,6,FALSE)</f>
        <v>#N/A</v>
      </c>
      <c r="G1582" s="43" t="e">
        <f>VLOOKUP($A1582,'[2]Team lists'!$A$2:$L$800,7,FALSE)</f>
        <v>#N/A</v>
      </c>
      <c r="H1582" s="43" t="e">
        <f>VLOOKUP($A1582,'[2]Team lists'!$A$2:$L$800,8,FALSE)</f>
        <v>#N/A</v>
      </c>
      <c r="I1582" s="43" t="e">
        <f>VLOOKUP($A1582,'[2]Team lists'!$A$2:$L$800,9,FALSE)</f>
        <v>#N/A</v>
      </c>
      <c r="J1582" s="43" t="e">
        <f>VLOOKUP($A1582,'[2]Team lists'!$A$2:$L$800,9,FALSE)</f>
        <v>#N/A</v>
      </c>
      <c r="K1582" s="43" t="e">
        <f>VLOOKUP($A1582,'[2]Team lists'!$A$2:$L$800,10,FALSE)</f>
        <v>#N/A</v>
      </c>
      <c r="L1582" s="43" t="e">
        <f>VLOOKUP($A1582,'[2]Team lists'!$A$2:$L$800,11,FALSE)</f>
        <v>#N/A</v>
      </c>
    </row>
    <row r="1583" spans="2:13" ht="18" thickBot="1">
      <c r="B1583" s="45" t="s">
        <v>3210</v>
      </c>
      <c r="C1583" s="46"/>
      <c r="D1583" s="47"/>
      <c r="E1583" s="48" t="e">
        <f t="shared" ref="E1583:L1583" si="98">SUM(E1572:E1582)</f>
        <v>#N/A</v>
      </c>
      <c r="F1583" s="49" t="e">
        <f t="shared" si="98"/>
        <v>#N/A</v>
      </c>
      <c r="G1583" s="49" t="e">
        <f t="shared" si="98"/>
        <v>#N/A</v>
      </c>
      <c r="H1583" s="49" t="e">
        <f t="shared" si="98"/>
        <v>#N/A</v>
      </c>
      <c r="I1583" s="49" t="e">
        <f t="shared" si="98"/>
        <v>#N/A</v>
      </c>
      <c r="J1583" s="49" t="e">
        <f t="shared" si="98"/>
        <v>#N/A</v>
      </c>
      <c r="K1583" s="49" t="e">
        <f t="shared" si="98"/>
        <v>#N/A</v>
      </c>
      <c r="L1583" s="50" t="e">
        <f t="shared" si="98"/>
        <v>#N/A</v>
      </c>
    </row>
    <row r="1584" spans="2:13" ht="18.600000000000001" thickTop="1" thickBot="1"/>
    <row r="1585" spans="2:13" ht="18" thickTop="1">
      <c r="B1585" s="23" t="s">
        <v>3204</v>
      </c>
      <c r="C1585" s="24" t="s">
        <v>3205</v>
      </c>
      <c r="D1585" s="25"/>
      <c r="E1585" s="25"/>
      <c r="F1585" s="53"/>
      <c r="G1585" s="28" t="s">
        <v>3206</v>
      </c>
      <c r="H1585" s="54"/>
      <c r="I1585" s="54"/>
      <c r="J1585" s="54"/>
      <c r="K1585" s="28" t="s">
        <v>3207</v>
      </c>
      <c r="L1585" s="29"/>
      <c r="M1585" s="22" t="str">
        <f>G1585</f>
        <v>Manager:</v>
      </c>
    </row>
    <row r="1586" spans="2:13" ht="18" thickBot="1">
      <c r="B1586" s="30">
        <v>100</v>
      </c>
      <c r="C1586" s="57"/>
      <c r="D1586" s="31"/>
      <c r="E1586" s="31"/>
      <c r="F1586" s="33"/>
      <c r="G1586" s="55"/>
      <c r="H1586" s="55"/>
      <c r="I1586" s="55"/>
      <c r="J1586" s="55"/>
      <c r="K1586" s="34" t="e">
        <f>SUM(F1599:L1599)</f>
        <v>#N/A</v>
      </c>
      <c r="L1586" s="35"/>
      <c r="M1586" s="22">
        <f>G1586</f>
        <v>0</v>
      </c>
    </row>
    <row r="1587" spans="2:13" ht="18.600000000000001" thickTop="1">
      <c r="B1587" s="58" t="s">
        <v>913</v>
      </c>
      <c r="C1587" s="59" t="s">
        <v>912</v>
      </c>
      <c r="D1587" s="60" t="s">
        <v>911</v>
      </c>
      <c r="E1587" s="61" t="s">
        <v>3209</v>
      </c>
      <c r="F1587" s="62" t="s">
        <v>3162</v>
      </c>
      <c r="G1587" s="62" t="s">
        <v>3163</v>
      </c>
      <c r="H1587" s="62" t="s">
        <v>3164</v>
      </c>
      <c r="I1587" s="62" t="s">
        <v>3165</v>
      </c>
      <c r="J1587" s="62" t="s">
        <v>3166</v>
      </c>
      <c r="K1587" s="62" t="s">
        <v>3167</v>
      </c>
      <c r="L1587" s="63" t="s">
        <v>3168</v>
      </c>
    </row>
    <row r="1588" spans="2:13">
      <c r="B1588" s="43" t="e">
        <f>VLOOKUP($A1588,'[2]Team lists'!$A$2:$L$800,2,FALSE)</f>
        <v>#N/A</v>
      </c>
      <c r="C1588" s="43" t="e">
        <f>VLOOKUP($A1588,'[2]Team lists'!$A$2:$L$800,3,FALSE)</f>
        <v>#N/A</v>
      </c>
      <c r="D1588" s="43" t="e">
        <f>VLOOKUP($A1588,'[2]Team lists'!$A$2:$L$800,4,FALSE)</f>
        <v>#N/A</v>
      </c>
      <c r="E1588" s="43" t="e">
        <f>VLOOKUP($A1588,'[2]Team lists'!$A$2:$L$800,5,FALSE)</f>
        <v>#N/A</v>
      </c>
      <c r="F1588" s="43" t="e">
        <f>VLOOKUP($A1588,'[2]Team lists'!$A$2:$L$800,6,FALSE)</f>
        <v>#N/A</v>
      </c>
      <c r="G1588" s="43" t="e">
        <f>VLOOKUP($A1588,'[2]Team lists'!$A$2:$L$800,7,FALSE)</f>
        <v>#N/A</v>
      </c>
      <c r="H1588" s="43" t="e">
        <f>VLOOKUP($A1588,'[2]Team lists'!$A$2:$L$800,8,FALSE)</f>
        <v>#N/A</v>
      </c>
      <c r="I1588" s="43" t="e">
        <f>VLOOKUP($A1588,'[2]Team lists'!$A$2:$L$800,9,FALSE)</f>
        <v>#N/A</v>
      </c>
      <c r="J1588" s="43" t="e">
        <f>VLOOKUP($A1588,'[2]Team lists'!$A$2:$L$800,9,FALSE)</f>
        <v>#N/A</v>
      </c>
      <c r="K1588" s="43" t="e">
        <f>VLOOKUP($A1588,'[2]Team lists'!$A$2:$L$800,10,FALSE)</f>
        <v>#N/A</v>
      </c>
      <c r="L1588" s="43" t="e">
        <f>VLOOKUP($A1588,'[2]Team lists'!$A$2:$L$800,11,FALSE)</f>
        <v>#N/A</v>
      </c>
    </row>
    <row r="1589" spans="2:13">
      <c r="B1589" s="43" t="e">
        <f>VLOOKUP($A1589,'[2]Team lists'!$A$2:$L$800,2,FALSE)</f>
        <v>#N/A</v>
      </c>
      <c r="C1589" s="43" t="e">
        <f>VLOOKUP($A1589,'[2]Team lists'!$A$2:$L$800,3,FALSE)</f>
        <v>#N/A</v>
      </c>
      <c r="D1589" s="43" t="e">
        <f>VLOOKUP($A1589,'[2]Team lists'!$A$2:$L$800,4,FALSE)</f>
        <v>#N/A</v>
      </c>
      <c r="E1589" s="43" t="e">
        <f>VLOOKUP($A1589,'[2]Team lists'!$A$2:$L$800,5,FALSE)</f>
        <v>#N/A</v>
      </c>
      <c r="F1589" s="43" t="e">
        <f>VLOOKUP($A1589,'[2]Team lists'!$A$2:$L$800,6,FALSE)</f>
        <v>#N/A</v>
      </c>
      <c r="G1589" s="43" t="e">
        <f>VLOOKUP($A1589,'[2]Team lists'!$A$2:$L$800,7,FALSE)</f>
        <v>#N/A</v>
      </c>
      <c r="H1589" s="43" t="e">
        <f>VLOOKUP($A1589,'[2]Team lists'!$A$2:$L$800,8,FALSE)</f>
        <v>#N/A</v>
      </c>
      <c r="I1589" s="43" t="e">
        <f>VLOOKUP($A1589,'[2]Team lists'!$A$2:$L$800,9,FALSE)</f>
        <v>#N/A</v>
      </c>
      <c r="J1589" s="43" t="e">
        <f>VLOOKUP($A1589,'[2]Team lists'!$A$2:$L$800,9,FALSE)</f>
        <v>#N/A</v>
      </c>
      <c r="K1589" s="43" t="e">
        <f>VLOOKUP($A1589,'[2]Team lists'!$A$2:$L$800,10,FALSE)</f>
        <v>#N/A</v>
      </c>
      <c r="L1589" s="43" t="e">
        <f>VLOOKUP($A1589,'[2]Team lists'!$A$2:$L$800,11,FALSE)</f>
        <v>#N/A</v>
      </c>
    </row>
    <row r="1590" spans="2:13">
      <c r="B1590" s="43" t="e">
        <f>VLOOKUP($A1590,'[2]Team lists'!$A$2:$L$800,2,FALSE)</f>
        <v>#N/A</v>
      </c>
      <c r="C1590" s="43" t="e">
        <f>VLOOKUP($A1590,'[2]Team lists'!$A$2:$L$800,3,FALSE)</f>
        <v>#N/A</v>
      </c>
      <c r="D1590" s="43" t="e">
        <f>VLOOKUP($A1590,'[2]Team lists'!$A$2:$L$800,4,FALSE)</f>
        <v>#N/A</v>
      </c>
      <c r="E1590" s="43" t="e">
        <f>VLOOKUP($A1590,'[2]Team lists'!$A$2:$L$800,5,FALSE)</f>
        <v>#N/A</v>
      </c>
      <c r="F1590" s="43" t="e">
        <f>VLOOKUP($A1590,'[2]Team lists'!$A$2:$L$800,6,FALSE)</f>
        <v>#N/A</v>
      </c>
      <c r="G1590" s="43" t="e">
        <f>VLOOKUP($A1590,'[2]Team lists'!$A$2:$L$800,7,FALSE)</f>
        <v>#N/A</v>
      </c>
      <c r="H1590" s="43" t="e">
        <f>VLOOKUP($A1590,'[2]Team lists'!$A$2:$L$800,8,FALSE)</f>
        <v>#N/A</v>
      </c>
      <c r="I1590" s="43" t="e">
        <f>VLOOKUP($A1590,'[2]Team lists'!$A$2:$L$800,9,FALSE)</f>
        <v>#N/A</v>
      </c>
      <c r="J1590" s="43" t="e">
        <f>VLOOKUP($A1590,'[2]Team lists'!$A$2:$L$800,9,FALSE)</f>
        <v>#N/A</v>
      </c>
      <c r="K1590" s="43" t="e">
        <f>VLOOKUP($A1590,'[2]Team lists'!$A$2:$L$800,10,FALSE)</f>
        <v>#N/A</v>
      </c>
      <c r="L1590" s="43" t="e">
        <f>VLOOKUP($A1590,'[2]Team lists'!$A$2:$L$800,11,FALSE)</f>
        <v>#N/A</v>
      </c>
    </row>
    <row r="1591" spans="2:13">
      <c r="B1591" s="43" t="e">
        <f>VLOOKUP($A1591,'[2]Team lists'!$A$2:$L$800,2,FALSE)</f>
        <v>#N/A</v>
      </c>
      <c r="C1591" s="43" t="e">
        <f>VLOOKUP($A1591,'[2]Team lists'!$A$2:$L$800,3,FALSE)</f>
        <v>#N/A</v>
      </c>
      <c r="D1591" s="43" t="e">
        <f>VLOOKUP($A1591,'[2]Team lists'!$A$2:$L$800,4,FALSE)</f>
        <v>#N/A</v>
      </c>
      <c r="E1591" s="43" t="e">
        <f>VLOOKUP($A1591,'[2]Team lists'!$A$2:$L$800,5,FALSE)</f>
        <v>#N/A</v>
      </c>
      <c r="F1591" s="43" t="e">
        <f>VLOOKUP($A1591,'[2]Team lists'!$A$2:$L$800,6,FALSE)</f>
        <v>#N/A</v>
      </c>
      <c r="G1591" s="43" t="e">
        <f>VLOOKUP($A1591,'[2]Team lists'!$A$2:$L$800,7,FALSE)</f>
        <v>#N/A</v>
      </c>
      <c r="H1591" s="43" t="e">
        <f>VLOOKUP($A1591,'[2]Team lists'!$A$2:$L$800,8,FALSE)</f>
        <v>#N/A</v>
      </c>
      <c r="I1591" s="43" t="e">
        <f>VLOOKUP($A1591,'[2]Team lists'!$A$2:$L$800,9,FALSE)</f>
        <v>#N/A</v>
      </c>
      <c r="J1591" s="43" t="e">
        <f>VLOOKUP($A1591,'[2]Team lists'!$A$2:$L$800,9,FALSE)</f>
        <v>#N/A</v>
      </c>
      <c r="K1591" s="43" t="e">
        <f>VLOOKUP($A1591,'[2]Team lists'!$A$2:$L$800,10,FALSE)</f>
        <v>#N/A</v>
      </c>
      <c r="L1591" s="43" t="e">
        <f>VLOOKUP($A1591,'[2]Team lists'!$A$2:$L$800,11,FALSE)</f>
        <v>#N/A</v>
      </c>
    </row>
    <row r="1592" spans="2:13">
      <c r="B1592" s="43" t="e">
        <f>VLOOKUP($A1592,'[2]Team lists'!$A$2:$L$800,2,FALSE)</f>
        <v>#N/A</v>
      </c>
      <c r="C1592" s="43" t="e">
        <f>VLOOKUP($A1592,'[2]Team lists'!$A$2:$L$800,3,FALSE)</f>
        <v>#N/A</v>
      </c>
      <c r="D1592" s="43" t="e">
        <f>VLOOKUP($A1592,'[2]Team lists'!$A$2:$L$800,4,FALSE)</f>
        <v>#N/A</v>
      </c>
      <c r="E1592" s="43" t="e">
        <f>VLOOKUP($A1592,'[2]Team lists'!$A$2:$L$800,5,FALSE)</f>
        <v>#N/A</v>
      </c>
      <c r="F1592" s="43" t="e">
        <f>VLOOKUP($A1592,'[2]Team lists'!$A$2:$L$800,6,FALSE)</f>
        <v>#N/A</v>
      </c>
      <c r="G1592" s="43" t="e">
        <f>VLOOKUP($A1592,'[2]Team lists'!$A$2:$L$800,7,FALSE)</f>
        <v>#N/A</v>
      </c>
      <c r="H1592" s="43" t="e">
        <f>VLOOKUP($A1592,'[2]Team lists'!$A$2:$L$800,8,FALSE)</f>
        <v>#N/A</v>
      </c>
      <c r="I1592" s="43" t="e">
        <f>VLOOKUP($A1592,'[2]Team lists'!$A$2:$L$800,9,FALSE)</f>
        <v>#N/A</v>
      </c>
      <c r="J1592" s="43" t="e">
        <f>VLOOKUP($A1592,'[2]Team lists'!$A$2:$L$800,9,FALSE)</f>
        <v>#N/A</v>
      </c>
      <c r="K1592" s="43" t="e">
        <f>VLOOKUP($A1592,'[2]Team lists'!$A$2:$L$800,10,FALSE)</f>
        <v>#N/A</v>
      </c>
      <c r="L1592" s="43" t="e">
        <f>VLOOKUP($A1592,'[2]Team lists'!$A$2:$L$800,11,FALSE)</f>
        <v>#N/A</v>
      </c>
    </row>
    <row r="1593" spans="2:13">
      <c r="B1593" s="43" t="e">
        <f>VLOOKUP($A1593,'[2]Team lists'!$A$2:$L$800,2,FALSE)</f>
        <v>#N/A</v>
      </c>
      <c r="C1593" s="43" t="e">
        <f>VLOOKUP($A1593,'[2]Team lists'!$A$2:$L$800,3,FALSE)</f>
        <v>#N/A</v>
      </c>
      <c r="D1593" s="43" t="e">
        <f>VLOOKUP($A1593,'[2]Team lists'!$A$2:$L$800,4,FALSE)</f>
        <v>#N/A</v>
      </c>
      <c r="E1593" s="43" t="e">
        <f>VLOOKUP($A1593,'[2]Team lists'!$A$2:$L$800,5,FALSE)</f>
        <v>#N/A</v>
      </c>
      <c r="F1593" s="43" t="e">
        <f>VLOOKUP($A1593,'[2]Team lists'!$A$2:$L$800,6,FALSE)</f>
        <v>#N/A</v>
      </c>
      <c r="G1593" s="43" t="e">
        <f>VLOOKUP($A1593,'[2]Team lists'!$A$2:$L$800,7,FALSE)</f>
        <v>#N/A</v>
      </c>
      <c r="H1593" s="43" t="e">
        <f>VLOOKUP($A1593,'[2]Team lists'!$A$2:$L$800,8,FALSE)</f>
        <v>#N/A</v>
      </c>
      <c r="I1593" s="43" t="e">
        <f>VLOOKUP($A1593,'[2]Team lists'!$A$2:$L$800,9,FALSE)</f>
        <v>#N/A</v>
      </c>
      <c r="J1593" s="43" t="e">
        <f>VLOOKUP($A1593,'[2]Team lists'!$A$2:$L$800,9,FALSE)</f>
        <v>#N/A</v>
      </c>
      <c r="K1593" s="43" t="e">
        <f>VLOOKUP($A1593,'[2]Team lists'!$A$2:$L$800,10,FALSE)</f>
        <v>#N/A</v>
      </c>
      <c r="L1593" s="43" t="e">
        <f>VLOOKUP($A1593,'[2]Team lists'!$A$2:$L$800,11,FALSE)</f>
        <v>#N/A</v>
      </c>
    </row>
    <row r="1594" spans="2:13">
      <c r="B1594" s="43" t="e">
        <f>VLOOKUP($A1594,'[2]Team lists'!$A$2:$L$800,2,FALSE)</f>
        <v>#N/A</v>
      </c>
      <c r="C1594" s="43" t="e">
        <f>VLOOKUP($A1594,'[2]Team lists'!$A$2:$L$800,3,FALSE)</f>
        <v>#N/A</v>
      </c>
      <c r="D1594" s="43" t="e">
        <f>VLOOKUP($A1594,'[2]Team lists'!$A$2:$L$800,4,FALSE)</f>
        <v>#N/A</v>
      </c>
      <c r="E1594" s="43" t="e">
        <f>VLOOKUP($A1594,'[2]Team lists'!$A$2:$L$800,5,FALSE)</f>
        <v>#N/A</v>
      </c>
      <c r="F1594" s="43" t="e">
        <f>VLOOKUP($A1594,'[2]Team lists'!$A$2:$L$800,6,FALSE)</f>
        <v>#N/A</v>
      </c>
      <c r="G1594" s="43" t="e">
        <f>VLOOKUP($A1594,'[2]Team lists'!$A$2:$L$800,7,FALSE)</f>
        <v>#N/A</v>
      </c>
      <c r="H1594" s="43" t="e">
        <f>VLOOKUP($A1594,'[2]Team lists'!$A$2:$L$800,8,FALSE)</f>
        <v>#N/A</v>
      </c>
      <c r="I1594" s="43" t="e">
        <f>VLOOKUP($A1594,'[2]Team lists'!$A$2:$L$800,9,FALSE)</f>
        <v>#N/A</v>
      </c>
      <c r="J1594" s="43" t="e">
        <f>VLOOKUP($A1594,'[2]Team lists'!$A$2:$L$800,9,FALSE)</f>
        <v>#N/A</v>
      </c>
      <c r="K1594" s="43" t="e">
        <f>VLOOKUP($A1594,'[2]Team lists'!$A$2:$L$800,10,FALSE)</f>
        <v>#N/A</v>
      </c>
      <c r="L1594" s="43" t="e">
        <f>VLOOKUP($A1594,'[2]Team lists'!$A$2:$L$800,11,FALSE)</f>
        <v>#N/A</v>
      </c>
    </row>
    <row r="1595" spans="2:13">
      <c r="B1595" s="43" t="e">
        <f>VLOOKUP($A1595,'[2]Team lists'!$A$2:$L$800,2,FALSE)</f>
        <v>#N/A</v>
      </c>
      <c r="C1595" s="43" t="e">
        <f>VLOOKUP($A1595,'[2]Team lists'!$A$2:$L$800,3,FALSE)</f>
        <v>#N/A</v>
      </c>
      <c r="D1595" s="43" t="e">
        <f>VLOOKUP($A1595,'[2]Team lists'!$A$2:$L$800,4,FALSE)</f>
        <v>#N/A</v>
      </c>
      <c r="E1595" s="43" t="e">
        <f>VLOOKUP($A1595,'[2]Team lists'!$A$2:$L$800,5,FALSE)</f>
        <v>#N/A</v>
      </c>
      <c r="F1595" s="43" t="e">
        <f>VLOOKUP($A1595,'[2]Team lists'!$A$2:$L$800,6,FALSE)</f>
        <v>#N/A</v>
      </c>
      <c r="G1595" s="43" t="e">
        <f>VLOOKUP($A1595,'[2]Team lists'!$A$2:$L$800,7,FALSE)</f>
        <v>#N/A</v>
      </c>
      <c r="H1595" s="43" t="e">
        <f>VLOOKUP($A1595,'[2]Team lists'!$A$2:$L$800,8,FALSE)</f>
        <v>#N/A</v>
      </c>
      <c r="I1595" s="43" t="e">
        <f>VLOOKUP($A1595,'[2]Team lists'!$A$2:$L$800,9,FALSE)</f>
        <v>#N/A</v>
      </c>
      <c r="J1595" s="43" t="e">
        <f>VLOOKUP($A1595,'[2]Team lists'!$A$2:$L$800,9,FALSE)</f>
        <v>#N/A</v>
      </c>
      <c r="K1595" s="43" t="e">
        <f>VLOOKUP($A1595,'[2]Team lists'!$A$2:$L$800,10,FALSE)</f>
        <v>#N/A</v>
      </c>
      <c r="L1595" s="43" t="e">
        <f>VLOOKUP($A1595,'[2]Team lists'!$A$2:$L$800,11,FALSE)</f>
        <v>#N/A</v>
      </c>
    </row>
    <row r="1596" spans="2:13">
      <c r="B1596" s="43" t="e">
        <f>VLOOKUP($A1596,'[2]Team lists'!$A$2:$L$800,2,FALSE)</f>
        <v>#N/A</v>
      </c>
      <c r="C1596" s="43" t="e">
        <f>VLOOKUP($A1596,'[2]Team lists'!$A$2:$L$800,3,FALSE)</f>
        <v>#N/A</v>
      </c>
      <c r="D1596" s="43" t="e">
        <f>VLOOKUP($A1596,'[2]Team lists'!$A$2:$L$800,4,FALSE)</f>
        <v>#N/A</v>
      </c>
      <c r="E1596" s="43" t="e">
        <f>VLOOKUP($A1596,'[2]Team lists'!$A$2:$L$800,5,FALSE)</f>
        <v>#N/A</v>
      </c>
      <c r="F1596" s="43" t="e">
        <f>VLOOKUP($A1596,'[2]Team lists'!$A$2:$L$800,6,FALSE)</f>
        <v>#N/A</v>
      </c>
      <c r="G1596" s="43" t="e">
        <f>VLOOKUP($A1596,'[2]Team lists'!$A$2:$L$800,7,FALSE)</f>
        <v>#N/A</v>
      </c>
      <c r="H1596" s="43" t="e">
        <f>VLOOKUP($A1596,'[2]Team lists'!$A$2:$L$800,8,FALSE)</f>
        <v>#N/A</v>
      </c>
      <c r="I1596" s="43" t="e">
        <f>VLOOKUP($A1596,'[2]Team lists'!$A$2:$L$800,9,FALSE)</f>
        <v>#N/A</v>
      </c>
      <c r="J1596" s="43" t="e">
        <f>VLOOKUP($A1596,'[2]Team lists'!$A$2:$L$800,9,FALSE)</f>
        <v>#N/A</v>
      </c>
      <c r="K1596" s="43" t="e">
        <f>VLOOKUP($A1596,'[2]Team lists'!$A$2:$L$800,10,FALSE)</f>
        <v>#N/A</v>
      </c>
      <c r="L1596" s="43" t="e">
        <f>VLOOKUP($A1596,'[2]Team lists'!$A$2:$L$800,11,FALSE)</f>
        <v>#N/A</v>
      </c>
    </row>
    <row r="1597" spans="2:13">
      <c r="B1597" s="43" t="e">
        <f>VLOOKUP($A1597,'[2]Team lists'!$A$2:$L$800,2,FALSE)</f>
        <v>#N/A</v>
      </c>
      <c r="C1597" s="43" t="e">
        <f>VLOOKUP($A1597,'[2]Team lists'!$A$2:$L$800,3,FALSE)</f>
        <v>#N/A</v>
      </c>
      <c r="D1597" s="43" t="e">
        <f>VLOOKUP($A1597,'[2]Team lists'!$A$2:$L$800,4,FALSE)</f>
        <v>#N/A</v>
      </c>
      <c r="E1597" s="43" t="e">
        <f>VLOOKUP($A1597,'[2]Team lists'!$A$2:$L$800,5,FALSE)</f>
        <v>#N/A</v>
      </c>
      <c r="F1597" s="43" t="e">
        <f>VLOOKUP($A1597,'[2]Team lists'!$A$2:$L$800,6,FALSE)</f>
        <v>#N/A</v>
      </c>
      <c r="G1597" s="43" t="e">
        <f>VLOOKUP($A1597,'[2]Team lists'!$A$2:$L$800,7,FALSE)</f>
        <v>#N/A</v>
      </c>
      <c r="H1597" s="43" t="e">
        <f>VLOOKUP($A1597,'[2]Team lists'!$A$2:$L$800,8,FALSE)</f>
        <v>#N/A</v>
      </c>
      <c r="I1597" s="43" t="e">
        <f>VLOOKUP($A1597,'[2]Team lists'!$A$2:$L$800,9,FALSE)</f>
        <v>#N/A</v>
      </c>
      <c r="J1597" s="43" t="e">
        <f>VLOOKUP($A1597,'[2]Team lists'!$A$2:$L$800,9,FALSE)</f>
        <v>#N/A</v>
      </c>
      <c r="K1597" s="43" t="e">
        <f>VLOOKUP($A1597,'[2]Team lists'!$A$2:$L$800,10,FALSE)</f>
        <v>#N/A</v>
      </c>
      <c r="L1597" s="43" t="e">
        <f>VLOOKUP($A1597,'[2]Team lists'!$A$2:$L$800,11,FALSE)</f>
        <v>#N/A</v>
      </c>
    </row>
    <row r="1598" spans="2:13">
      <c r="B1598" s="43" t="e">
        <f>VLOOKUP($A1598,'[2]Team lists'!$A$2:$L$800,2,FALSE)</f>
        <v>#N/A</v>
      </c>
      <c r="C1598" s="43" t="e">
        <f>VLOOKUP($A1598,'[2]Team lists'!$A$2:$L$800,3,FALSE)</f>
        <v>#N/A</v>
      </c>
      <c r="D1598" s="43" t="e">
        <f>VLOOKUP($A1598,'[2]Team lists'!$A$2:$L$800,4,FALSE)</f>
        <v>#N/A</v>
      </c>
      <c r="E1598" s="43" t="e">
        <f>VLOOKUP($A1598,'[2]Team lists'!$A$2:$L$800,5,FALSE)</f>
        <v>#N/A</v>
      </c>
      <c r="F1598" s="43" t="e">
        <f>VLOOKUP($A1598,'[2]Team lists'!$A$2:$L$800,6,FALSE)</f>
        <v>#N/A</v>
      </c>
      <c r="G1598" s="43" t="e">
        <f>VLOOKUP($A1598,'[2]Team lists'!$A$2:$L$800,7,FALSE)</f>
        <v>#N/A</v>
      </c>
      <c r="H1598" s="43" t="e">
        <f>VLOOKUP($A1598,'[2]Team lists'!$A$2:$L$800,8,FALSE)</f>
        <v>#N/A</v>
      </c>
      <c r="I1598" s="43" t="e">
        <f>VLOOKUP($A1598,'[2]Team lists'!$A$2:$L$800,9,FALSE)</f>
        <v>#N/A</v>
      </c>
      <c r="J1598" s="43" t="e">
        <f>VLOOKUP($A1598,'[2]Team lists'!$A$2:$L$800,9,FALSE)</f>
        <v>#N/A</v>
      </c>
      <c r="K1598" s="43" t="e">
        <f>VLOOKUP($A1598,'[2]Team lists'!$A$2:$L$800,10,FALSE)</f>
        <v>#N/A</v>
      </c>
      <c r="L1598" s="43" t="e">
        <f>VLOOKUP($A1598,'[2]Team lists'!$A$2:$L$800,11,FALSE)</f>
        <v>#N/A</v>
      </c>
    </row>
    <row r="1599" spans="2:13" ht="18" thickBot="1">
      <c r="B1599" s="45" t="s">
        <v>3210</v>
      </c>
      <c r="C1599" s="46"/>
      <c r="D1599" s="47"/>
      <c r="E1599" s="48" t="e">
        <f t="shared" ref="E1599:L1599" si="99">SUM(E1588:E1598)</f>
        <v>#N/A</v>
      </c>
      <c r="F1599" s="49" t="e">
        <f t="shared" si="99"/>
        <v>#N/A</v>
      </c>
      <c r="G1599" s="49" t="e">
        <f t="shared" si="99"/>
        <v>#N/A</v>
      </c>
      <c r="H1599" s="49" t="e">
        <f t="shared" si="99"/>
        <v>#N/A</v>
      </c>
      <c r="I1599" s="49" t="e">
        <f t="shared" si="99"/>
        <v>#N/A</v>
      </c>
      <c r="J1599" s="49" t="e">
        <f t="shared" si="99"/>
        <v>#N/A</v>
      </c>
      <c r="K1599" s="49" t="e">
        <f t="shared" si="99"/>
        <v>#N/A</v>
      </c>
      <c r="L1599" s="50" t="e">
        <f t="shared" si="99"/>
        <v>#N/A</v>
      </c>
    </row>
    <row r="1600" spans="2:13" ht="18.600000000000001" thickTop="1" thickBot="1"/>
    <row r="1601" spans="2:13" ht="18" thickTop="1">
      <c r="B1601" s="23" t="s">
        <v>3204</v>
      </c>
      <c r="C1601" s="24" t="s">
        <v>3205</v>
      </c>
      <c r="D1601" s="25"/>
      <c r="E1601" s="25"/>
      <c r="F1601" s="53"/>
      <c r="G1601" s="28" t="s">
        <v>3206</v>
      </c>
      <c r="H1601" s="54"/>
      <c r="I1601" s="54"/>
      <c r="J1601" s="54"/>
      <c r="K1601" s="28" t="s">
        <v>3207</v>
      </c>
      <c r="L1601" s="29"/>
      <c r="M1601" s="22" t="str">
        <f>G1601</f>
        <v>Manager:</v>
      </c>
    </row>
    <row r="1602" spans="2:13" ht="18" thickBot="1">
      <c r="B1602" s="30">
        <v>101</v>
      </c>
      <c r="C1602" s="57"/>
      <c r="D1602" s="31"/>
      <c r="E1602" s="31"/>
      <c r="F1602" s="33"/>
      <c r="G1602" s="55"/>
      <c r="H1602" s="55"/>
      <c r="I1602" s="55"/>
      <c r="J1602" s="55"/>
      <c r="K1602" s="34" t="e">
        <f>SUM(F1615:L1615)</f>
        <v>#N/A</v>
      </c>
      <c r="L1602" s="35"/>
      <c r="M1602" s="22">
        <f>G1602</f>
        <v>0</v>
      </c>
    </row>
    <row r="1603" spans="2:13" ht="18.600000000000001" thickTop="1">
      <c r="B1603" s="58" t="s">
        <v>913</v>
      </c>
      <c r="C1603" s="59" t="s">
        <v>912</v>
      </c>
      <c r="D1603" s="60" t="s">
        <v>911</v>
      </c>
      <c r="E1603" s="61" t="s">
        <v>3209</v>
      </c>
      <c r="F1603" s="62" t="s">
        <v>3162</v>
      </c>
      <c r="G1603" s="62" t="s">
        <v>3163</v>
      </c>
      <c r="H1603" s="62" t="s">
        <v>3164</v>
      </c>
      <c r="I1603" s="62" t="s">
        <v>3165</v>
      </c>
      <c r="J1603" s="62" t="s">
        <v>3166</v>
      </c>
      <c r="K1603" s="62" t="s">
        <v>3167</v>
      </c>
      <c r="L1603" s="63" t="s">
        <v>3168</v>
      </c>
    </row>
    <row r="1604" spans="2:13">
      <c r="B1604" s="43" t="e">
        <f>VLOOKUP($A1604,'[2]Team lists'!$A$2:$L$800,2,FALSE)</f>
        <v>#N/A</v>
      </c>
      <c r="C1604" s="43" t="e">
        <f>VLOOKUP($A1604,'[2]Team lists'!$A$2:$L$800,3,FALSE)</f>
        <v>#N/A</v>
      </c>
      <c r="D1604" s="43" t="e">
        <f>VLOOKUP($A1604,'[2]Team lists'!$A$2:$L$800,4,FALSE)</f>
        <v>#N/A</v>
      </c>
      <c r="E1604" s="43" t="e">
        <f>VLOOKUP($A1604,'[2]Team lists'!$A$2:$L$800,5,FALSE)</f>
        <v>#N/A</v>
      </c>
      <c r="F1604" s="43" t="e">
        <f>VLOOKUP($A1604,'[2]Team lists'!$A$2:$L$800,6,FALSE)</f>
        <v>#N/A</v>
      </c>
      <c r="G1604" s="43" t="e">
        <f>VLOOKUP($A1604,'[2]Team lists'!$A$2:$L$800,7,FALSE)</f>
        <v>#N/A</v>
      </c>
      <c r="H1604" s="43" t="e">
        <f>VLOOKUP($A1604,'[2]Team lists'!$A$2:$L$800,8,FALSE)</f>
        <v>#N/A</v>
      </c>
      <c r="I1604" s="43" t="e">
        <f>VLOOKUP($A1604,'[2]Team lists'!$A$2:$L$800,9,FALSE)</f>
        <v>#N/A</v>
      </c>
      <c r="J1604" s="43" t="e">
        <f>VLOOKUP($A1604,'[2]Team lists'!$A$2:$L$800,9,FALSE)</f>
        <v>#N/A</v>
      </c>
      <c r="K1604" s="43" t="e">
        <f>VLOOKUP($A1604,'[2]Team lists'!$A$2:$L$800,10,FALSE)</f>
        <v>#N/A</v>
      </c>
      <c r="L1604" s="43" t="e">
        <f>VLOOKUP($A1604,'[2]Team lists'!$A$2:$L$800,11,FALSE)</f>
        <v>#N/A</v>
      </c>
    </row>
    <row r="1605" spans="2:13">
      <c r="B1605" s="43" t="e">
        <f>VLOOKUP($A1605,'[2]Team lists'!$A$2:$L$800,2,FALSE)</f>
        <v>#N/A</v>
      </c>
      <c r="C1605" s="43" t="e">
        <f>VLOOKUP($A1605,'[2]Team lists'!$A$2:$L$800,3,FALSE)</f>
        <v>#N/A</v>
      </c>
      <c r="D1605" s="43" t="e">
        <f>VLOOKUP($A1605,'[2]Team lists'!$A$2:$L$800,4,FALSE)</f>
        <v>#N/A</v>
      </c>
      <c r="E1605" s="43" t="e">
        <f>VLOOKUP($A1605,'[2]Team lists'!$A$2:$L$800,5,FALSE)</f>
        <v>#N/A</v>
      </c>
      <c r="F1605" s="43" t="e">
        <f>VLOOKUP($A1605,'[2]Team lists'!$A$2:$L$800,6,FALSE)</f>
        <v>#N/A</v>
      </c>
      <c r="G1605" s="43" t="e">
        <f>VLOOKUP($A1605,'[2]Team lists'!$A$2:$L$800,7,FALSE)</f>
        <v>#N/A</v>
      </c>
      <c r="H1605" s="43" t="e">
        <f>VLOOKUP($A1605,'[2]Team lists'!$A$2:$L$800,8,FALSE)</f>
        <v>#N/A</v>
      </c>
      <c r="I1605" s="43" t="e">
        <f>VLOOKUP($A1605,'[2]Team lists'!$A$2:$L$800,9,FALSE)</f>
        <v>#N/A</v>
      </c>
      <c r="J1605" s="43" t="e">
        <f>VLOOKUP($A1605,'[2]Team lists'!$A$2:$L$800,9,FALSE)</f>
        <v>#N/A</v>
      </c>
      <c r="K1605" s="43" t="e">
        <f>VLOOKUP($A1605,'[2]Team lists'!$A$2:$L$800,10,FALSE)</f>
        <v>#N/A</v>
      </c>
      <c r="L1605" s="43" t="e">
        <f>VLOOKUP($A1605,'[2]Team lists'!$A$2:$L$800,11,FALSE)</f>
        <v>#N/A</v>
      </c>
    </row>
    <row r="1606" spans="2:13">
      <c r="B1606" s="43" t="e">
        <f>VLOOKUP($A1606,'[2]Team lists'!$A$2:$L$800,2,FALSE)</f>
        <v>#N/A</v>
      </c>
      <c r="C1606" s="43" t="e">
        <f>VLOOKUP($A1606,'[2]Team lists'!$A$2:$L$800,3,FALSE)</f>
        <v>#N/A</v>
      </c>
      <c r="D1606" s="43" t="e">
        <f>VLOOKUP($A1606,'[2]Team lists'!$A$2:$L$800,4,FALSE)</f>
        <v>#N/A</v>
      </c>
      <c r="E1606" s="43" t="e">
        <f>VLOOKUP($A1606,'[2]Team lists'!$A$2:$L$800,5,FALSE)</f>
        <v>#N/A</v>
      </c>
      <c r="F1606" s="43" t="e">
        <f>VLOOKUP($A1606,'[2]Team lists'!$A$2:$L$800,6,FALSE)</f>
        <v>#N/A</v>
      </c>
      <c r="G1606" s="43" t="e">
        <f>VLOOKUP($A1606,'[2]Team lists'!$A$2:$L$800,7,FALSE)</f>
        <v>#N/A</v>
      </c>
      <c r="H1606" s="43" t="e">
        <f>VLOOKUP($A1606,'[2]Team lists'!$A$2:$L$800,8,FALSE)</f>
        <v>#N/A</v>
      </c>
      <c r="I1606" s="43" t="e">
        <f>VLOOKUP($A1606,'[2]Team lists'!$A$2:$L$800,9,FALSE)</f>
        <v>#N/A</v>
      </c>
      <c r="J1606" s="43" t="e">
        <f>VLOOKUP($A1606,'[2]Team lists'!$A$2:$L$800,9,FALSE)</f>
        <v>#N/A</v>
      </c>
      <c r="K1606" s="43" t="e">
        <f>VLOOKUP($A1606,'[2]Team lists'!$A$2:$L$800,10,FALSE)</f>
        <v>#N/A</v>
      </c>
      <c r="L1606" s="43" t="e">
        <f>VLOOKUP($A1606,'[2]Team lists'!$A$2:$L$800,11,FALSE)</f>
        <v>#N/A</v>
      </c>
    </row>
    <row r="1607" spans="2:13">
      <c r="B1607" s="43" t="e">
        <f>VLOOKUP($A1607,'[2]Team lists'!$A$2:$L$800,2,FALSE)</f>
        <v>#N/A</v>
      </c>
      <c r="C1607" s="43" t="e">
        <f>VLOOKUP($A1607,'[2]Team lists'!$A$2:$L$800,3,FALSE)</f>
        <v>#N/A</v>
      </c>
      <c r="D1607" s="43" t="e">
        <f>VLOOKUP($A1607,'[2]Team lists'!$A$2:$L$800,4,FALSE)</f>
        <v>#N/A</v>
      </c>
      <c r="E1607" s="43" t="e">
        <f>VLOOKUP($A1607,'[2]Team lists'!$A$2:$L$800,5,FALSE)</f>
        <v>#N/A</v>
      </c>
      <c r="F1607" s="43" t="e">
        <f>VLOOKUP($A1607,'[2]Team lists'!$A$2:$L$800,6,FALSE)</f>
        <v>#N/A</v>
      </c>
      <c r="G1607" s="43" t="e">
        <f>VLOOKUP($A1607,'[2]Team lists'!$A$2:$L$800,7,FALSE)</f>
        <v>#N/A</v>
      </c>
      <c r="H1607" s="43" t="e">
        <f>VLOOKUP($A1607,'[2]Team lists'!$A$2:$L$800,8,FALSE)</f>
        <v>#N/A</v>
      </c>
      <c r="I1607" s="43" t="e">
        <f>VLOOKUP($A1607,'[2]Team lists'!$A$2:$L$800,9,FALSE)</f>
        <v>#N/A</v>
      </c>
      <c r="J1607" s="43" t="e">
        <f>VLOOKUP($A1607,'[2]Team lists'!$A$2:$L$800,9,FALSE)</f>
        <v>#N/A</v>
      </c>
      <c r="K1607" s="43" t="e">
        <f>VLOOKUP($A1607,'[2]Team lists'!$A$2:$L$800,10,FALSE)</f>
        <v>#N/A</v>
      </c>
      <c r="L1607" s="43" t="e">
        <f>VLOOKUP($A1607,'[2]Team lists'!$A$2:$L$800,11,FALSE)</f>
        <v>#N/A</v>
      </c>
    </row>
    <row r="1608" spans="2:13">
      <c r="B1608" s="43" t="e">
        <f>VLOOKUP($A1608,'[2]Team lists'!$A$2:$L$800,2,FALSE)</f>
        <v>#N/A</v>
      </c>
      <c r="C1608" s="43" t="e">
        <f>VLOOKUP($A1608,'[2]Team lists'!$A$2:$L$800,3,FALSE)</f>
        <v>#N/A</v>
      </c>
      <c r="D1608" s="43" t="e">
        <f>VLOOKUP($A1608,'[2]Team lists'!$A$2:$L$800,4,FALSE)</f>
        <v>#N/A</v>
      </c>
      <c r="E1608" s="43" t="e">
        <f>VLOOKUP($A1608,'[2]Team lists'!$A$2:$L$800,5,FALSE)</f>
        <v>#N/A</v>
      </c>
      <c r="F1608" s="43" t="e">
        <f>VLOOKUP($A1608,'[2]Team lists'!$A$2:$L$800,6,FALSE)</f>
        <v>#N/A</v>
      </c>
      <c r="G1608" s="43" t="e">
        <f>VLOOKUP($A1608,'[2]Team lists'!$A$2:$L$800,7,FALSE)</f>
        <v>#N/A</v>
      </c>
      <c r="H1608" s="43" t="e">
        <f>VLOOKUP($A1608,'[2]Team lists'!$A$2:$L$800,8,FALSE)</f>
        <v>#N/A</v>
      </c>
      <c r="I1608" s="43" t="e">
        <f>VLOOKUP($A1608,'[2]Team lists'!$A$2:$L$800,9,FALSE)</f>
        <v>#N/A</v>
      </c>
      <c r="J1608" s="43" t="e">
        <f>VLOOKUP($A1608,'[2]Team lists'!$A$2:$L$800,9,FALSE)</f>
        <v>#N/A</v>
      </c>
      <c r="K1608" s="43" t="e">
        <f>VLOOKUP($A1608,'[2]Team lists'!$A$2:$L$800,10,FALSE)</f>
        <v>#N/A</v>
      </c>
      <c r="L1608" s="43" t="e">
        <f>VLOOKUP($A1608,'[2]Team lists'!$A$2:$L$800,11,FALSE)</f>
        <v>#N/A</v>
      </c>
    </row>
    <row r="1609" spans="2:13">
      <c r="B1609" s="43" t="e">
        <f>VLOOKUP($A1609,'[2]Team lists'!$A$2:$L$800,2,FALSE)</f>
        <v>#N/A</v>
      </c>
      <c r="C1609" s="43" t="e">
        <f>VLOOKUP($A1609,'[2]Team lists'!$A$2:$L$800,3,FALSE)</f>
        <v>#N/A</v>
      </c>
      <c r="D1609" s="43" t="e">
        <f>VLOOKUP($A1609,'[2]Team lists'!$A$2:$L$800,4,FALSE)</f>
        <v>#N/A</v>
      </c>
      <c r="E1609" s="43" t="e">
        <f>VLOOKUP($A1609,'[2]Team lists'!$A$2:$L$800,5,FALSE)</f>
        <v>#N/A</v>
      </c>
      <c r="F1609" s="43" t="e">
        <f>VLOOKUP($A1609,'[2]Team lists'!$A$2:$L$800,6,FALSE)</f>
        <v>#N/A</v>
      </c>
      <c r="G1609" s="43" t="e">
        <f>VLOOKUP($A1609,'[2]Team lists'!$A$2:$L$800,7,FALSE)</f>
        <v>#N/A</v>
      </c>
      <c r="H1609" s="43" t="e">
        <f>VLOOKUP($A1609,'[2]Team lists'!$A$2:$L$800,8,FALSE)</f>
        <v>#N/A</v>
      </c>
      <c r="I1609" s="43" t="e">
        <f>VLOOKUP($A1609,'[2]Team lists'!$A$2:$L$800,9,FALSE)</f>
        <v>#N/A</v>
      </c>
      <c r="J1609" s="43" t="e">
        <f>VLOOKUP($A1609,'[2]Team lists'!$A$2:$L$800,9,FALSE)</f>
        <v>#N/A</v>
      </c>
      <c r="K1609" s="43" t="e">
        <f>VLOOKUP($A1609,'[2]Team lists'!$A$2:$L$800,10,FALSE)</f>
        <v>#N/A</v>
      </c>
      <c r="L1609" s="43" t="e">
        <f>VLOOKUP($A1609,'[2]Team lists'!$A$2:$L$800,11,FALSE)</f>
        <v>#N/A</v>
      </c>
    </row>
    <row r="1610" spans="2:13">
      <c r="B1610" s="43" t="e">
        <f>VLOOKUP($A1610,'[2]Team lists'!$A$2:$L$800,2,FALSE)</f>
        <v>#N/A</v>
      </c>
      <c r="C1610" s="43" t="e">
        <f>VLOOKUP($A1610,'[2]Team lists'!$A$2:$L$800,3,FALSE)</f>
        <v>#N/A</v>
      </c>
      <c r="D1610" s="43" t="e">
        <f>VLOOKUP($A1610,'[2]Team lists'!$A$2:$L$800,4,FALSE)</f>
        <v>#N/A</v>
      </c>
      <c r="E1610" s="43" t="e">
        <f>VLOOKUP($A1610,'[2]Team lists'!$A$2:$L$800,5,FALSE)</f>
        <v>#N/A</v>
      </c>
      <c r="F1610" s="43" t="e">
        <f>VLOOKUP($A1610,'[2]Team lists'!$A$2:$L$800,6,FALSE)</f>
        <v>#N/A</v>
      </c>
      <c r="G1610" s="43" t="e">
        <f>VLOOKUP($A1610,'[2]Team lists'!$A$2:$L$800,7,FALSE)</f>
        <v>#N/A</v>
      </c>
      <c r="H1610" s="43" t="e">
        <f>VLOOKUP($A1610,'[2]Team lists'!$A$2:$L$800,8,FALSE)</f>
        <v>#N/A</v>
      </c>
      <c r="I1610" s="43" t="e">
        <f>VLOOKUP($A1610,'[2]Team lists'!$A$2:$L$800,9,FALSE)</f>
        <v>#N/A</v>
      </c>
      <c r="J1610" s="43" t="e">
        <f>VLOOKUP($A1610,'[2]Team lists'!$A$2:$L$800,9,FALSE)</f>
        <v>#N/A</v>
      </c>
      <c r="K1610" s="43" t="e">
        <f>VLOOKUP($A1610,'[2]Team lists'!$A$2:$L$800,10,FALSE)</f>
        <v>#N/A</v>
      </c>
      <c r="L1610" s="43" t="e">
        <f>VLOOKUP($A1610,'[2]Team lists'!$A$2:$L$800,11,FALSE)</f>
        <v>#N/A</v>
      </c>
    </row>
    <row r="1611" spans="2:13">
      <c r="B1611" s="43" t="e">
        <f>VLOOKUP($A1611,'[2]Team lists'!$A$2:$L$800,2,FALSE)</f>
        <v>#N/A</v>
      </c>
      <c r="C1611" s="43" t="e">
        <f>VLOOKUP($A1611,'[2]Team lists'!$A$2:$L$800,3,FALSE)</f>
        <v>#N/A</v>
      </c>
      <c r="D1611" s="43" t="e">
        <f>VLOOKUP($A1611,'[2]Team lists'!$A$2:$L$800,4,FALSE)</f>
        <v>#N/A</v>
      </c>
      <c r="E1611" s="43" t="e">
        <f>VLOOKUP($A1611,'[2]Team lists'!$A$2:$L$800,5,FALSE)</f>
        <v>#N/A</v>
      </c>
      <c r="F1611" s="43" t="e">
        <f>VLOOKUP($A1611,'[2]Team lists'!$A$2:$L$800,6,FALSE)</f>
        <v>#N/A</v>
      </c>
      <c r="G1611" s="43" t="e">
        <f>VLOOKUP($A1611,'[2]Team lists'!$A$2:$L$800,7,FALSE)</f>
        <v>#N/A</v>
      </c>
      <c r="H1611" s="43" t="e">
        <f>VLOOKUP($A1611,'[2]Team lists'!$A$2:$L$800,8,FALSE)</f>
        <v>#N/A</v>
      </c>
      <c r="I1611" s="43" t="e">
        <f>VLOOKUP($A1611,'[2]Team lists'!$A$2:$L$800,9,FALSE)</f>
        <v>#N/A</v>
      </c>
      <c r="J1611" s="43" t="e">
        <f>VLOOKUP($A1611,'[2]Team lists'!$A$2:$L$800,9,FALSE)</f>
        <v>#N/A</v>
      </c>
      <c r="K1611" s="43" t="e">
        <f>VLOOKUP($A1611,'[2]Team lists'!$A$2:$L$800,10,FALSE)</f>
        <v>#N/A</v>
      </c>
      <c r="L1611" s="43" t="e">
        <f>VLOOKUP($A1611,'[2]Team lists'!$A$2:$L$800,11,FALSE)</f>
        <v>#N/A</v>
      </c>
    </row>
    <row r="1612" spans="2:13">
      <c r="B1612" s="43" t="e">
        <f>VLOOKUP($A1612,'[2]Team lists'!$A$2:$L$800,2,FALSE)</f>
        <v>#N/A</v>
      </c>
      <c r="C1612" s="43" t="e">
        <f>VLOOKUP($A1612,'[2]Team lists'!$A$2:$L$800,3,FALSE)</f>
        <v>#N/A</v>
      </c>
      <c r="D1612" s="43" t="e">
        <f>VLOOKUP($A1612,'[2]Team lists'!$A$2:$L$800,4,FALSE)</f>
        <v>#N/A</v>
      </c>
      <c r="E1612" s="43" t="e">
        <f>VLOOKUP($A1612,'[2]Team lists'!$A$2:$L$800,5,FALSE)</f>
        <v>#N/A</v>
      </c>
      <c r="F1612" s="43" t="e">
        <f>VLOOKUP($A1612,'[2]Team lists'!$A$2:$L$800,6,FALSE)</f>
        <v>#N/A</v>
      </c>
      <c r="G1612" s="43" t="e">
        <f>VLOOKUP($A1612,'[2]Team lists'!$A$2:$L$800,7,FALSE)</f>
        <v>#N/A</v>
      </c>
      <c r="H1612" s="43" t="e">
        <f>VLOOKUP($A1612,'[2]Team lists'!$A$2:$L$800,8,FALSE)</f>
        <v>#N/A</v>
      </c>
      <c r="I1612" s="43" t="e">
        <f>VLOOKUP($A1612,'[2]Team lists'!$A$2:$L$800,9,FALSE)</f>
        <v>#N/A</v>
      </c>
      <c r="J1612" s="43" t="e">
        <f>VLOOKUP($A1612,'[2]Team lists'!$A$2:$L$800,9,FALSE)</f>
        <v>#N/A</v>
      </c>
      <c r="K1612" s="43" t="e">
        <f>VLOOKUP($A1612,'[2]Team lists'!$A$2:$L$800,10,FALSE)</f>
        <v>#N/A</v>
      </c>
      <c r="L1612" s="43" t="e">
        <f>VLOOKUP($A1612,'[2]Team lists'!$A$2:$L$800,11,FALSE)</f>
        <v>#N/A</v>
      </c>
    </row>
    <row r="1613" spans="2:13">
      <c r="B1613" s="43" t="e">
        <f>VLOOKUP($A1613,'[2]Team lists'!$A$2:$L$800,2,FALSE)</f>
        <v>#N/A</v>
      </c>
      <c r="C1613" s="43" t="e">
        <f>VLOOKUP($A1613,'[2]Team lists'!$A$2:$L$800,3,FALSE)</f>
        <v>#N/A</v>
      </c>
      <c r="D1613" s="43" t="e">
        <f>VLOOKUP($A1613,'[2]Team lists'!$A$2:$L$800,4,FALSE)</f>
        <v>#N/A</v>
      </c>
      <c r="E1613" s="43" t="e">
        <f>VLOOKUP($A1613,'[2]Team lists'!$A$2:$L$800,5,FALSE)</f>
        <v>#N/A</v>
      </c>
      <c r="F1613" s="43" t="e">
        <f>VLOOKUP($A1613,'[2]Team lists'!$A$2:$L$800,6,FALSE)</f>
        <v>#N/A</v>
      </c>
      <c r="G1613" s="43" t="e">
        <f>VLOOKUP($A1613,'[2]Team lists'!$A$2:$L$800,7,FALSE)</f>
        <v>#N/A</v>
      </c>
      <c r="H1613" s="43" t="e">
        <f>VLOOKUP($A1613,'[2]Team lists'!$A$2:$L$800,8,FALSE)</f>
        <v>#N/A</v>
      </c>
      <c r="I1613" s="43" t="e">
        <f>VLOOKUP($A1613,'[2]Team lists'!$A$2:$L$800,9,FALSE)</f>
        <v>#N/A</v>
      </c>
      <c r="J1613" s="43" t="e">
        <f>VLOOKUP($A1613,'[2]Team lists'!$A$2:$L$800,9,FALSE)</f>
        <v>#N/A</v>
      </c>
      <c r="K1613" s="43" t="e">
        <f>VLOOKUP($A1613,'[2]Team lists'!$A$2:$L$800,10,FALSE)</f>
        <v>#N/A</v>
      </c>
      <c r="L1613" s="43" t="e">
        <f>VLOOKUP($A1613,'[2]Team lists'!$A$2:$L$800,11,FALSE)</f>
        <v>#N/A</v>
      </c>
    </row>
    <row r="1614" spans="2:13">
      <c r="B1614" s="43" t="e">
        <f>VLOOKUP($A1614,'[2]Team lists'!$A$2:$L$800,2,FALSE)</f>
        <v>#N/A</v>
      </c>
      <c r="C1614" s="43" t="e">
        <f>VLOOKUP($A1614,'[2]Team lists'!$A$2:$L$800,3,FALSE)</f>
        <v>#N/A</v>
      </c>
      <c r="D1614" s="43" t="e">
        <f>VLOOKUP($A1614,'[2]Team lists'!$A$2:$L$800,4,FALSE)</f>
        <v>#N/A</v>
      </c>
      <c r="E1614" s="43" t="e">
        <f>VLOOKUP($A1614,'[2]Team lists'!$A$2:$L$800,5,FALSE)</f>
        <v>#N/A</v>
      </c>
      <c r="F1614" s="43" t="e">
        <f>VLOOKUP($A1614,'[2]Team lists'!$A$2:$L$800,6,FALSE)</f>
        <v>#N/A</v>
      </c>
      <c r="G1614" s="43" t="e">
        <f>VLOOKUP($A1614,'[2]Team lists'!$A$2:$L$800,7,FALSE)</f>
        <v>#N/A</v>
      </c>
      <c r="H1614" s="43" t="e">
        <f>VLOOKUP($A1614,'[2]Team lists'!$A$2:$L$800,8,FALSE)</f>
        <v>#N/A</v>
      </c>
      <c r="I1614" s="43" t="e">
        <f>VLOOKUP($A1614,'[2]Team lists'!$A$2:$L$800,9,FALSE)</f>
        <v>#N/A</v>
      </c>
      <c r="J1614" s="43" t="e">
        <f>VLOOKUP($A1614,'[2]Team lists'!$A$2:$L$800,9,FALSE)</f>
        <v>#N/A</v>
      </c>
      <c r="K1614" s="43" t="e">
        <f>VLOOKUP($A1614,'[2]Team lists'!$A$2:$L$800,10,FALSE)</f>
        <v>#N/A</v>
      </c>
      <c r="L1614" s="43" t="e">
        <f>VLOOKUP($A1614,'[2]Team lists'!$A$2:$L$800,11,FALSE)</f>
        <v>#N/A</v>
      </c>
    </row>
    <row r="1615" spans="2:13" ht="18" thickBot="1">
      <c r="B1615" s="45" t="s">
        <v>3210</v>
      </c>
      <c r="C1615" s="46"/>
      <c r="D1615" s="47"/>
      <c r="E1615" s="48" t="e">
        <f t="shared" ref="E1615:L1615" si="100">SUM(E1604:E1614)</f>
        <v>#N/A</v>
      </c>
      <c r="F1615" s="49" t="e">
        <f t="shared" si="100"/>
        <v>#N/A</v>
      </c>
      <c r="G1615" s="49" t="e">
        <f t="shared" si="100"/>
        <v>#N/A</v>
      </c>
      <c r="H1615" s="49" t="e">
        <f t="shared" si="100"/>
        <v>#N/A</v>
      </c>
      <c r="I1615" s="49" t="e">
        <f t="shared" si="100"/>
        <v>#N/A</v>
      </c>
      <c r="J1615" s="49" t="e">
        <f t="shared" si="100"/>
        <v>#N/A</v>
      </c>
      <c r="K1615" s="49" t="e">
        <f t="shared" si="100"/>
        <v>#N/A</v>
      </c>
      <c r="L1615" s="50" t="e">
        <f t="shared" si="100"/>
        <v>#N/A</v>
      </c>
    </row>
    <row r="1616" spans="2:13" ht="18.600000000000001" thickTop="1" thickBot="1"/>
    <row r="1617" spans="2:13" ht="18" thickTop="1">
      <c r="B1617" s="23" t="s">
        <v>3204</v>
      </c>
      <c r="C1617" s="24" t="s">
        <v>3205</v>
      </c>
      <c r="D1617" s="25"/>
      <c r="E1617" s="25"/>
      <c r="F1617" s="53"/>
      <c r="G1617" s="28" t="s">
        <v>3206</v>
      </c>
      <c r="H1617" s="54"/>
      <c r="I1617" s="54"/>
      <c r="J1617" s="54"/>
      <c r="K1617" s="28" t="s">
        <v>3207</v>
      </c>
      <c r="L1617" s="29"/>
      <c r="M1617" s="22" t="str">
        <f>G1617</f>
        <v>Manager:</v>
      </c>
    </row>
    <row r="1618" spans="2:13" ht="18" thickBot="1">
      <c r="B1618" s="30">
        <v>102</v>
      </c>
      <c r="C1618" s="57"/>
      <c r="D1618" s="31"/>
      <c r="E1618" s="31"/>
      <c r="F1618" s="33"/>
      <c r="G1618" s="55"/>
      <c r="H1618" s="55"/>
      <c r="I1618" s="55"/>
      <c r="J1618" s="55"/>
      <c r="K1618" s="34" t="e">
        <f>SUM(F1631:L1631)</f>
        <v>#N/A</v>
      </c>
      <c r="L1618" s="35"/>
      <c r="M1618" s="22">
        <f>G1618</f>
        <v>0</v>
      </c>
    </row>
    <row r="1619" spans="2:13" ht="18.600000000000001" thickTop="1">
      <c r="B1619" s="58" t="s">
        <v>913</v>
      </c>
      <c r="C1619" s="59" t="s">
        <v>912</v>
      </c>
      <c r="D1619" s="60" t="s">
        <v>911</v>
      </c>
      <c r="E1619" s="61" t="s">
        <v>3209</v>
      </c>
      <c r="F1619" s="62" t="s">
        <v>3162</v>
      </c>
      <c r="G1619" s="62" t="s">
        <v>3163</v>
      </c>
      <c r="H1619" s="62" t="s">
        <v>3164</v>
      </c>
      <c r="I1619" s="62" t="s">
        <v>3165</v>
      </c>
      <c r="J1619" s="62" t="s">
        <v>3166</v>
      </c>
      <c r="K1619" s="62" t="s">
        <v>3167</v>
      </c>
      <c r="L1619" s="63" t="s">
        <v>3168</v>
      </c>
    </row>
    <row r="1620" spans="2:13">
      <c r="B1620" s="43" t="e">
        <f>VLOOKUP($A1620,'[2]Team lists'!$A$2:$L$800,2,FALSE)</f>
        <v>#N/A</v>
      </c>
      <c r="C1620" s="43" t="e">
        <f>VLOOKUP($A1620,'[2]Team lists'!$A$2:$L$800,3,FALSE)</f>
        <v>#N/A</v>
      </c>
      <c r="D1620" s="43" t="e">
        <f>VLOOKUP($A1620,'[2]Team lists'!$A$2:$L$800,4,FALSE)</f>
        <v>#N/A</v>
      </c>
      <c r="E1620" s="43" t="e">
        <f>VLOOKUP($A1620,'[2]Team lists'!$A$2:$L$800,5,FALSE)</f>
        <v>#N/A</v>
      </c>
      <c r="F1620" s="43" t="e">
        <f>VLOOKUP($A1620,'[2]Team lists'!$A$2:$L$800,6,FALSE)</f>
        <v>#N/A</v>
      </c>
      <c r="G1620" s="43" t="e">
        <f>VLOOKUP($A1620,'[2]Team lists'!$A$2:$L$800,7,FALSE)</f>
        <v>#N/A</v>
      </c>
      <c r="H1620" s="43" t="e">
        <f>VLOOKUP($A1620,'[2]Team lists'!$A$2:$L$800,8,FALSE)</f>
        <v>#N/A</v>
      </c>
      <c r="I1620" s="43" t="e">
        <f>VLOOKUP($A1620,'[2]Team lists'!$A$2:$L$800,9,FALSE)</f>
        <v>#N/A</v>
      </c>
      <c r="J1620" s="43" t="e">
        <f>VLOOKUP($A1620,'[2]Team lists'!$A$2:$L$800,9,FALSE)</f>
        <v>#N/A</v>
      </c>
      <c r="K1620" s="43" t="e">
        <f>VLOOKUP($A1620,'[2]Team lists'!$A$2:$L$800,10,FALSE)</f>
        <v>#N/A</v>
      </c>
      <c r="L1620" s="43" t="e">
        <f>VLOOKUP($A1620,'[2]Team lists'!$A$2:$L$800,11,FALSE)</f>
        <v>#N/A</v>
      </c>
    </row>
    <row r="1621" spans="2:13">
      <c r="B1621" s="43" t="e">
        <f>VLOOKUP($A1621,'[2]Team lists'!$A$2:$L$800,2,FALSE)</f>
        <v>#N/A</v>
      </c>
      <c r="C1621" s="43" t="e">
        <f>VLOOKUP($A1621,'[2]Team lists'!$A$2:$L$800,3,FALSE)</f>
        <v>#N/A</v>
      </c>
      <c r="D1621" s="43" t="e">
        <f>VLOOKUP($A1621,'[2]Team lists'!$A$2:$L$800,4,FALSE)</f>
        <v>#N/A</v>
      </c>
      <c r="E1621" s="43" t="e">
        <f>VLOOKUP($A1621,'[2]Team lists'!$A$2:$L$800,5,FALSE)</f>
        <v>#N/A</v>
      </c>
      <c r="F1621" s="43" t="e">
        <f>VLOOKUP($A1621,'[2]Team lists'!$A$2:$L$800,6,FALSE)</f>
        <v>#N/A</v>
      </c>
      <c r="G1621" s="43" t="e">
        <f>VLOOKUP($A1621,'[2]Team lists'!$A$2:$L$800,7,FALSE)</f>
        <v>#N/A</v>
      </c>
      <c r="H1621" s="43" t="e">
        <f>VLOOKUP($A1621,'[2]Team lists'!$A$2:$L$800,8,FALSE)</f>
        <v>#N/A</v>
      </c>
      <c r="I1621" s="43" t="e">
        <f>VLOOKUP($A1621,'[2]Team lists'!$A$2:$L$800,9,FALSE)</f>
        <v>#N/A</v>
      </c>
      <c r="J1621" s="43" t="e">
        <f>VLOOKUP($A1621,'[2]Team lists'!$A$2:$L$800,9,FALSE)</f>
        <v>#N/A</v>
      </c>
      <c r="K1621" s="43" t="e">
        <f>VLOOKUP($A1621,'[2]Team lists'!$A$2:$L$800,10,FALSE)</f>
        <v>#N/A</v>
      </c>
      <c r="L1621" s="43" t="e">
        <f>VLOOKUP($A1621,'[2]Team lists'!$A$2:$L$800,11,FALSE)</f>
        <v>#N/A</v>
      </c>
    </row>
    <row r="1622" spans="2:13">
      <c r="B1622" s="43" t="e">
        <f>VLOOKUP($A1622,'[2]Team lists'!$A$2:$L$800,2,FALSE)</f>
        <v>#N/A</v>
      </c>
      <c r="C1622" s="43" t="e">
        <f>VLOOKUP($A1622,'[2]Team lists'!$A$2:$L$800,3,FALSE)</f>
        <v>#N/A</v>
      </c>
      <c r="D1622" s="43" t="e">
        <f>VLOOKUP($A1622,'[2]Team lists'!$A$2:$L$800,4,FALSE)</f>
        <v>#N/A</v>
      </c>
      <c r="E1622" s="43" t="e">
        <f>VLOOKUP($A1622,'[2]Team lists'!$A$2:$L$800,5,FALSE)</f>
        <v>#N/A</v>
      </c>
      <c r="F1622" s="43" t="e">
        <f>VLOOKUP($A1622,'[2]Team lists'!$A$2:$L$800,6,FALSE)</f>
        <v>#N/A</v>
      </c>
      <c r="G1622" s="43" t="e">
        <f>VLOOKUP($A1622,'[2]Team lists'!$A$2:$L$800,7,FALSE)</f>
        <v>#N/A</v>
      </c>
      <c r="H1622" s="43" t="e">
        <f>VLOOKUP($A1622,'[2]Team lists'!$A$2:$L$800,8,FALSE)</f>
        <v>#N/A</v>
      </c>
      <c r="I1622" s="43" t="e">
        <f>VLOOKUP($A1622,'[2]Team lists'!$A$2:$L$800,9,FALSE)</f>
        <v>#N/A</v>
      </c>
      <c r="J1622" s="43" t="e">
        <f>VLOOKUP($A1622,'[2]Team lists'!$A$2:$L$800,9,FALSE)</f>
        <v>#N/A</v>
      </c>
      <c r="K1622" s="43" t="e">
        <f>VLOOKUP($A1622,'[2]Team lists'!$A$2:$L$800,10,FALSE)</f>
        <v>#N/A</v>
      </c>
      <c r="L1622" s="43" t="e">
        <f>VLOOKUP($A1622,'[2]Team lists'!$A$2:$L$800,11,FALSE)</f>
        <v>#N/A</v>
      </c>
    </row>
    <row r="1623" spans="2:13">
      <c r="B1623" s="43" t="e">
        <f>VLOOKUP($A1623,'[2]Team lists'!$A$2:$L$800,2,FALSE)</f>
        <v>#N/A</v>
      </c>
      <c r="C1623" s="43" t="e">
        <f>VLOOKUP($A1623,'[2]Team lists'!$A$2:$L$800,3,FALSE)</f>
        <v>#N/A</v>
      </c>
      <c r="D1623" s="43" t="e">
        <f>VLOOKUP($A1623,'[2]Team lists'!$A$2:$L$800,4,FALSE)</f>
        <v>#N/A</v>
      </c>
      <c r="E1623" s="43" t="e">
        <f>VLOOKUP($A1623,'[2]Team lists'!$A$2:$L$800,5,FALSE)</f>
        <v>#N/A</v>
      </c>
      <c r="F1623" s="43" t="e">
        <f>VLOOKUP($A1623,'[2]Team lists'!$A$2:$L$800,6,FALSE)</f>
        <v>#N/A</v>
      </c>
      <c r="G1623" s="43" t="e">
        <f>VLOOKUP($A1623,'[2]Team lists'!$A$2:$L$800,7,FALSE)</f>
        <v>#N/A</v>
      </c>
      <c r="H1623" s="43" t="e">
        <f>VLOOKUP($A1623,'[2]Team lists'!$A$2:$L$800,8,FALSE)</f>
        <v>#N/A</v>
      </c>
      <c r="I1623" s="43" t="e">
        <f>VLOOKUP($A1623,'[2]Team lists'!$A$2:$L$800,9,FALSE)</f>
        <v>#N/A</v>
      </c>
      <c r="J1623" s="43" t="e">
        <f>VLOOKUP($A1623,'[2]Team lists'!$A$2:$L$800,9,FALSE)</f>
        <v>#N/A</v>
      </c>
      <c r="K1623" s="43" t="e">
        <f>VLOOKUP($A1623,'[2]Team lists'!$A$2:$L$800,10,FALSE)</f>
        <v>#N/A</v>
      </c>
      <c r="L1623" s="43" t="e">
        <f>VLOOKUP($A1623,'[2]Team lists'!$A$2:$L$800,11,FALSE)</f>
        <v>#N/A</v>
      </c>
    </row>
    <row r="1624" spans="2:13">
      <c r="B1624" s="43" t="e">
        <f>VLOOKUP($A1624,'[2]Team lists'!$A$2:$L$800,2,FALSE)</f>
        <v>#N/A</v>
      </c>
      <c r="C1624" s="43" t="e">
        <f>VLOOKUP($A1624,'[2]Team lists'!$A$2:$L$800,3,FALSE)</f>
        <v>#N/A</v>
      </c>
      <c r="D1624" s="43" t="e">
        <f>VLOOKUP($A1624,'[2]Team lists'!$A$2:$L$800,4,FALSE)</f>
        <v>#N/A</v>
      </c>
      <c r="E1624" s="43" t="e">
        <f>VLOOKUP($A1624,'[2]Team lists'!$A$2:$L$800,5,FALSE)</f>
        <v>#N/A</v>
      </c>
      <c r="F1624" s="43" t="e">
        <f>VLOOKUP($A1624,'[2]Team lists'!$A$2:$L$800,6,FALSE)</f>
        <v>#N/A</v>
      </c>
      <c r="G1624" s="43" t="e">
        <f>VLOOKUP($A1624,'[2]Team lists'!$A$2:$L$800,7,FALSE)</f>
        <v>#N/A</v>
      </c>
      <c r="H1624" s="43" t="e">
        <f>VLOOKUP($A1624,'[2]Team lists'!$A$2:$L$800,8,FALSE)</f>
        <v>#N/A</v>
      </c>
      <c r="I1624" s="43" t="e">
        <f>VLOOKUP($A1624,'[2]Team lists'!$A$2:$L$800,9,FALSE)</f>
        <v>#N/A</v>
      </c>
      <c r="J1624" s="43" t="e">
        <f>VLOOKUP($A1624,'[2]Team lists'!$A$2:$L$800,9,FALSE)</f>
        <v>#N/A</v>
      </c>
      <c r="K1624" s="43" t="e">
        <f>VLOOKUP($A1624,'[2]Team lists'!$A$2:$L$800,10,FALSE)</f>
        <v>#N/A</v>
      </c>
      <c r="L1624" s="43" t="e">
        <f>VLOOKUP($A1624,'[2]Team lists'!$A$2:$L$800,11,FALSE)</f>
        <v>#N/A</v>
      </c>
    </row>
    <row r="1625" spans="2:13">
      <c r="B1625" s="43" t="e">
        <f>VLOOKUP($A1625,'[2]Team lists'!$A$2:$L$800,2,FALSE)</f>
        <v>#N/A</v>
      </c>
      <c r="C1625" s="43" t="e">
        <f>VLOOKUP($A1625,'[2]Team lists'!$A$2:$L$800,3,FALSE)</f>
        <v>#N/A</v>
      </c>
      <c r="D1625" s="43" t="e">
        <f>VLOOKUP($A1625,'[2]Team lists'!$A$2:$L$800,4,FALSE)</f>
        <v>#N/A</v>
      </c>
      <c r="E1625" s="43" t="e">
        <f>VLOOKUP($A1625,'[2]Team lists'!$A$2:$L$800,5,FALSE)</f>
        <v>#N/A</v>
      </c>
      <c r="F1625" s="43" t="e">
        <f>VLOOKUP($A1625,'[2]Team lists'!$A$2:$L$800,6,FALSE)</f>
        <v>#N/A</v>
      </c>
      <c r="G1625" s="43" t="e">
        <f>VLOOKUP($A1625,'[2]Team lists'!$A$2:$L$800,7,FALSE)</f>
        <v>#N/A</v>
      </c>
      <c r="H1625" s="43" t="e">
        <f>VLOOKUP($A1625,'[2]Team lists'!$A$2:$L$800,8,FALSE)</f>
        <v>#N/A</v>
      </c>
      <c r="I1625" s="43" t="e">
        <f>VLOOKUP($A1625,'[2]Team lists'!$A$2:$L$800,9,FALSE)</f>
        <v>#N/A</v>
      </c>
      <c r="J1625" s="43" t="e">
        <f>VLOOKUP($A1625,'[2]Team lists'!$A$2:$L$800,9,FALSE)</f>
        <v>#N/A</v>
      </c>
      <c r="K1625" s="43" t="e">
        <f>VLOOKUP($A1625,'[2]Team lists'!$A$2:$L$800,10,FALSE)</f>
        <v>#N/A</v>
      </c>
      <c r="L1625" s="43" t="e">
        <f>VLOOKUP($A1625,'[2]Team lists'!$A$2:$L$800,11,FALSE)</f>
        <v>#N/A</v>
      </c>
    </row>
    <row r="1626" spans="2:13">
      <c r="B1626" s="43" t="e">
        <f>VLOOKUP($A1626,'[2]Team lists'!$A$2:$L$800,2,FALSE)</f>
        <v>#N/A</v>
      </c>
      <c r="C1626" s="43" t="e">
        <f>VLOOKUP($A1626,'[2]Team lists'!$A$2:$L$800,3,FALSE)</f>
        <v>#N/A</v>
      </c>
      <c r="D1626" s="43" t="e">
        <f>VLOOKUP($A1626,'[2]Team lists'!$A$2:$L$800,4,FALSE)</f>
        <v>#N/A</v>
      </c>
      <c r="E1626" s="43" t="e">
        <f>VLOOKUP($A1626,'[2]Team lists'!$A$2:$L$800,5,FALSE)</f>
        <v>#N/A</v>
      </c>
      <c r="F1626" s="43" t="e">
        <f>VLOOKUP($A1626,'[2]Team lists'!$A$2:$L$800,6,FALSE)</f>
        <v>#N/A</v>
      </c>
      <c r="G1626" s="43" t="e">
        <f>VLOOKUP($A1626,'[2]Team lists'!$A$2:$L$800,7,FALSE)</f>
        <v>#N/A</v>
      </c>
      <c r="H1626" s="43" t="e">
        <f>VLOOKUP($A1626,'[2]Team lists'!$A$2:$L$800,8,FALSE)</f>
        <v>#N/A</v>
      </c>
      <c r="I1626" s="43" t="e">
        <f>VLOOKUP($A1626,'[2]Team lists'!$A$2:$L$800,9,FALSE)</f>
        <v>#N/A</v>
      </c>
      <c r="J1626" s="43" t="e">
        <f>VLOOKUP($A1626,'[2]Team lists'!$A$2:$L$800,9,FALSE)</f>
        <v>#N/A</v>
      </c>
      <c r="K1626" s="43" t="e">
        <f>VLOOKUP($A1626,'[2]Team lists'!$A$2:$L$800,10,FALSE)</f>
        <v>#N/A</v>
      </c>
      <c r="L1626" s="43" t="e">
        <f>VLOOKUP($A1626,'[2]Team lists'!$A$2:$L$800,11,FALSE)</f>
        <v>#N/A</v>
      </c>
    </row>
    <row r="1627" spans="2:13">
      <c r="B1627" s="43" t="e">
        <f>VLOOKUP($A1627,'[2]Team lists'!$A$2:$L$800,2,FALSE)</f>
        <v>#N/A</v>
      </c>
      <c r="C1627" s="43" t="e">
        <f>VLOOKUP($A1627,'[2]Team lists'!$A$2:$L$800,3,FALSE)</f>
        <v>#N/A</v>
      </c>
      <c r="D1627" s="43" t="e">
        <f>VLOOKUP($A1627,'[2]Team lists'!$A$2:$L$800,4,FALSE)</f>
        <v>#N/A</v>
      </c>
      <c r="E1627" s="43" t="e">
        <f>VLOOKUP($A1627,'[2]Team lists'!$A$2:$L$800,5,FALSE)</f>
        <v>#N/A</v>
      </c>
      <c r="F1627" s="43" t="e">
        <f>VLOOKUP($A1627,'[2]Team lists'!$A$2:$L$800,6,FALSE)</f>
        <v>#N/A</v>
      </c>
      <c r="G1627" s="43" t="e">
        <f>VLOOKUP($A1627,'[2]Team lists'!$A$2:$L$800,7,FALSE)</f>
        <v>#N/A</v>
      </c>
      <c r="H1627" s="43" t="e">
        <f>VLOOKUP($A1627,'[2]Team lists'!$A$2:$L$800,8,FALSE)</f>
        <v>#N/A</v>
      </c>
      <c r="I1627" s="43" t="e">
        <f>VLOOKUP($A1627,'[2]Team lists'!$A$2:$L$800,9,FALSE)</f>
        <v>#N/A</v>
      </c>
      <c r="J1627" s="43" t="e">
        <f>VLOOKUP($A1627,'[2]Team lists'!$A$2:$L$800,9,FALSE)</f>
        <v>#N/A</v>
      </c>
      <c r="K1627" s="43" t="e">
        <f>VLOOKUP($A1627,'[2]Team lists'!$A$2:$L$800,10,FALSE)</f>
        <v>#N/A</v>
      </c>
      <c r="L1627" s="43" t="e">
        <f>VLOOKUP($A1627,'[2]Team lists'!$A$2:$L$800,11,FALSE)</f>
        <v>#N/A</v>
      </c>
    </row>
    <row r="1628" spans="2:13">
      <c r="B1628" s="43" t="e">
        <f>VLOOKUP($A1628,'[2]Team lists'!$A$2:$L$800,2,FALSE)</f>
        <v>#N/A</v>
      </c>
      <c r="C1628" s="43" t="e">
        <f>VLOOKUP($A1628,'[2]Team lists'!$A$2:$L$800,3,FALSE)</f>
        <v>#N/A</v>
      </c>
      <c r="D1628" s="43" t="e">
        <f>VLOOKUP($A1628,'[2]Team lists'!$A$2:$L$800,4,FALSE)</f>
        <v>#N/A</v>
      </c>
      <c r="E1628" s="43" t="e">
        <f>VLOOKUP($A1628,'[2]Team lists'!$A$2:$L$800,5,FALSE)</f>
        <v>#N/A</v>
      </c>
      <c r="F1628" s="43" t="e">
        <f>VLOOKUP($A1628,'[2]Team lists'!$A$2:$L$800,6,FALSE)</f>
        <v>#N/A</v>
      </c>
      <c r="G1628" s="43" t="e">
        <f>VLOOKUP($A1628,'[2]Team lists'!$A$2:$L$800,7,FALSE)</f>
        <v>#N/A</v>
      </c>
      <c r="H1628" s="43" t="e">
        <f>VLOOKUP($A1628,'[2]Team lists'!$A$2:$L$800,8,FALSE)</f>
        <v>#N/A</v>
      </c>
      <c r="I1628" s="43" t="e">
        <f>VLOOKUP($A1628,'[2]Team lists'!$A$2:$L$800,9,FALSE)</f>
        <v>#N/A</v>
      </c>
      <c r="J1628" s="43" t="e">
        <f>VLOOKUP($A1628,'[2]Team lists'!$A$2:$L$800,9,FALSE)</f>
        <v>#N/A</v>
      </c>
      <c r="K1628" s="43" t="e">
        <f>VLOOKUP($A1628,'[2]Team lists'!$A$2:$L$800,10,FALSE)</f>
        <v>#N/A</v>
      </c>
      <c r="L1628" s="43" t="e">
        <f>VLOOKUP($A1628,'[2]Team lists'!$A$2:$L$800,11,FALSE)</f>
        <v>#N/A</v>
      </c>
    </row>
    <row r="1629" spans="2:13">
      <c r="B1629" s="43" t="e">
        <f>VLOOKUP($A1629,'[2]Team lists'!$A$2:$L$800,2,FALSE)</f>
        <v>#N/A</v>
      </c>
      <c r="C1629" s="43" t="e">
        <f>VLOOKUP($A1629,'[2]Team lists'!$A$2:$L$800,3,FALSE)</f>
        <v>#N/A</v>
      </c>
      <c r="D1629" s="43" t="e">
        <f>VLOOKUP($A1629,'[2]Team lists'!$A$2:$L$800,4,FALSE)</f>
        <v>#N/A</v>
      </c>
      <c r="E1629" s="43" t="e">
        <f>VLOOKUP($A1629,'[2]Team lists'!$A$2:$L$800,5,FALSE)</f>
        <v>#N/A</v>
      </c>
      <c r="F1629" s="43" t="e">
        <f>VLOOKUP($A1629,'[2]Team lists'!$A$2:$L$800,6,FALSE)</f>
        <v>#N/A</v>
      </c>
      <c r="G1629" s="43" t="e">
        <f>VLOOKUP($A1629,'[2]Team lists'!$A$2:$L$800,7,FALSE)</f>
        <v>#N/A</v>
      </c>
      <c r="H1629" s="43" t="e">
        <f>VLOOKUP($A1629,'[2]Team lists'!$A$2:$L$800,8,FALSE)</f>
        <v>#N/A</v>
      </c>
      <c r="I1629" s="43" t="e">
        <f>VLOOKUP($A1629,'[2]Team lists'!$A$2:$L$800,9,FALSE)</f>
        <v>#N/A</v>
      </c>
      <c r="J1629" s="43" t="e">
        <f>VLOOKUP($A1629,'[2]Team lists'!$A$2:$L$800,9,FALSE)</f>
        <v>#N/A</v>
      </c>
      <c r="K1629" s="43" t="e">
        <f>VLOOKUP($A1629,'[2]Team lists'!$A$2:$L$800,10,FALSE)</f>
        <v>#N/A</v>
      </c>
      <c r="L1629" s="43" t="e">
        <f>VLOOKUP($A1629,'[2]Team lists'!$A$2:$L$800,11,FALSE)</f>
        <v>#N/A</v>
      </c>
    </row>
    <row r="1630" spans="2:13">
      <c r="B1630" s="43" t="e">
        <f>VLOOKUP($A1630,'[2]Team lists'!$A$2:$L$800,2,FALSE)</f>
        <v>#N/A</v>
      </c>
      <c r="C1630" s="43" t="e">
        <f>VLOOKUP($A1630,'[2]Team lists'!$A$2:$L$800,3,FALSE)</f>
        <v>#N/A</v>
      </c>
      <c r="D1630" s="43" t="e">
        <f>VLOOKUP($A1630,'[2]Team lists'!$A$2:$L$800,4,FALSE)</f>
        <v>#N/A</v>
      </c>
      <c r="E1630" s="43" t="e">
        <f>VLOOKUP($A1630,'[2]Team lists'!$A$2:$L$800,5,FALSE)</f>
        <v>#N/A</v>
      </c>
      <c r="F1630" s="43" t="e">
        <f>VLOOKUP($A1630,'[2]Team lists'!$A$2:$L$800,6,FALSE)</f>
        <v>#N/A</v>
      </c>
      <c r="G1630" s="43" t="e">
        <f>VLOOKUP($A1630,'[2]Team lists'!$A$2:$L$800,7,FALSE)</f>
        <v>#N/A</v>
      </c>
      <c r="H1630" s="43" t="e">
        <f>VLOOKUP($A1630,'[2]Team lists'!$A$2:$L$800,8,FALSE)</f>
        <v>#N/A</v>
      </c>
      <c r="I1630" s="43" t="e">
        <f>VLOOKUP($A1630,'[2]Team lists'!$A$2:$L$800,9,FALSE)</f>
        <v>#N/A</v>
      </c>
      <c r="J1630" s="43" t="e">
        <f>VLOOKUP($A1630,'[2]Team lists'!$A$2:$L$800,9,FALSE)</f>
        <v>#N/A</v>
      </c>
      <c r="K1630" s="43" t="e">
        <f>VLOOKUP($A1630,'[2]Team lists'!$A$2:$L$800,10,FALSE)</f>
        <v>#N/A</v>
      </c>
      <c r="L1630" s="43" t="e">
        <f>VLOOKUP($A1630,'[2]Team lists'!$A$2:$L$800,11,FALSE)</f>
        <v>#N/A</v>
      </c>
    </row>
    <row r="1631" spans="2:13" ht="18" thickBot="1">
      <c r="B1631" s="45" t="s">
        <v>3210</v>
      </c>
      <c r="C1631" s="46"/>
      <c r="D1631" s="47"/>
      <c r="E1631" s="48" t="e">
        <f t="shared" ref="E1631:L1631" si="101">SUM(E1620:E1630)</f>
        <v>#N/A</v>
      </c>
      <c r="F1631" s="49" t="e">
        <f t="shared" si="101"/>
        <v>#N/A</v>
      </c>
      <c r="G1631" s="49" t="e">
        <f t="shared" si="101"/>
        <v>#N/A</v>
      </c>
      <c r="H1631" s="49" t="e">
        <f t="shared" si="101"/>
        <v>#N/A</v>
      </c>
      <c r="I1631" s="49" t="e">
        <f t="shared" si="101"/>
        <v>#N/A</v>
      </c>
      <c r="J1631" s="49" t="e">
        <f t="shared" si="101"/>
        <v>#N/A</v>
      </c>
      <c r="K1631" s="49" t="e">
        <f t="shared" si="101"/>
        <v>#N/A</v>
      </c>
      <c r="L1631" s="50" t="e">
        <f t="shared" si="101"/>
        <v>#N/A</v>
      </c>
    </row>
    <row r="1632" spans="2:13" ht="18.600000000000001" thickTop="1" thickBot="1"/>
    <row r="1633" spans="2:13" ht="18" thickTop="1">
      <c r="B1633" s="23" t="s">
        <v>3204</v>
      </c>
      <c r="C1633" s="24" t="s">
        <v>3205</v>
      </c>
      <c r="D1633" s="25"/>
      <c r="E1633" s="25"/>
      <c r="F1633" s="53"/>
      <c r="G1633" s="28" t="s">
        <v>3206</v>
      </c>
      <c r="H1633" s="54"/>
      <c r="I1633" s="54"/>
      <c r="J1633" s="54"/>
      <c r="K1633" s="28" t="s">
        <v>3207</v>
      </c>
      <c r="L1633" s="29"/>
      <c r="M1633" s="22" t="str">
        <f>G1633</f>
        <v>Manager:</v>
      </c>
    </row>
    <row r="1634" spans="2:13" ht="18" thickBot="1">
      <c r="B1634" s="30">
        <v>103</v>
      </c>
      <c r="C1634" s="57"/>
      <c r="D1634" s="31"/>
      <c r="E1634" s="31"/>
      <c r="F1634" s="33"/>
      <c r="G1634" s="55"/>
      <c r="H1634" s="55"/>
      <c r="I1634" s="55"/>
      <c r="J1634" s="55"/>
      <c r="K1634" s="34" t="e">
        <f>SUM(F1647:L1647)</f>
        <v>#N/A</v>
      </c>
      <c r="L1634" s="35"/>
      <c r="M1634" s="22">
        <f>G1634</f>
        <v>0</v>
      </c>
    </row>
    <row r="1635" spans="2:13" ht="18.600000000000001" thickTop="1">
      <c r="B1635" s="58" t="s">
        <v>913</v>
      </c>
      <c r="C1635" s="59" t="s">
        <v>912</v>
      </c>
      <c r="D1635" s="60" t="s">
        <v>911</v>
      </c>
      <c r="E1635" s="61" t="s">
        <v>3209</v>
      </c>
      <c r="F1635" s="62" t="s">
        <v>3162</v>
      </c>
      <c r="G1635" s="62" t="s">
        <v>3163</v>
      </c>
      <c r="H1635" s="62" t="s">
        <v>3164</v>
      </c>
      <c r="I1635" s="62" t="s">
        <v>3165</v>
      </c>
      <c r="J1635" s="62" t="s">
        <v>3166</v>
      </c>
      <c r="K1635" s="62" t="s">
        <v>3167</v>
      </c>
      <c r="L1635" s="63" t="s">
        <v>3168</v>
      </c>
    </row>
    <row r="1636" spans="2:13">
      <c r="B1636" s="43" t="e">
        <f>VLOOKUP($A1636,'[2]Team lists'!$A$2:$L$800,2,FALSE)</f>
        <v>#N/A</v>
      </c>
      <c r="C1636" s="43" t="e">
        <f>VLOOKUP($A1636,'[2]Team lists'!$A$2:$L$800,3,FALSE)</f>
        <v>#N/A</v>
      </c>
      <c r="D1636" s="43" t="e">
        <f>VLOOKUP($A1636,'[2]Team lists'!$A$2:$L$800,4,FALSE)</f>
        <v>#N/A</v>
      </c>
      <c r="E1636" s="43" t="e">
        <f>VLOOKUP($A1636,'[2]Team lists'!$A$2:$L$800,5,FALSE)</f>
        <v>#N/A</v>
      </c>
      <c r="F1636" s="43" t="e">
        <f>VLOOKUP($A1636,'[2]Team lists'!$A$2:$L$800,6,FALSE)</f>
        <v>#N/A</v>
      </c>
      <c r="G1636" s="43" t="e">
        <f>VLOOKUP($A1636,'[2]Team lists'!$A$2:$L$800,7,FALSE)</f>
        <v>#N/A</v>
      </c>
      <c r="H1636" s="43" t="e">
        <f>VLOOKUP($A1636,'[2]Team lists'!$A$2:$L$800,8,FALSE)</f>
        <v>#N/A</v>
      </c>
      <c r="I1636" s="43" t="e">
        <f>VLOOKUP($A1636,'[2]Team lists'!$A$2:$L$800,9,FALSE)</f>
        <v>#N/A</v>
      </c>
      <c r="J1636" s="43" t="e">
        <f>VLOOKUP($A1636,'[2]Team lists'!$A$2:$L$800,9,FALSE)</f>
        <v>#N/A</v>
      </c>
      <c r="K1636" s="43" t="e">
        <f>VLOOKUP($A1636,'[2]Team lists'!$A$2:$L$800,10,FALSE)</f>
        <v>#N/A</v>
      </c>
      <c r="L1636" s="43" t="e">
        <f>VLOOKUP($A1636,'[2]Team lists'!$A$2:$L$800,11,FALSE)</f>
        <v>#N/A</v>
      </c>
    </row>
    <row r="1637" spans="2:13">
      <c r="B1637" s="43" t="e">
        <f>VLOOKUP($A1637,'[2]Team lists'!$A$2:$L$800,2,FALSE)</f>
        <v>#N/A</v>
      </c>
      <c r="C1637" s="43" t="e">
        <f>VLOOKUP($A1637,'[2]Team lists'!$A$2:$L$800,3,FALSE)</f>
        <v>#N/A</v>
      </c>
      <c r="D1637" s="43" t="e">
        <f>VLOOKUP($A1637,'[2]Team lists'!$A$2:$L$800,4,FALSE)</f>
        <v>#N/A</v>
      </c>
      <c r="E1637" s="43" t="e">
        <f>VLOOKUP($A1637,'[2]Team lists'!$A$2:$L$800,5,FALSE)</f>
        <v>#N/A</v>
      </c>
      <c r="F1637" s="43" t="e">
        <f>VLOOKUP($A1637,'[2]Team lists'!$A$2:$L$800,6,FALSE)</f>
        <v>#N/A</v>
      </c>
      <c r="G1637" s="43" t="e">
        <f>VLOOKUP($A1637,'[2]Team lists'!$A$2:$L$800,7,FALSE)</f>
        <v>#N/A</v>
      </c>
      <c r="H1637" s="43" t="e">
        <f>VLOOKUP($A1637,'[2]Team lists'!$A$2:$L$800,8,FALSE)</f>
        <v>#N/A</v>
      </c>
      <c r="I1637" s="43" t="e">
        <f>VLOOKUP($A1637,'[2]Team lists'!$A$2:$L$800,9,FALSE)</f>
        <v>#N/A</v>
      </c>
      <c r="J1637" s="43" t="e">
        <f>VLOOKUP($A1637,'[2]Team lists'!$A$2:$L$800,9,FALSE)</f>
        <v>#N/A</v>
      </c>
      <c r="K1637" s="43" t="e">
        <f>VLOOKUP($A1637,'[2]Team lists'!$A$2:$L$800,10,FALSE)</f>
        <v>#N/A</v>
      </c>
      <c r="L1637" s="43" t="e">
        <f>VLOOKUP($A1637,'[2]Team lists'!$A$2:$L$800,11,FALSE)</f>
        <v>#N/A</v>
      </c>
    </row>
    <row r="1638" spans="2:13">
      <c r="B1638" s="43" t="e">
        <f>VLOOKUP($A1638,'[2]Team lists'!$A$2:$L$800,2,FALSE)</f>
        <v>#N/A</v>
      </c>
      <c r="C1638" s="43" t="e">
        <f>VLOOKUP($A1638,'[2]Team lists'!$A$2:$L$800,3,FALSE)</f>
        <v>#N/A</v>
      </c>
      <c r="D1638" s="43" t="e">
        <f>VLOOKUP($A1638,'[2]Team lists'!$A$2:$L$800,4,FALSE)</f>
        <v>#N/A</v>
      </c>
      <c r="E1638" s="43" t="e">
        <f>VLOOKUP($A1638,'[2]Team lists'!$A$2:$L$800,5,FALSE)</f>
        <v>#N/A</v>
      </c>
      <c r="F1638" s="43" t="e">
        <f>VLOOKUP($A1638,'[2]Team lists'!$A$2:$L$800,6,FALSE)</f>
        <v>#N/A</v>
      </c>
      <c r="G1638" s="43" t="e">
        <f>VLOOKUP($A1638,'[2]Team lists'!$A$2:$L$800,7,FALSE)</f>
        <v>#N/A</v>
      </c>
      <c r="H1638" s="43" t="e">
        <f>VLOOKUP($A1638,'[2]Team lists'!$A$2:$L$800,8,FALSE)</f>
        <v>#N/A</v>
      </c>
      <c r="I1638" s="43" t="e">
        <f>VLOOKUP($A1638,'[2]Team lists'!$A$2:$L$800,9,FALSE)</f>
        <v>#N/A</v>
      </c>
      <c r="J1638" s="43" t="e">
        <f>VLOOKUP($A1638,'[2]Team lists'!$A$2:$L$800,9,FALSE)</f>
        <v>#N/A</v>
      </c>
      <c r="K1638" s="43" t="e">
        <f>VLOOKUP($A1638,'[2]Team lists'!$A$2:$L$800,10,FALSE)</f>
        <v>#N/A</v>
      </c>
      <c r="L1638" s="43" t="e">
        <f>VLOOKUP($A1638,'[2]Team lists'!$A$2:$L$800,11,FALSE)</f>
        <v>#N/A</v>
      </c>
    </row>
    <row r="1639" spans="2:13">
      <c r="B1639" s="43" t="e">
        <f>VLOOKUP($A1639,'[2]Team lists'!$A$2:$L$800,2,FALSE)</f>
        <v>#N/A</v>
      </c>
      <c r="C1639" s="43" t="e">
        <f>VLOOKUP($A1639,'[2]Team lists'!$A$2:$L$800,3,FALSE)</f>
        <v>#N/A</v>
      </c>
      <c r="D1639" s="43" t="e">
        <f>VLOOKUP($A1639,'[2]Team lists'!$A$2:$L$800,4,FALSE)</f>
        <v>#N/A</v>
      </c>
      <c r="E1639" s="43" t="e">
        <f>VLOOKUP($A1639,'[2]Team lists'!$A$2:$L$800,5,FALSE)</f>
        <v>#N/A</v>
      </c>
      <c r="F1639" s="43" t="e">
        <f>VLOOKUP($A1639,'[2]Team lists'!$A$2:$L$800,6,FALSE)</f>
        <v>#N/A</v>
      </c>
      <c r="G1639" s="43" t="e">
        <f>VLOOKUP($A1639,'[2]Team lists'!$A$2:$L$800,7,FALSE)</f>
        <v>#N/A</v>
      </c>
      <c r="H1639" s="43" t="e">
        <f>VLOOKUP($A1639,'[2]Team lists'!$A$2:$L$800,8,FALSE)</f>
        <v>#N/A</v>
      </c>
      <c r="I1639" s="43" t="e">
        <f>VLOOKUP($A1639,'[2]Team lists'!$A$2:$L$800,9,FALSE)</f>
        <v>#N/A</v>
      </c>
      <c r="J1639" s="43" t="e">
        <f>VLOOKUP($A1639,'[2]Team lists'!$A$2:$L$800,9,FALSE)</f>
        <v>#N/A</v>
      </c>
      <c r="K1639" s="43" t="e">
        <f>VLOOKUP($A1639,'[2]Team lists'!$A$2:$L$800,10,FALSE)</f>
        <v>#N/A</v>
      </c>
      <c r="L1639" s="43" t="e">
        <f>VLOOKUP($A1639,'[2]Team lists'!$A$2:$L$800,11,FALSE)</f>
        <v>#N/A</v>
      </c>
    </row>
    <row r="1640" spans="2:13">
      <c r="B1640" s="43" t="e">
        <f>VLOOKUP($A1640,'[2]Team lists'!$A$2:$L$800,2,FALSE)</f>
        <v>#N/A</v>
      </c>
      <c r="C1640" s="43" t="e">
        <f>VLOOKUP($A1640,'[2]Team lists'!$A$2:$L$800,3,FALSE)</f>
        <v>#N/A</v>
      </c>
      <c r="D1640" s="43" t="e">
        <f>VLOOKUP($A1640,'[2]Team lists'!$A$2:$L$800,4,FALSE)</f>
        <v>#N/A</v>
      </c>
      <c r="E1640" s="43" t="e">
        <f>VLOOKUP($A1640,'[2]Team lists'!$A$2:$L$800,5,FALSE)</f>
        <v>#N/A</v>
      </c>
      <c r="F1640" s="43" t="e">
        <f>VLOOKUP($A1640,'[2]Team lists'!$A$2:$L$800,6,FALSE)</f>
        <v>#N/A</v>
      </c>
      <c r="G1640" s="43" t="e">
        <f>VLOOKUP($A1640,'[2]Team lists'!$A$2:$L$800,7,FALSE)</f>
        <v>#N/A</v>
      </c>
      <c r="H1640" s="43" t="e">
        <f>VLOOKUP($A1640,'[2]Team lists'!$A$2:$L$800,8,FALSE)</f>
        <v>#N/A</v>
      </c>
      <c r="I1640" s="43" t="e">
        <f>VLOOKUP($A1640,'[2]Team lists'!$A$2:$L$800,9,FALSE)</f>
        <v>#N/A</v>
      </c>
      <c r="J1640" s="43" t="e">
        <f>VLOOKUP($A1640,'[2]Team lists'!$A$2:$L$800,9,FALSE)</f>
        <v>#N/A</v>
      </c>
      <c r="K1640" s="43" t="e">
        <f>VLOOKUP($A1640,'[2]Team lists'!$A$2:$L$800,10,FALSE)</f>
        <v>#N/A</v>
      </c>
      <c r="L1640" s="43" t="e">
        <f>VLOOKUP($A1640,'[2]Team lists'!$A$2:$L$800,11,FALSE)</f>
        <v>#N/A</v>
      </c>
    </row>
    <row r="1641" spans="2:13">
      <c r="B1641" s="43" t="e">
        <f>VLOOKUP($A1641,'[2]Team lists'!$A$2:$L$800,2,FALSE)</f>
        <v>#N/A</v>
      </c>
      <c r="C1641" s="43" t="e">
        <f>VLOOKUP($A1641,'[2]Team lists'!$A$2:$L$800,3,FALSE)</f>
        <v>#N/A</v>
      </c>
      <c r="D1641" s="43" t="e">
        <f>VLOOKUP($A1641,'[2]Team lists'!$A$2:$L$800,4,FALSE)</f>
        <v>#N/A</v>
      </c>
      <c r="E1641" s="43" t="e">
        <f>VLOOKUP($A1641,'[2]Team lists'!$A$2:$L$800,5,FALSE)</f>
        <v>#N/A</v>
      </c>
      <c r="F1641" s="43" t="e">
        <f>VLOOKUP($A1641,'[2]Team lists'!$A$2:$L$800,6,FALSE)</f>
        <v>#N/A</v>
      </c>
      <c r="G1641" s="43" t="e">
        <f>VLOOKUP($A1641,'[2]Team lists'!$A$2:$L$800,7,FALSE)</f>
        <v>#N/A</v>
      </c>
      <c r="H1641" s="43" t="e">
        <f>VLOOKUP($A1641,'[2]Team lists'!$A$2:$L$800,8,FALSE)</f>
        <v>#N/A</v>
      </c>
      <c r="I1641" s="43" t="e">
        <f>VLOOKUP($A1641,'[2]Team lists'!$A$2:$L$800,9,FALSE)</f>
        <v>#N/A</v>
      </c>
      <c r="J1641" s="43" t="e">
        <f>VLOOKUP($A1641,'[2]Team lists'!$A$2:$L$800,9,FALSE)</f>
        <v>#N/A</v>
      </c>
      <c r="K1641" s="43" t="e">
        <f>VLOOKUP($A1641,'[2]Team lists'!$A$2:$L$800,10,FALSE)</f>
        <v>#N/A</v>
      </c>
      <c r="L1641" s="43" t="e">
        <f>VLOOKUP($A1641,'[2]Team lists'!$A$2:$L$800,11,FALSE)</f>
        <v>#N/A</v>
      </c>
    </row>
    <row r="1642" spans="2:13">
      <c r="B1642" s="43" t="e">
        <f>VLOOKUP($A1642,'[2]Team lists'!$A$2:$L$800,2,FALSE)</f>
        <v>#N/A</v>
      </c>
      <c r="C1642" s="43" t="e">
        <f>VLOOKUP($A1642,'[2]Team lists'!$A$2:$L$800,3,FALSE)</f>
        <v>#N/A</v>
      </c>
      <c r="D1642" s="43" t="e">
        <f>VLOOKUP($A1642,'[2]Team lists'!$A$2:$L$800,4,FALSE)</f>
        <v>#N/A</v>
      </c>
      <c r="E1642" s="43" t="e">
        <f>VLOOKUP($A1642,'[2]Team lists'!$A$2:$L$800,5,FALSE)</f>
        <v>#N/A</v>
      </c>
      <c r="F1642" s="43" t="e">
        <f>VLOOKUP($A1642,'[2]Team lists'!$A$2:$L$800,6,FALSE)</f>
        <v>#N/A</v>
      </c>
      <c r="G1642" s="43" t="e">
        <f>VLOOKUP($A1642,'[2]Team lists'!$A$2:$L$800,7,FALSE)</f>
        <v>#N/A</v>
      </c>
      <c r="H1642" s="43" t="e">
        <f>VLOOKUP($A1642,'[2]Team lists'!$A$2:$L$800,8,FALSE)</f>
        <v>#N/A</v>
      </c>
      <c r="I1642" s="43" t="e">
        <f>VLOOKUP($A1642,'[2]Team lists'!$A$2:$L$800,9,FALSE)</f>
        <v>#N/A</v>
      </c>
      <c r="J1642" s="43" t="e">
        <f>VLOOKUP($A1642,'[2]Team lists'!$A$2:$L$800,9,FALSE)</f>
        <v>#N/A</v>
      </c>
      <c r="K1642" s="43" t="e">
        <f>VLOOKUP($A1642,'[2]Team lists'!$A$2:$L$800,10,FALSE)</f>
        <v>#N/A</v>
      </c>
      <c r="L1642" s="43" t="e">
        <f>VLOOKUP($A1642,'[2]Team lists'!$A$2:$L$800,11,FALSE)</f>
        <v>#N/A</v>
      </c>
    </row>
    <row r="1643" spans="2:13">
      <c r="B1643" s="43" t="e">
        <f>VLOOKUP($A1643,'[2]Team lists'!$A$2:$L$800,2,FALSE)</f>
        <v>#N/A</v>
      </c>
      <c r="C1643" s="43" t="e">
        <f>VLOOKUP($A1643,'[2]Team lists'!$A$2:$L$800,3,FALSE)</f>
        <v>#N/A</v>
      </c>
      <c r="D1643" s="43" t="e">
        <f>VLOOKUP($A1643,'[2]Team lists'!$A$2:$L$800,4,FALSE)</f>
        <v>#N/A</v>
      </c>
      <c r="E1643" s="43" t="e">
        <f>VLOOKUP($A1643,'[2]Team lists'!$A$2:$L$800,5,FALSE)</f>
        <v>#N/A</v>
      </c>
      <c r="F1643" s="43" t="e">
        <f>VLOOKUP($A1643,'[2]Team lists'!$A$2:$L$800,6,FALSE)</f>
        <v>#N/A</v>
      </c>
      <c r="G1643" s="43" t="e">
        <f>VLOOKUP($A1643,'[2]Team lists'!$A$2:$L$800,7,FALSE)</f>
        <v>#N/A</v>
      </c>
      <c r="H1643" s="43" t="e">
        <f>VLOOKUP($A1643,'[2]Team lists'!$A$2:$L$800,8,FALSE)</f>
        <v>#N/A</v>
      </c>
      <c r="I1643" s="43" t="e">
        <f>VLOOKUP($A1643,'[2]Team lists'!$A$2:$L$800,9,FALSE)</f>
        <v>#N/A</v>
      </c>
      <c r="J1643" s="43" t="e">
        <f>VLOOKUP($A1643,'[2]Team lists'!$A$2:$L$800,9,FALSE)</f>
        <v>#N/A</v>
      </c>
      <c r="K1643" s="43" t="e">
        <f>VLOOKUP($A1643,'[2]Team lists'!$A$2:$L$800,10,FALSE)</f>
        <v>#N/A</v>
      </c>
      <c r="L1643" s="43" t="e">
        <f>VLOOKUP($A1643,'[2]Team lists'!$A$2:$L$800,11,FALSE)</f>
        <v>#N/A</v>
      </c>
    </row>
    <row r="1644" spans="2:13">
      <c r="B1644" s="43" t="e">
        <f>VLOOKUP($A1644,'[2]Team lists'!$A$2:$L$800,2,FALSE)</f>
        <v>#N/A</v>
      </c>
      <c r="C1644" s="43" t="e">
        <f>VLOOKUP($A1644,'[2]Team lists'!$A$2:$L$800,3,FALSE)</f>
        <v>#N/A</v>
      </c>
      <c r="D1644" s="43" t="e">
        <f>VLOOKUP($A1644,'[2]Team lists'!$A$2:$L$800,4,FALSE)</f>
        <v>#N/A</v>
      </c>
      <c r="E1644" s="43" t="e">
        <f>VLOOKUP($A1644,'[2]Team lists'!$A$2:$L$800,5,FALSE)</f>
        <v>#N/A</v>
      </c>
      <c r="F1644" s="43" t="e">
        <f>VLOOKUP($A1644,'[2]Team lists'!$A$2:$L$800,6,FALSE)</f>
        <v>#N/A</v>
      </c>
      <c r="G1644" s="43" t="e">
        <f>VLOOKUP($A1644,'[2]Team lists'!$A$2:$L$800,7,FALSE)</f>
        <v>#N/A</v>
      </c>
      <c r="H1644" s="43" t="e">
        <f>VLOOKUP($A1644,'[2]Team lists'!$A$2:$L$800,8,FALSE)</f>
        <v>#N/A</v>
      </c>
      <c r="I1644" s="43" t="e">
        <f>VLOOKUP($A1644,'[2]Team lists'!$A$2:$L$800,9,FALSE)</f>
        <v>#N/A</v>
      </c>
      <c r="J1644" s="43" t="e">
        <f>VLOOKUP($A1644,'[2]Team lists'!$A$2:$L$800,9,FALSE)</f>
        <v>#N/A</v>
      </c>
      <c r="K1644" s="43" t="e">
        <f>VLOOKUP($A1644,'[2]Team lists'!$A$2:$L$800,10,FALSE)</f>
        <v>#N/A</v>
      </c>
      <c r="L1644" s="43" t="e">
        <f>VLOOKUP($A1644,'[2]Team lists'!$A$2:$L$800,11,FALSE)</f>
        <v>#N/A</v>
      </c>
    </row>
    <row r="1645" spans="2:13">
      <c r="B1645" s="43" t="e">
        <f>VLOOKUP($A1645,'[2]Team lists'!$A$2:$L$800,2,FALSE)</f>
        <v>#N/A</v>
      </c>
      <c r="C1645" s="43" t="e">
        <f>VLOOKUP($A1645,'[2]Team lists'!$A$2:$L$800,3,FALSE)</f>
        <v>#N/A</v>
      </c>
      <c r="D1645" s="43" t="e">
        <f>VLOOKUP($A1645,'[2]Team lists'!$A$2:$L$800,4,FALSE)</f>
        <v>#N/A</v>
      </c>
      <c r="E1645" s="43" t="e">
        <f>VLOOKUP($A1645,'[2]Team lists'!$A$2:$L$800,5,FALSE)</f>
        <v>#N/A</v>
      </c>
      <c r="F1645" s="43" t="e">
        <f>VLOOKUP($A1645,'[2]Team lists'!$A$2:$L$800,6,FALSE)</f>
        <v>#N/A</v>
      </c>
      <c r="G1645" s="43" t="e">
        <f>VLOOKUP($A1645,'[2]Team lists'!$A$2:$L$800,7,FALSE)</f>
        <v>#N/A</v>
      </c>
      <c r="H1645" s="43" t="e">
        <f>VLOOKUP($A1645,'[2]Team lists'!$A$2:$L$800,8,FALSE)</f>
        <v>#N/A</v>
      </c>
      <c r="I1645" s="43" t="e">
        <f>VLOOKUP($A1645,'[2]Team lists'!$A$2:$L$800,9,FALSE)</f>
        <v>#N/A</v>
      </c>
      <c r="J1645" s="43" t="e">
        <f>VLOOKUP($A1645,'[2]Team lists'!$A$2:$L$800,9,FALSE)</f>
        <v>#N/A</v>
      </c>
      <c r="K1645" s="43" t="e">
        <f>VLOOKUP($A1645,'[2]Team lists'!$A$2:$L$800,10,FALSE)</f>
        <v>#N/A</v>
      </c>
      <c r="L1645" s="43" t="e">
        <f>VLOOKUP($A1645,'[2]Team lists'!$A$2:$L$800,11,FALSE)</f>
        <v>#N/A</v>
      </c>
    </row>
    <row r="1646" spans="2:13">
      <c r="B1646" s="43" t="e">
        <f>VLOOKUP($A1646,'[2]Team lists'!$A$2:$L$800,2,FALSE)</f>
        <v>#N/A</v>
      </c>
      <c r="C1646" s="43" t="e">
        <f>VLOOKUP($A1646,'[2]Team lists'!$A$2:$L$800,3,FALSE)</f>
        <v>#N/A</v>
      </c>
      <c r="D1646" s="43" t="e">
        <f>VLOOKUP($A1646,'[2]Team lists'!$A$2:$L$800,4,FALSE)</f>
        <v>#N/A</v>
      </c>
      <c r="E1646" s="43" t="e">
        <f>VLOOKUP($A1646,'[2]Team lists'!$A$2:$L$800,5,FALSE)</f>
        <v>#N/A</v>
      </c>
      <c r="F1646" s="43" t="e">
        <f>VLOOKUP($A1646,'[2]Team lists'!$A$2:$L$800,6,FALSE)</f>
        <v>#N/A</v>
      </c>
      <c r="G1646" s="43" t="e">
        <f>VLOOKUP($A1646,'[2]Team lists'!$A$2:$L$800,7,FALSE)</f>
        <v>#N/A</v>
      </c>
      <c r="H1646" s="43" t="e">
        <f>VLOOKUP($A1646,'[2]Team lists'!$A$2:$L$800,8,FALSE)</f>
        <v>#N/A</v>
      </c>
      <c r="I1646" s="43" t="e">
        <f>VLOOKUP($A1646,'[2]Team lists'!$A$2:$L$800,9,FALSE)</f>
        <v>#N/A</v>
      </c>
      <c r="J1646" s="43" t="e">
        <f>VLOOKUP($A1646,'[2]Team lists'!$A$2:$L$800,9,FALSE)</f>
        <v>#N/A</v>
      </c>
      <c r="K1646" s="43" t="e">
        <f>VLOOKUP($A1646,'[2]Team lists'!$A$2:$L$800,10,FALSE)</f>
        <v>#N/A</v>
      </c>
      <c r="L1646" s="43" t="e">
        <f>VLOOKUP($A1646,'[2]Team lists'!$A$2:$L$800,11,FALSE)</f>
        <v>#N/A</v>
      </c>
    </row>
    <row r="1647" spans="2:13" ht="18" thickBot="1">
      <c r="B1647" s="45" t="s">
        <v>3210</v>
      </c>
      <c r="C1647" s="46"/>
      <c r="D1647" s="47"/>
      <c r="E1647" s="48" t="e">
        <f t="shared" ref="E1647:L1647" si="102">SUM(E1636:E1646)</f>
        <v>#N/A</v>
      </c>
      <c r="F1647" s="49" t="e">
        <f t="shared" si="102"/>
        <v>#N/A</v>
      </c>
      <c r="G1647" s="49" t="e">
        <f t="shared" si="102"/>
        <v>#N/A</v>
      </c>
      <c r="H1647" s="49" t="e">
        <f t="shared" si="102"/>
        <v>#N/A</v>
      </c>
      <c r="I1647" s="49" t="e">
        <f t="shared" si="102"/>
        <v>#N/A</v>
      </c>
      <c r="J1647" s="49" t="e">
        <f t="shared" si="102"/>
        <v>#N/A</v>
      </c>
      <c r="K1647" s="49" t="e">
        <f t="shared" si="102"/>
        <v>#N/A</v>
      </c>
      <c r="L1647" s="50" t="e">
        <f t="shared" si="102"/>
        <v>#N/A</v>
      </c>
    </row>
    <row r="1648" spans="2:13" ht="18.600000000000001" thickTop="1" thickBot="1"/>
    <row r="1649" spans="2:13" ht="18" thickTop="1">
      <c r="B1649" s="23" t="s">
        <v>3204</v>
      </c>
      <c r="C1649" s="24" t="s">
        <v>3205</v>
      </c>
      <c r="D1649" s="25"/>
      <c r="E1649" s="25"/>
      <c r="F1649" s="53"/>
      <c r="G1649" s="28" t="s">
        <v>3206</v>
      </c>
      <c r="H1649" s="54"/>
      <c r="I1649" s="54"/>
      <c r="J1649" s="54"/>
      <c r="K1649" s="28" t="s">
        <v>3207</v>
      </c>
      <c r="L1649" s="29"/>
      <c r="M1649" s="22" t="str">
        <f>G1649</f>
        <v>Manager:</v>
      </c>
    </row>
    <row r="1650" spans="2:13" ht="18" thickBot="1">
      <c r="B1650" s="30">
        <v>104</v>
      </c>
      <c r="C1650" s="57"/>
      <c r="D1650" s="31"/>
      <c r="E1650" s="31"/>
      <c r="F1650" s="33"/>
      <c r="G1650" s="55"/>
      <c r="H1650" s="55"/>
      <c r="I1650" s="55"/>
      <c r="J1650" s="55"/>
      <c r="K1650" s="34" t="e">
        <f>SUM(F1663:L1663)</f>
        <v>#N/A</v>
      </c>
      <c r="L1650" s="35"/>
      <c r="M1650" s="22">
        <f>G1650</f>
        <v>0</v>
      </c>
    </row>
    <row r="1651" spans="2:13" ht="18.600000000000001" thickTop="1">
      <c r="B1651" s="58" t="s">
        <v>913</v>
      </c>
      <c r="C1651" s="59" t="s">
        <v>912</v>
      </c>
      <c r="D1651" s="60" t="s">
        <v>911</v>
      </c>
      <c r="E1651" s="61" t="s">
        <v>3209</v>
      </c>
      <c r="F1651" s="62" t="s">
        <v>3162</v>
      </c>
      <c r="G1651" s="62" t="s">
        <v>3163</v>
      </c>
      <c r="H1651" s="62" t="s">
        <v>3164</v>
      </c>
      <c r="I1651" s="62" t="s">
        <v>3165</v>
      </c>
      <c r="J1651" s="62" t="s">
        <v>3166</v>
      </c>
      <c r="K1651" s="62" t="s">
        <v>3167</v>
      </c>
      <c r="L1651" s="63" t="s">
        <v>3168</v>
      </c>
    </row>
    <row r="1652" spans="2:13">
      <c r="B1652" s="43" t="e">
        <f>VLOOKUP($A1652,'[2]Team lists'!$A$2:$L$800,2,FALSE)</f>
        <v>#N/A</v>
      </c>
      <c r="C1652" s="43" t="e">
        <f>VLOOKUP($A1652,'[2]Team lists'!$A$2:$L$800,3,FALSE)</f>
        <v>#N/A</v>
      </c>
      <c r="D1652" s="43" t="e">
        <f>VLOOKUP($A1652,'[2]Team lists'!$A$2:$L$800,4,FALSE)</f>
        <v>#N/A</v>
      </c>
      <c r="E1652" s="43" t="e">
        <f>VLOOKUP($A1652,'[2]Team lists'!$A$2:$L$800,5,FALSE)</f>
        <v>#N/A</v>
      </c>
      <c r="F1652" s="43" t="e">
        <f>VLOOKUP($A1652,'[2]Team lists'!$A$2:$L$800,6,FALSE)</f>
        <v>#N/A</v>
      </c>
      <c r="G1652" s="43" t="e">
        <f>VLOOKUP($A1652,'[2]Team lists'!$A$2:$L$800,7,FALSE)</f>
        <v>#N/A</v>
      </c>
      <c r="H1652" s="43" t="e">
        <f>VLOOKUP($A1652,'[2]Team lists'!$A$2:$L$800,8,FALSE)</f>
        <v>#N/A</v>
      </c>
      <c r="I1652" s="43" t="e">
        <f>VLOOKUP($A1652,'[2]Team lists'!$A$2:$L$800,9,FALSE)</f>
        <v>#N/A</v>
      </c>
      <c r="J1652" s="43" t="e">
        <f>VLOOKUP($A1652,'[2]Team lists'!$A$2:$L$800,9,FALSE)</f>
        <v>#N/A</v>
      </c>
      <c r="K1652" s="43" t="e">
        <f>VLOOKUP($A1652,'[2]Team lists'!$A$2:$L$800,10,FALSE)</f>
        <v>#N/A</v>
      </c>
      <c r="L1652" s="43" t="e">
        <f>VLOOKUP($A1652,'[2]Team lists'!$A$2:$L$800,11,FALSE)</f>
        <v>#N/A</v>
      </c>
    </row>
    <row r="1653" spans="2:13">
      <c r="B1653" s="43" t="e">
        <f>VLOOKUP($A1653,'[2]Team lists'!$A$2:$L$800,2,FALSE)</f>
        <v>#N/A</v>
      </c>
      <c r="C1653" s="43" t="e">
        <f>VLOOKUP($A1653,'[2]Team lists'!$A$2:$L$800,3,FALSE)</f>
        <v>#N/A</v>
      </c>
      <c r="D1653" s="43" t="e">
        <f>VLOOKUP($A1653,'[2]Team lists'!$A$2:$L$800,4,FALSE)</f>
        <v>#N/A</v>
      </c>
      <c r="E1653" s="43" t="e">
        <f>VLOOKUP($A1653,'[2]Team lists'!$A$2:$L$800,5,FALSE)</f>
        <v>#N/A</v>
      </c>
      <c r="F1653" s="43" t="e">
        <f>VLOOKUP($A1653,'[2]Team lists'!$A$2:$L$800,6,FALSE)</f>
        <v>#N/A</v>
      </c>
      <c r="G1653" s="43" t="e">
        <f>VLOOKUP($A1653,'[2]Team lists'!$A$2:$L$800,7,FALSE)</f>
        <v>#N/A</v>
      </c>
      <c r="H1653" s="43" t="e">
        <f>VLOOKUP($A1653,'[2]Team lists'!$A$2:$L$800,8,FALSE)</f>
        <v>#N/A</v>
      </c>
      <c r="I1653" s="43" t="e">
        <f>VLOOKUP($A1653,'[2]Team lists'!$A$2:$L$800,9,FALSE)</f>
        <v>#N/A</v>
      </c>
      <c r="J1653" s="43" t="e">
        <f>VLOOKUP($A1653,'[2]Team lists'!$A$2:$L$800,9,FALSE)</f>
        <v>#N/A</v>
      </c>
      <c r="K1653" s="43" t="e">
        <f>VLOOKUP($A1653,'[2]Team lists'!$A$2:$L$800,10,FALSE)</f>
        <v>#N/A</v>
      </c>
      <c r="L1653" s="43" t="e">
        <f>VLOOKUP($A1653,'[2]Team lists'!$A$2:$L$800,11,FALSE)</f>
        <v>#N/A</v>
      </c>
    </row>
    <row r="1654" spans="2:13">
      <c r="B1654" s="43" t="e">
        <f>VLOOKUP($A1654,'[2]Team lists'!$A$2:$L$800,2,FALSE)</f>
        <v>#N/A</v>
      </c>
      <c r="C1654" s="43" t="e">
        <f>VLOOKUP($A1654,'[2]Team lists'!$A$2:$L$800,3,FALSE)</f>
        <v>#N/A</v>
      </c>
      <c r="D1654" s="43" t="e">
        <f>VLOOKUP($A1654,'[2]Team lists'!$A$2:$L$800,4,FALSE)</f>
        <v>#N/A</v>
      </c>
      <c r="E1654" s="43" t="e">
        <f>VLOOKUP($A1654,'[2]Team lists'!$A$2:$L$800,5,FALSE)</f>
        <v>#N/A</v>
      </c>
      <c r="F1654" s="43" t="e">
        <f>VLOOKUP($A1654,'[2]Team lists'!$A$2:$L$800,6,FALSE)</f>
        <v>#N/A</v>
      </c>
      <c r="G1654" s="43" t="e">
        <f>VLOOKUP($A1654,'[2]Team lists'!$A$2:$L$800,7,FALSE)</f>
        <v>#N/A</v>
      </c>
      <c r="H1654" s="43" t="e">
        <f>VLOOKUP($A1654,'[2]Team lists'!$A$2:$L$800,8,FALSE)</f>
        <v>#N/A</v>
      </c>
      <c r="I1654" s="43" t="e">
        <f>VLOOKUP($A1654,'[2]Team lists'!$A$2:$L$800,9,FALSE)</f>
        <v>#N/A</v>
      </c>
      <c r="J1654" s="43" t="e">
        <f>VLOOKUP($A1654,'[2]Team lists'!$A$2:$L$800,9,FALSE)</f>
        <v>#N/A</v>
      </c>
      <c r="K1654" s="43" t="e">
        <f>VLOOKUP($A1654,'[2]Team lists'!$A$2:$L$800,10,FALSE)</f>
        <v>#N/A</v>
      </c>
      <c r="L1654" s="43" t="e">
        <f>VLOOKUP($A1654,'[2]Team lists'!$A$2:$L$800,11,FALSE)</f>
        <v>#N/A</v>
      </c>
    </row>
    <row r="1655" spans="2:13">
      <c r="B1655" s="43" t="e">
        <f>VLOOKUP($A1655,'[2]Team lists'!$A$2:$L$800,2,FALSE)</f>
        <v>#N/A</v>
      </c>
      <c r="C1655" s="43" t="e">
        <f>VLOOKUP($A1655,'[2]Team lists'!$A$2:$L$800,3,FALSE)</f>
        <v>#N/A</v>
      </c>
      <c r="D1655" s="43" t="e">
        <f>VLOOKUP($A1655,'[2]Team lists'!$A$2:$L$800,4,FALSE)</f>
        <v>#N/A</v>
      </c>
      <c r="E1655" s="43" t="e">
        <f>VLOOKUP($A1655,'[2]Team lists'!$A$2:$L$800,5,FALSE)</f>
        <v>#N/A</v>
      </c>
      <c r="F1655" s="43" t="e">
        <f>VLOOKUP($A1655,'[2]Team lists'!$A$2:$L$800,6,FALSE)</f>
        <v>#N/A</v>
      </c>
      <c r="G1655" s="43" t="e">
        <f>VLOOKUP($A1655,'[2]Team lists'!$A$2:$L$800,7,FALSE)</f>
        <v>#N/A</v>
      </c>
      <c r="H1655" s="43" t="e">
        <f>VLOOKUP($A1655,'[2]Team lists'!$A$2:$L$800,8,FALSE)</f>
        <v>#N/A</v>
      </c>
      <c r="I1655" s="43" t="e">
        <f>VLOOKUP($A1655,'[2]Team lists'!$A$2:$L$800,9,FALSE)</f>
        <v>#N/A</v>
      </c>
      <c r="J1655" s="43" t="e">
        <f>VLOOKUP($A1655,'[2]Team lists'!$A$2:$L$800,9,FALSE)</f>
        <v>#N/A</v>
      </c>
      <c r="K1655" s="43" t="e">
        <f>VLOOKUP($A1655,'[2]Team lists'!$A$2:$L$800,10,FALSE)</f>
        <v>#N/A</v>
      </c>
      <c r="L1655" s="43" t="e">
        <f>VLOOKUP($A1655,'[2]Team lists'!$A$2:$L$800,11,FALSE)</f>
        <v>#N/A</v>
      </c>
    </row>
    <row r="1656" spans="2:13">
      <c r="B1656" s="43" t="e">
        <f>VLOOKUP($A1656,'[2]Team lists'!$A$2:$L$800,2,FALSE)</f>
        <v>#N/A</v>
      </c>
      <c r="C1656" s="43" t="e">
        <f>VLOOKUP($A1656,'[2]Team lists'!$A$2:$L$800,3,FALSE)</f>
        <v>#N/A</v>
      </c>
      <c r="D1656" s="43" t="e">
        <f>VLOOKUP($A1656,'[2]Team lists'!$A$2:$L$800,4,FALSE)</f>
        <v>#N/A</v>
      </c>
      <c r="E1656" s="43" t="e">
        <f>VLOOKUP($A1656,'[2]Team lists'!$A$2:$L$800,5,FALSE)</f>
        <v>#N/A</v>
      </c>
      <c r="F1656" s="43" t="e">
        <f>VLOOKUP($A1656,'[2]Team lists'!$A$2:$L$800,6,FALSE)</f>
        <v>#N/A</v>
      </c>
      <c r="G1656" s="43" t="e">
        <f>VLOOKUP($A1656,'[2]Team lists'!$A$2:$L$800,7,FALSE)</f>
        <v>#N/A</v>
      </c>
      <c r="H1656" s="43" t="e">
        <f>VLOOKUP($A1656,'[2]Team lists'!$A$2:$L$800,8,FALSE)</f>
        <v>#N/A</v>
      </c>
      <c r="I1656" s="43" t="e">
        <f>VLOOKUP($A1656,'[2]Team lists'!$A$2:$L$800,9,FALSE)</f>
        <v>#N/A</v>
      </c>
      <c r="J1656" s="43" t="e">
        <f>VLOOKUP($A1656,'[2]Team lists'!$A$2:$L$800,9,FALSE)</f>
        <v>#N/A</v>
      </c>
      <c r="K1656" s="43" t="e">
        <f>VLOOKUP($A1656,'[2]Team lists'!$A$2:$L$800,10,FALSE)</f>
        <v>#N/A</v>
      </c>
      <c r="L1656" s="43" t="e">
        <f>VLOOKUP($A1656,'[2]Team lists'!$A$2:$L$800,11,FALSE)</f>
        <v>#N/A</v>
      </c>
    </row>
    <row r="1657" spans="2:13">
      <c r="B1657" s="43" t="e">
        <f>VLOOKUP($A1657,'[2]Team lists'!$A$2:$L$800,2,FALSE)</f>
        <v>#N/A</v>
      </c>
      <c r="C1657" s="43" t="e">
        <f>VLOOKUP($A1657,'[2]Team lists'!$A$2:$L$800,3,FALSE)</f>
        <v>#N/A</v>
      </c>
      <c r="D1657" s="43" t="e">
        <f>VLOOKUP($A1657,'[2]Team lists'!$A$2:$L$800,4,FALSE)</f>
        <v>#N/A</v>
      </c>
      <c r="E1657" s="43" t="e">
        <f>VLOOKUP($A1657,'[2]Team lists'!$A$2:$L$800,5,FALSE)</f>
        <v>#N/A</v>
      </c>
      <c r="F1657" s="43" t="e">
        <f>VLOOKUP($A1657,'[2]Team lists'!$A$2:$L$800,6,FALSE)</f>
        <v>#N/A</v>
      </c>
      <c r="G1657" s="43" t="e">
        <f>VLOOKUP($A1657,'[2]Team lists'!$A$2:$L$800,7,FALSE)</f>
        <v>#N/A</v>
      </c>
      <c r="H1657" s="43" t="e">
        <f>VLOOKUP($A1657,'[2]Team lists'!$A$2:$L$800,8,FALSE)</f>
        <v>#N/A</v>
      </c>
      <c r="I1657" s="43" t="e">
        <f>VLOOKUP($A1657,'[2]Team lists'!$A$2:$L$800,9,FALSE)</f>
        <v>#N/A</v>
      </c>
      <c r="J1657" s="43" t="e">
        <f>VLOOKUP($A1657,'[2]Team lists'!$A$2:$L$800,9,FALSE)</f>
        <v>#N/A</v>
      </c>
      <c r="K1657" s="43" t="e">
        <f>VLOOKUP($A1657,'[2]Team lists'!$A$2:$L$800,10,FALSE)</f>
        <v>#N/A</v>
      </c>
      <c r="L1657" s="43" t="e">
        <f>VLOOKUP($A1657,'[2]Team lists'!$A$2:$L$800,11,FALSE)</f>
        <v>#N/A</v>
      </c>
    </row>
    <row r="1658" spans="2:13">
      <c r="B1658" s="43" t="e">
        <f>VLOOKUP($A1658,'[2]Team lists'!$A$2:$L$800,2,FALSE)</f>
        <v>#N/A</v>
      </c>
      <c r="C1658" s="43" t="e">
        <f>VLOOKUP($A1658,'[2]Team lists'!$A$2:$L$800,3,FALSE)</f>
        <v>#N/A</v>
      </c>
      <c r="D1658" s="43" t="e">
        <f>VLOOKUP($A1658,'[2]Team lists'!$A$2:$L$800,4,FALSE)</f>
        <v>#N/A</v>
      </c>
      <c r="E1658" s="43" t="e">
        <f>VLOOKUP($A1658,'[2]Team lists'!$A$2:$L$800,5,FALSE)</f>
        <v>#N/A</v>
      </c>
      <c r="F1658" s="43" t="e">
        <f>VLOOKUP($A1658,'[2]Team lists'!$A$2:$L$800,6,FALSE)</f>
        <v>#N/A</v>
      </c>
      <c r="G1658" s="43" t="e">
        <f>VLOOKUP($A1658,'[2]Team lists'!$A$2:$L$800,7,FALSE)</f>
        <v>#N/A</v>
      </c>
      <c r="H1658" s="43" t="e">
        <f>VLOOKUP($A1658,'[2]Team lists'!$A$2:$L$800,8,FALSE)</f>
        <v>#N/A</v>
      </c>
      <c r="I1658" s="43" t="e">
        <f>VLOOKUP($A1658,'[2]Team lists'!$A$2:$L$800,9,FALSE)</f>
        <v>#N/A</v>
      </c>
      <c r="J1658" s="43" t="e">
        <f>VLOOKUP($A1658,'[2]Team lists'!$A$2:$L$800,9,FALSE)</f>
        <v>#N/A</v>
      </c>
      <c r="K1658" s="43" t="e">
        <f>VLOOKUP($A1658,'[2]Team lists'!$A$2:$L$800,10,FALSE)</f>
        <v>#N/A</v>
      </c>
      <c r="L1658" s="43" t="e">
        <f>VLOOKUP($A1658,'[2]Team lists'!$A$2:$L$800,11,FALSE)</f>
        <v>#N/A</v>
      </c>
    </row>
    <row r="1659" spans="2:13">
      <c r="B1659" s="43" t="e">
        <f>VLOOKUP($A1659,'[2]Team lists'!$A$2:$L$800,2,FALSE)</f>
        <v>#N/A</v>
      </c>
      <c r="C1659" s="43" t="e">
        <f>VLOOKUP($A1659,'[2]Team lists'!$A$2:$L$800,3,FALSE)</f>
        <v>#N/A</v>
      </c>
      <c r="D1659" s="43" t="e">
        <f>VLOOKUP($A1659,'[2]Team lists'!$A$2:$L$800,4,FALSE)</f>
        <v>#N/A</v>
      </c>
      <c r="E1659" s="43" t="e">
        <f>VLOOKUP($A1659,'[2]Team lists'!$A$2:$L$800,5,FALSE)</f>
        <v>#N/A</v>
      </c>
      <c r="F1659" s="43" t="e">
        <f>VLOOKUP($A1659,'[2]Team lists'!$A$2:$L$800,6,FALSE)</f>
        <v>#N/A</v>
      </c>
      <c r="G1659" s="43" t="e">
        <f>VLOOKUP($A1659,'[2]Team lists'!$A$2:$L$800,7,FALSE)</f>
        <v>#N/A</v>
      </c>
      <c r="H1659" s="43" t="e">
        <f>VLOOKUP($A1659,'[2]Team lists'!$A$2:$L$800,8,FALSE)</f>
        <v>#N/A</v>
      </c>
      <c r="I1659" s="43" t="e">
        <f>VLOOKUP($A1659,'[2]Team lists'!$A$2:$L$800,9,FALSE)</f>
        <v>#N/A</v>
      </c>
      <c r="J1659" s="43" t="e">
        <f>VLOOKUP($A1659,'[2]Team lists'!$A$2:$L$800,9,FALSE)</f>
        <v>#N/A</v>
      </c>
      <c r="K1659" s="43" t="e">
        <f>VLOOKUP($A1659,'[2]Team lists'!$A$2:$L$800,10,FALSE)</f>
        <v>#N/A</v>
      </c>
      <c r="L1659" s="43" t="e">
        <f>VLOOKUP($A1659,'[2]Team lists'!$A$2:$L$800,11,FALSE)</f>
        <v>#N/A</v>
      </c>
    </row>
    <row r="1660" spans="2:13">
      <c r="B1660" s="43" t="e">
        <f>VLOOKUP($A1660,'[2]Team lists'!$A$2:$L$800,2,FALSE)</f>
        <v>#N/A</v>
      </c>
      <c r="C1660" s="43" t="e">
        <f>VLOOKUP($A1660,'[2]Team lists'!$A$2:$L$800,3,FALSE)</f>
        <v>#N/A</v>
      </c>
      <c r="D1660" s="43" t="e">
        <f>VLOOKUP($A1660,'[2]Team lists'!$A$2:$L$800,4,FALSE)</f>
        <v>#N/A</v>
      </c>
      <c r="E1660" s="43" t="e">
        <f>VLOOKUP($A1660,'[2]Team lists'!$A$2:$L$800,5,FALSE)</f>
        <v>#N/A</v>
      </c>
      <c r="F1660" s="43" t="e">
        <f>VLOOKUP($A1660,'[2]Team lists'!$A$2:$L$800,6,FALSE)</f>
        <v>#N/A</v>
      </c>
      <c r="G1660" s="43" t="e">
        <f>VLOOKUP($A1660,'[2]Team lists'!$A$2:$L$800,7,FALSE)</f>
        <v>#N/A</v>
      </c>
      <c r="H1660" s="43" t="e">
        <f>VLOOKUP($A1660,'[2]Team lists'!$A$2:$L$800,8,FALSE)</f>
        <v>#N/A</v>
      </c>
      <c r="I1660" s="43" t="e">
        <f>VLOOKUP($A1660,'[2]Team lists'!$A$2:$L$800,9,FALSE)</f>
        <v>#N/A</v>
      </c>
      <c r="J1660" s="43" t="e">
        <f>VLOOKUP($A1660,'[2]Team lists'!$A$2:$L$800,9,FALSE)</f>
        <v>#N/A</v>
      </c>
      <c r="K1660" s="43" t="e">
        <f>VLOOKUP($A1660,'[2]Team lists'!$A$2:$L$800,10,FALSE)</f>
        <v>#N/A</v>
      </c>
      <c r="L1660" s="43" t="e">
        <f>VLOOKUP($A1660,'[2]Team lists'!$A$2:$L$800,11,FALSE)</f>
        <v>#N/A</v>
      </c>
    </row>
    <row r="1661" spans="2:13">
      <c r="B1661" s="43" t="e">
        <f>VLOOKUP($A1661,'[2]Team lists'!$A$2:$L$800,2,FALSE)</f>
        <v>#N/A</v>
      </c>
      <c r="C1661" s="43" t="e">
        <f>VLOOKUP($A1661,'[2]Team lists'!$A$2:$L$800,3,FALSE)</f>
        <v>#N/A</v>
      </c>
      <c r="D1661" s="43" t="e">
        <f>VLOOKUP($A1661,'[2]Team lists'!$A$2:$L$800,4,FALSE)</f>
        <v>#N/A</v>
      </c>
      <c r="E1661" s="43" t="e">
        <f>VLOOKUP($A1661,'[2]Team lists'!$A$2:$L$800,5,FALSE)</f>
        <v>#N/A</v>
      </c>
      <c r="F1661" s="43" t="e">
        <f>VLOOKUP($A1661,'[2]Team lists'!$A$2:$L$800,6,FALSE)</f>
        <v>#N/A</v>
      </c>
      <c r="G1661" s="43" t="e">
        <f>VLOOKUP($A1661,'[2]Team lists'!$A$2:$L$800,7,FALSE)</f>
        <v>#N/A</v>
      </c>
      <c r="H1661" s="43" t="e">
        <f>VLOOKUP($A1661,'[2]Team lists'!$A$2:$L$800,8,FALSE)</f>
        <v>#N/A</v>
      </c>
      <c r="I1661" s="43" t="e">
        <f>VLOOKUP($A1661,'[2]Team lists'!$A$2:$L$800,9,FALSE)</f>
        <v>#N/A</v>
      </c>
      <c r="J1661" s="43" t="e">
        <f>VLOOKUP($A1661,'[2]Team lists'!$A$2:$L$800,9,FALSE)</f>
        <v>#N/A</v>
      </c>
      <c r="K1661" s="43" t="e">
        <f>VLOOKUP($A1661,'[2]Team lists'!$A$2:$L$800,10,FALSE)</f>
        <v>#N/A</v>
      </c>
      <c r="L1661" s="43" t="e">
        <f>VLOOKUP($A1661,'[2]Team lists'!$A$2:$L$800,11,FALSE)</f>
        <v>#N/A</v>
      </c>
    </row>
    <row r="1662" spans="2:13">
      <c r="B1662" s="43" t="e">
        <f>VLOOKUP($A1662,'[2]Team lists'!$A$2:$L$800,2,FALSE)</f>
        <v>#N/A</v>
      </c>
      <c r="C1662" s="43" t="e">
        <f>VLOOKUP($A1662,'[2]Team lists'!$A$2:$L$800,3,FALSE)</f>
        <v>#N/A</v>
      </c>
      <c r="D1662" s="43" t="e">
        <f>VLOOKUP($A1662,'[2]Team lists'!$A$2:$L$800,4,FALSE)</f>
        <v>#N/A</v>
      </c>
      <c r="E1662" s="43" t="e">
        <f>VLOOKUP($A1662,'[2]Team lists'!$A$2:$L$800,5,FALSE)</f>
        <v>#N/A</v>
      </c>
      <c r="F1662" s="43" t="e">
        <f>VLOOKUP($A1662,'[2]Team lists'!$A$2:$L$800,6,FALSE)</f>
        <v>#N/A</v>
      </c>
      <c r="G1662" s="43" t="e">
        <f>VLOOKUP($A1662,'[2]Team lists'!$A$2:$L$800,7,FALSE)</f>
        <v>#N/A</v>
      </c>
      <c r="H1662" s="43" t="e">
        <f>VLOOKUP($A1662,'[2]Team lists'!$A$2:$L$800,8,FALSE)</f>
        <v>#N/A</v>
      </c>
      <c r="I1662" s="43" t="e">
        <f>VLOOKUP($A1662,'[2]Team lists'!$A$2:$L$800,9,FALSE)</f>
        <v>#N/A</v>
      </c>
      <c r="J1662" s="43" t="e">
        <f>VLOOKUP($A1662,'[2]Team lists'!$A$2:$L$800,9,FALSE)</f>
        <v>#N/A</v>
      </c>
      <c r="K1662" s="43" t="e">
        <f>VLOOKUP($A1662,'[2]Team lists'!$A$2:$L$800,10,FALSE)</f>
        <v>#N/A</v>
      </c>
      <c r="L1662" s="43" t="e">
        <f>VLOOKUP($A1662,'[2]Team lists'!$A$2:$L$800,11,FALSE)</f>
        <v>#N/A</v>
      </c>
    </row>
    <row r="1663" spans="2:13" ht="18" thickBot="1">
      <c r="B1663" s="45" t="s">
        <v>3210</v>
      </c>
      <c r="C1663" s="46"/>
      <c r="D1663" s="47"/>
      <c r="E1663" s="48" t="e">
        <f t="shared" ref="E1663:L1663" si="103">SUM(E1652:E1662)</f>
        <v>#N/A</v>
      </c>
      <c r="F1663" s="49" t="e">
        <f t="shared" si="103"/>
        <v>#N/A</v>
      </c>
      <c r="G1663" s="49" t="e">
        <f t="shared" si="103"/>
        <v>#N/A</v>
      </c>
      <c r="H1663" s="49" t="e">
        <f t="shared" si="103"/>
        <v>#N/A</v>
      </c>
      <c r="I1663" s="49" t="e">
        <f t="shared" si="103"/>
        <v>#N/A</v>
      </c>
      <c r="J1663" s="49" t="e">
        <f t="shared" si="103"/>
        <v>#N/A</v>
      </c>
      <c r="K1663" s="49" t="e">
        <f t="shared" si="103"/>
        <v>#N/A</v>
      </c>
      <c r="L1663" s="50" t="e">
        <f t="shared" si="103"/>
        <v>#N/A</v>
      </c>
    </row>
    <row r="1664" spans="2:13" ht="18.600000000000001" thickTop="1" thickBot="1"/>
    <row r="1665" spans="2:13" ht="18" thickTop="1">
      <c r="B1665" s="23" t="s">
        <v>3204</v>
      </c>
      <c r="C1665" s="24" t="s">
        <v>3205</v>
      </c>
      <c r="D1665" s="25"/>
      <c r="E1665" s="25"/>
      <c r="F1665" s="53"/>
      <c r="G1665" s="28" t="s">
        <v>3206</v>
      </c>
      <c r="H1665" s="54"/>
      <c r="I1665" s="54"/>
      <c r="J1665" s="54"/>
      <c r="K1665" s="28" t="s">
        <v>3207</v>
      </c>
      <c r="L1665" s="29"/>
      <c r="M1665" s="22" t="str">
        <f>G1665</f>
        <v>Manager:</v>
      </c>
    </row>
    <row r="1666" spans="2:13" ht="18" thickBot="1">
      <c r="B1666" s="30">
        <v>105</v>
      </c>
      <c r="C1666" s="57"/>
      <c r="D1666" s="31"/>
      <c r="E1666" s="31"/>
      <c r="F1666" s="33"/>
      <c r="G1666" s="55"/>
      <c r="H1666" s="55"/>
      <c r="I1666" s="55"/>
      <c r="J1666" s="55"/>
      <c r="K1666" s="34" t="e">
        <f>SUM(F1679:L1679)</f>
        <v>#N/A</v>
      </c>
      <c r="L1666" s="35"/>
      <c r="M1666" s="22">
        <f>G1666</f>
        <v>0</v>
      </c>
    </row>
    <row r="1667" spans="2:13" ht="18.600000000000001" thickTop="1">
      <c r="B1667" s="58" t="s">
        <v>913</v>
      </c>
      <c r="C1667" s="59" t="s">
        <v>912</v>
      </c>
      <c r="D1667" s="60" t="s">
        <v>911</v>
      </c>
      <c r="E1667" s="61" t="s">
        <v>3209</v>
      </c>
      <c r="F1667" s="62" t="s">
        <v>3162</v>
      </c>
      <c r="G1667" s="62" t="s">
        <v>3163</v>
      </c>
      <c r="H1667" s="62" t="s">
        <v>3164</v>
      </c>
      <c r="I1667" s="62" t="s">
        <v>3165</v>
      </c>
      <c r="J1667" s="62" t="s">
        <v>3166</v>
      </c>
      <c r="K1667" s="62" t="s">
        <v>3167</v>
      </c>
      <c r="L1667" s="63" t="s">
        <v>3168</v>
      </c>
    </row>
    <row r="1668" spans="2:13">
      <c r="B1668" s="43" t="e">
        <f>VLOOKUP($A1668,'[2]Team lists'!$A$2:$L$800,2,FALSE)</f>
        <v>#N/A</v>
      </c>
      <c r="C1668" s="43" t="e">
        <f>VLOOKUP($A1668,'[2]Team lists'!$A$2:$L$800,3,FALSE)</f>
        <v>#N/A</v>
      </c>
      <c r="D1668" s="43" t="e">
        <f>VLOOKUP($A1668,'[2]Team lists'!$A$2:$L$800,4,FALSE)</f>
        <v>#N/A</v>
      </c>
      <c r="E1668" s="43" t="e">
        <f>VLOOKUP($A1668,'[2]Team lists'!$A$2:$L$800,5,FALSE)</f>
        <v>#N/A</v>
      </c>
      <c r="F1668" s="43" t="e">
        <f>VLOOKUP($A1668,'[2]Team lists'!$A$2:$L$800,6,FALSE)</f>
        <v>#N/A</v>
      </c>
      <c r="G1668" s="43" t="e">
        <f>VLOOKUP($A1668,'[2]Team lists'!$A$2:$L$800,7,FALSE)</f>
        <v>#N/A</v>
      </c>
      <c r="H1668" s="43" t="e">
        <f>VLOOKUP($A1668,'[2]Team lists'!$A$2:$L$800,8,FALSE)</f>
        <v>#N/A</v>
      </c>
      <c r="I1668" s="43" t="e">
        <f>VLOOKUP($A1668,'[2]Team lists'!$A$2:$L$800,9,FALSE)</f>
        <v>#N/A</v>
      </c>
      <c r="J1668" s="43" t="e">
        <f>VLOOKUP($A1668,'[2]Team lists'!$A$2:$L$800,9,FALSE)</f>
        <v>#N/A</v>
      </c>
      <c r="K1668" s="43" t="e">
        <f>VLOOKUP($A1668,'[2]Team lists'!$A$2:$L$800,10,FALSE)</f>
        <v>#N/A</v>
      </c>
      <c r="L1668" s="43" t="e">
        <f>VLOOKUP($A1668,'[2]Team lists'!$A$2:$L$800,11,FALSE)</f>
        <v>#N/A</v>
      </c>
    </row>
    <row r="1669" spans="2:13">
      <c r="B1669" s="43" t="e">
        <f>VLOOKUP($A1669,'[2]Team lists'!$A$2:$L$800,2,FALSE)</f>
        <v>#N/A</v>
      </c>
      <c r="C1669" s="43" t="e">
        <f>VLOOKUP($A1669,'[2]Team lists'!$A$2:$L$800,3,FALSE)</f>
        <v>#N/A</v>
      </c>
      <c r="D1669" s="43" t="e">
        <f>VLOOKUP($A1669,'[2]Team lists'!$A$2:$L$800,4,FALSE)</f>
        <v>#N/A</v>
      </c>
      <c r="E1669" s="43" t="e">
        <f>VLOOKUP($A1669,'[2]Team lists'!$A$2:$L$800,5,FALSE)</f>
        <v>#N/A</v>
      </c>
      <c r="F1669" s="43" t="e">
        <f>VLOOKUP($A1669,'[2]Team lists'!$A$2:$L$800,6,FALSE)</f>
        <v>#N/A</v>
      </c>
      <c r="G1669" s="43" t="e">
        <f>VLOOKUP($A1669,'[2]Team lists'!$A$2:$L$800,7,FALSE)</f>
        <v>#N/A</v>
      </c>
      <c r="H1669" s="43" t="e">
        <f>VLOOKUP($A1669,'[2]Team lists'!$A$2:$L$800,8,FALSE)</f>
        <v>#N/A</v>
      </c>
      <c r="I1669" s="43" t="e">
        <f>VLOOKUP($A1669,'[2]Team lists'!$A$2:$L$800,9,FALSE)</f>
        <v>#N/A</v>
      </c>
      <c r="J1669" s="43" t="e">
        <f>VLOOKUP($A1669,'[2]Team lists'!$A$2:$L$800,9,FALSE)</f>
        <v>#N/A</v>
      </c>
      <c r="K1669" s="43" t="e">
        <f>VLOOKUP($A1669,'[2]Team lists'!$A$2:$L$800,10,FALSE)</f>
        <v>#N/A</v>
      </c>
      <c r="L1669" s="43" t="e">
        <f>VLOOKUP($A1669,'[2]Team lists'!$A$2:$L$800,11,FALSE)</f>
        <v>#N/A</v>
      </c>
    </row>
    <row r="1670" spans="2:13">
      <c r="B1670" s="43" t="e">
        <f>VLOOKUP($A1670,'[2]Team lists'!$A$2:$L$800,2,FALSE)</f>
        <v>#N/A</v>
      </c>
      <c r="C1670" s="43" t="e">
        <f>VLOOKUP($A1670,'[2]Team lists'!$A$2:$L$800,3,FALSE)</f>
        <v>#N/A</v>
      </c>
      <c r="D1670" s="43" t="e">
        <f>VLOOKUP($A1670,'[2]Team lists'!$A$2:$L$800,4,FALSE)</f>
        <v>#N/A</v>
      </c>
      <c r="E1670" s="43" t="e">
        <f>VLOOKUP($A1670,'[2]Team lists'!$A$2:$L$800,5,FALSE)</f>
        <v>#N/A</v>
      </c>
      <c r="F1670" s="43" t="e">
        <f>VLOOKUP($A1670,'[2]Team lists'!$A$2:$L$800,6,FALSE)</f>
        <v>#N/A</v>
      </c>
      <c r="G1670" s="43" t="e">
        <f>VLOOKUP($A1670,'[2]Team lists'!$A$2:$L$800,7,FALSE)</f>
        <v>#N/A</v>
      </c>
      <c r="H1670" s="43" t="e">
        <f>VLOOKUP($A1670,'[2]Team lists'!$A$2:$L$800,8,FALSE)</f>
        <v>#N/A</v>
      </c>
      <c r="I1670" s="43" t="e">
        <f>VLOOKUP($A1670,'[2]Team lists'!$A$2:$L$800,9,FALSE)</f>
        <v>#N/A</v>
      </c>
      <c r="J1670" s="43" t="e">
        <f>VLOOKUP($A1670,'[2]Team lists'!$A$2:$L$800,9,FALSE)</f>
        <v>#N/A</v>
      </c>
      <c r="K1670" s="43" t="e">
        <f>VLOOKUP($A1670,'[2]Team lists'!$A$2:$L$800,10,FALSE)</f>
        <v>#N/A</v>
      </c>
      <c r="L1670" s="43" t="e">
        <f>VLOOKUP($A1670,'[2]Team lists'!$A$2:$L$800,11,FALSE)</f>
        <v>#N/A</v>
      </c>
    </row>
    <row r="1671" spans="2:13">
      <c r="B1671" s="43" t="e">
        <f>VLOOKUP($A1671,'[2]Team lists'!$A$2:$L$800,2,FALSE)</f>
        <v>#N/A</v>
      </c>
      <c r="C1671" s="43" t="e">
        <f>VLOOKUP($A1671,'[2]Team lists'!$A$2:$L$800,3,FALSE)</f>
        <v>#N/A</v>
      </c>
      <c r="D1671" s="43" t="e">
        <f>VLOOKUP($A1671,'[2]Team lists'!$A$2:$L$800,4,FALSE)</f>
        <v>#N/A</v>
      </c>
      <c r="E1671" s="43" t="e">
        <f>VLOOKUP($A1671,'[2]Team lists'!$A$2:$L$800,5,FALSE)</f>
        <v>#N/A</v>
      </c>
      <c r="F1671" s="43" t="e">
        <f>VLOOKUP($A1671,'[2]Team lists'!$A$2:$L$800,6,FALSE)</f>
        <v>#N/A</v>
      </c>
      <c r="G1671" s="43" t="e">
        <f>VLOOKUP($A1671,'[2]Team lists'!$A$2:$L$800,7,FALSE)</f>
        <v>#N/A</v>
      </c>
      <c r="H1671" s="43" t="e">
        <f>VLOOKUP($A1671,'[2]Team lists'!$A$2:$L$800,8,FALSE)</f>
        <v>#N/A</v>
      </c>
      <c r="I1671" s="43" t="e">
        <f>VLOOKUP($A1671,'[2]Team lists'!$A$2:$L$800,9,FALSE)</f>
        <v>#N/A</v>
      </c>
      <c r="J1671" s="43" t="e">
        <f>VLOOKUP($A1671,'[2]Team lists'!$A$2:$L$800,9,FALSE)</f>
        <v>#N/A</v>
      </c>
      <c r="K1671" s="43" t="e">
        <f>VLOOKUP($A1671,'[2]Team lists'!$A$2:$L$800,10,FALSE)</f>
        <v>#N/A</v>
      </c>
      <c r="L1671" s="43" t="e">
        <f>VLOOKUP($A1671,'[2]Team lists'!$A$2:$L$800,11,FALSE)</f>
        <v>#N/A</v>
      </c>
    </row>
    <row r="1672" spans="2:13">
      <c r="B1672" s="43" t="e">
        <f>VLOOKUP($A1672,'[2]Team lists'!$A$2:$L$800,2,FALSE)</f>
        <v>#N/A</v>
      </c>
      <c r="C1672" s="43" t="e">
        <f>VLOOKUP($A1672,'[2]Team lists'!$A$2:$L$800,3,FALSE)</f>
        <v>#N/A</v>
      </c>
      <c r="D1672" s="43" t="e">
        <f>VLOOKUP($A1672,'[2]Team lists'!$A$2:$L$800,4,FALSE)</f>
        <v>#N/A</v>
      </c>
      <c r="E1672" s="43" t="e">
        <f>VLOOKUP($A1672,'[2]Team lists'!$A$2:$L$800,5,FALSE)</f>
        <v>#N/A</v>
      </c>
      <c r="F1672" s="43" t="e">
        <f>VLOOKUP($A1672,'[2]Team lists'!$A$2:$L$800,6,FALSE)</f>
        <v>#N/A</v>
      </c>
      <c r="G1672" s="43" t="e">
        <f>VLOOKUP($A1672,'[2]Team lists'!$A$2:$L$800,7,FALSE)</f>
        <v>#N/A</v>
      </c>
      <c r="H1672" s="43" t="e">
        <f>VLOOKUP($A1672,'[2]Team lists'!$A$2:$L$800,8,FALSE)</f>
        <v>#N/A</v>
      </c>
      <c r="I1672" s="43" t="e">
        <f>VLOOKUP($A1672,'[2]Team lists'!$A$2:$L$800,9,FALSE)</f>
        <v>#N/A</v>
      </c>
      <c r="J1672" s="43" t="e">
        <f>VLOOKUP($A1672,'[2]Team lists'!$A$2:$L$800,9,FALSE)</f>
        <v>#N/A</v>
      </c>
      <c r="K1672" s="43" t="e">
        <f>VLOOKUP($A1672,'[2]Team lists'!$A$2:$L$800,10,FALSE)</f>
        <v>#N/A</v>
      </c>
      <c r="L1672" s="43" t="e">
        <f>VLOOKUP($A1672,'[2]Team lists'!$A$2:$L$800,11,FALSE)</f>
        <v>#N/A</v>
      </c>
    </row>
    <row r="1673" spans="2:13">
      <c r="B1673" s="43" t="e">
        <f>VLOOKUP($A1673,'[2]Team lists'!$A$2:$L$800,2,FALSE)</f>
        <v>#N/A</v>
      </c>
      <c r="C1673" s="43" t="e">
        <f>VLOOKUP($A1673,'[2]Team lists'!$A$2:$L$800,3,FALSE)</f>
        <v>#N/A</v>
      </c>
      <c r="D1673" s="43" t="e">
        <f>VLOOKUP($A1673,'[2]Team lists'!$A$2:$L$800,4,FALSE)</f>
        <v>#N/A</v>
      </c>
      <c r="E1673" s="43" t="e">
        <f>VLOOKUP($A1673,'[2]Team lists'!$A$2:$L$800,5,FALSE)</f>
        <v>#N/A</v>
      </c>
      <c r="F1673" s="43" t="e">
        <f>VLOOKUP($A1673,'[2]Team lists'!$A$2:$L$800,6,FALSE)</f>
        <v>#N/A</v>
      </c>
      <c r="G1673" s="43" t="e">
        <f>VLOOKUP($A1673,'[2]Team lists'!$A$2:$L$800,7,FALSE)</f>
        <v>#N/A</v>
      </c>
      <c r="H1673" s="43" t="e">
        <f>VLOOKUP($A1673,'[2]Team lists'!$A$2:$L$800,8,FALSE)</f>
        <v>#N/A</v>
      </c>
      <c r="I1673" s="43" t="e">
        <f>VLOOKUP($A1673,'[2]Team lists'!$A$2:$L$800,9,FALSE)</f>
        <v>#N/A</v>
      </c>
      <c r="J1673" s="43" t="e">
        <f>VLOOKUP($A1673,'[2]Team lists'!$A$2:$L$800,9,FALSE)</f>
        <v>#N/A</v>
      </c>
      <c r="K1673" s="43" t="e">
        <f>VLOOKUP($A1673,'[2]Team lists'!$A$2:$L$800,10,FALSE)</f>
        <v>#N/A</v>
      </c>
      <c r="L1673" s="43" t="e">
        <f>VLOOKUP($A1673,'[2]Team lists'!$A$2:$L$800,11,FALSE)</f>
        <v>#N/A</v>
      </c>
    </row>
    <row r="1674" spans="2:13">
      <c r="B1674" s="43" t="e">
        <f>VLOOKUP($A1674,'[2]Team lists'!$A$2:$L$800,2,FALSE)</f>
        <v>#N/A</v>
      </c>
      <c r="C1674" s="43" t="e">
        <f>VLOOKUP($A1674,'[2]Team lists'!$A$2:$L$800,3,FALSE)</f>
        <v>#N/A</v>
      </c>
      <c r="D1674" s="43" t="e">
        <f>VLOOKUP($A1674,'[2]Team lists'!$A$2:$L$800,4,FALSE)</f>
        <v>#N/A</v>
      </c>
      <c r="E1674" s="43" t="e">
        <f>VLOOKUP($A1674,'[2]Team lists'!$A$2:$L$800,5,FALSE)</f>
        <v>#N/A</v>
      </c>
      <c r="F1674" s="43" t="e">
        <f>VLOOKUP($A1674,'[2]Team lists'!$A$2:$L$800,6,FALSE)</f>
        <v>#N/A</v>
      </c>
      <c r="G1674" s="43" t="e">
        <f>VLOOKUP($A1674,'[2]Team lists'!$A$2:$L$800,7,FALSE)</f>
        <v>#N/A</v>
      </c>
      <c r="H1674" s="43" t="e">
        <f>VLOOKUP($A1674,'[2]Team lists'!$A$2:$L$800,8,FALSE)</f>
        <v>#N/A</v>
      </c>
      <c r="I1674" s="43" t="e">
        <f>VLOOKUP($A1674,'[2]Team lists'!$A$2:$L$800,9,FALSE)</f>
        <v>#N/A</v>
      </c>
      <c r="J1674" s="43" t="e">
        <f>VLOOKUP($A1674,'[2]Team lists'!$A$2:$L$800,9,FALSE)</f>
        <v>#N/A</v>
      </c>
      <c r="K1674" s="43" t="e">
        <f>VLOOKUP($A1674,'[2]Team lists'!$A$2:$L$800,10,FALSE)</f>
        <v>#N/A</v>
      </c>
      <c r="L1674" s="43" t="e">
        <f>VLOOKUP($A1674,'[2]Team lists'!$A$2:$L$800,11,FALSE)</f>
        <v>#N/A</v>
      </c>
    </row>
    <row r="1675" spans="2:13">
      <c r="B1675" s="43" t="e">
        <f>VLOOKUP($A1675,'[2]Team lists'!$A$2:$L$800,2,FALSE)</f>
        <v>#N/A</v>
      </c>
      <c r="C1675" s="43" t="e">
        <f>VLOOKUP($A1675,'[2]Team lists'!$A$2:$L$800,3,FALSE)</f>
        <v>#N/A</v>
      </c>
      <c r="D1675" s="43" t="e">
        <f>VLOOKUP($A1675,'[2]Team lists'!$A$2:$L$800,4,FALSE)</f>
        <v>#N/A</v>
      </c>
      <c r="E1675" s="43" t="e">
        <f>VLOOKUP($A1675,'[2]Team lists'!$A$2:$L$800,5,FALSE)</f>
        <v>#N/A</v>
      </c>
      <c r="F1675" s="43" t="e">
        <f>VLOOKUP($A1675,'[2]Team lists'!$A$2:$L$800,6,FALSE)</f>
        <v>#N/A</v>
      </c>
      <c r="G1675" s="43" t="e">
        <f>VLOOKUP($A1675,'[2]Team lists'!$A$2:$L$800,7,FALSE)</f>
        <v>#N/A</v>
      </c>
      <c r="H1675" s="43" t="e">
        <f>VLOOKUP($A1675,'[2]Team lists'!$A$2:$L$800,8,FALSE)</f>
        <v>#N/A</v>
      </c>
      <c r="I1675" s="43" t="e">
        <f>VLOOKUP($A1675,'[2]Team lists'!$A$2:$L$800,9,FALSE)</f>
        <v>#N/A</v>
      </c>
      <c r="J1675" s="43" t="e">
        <f>VLOOKUP($A1675,'[2]Team lists'!$A$2:$L$800,9,FALSE)</f>
        <v>#N/A</v>
      </c>
      <c r="K1675" s="43" t="e">
        <f>VLOOKUP($A1675,'[2]Team lists'!$A$2:$L$800,10,FALSE)</f>
        <v>#N/A</v>
      </c>
      <c r="L1675" s="43" t="e">
        <f>VLOOKUP($A1675,'[2]Team lists'!$A$2:$L$800,11,FALSE)</f>
        <v>#N/A</v>
      </c>
    </row>
    <row r="1676" spans="2:13">
      <c r="B1676" s="43" t="e">
        <f>VLOOKUP($A1676,'[2]Team lists'!$A$2:$L$800,2,FALSE)</f>
        <v>#N/A</v>
      </c>
      <c r="C1676" s="43" t="e">
        <f>VLOOKUP($A1676,'[2]Team lists'!$A$2:$L$800,3,FALSE)</f>
        <v>#N/A</v>
      </c>
      <c r="D1676" s="43" t="e">
        <f>VLOOKUP($A1676,'[2]Team lists'!$A$2:$L$800,4,FALSE)</f>
        <v>#N/A</v>
      </c>
      <c r="E1676" s="43" t="e">
        <f>VLOOKUP($A1676,'[2]Team lists'!$A$2:$L$800,5,FALSE)</f>
        <v>#N/A</v>
      </c>
      <c r="F1676" s="43" t="e">
        <f>VLOOKUP($A1676,'[2]Team lists'!$A$2:$L$800,6,FALSE)</f>
        <v>#N/A</v>
      </c>
      <c r="G1676" s="43" t="e">
        <f>VLOOKUP($A1676,'[2]Team lists'!$A$2:$L$800,7,FALSE)</f>
        <v>#N/A</v>
      </c>
      <c r="H1676" s="43" t="e">
        <f>VLOOKUP($A1676,'[2]Team lists'!$A$2:$L$800,8,FALSE)</f>
        <v>#N/A</v>
      </c>
      <c r="I1676" s="43" t="e">
        <f>VLOOKUP($A1676,'[2]Team lists'!$A$2:$L$800,9,FALSE)</f>
        <v>#N/A</v>
      </c>
      <c r="J1676" s="43" t="e">
        <f>VLOOKUP($A1676,'[2]Team lists'!$A$2:$L$800,9,FALSE)</f>
        <v>#N/A</v>
      </c>
      <c r="K1676" s="43" t="e">
        <f>VLOOKUP($A1676,'[2]Team lists'!$A$2:$L$800,10,FALSE)</f>
        <v>#N/A</v>
      </c>
      <c r="L1676" s="43" t="e">
        <f>VLOOKUP($A1676,'[2]Team lists'!$A$2:$L$800,11,FALSE)</f>
        <v>#N/A</v>
      </c>
    </row>
    <row r="1677" spans="2:13">
      <c r="B1677" s="43" t="e">
        <f>VLOOKUP($A1677,'[2]Team lists'!$A$2:$L$800,2,FALSE)</f>
        <v>#N/A</v>
      </c>
      <c r="C1677" s="43" t="e">
        <f>VLOOKUP($A1677,'[2]Team lists'!$A$2:$L$800,3,FALSE)</f>
        <v>#N/A</v>
      </c>
      <c r="D1677" s="43" t="e">
        <f>VLOOKUP($A1677,'[2]Team lists'!$A$2:$L$800,4,FALSE)</f>
        <v>#N/A</v>
      </c>
      <c r="E1677" s="43" t="e">
        <f>VLOOKUP($A1677,'[2]Team lists'!$A$2:$L$800,5,FALSE)</f>
        <v>#N/A</v>
      </c>
      <c r="F1677" s="43" t="e">
        <f>VLOOKUP($A1677,'[2]Team lists'!$A$2:$L$800,6,FALSE)</f>
        <v>#N/A</v>
      </c>
      <c r="G1677" s="43" t="e">
        <f>VLOOKUP($A1677,'[2]Team lists'!$A$2:$L$800,7,FALSE)</f>
        <v>#N/A</v>
      </c>
      <c r="H1677" s="43" t="e">
        <f>VLOOKUP($A1677,'[2]Team lists'!$A$2:$L$800,8,FALSE)</f>
        <v>#N/A</v>
      </c>
      <c r="I1677" s="43" t="e">
        <f>VLOOKUP($A1677,'[2]Team lists'!$A$2:$L$800,9,FALSE)</f>
        <v>#N/A</v>
      </c>
      <c r="J1677" s="43" t="e">
        <f>VLOOKUP($A1677,'[2]Team lists'!$A$2:$L$800,9,FALSE)</f>
        <v>#N/A</v>
      </c>
      <c r="K1677" s="43" t="e">
        <f>VLOOKUP($A1677,'[2]Team lists'!$A$2:$L$800,10,FALSE)</f>
        <v>#N/A</v>
      </c>
      <c r="L1677" s="43" t="e">
        <f>VLOOKUP($A1677,'[2]Team lists'!$A$2:$L$800,11,FALSE)</f>
        <v>#N/A</v>
      </c>
    </row>
    <row r="1678" spans="2:13">
      <c r="B1678" s="43" t="e">
        <f>VLOOKUP($A1678,'[2]Team lists'!$A$2:$L$800,2,FALSE)</f>
        <v>#N/A</v>
      </c>
      <c r="C1678" s="43" t="e">
        <f>VLOOKUP($A1678,'[2]Team lists'!$A$2:$L$800,3,FALSE)</f>
        <v>#N/A</v>
      </c>
      <c r="D1678" s="43" t="e">
        <f>VLOOKUP($A1678,'[2]Team lists'!$A$2:$L$800,4,FALSE)</f>
        <v>#N/A</v>
      </c>
      <c r="E1678" s="43" t="e">
        <f>VLOOKUP($A1678,'[2]Team lists'!$A$2:$L$800,5,FALSE)</f>
        <v>#N/A</v>
      </c>
      <c r="F1678" s="43" t="e">
        <f>VLOOKUP($A1678,'[2]Team lists'!$A$2:$L$800,6,FALSE)</f>
        <v>#N/A</v>
      </c>
      <c r="G1678" s="43" t="e">
        <f>VLOOKUP($A1678,'[2]Team lists'!$A$2:$L$800,7,FALSE)</f>
        <v>#N/A</v>
      </c>
      <c r="H1678" s="43" t="e">
        <f>VLOOKUP($A1678,'[2]Team lists'!$A$2:$L$800,8,FALSE)</f>
        <v>#N/A</v>
      </c>
      <c r="I1678" s="43" t="e">
        <f>VLOOKUP($A1678,'[2]Team lists'!$A$2:$L$800,9,FALSE)</f>
        <v>#N/A</v>
      </c>
      <c r="J1678" s="43" t="e">
        <f>VLOOKUP($A1678,'[2]Team lists'!$A$2:$L$800,9,FALSE)</f>
        <v>#N/A</v>
      </c>
      <c r="K1678" s="43" t="e">
        <f>VLOOKUP($A1678,'[2]Team lists'!$A$2:$L$800,10,FALSE)</f>
        <v>#N/A</v>
      </c>
      <c r="L1678" s="43" t="e">
        <f>VLOOKUP($A1678,'[2]Team lists'!$A$2:$L$800,11,FALSE)</f>
        <v>#N/A</v>
      </c>
    </row>
    <row r="1679" spans="2:13" ht="18" thickBot="1">
      <c r="B1679" s="45" t="s">
        <v>3210</v>
      </c>
      <c r="C1679" s="46"/>
      <c r="D1679" s="47"/>
      <c r="E1679" s="48" t="e">
        <f t="shared" ref="E1679:L1679" si="104">SUM(E1668:E1678)</f>
        <v>#N/A</v>
      </c>
      <c r="F1679" s="49" t="e">
        <f t="shared" si="104"/>
        <v>#N/A</v>
      </c>
      <c r="G1679" s="49" t="e">
        <f t="shared" si="104"/>
        <v>#N/A</v>
      </c>
      <c r="H1679" s="49" t="e">
        <f t="shared" si="104"/>
        <v>#N/A</v>
      </c>
      <c r="I1679" s="49" t="e">
        <f t="shared" si="104"/>
        <v>#N/A</v>
      </c>
      <c r="J1679" s="49" t="e">
        <f t="shared" si="104"/>
        <v>#N/A</v>
      </c>
      <c r="K1679" s="49" t="e">
        <f t="shared" si="104"/>
        <v>#N/A</v>
      </c>
      <c r="L1679" s="50" t="e">
        <f t="shared" si="104"/>
        <v>#N/A</v>
      </c>
    </row>
    <row r="1680" spans="2:13" ht="18.600000000000001" thickTop="1" thickBot="1"/>
    <row r="1681" spans="2:13" ht="18" thickTop="1">
      <c r="B1681" s="23" t="s">
        <v>3204</v>
      </c>
      <c r="C1681" s="24" t="s">
        <v>3205</v>
      </c>
      <c r="D1681" s="25"/>
      <c r="E1681" s="25"/>
      <c r="F1681" s="53"/>
      <c r="G1681" s="28" t="s">
        <v>3206</v>
      </c>
      <c r="H1681" s="54"/>
      <c r="I1681" s="54"/>
      <c r="J1681" s="54"/>
      <c r="K1681" s="28" t="s">
        <v>3207</v>
      </c>
      <c r="L1681" s="29"/>
      <c r="M1681" s="22" t="str">
        <f>G1681</f>
        <v>Manager:</v>
      </c>
    </row>
    <row r="1682" spans="2:13" ht="18" thickBot="1">
      <c r="B1682" s="30">
        <v>106</v>
      </c>
      <c r="C1682" s="57"/>
      <c r="D1682" s="31"/>
      <c r="E1682" s="31"/>
      <c r="F1682" s="33"/>
      <c r="G1682" s="55"/>
      <c r="H1682" s="55"/>
      <c r="I1682" s="55"/>
      <c r="J1682" s="55"/>
      <c r="K1682" s="34" t="e">
        <f>SUM(F1695:L1695)</f>
        <v>#N/A</v>
      </c>
      <c r="L1682" s="35"/>
      <c r="M1682" s="22">
        <f>G1682</f>
        <v>0</v>
      </c>
    </row>
    <row r="1683" spans="2:13" ht="18.600000000000001" thickTop="1">
      <c r="B1683" s="58" t="s">
        <v>913</v>
      </c>
      <c r="C1683" s="59" t="s">
        <v>912</v>
      </c>
      <c r="D1683" s="60" t="s">
        <v>911</v>
      </c>
      <c r="E1683" s="61" t="s">
        <v>3209</v>
      </c>
      <c r="F1683" s="62" t="s">
        <v>3162</v>
      </c>
      <c r="G1683" s="62" t="s">
        <v>3163</v>
      </c>
      <c r="H1683" s="62" t="s">
        <v>3164</v>
      </c>
      <c r="I1683" s="62" t="s">
        <v>3165</v>
      </c>
      <c r="J1683" s="62" t="s">
        <v>3166</v>
      </c>
      <c r="K1683" s="62" t="s">
        <v>3167</v>
      </c>
      <c r="L1683" s="63" t="s">
        <v>3168</v>
      </c>
    </row>
    <row r="1684" spans="2:13">
      <c r="B1684" s="43" t="e">
        <f>VLOOKUP($A1684,'[2]Team lists'!$A$2:$L$800,2,FALSE)</f>
        <v>#N/A</v>
      </c>
      <c r="C1684" s="43" t="e">
        <f>VLOOKUP($A1684,'[2]Team lists'!$A$2:$L$800,3,FALSE)</f>
        <v>#N/A</v>
      </c>
      <c r="D1684" s="43" t="e">
        <f>VLOOKUP($A1684,'[2]Team lists'!$A$2:$L$800,4,FALSE)</f>
        <v>#N/A</v>
      </c>
      <c r="E1684" s="43" t="e">
        <f>VLOOKUP($A1684,'[2]Team lists'!$A$2:$L$800,5,FALSE)</f>
        <v>#N/A</v>
      </c>
      <c r="F1684" s="43" t="e">
        <f>VLOOKUP($A1684,'[2]Team lists'!$A$2:$L$800,6,FALSE)</f>
        <v>#N/A</v>
      </c>
      <c r="G1684" s="43" t="e">
        <f>VLOOKUP($A1684,'[2]Team lists'!$A$2:$L$800,7,FALSE)</f>
        <v>#N/A</v>
      </c>
      <c r="H1684" s="43" t="e">
        <f>VLOOKUP($A1684,'[2]Team lists'!$A$2:$L$800,8,FALSE)</f>
        <v>#N/A</v>
      </c>
      <c r="I1684" s="43" t="e">
        <f>VLOOKUP($A1684,'[2]Team lists'!$A$2:$L$800,9,FALSE)</f>
        <v>#N/A</v>
      </c>
      <c r="J1684" s="43" t="e">
        <f>VLOOKUP($A1684,'[2]Team lists'!$A$2:$L$800,9,FALSE)</f>
        <v>#N/A</v>
      </c>
      <c r="K1684" s="43" t="e">
        <f>VLOOKUP($A1684,'[2]Team lists'!$A$2:$L$800,10,FALSE)</f>
        <v>#N/A</v>
      </c>
      <c r="L1684" s="43" t="e">
        <f>VLOOKUP($A1684,'[2]Team lists'!$A$2:$L$800,11,FALSE)</f>
        <v>#N/A</v>
      </c>
    </row>
    <row r="1685" spans="2:13">
      <c r="B1685" s="43" t="e">
        <f>VLOOKUP($A1685,'[2]Team lists'!$A$2:$L$800,2,FALSE)</f>
        <v>#N/A</v>
      </c>
      <c r="C1685" s="43" t="e">
        <f>VLOOKUP($A1685,'[2]Team lists'!$A$2:$L$800,3,FALSE)</f>
        <v>#N/A</v>
      </c>
      <c r="D1685" s="43" t="e">
        <f>VLOOKUP($A1685,'[2]Team lists'!$A$2:$L$800,4,FALSE)</f>
        <v>#N/A</v>
      </c>
      <c r="E1685" s="43" t="e">
        <f>VLOOKUP($A1685,'[2]Team lists'!$A$2:$L$800,5,FALSE)</f>
        <v>#N/A</v>
      </c>
      <c r="F1685" s="43" t="e">
        <f>VLOOKUP($A1685,'[2]Team lists'!$A$2:$L$800,6,FALSE)</f>
        <v>#N/A</v>
      </c>
      <c r="G1685" s="43" t="e">
        <f>VLOOKUP($A1685,'[2]Team lists'!$A$2:$L$800,7,FALSE)</f>
        <v>#N/A</v>
      </c>
      <c r="H1685" s="43" t="e">
        <f>VLOOKUP($A1685,'[2]Team lists'!$A$2:$L$800,8,FALSE)</f>
        <v>#N/A</v>
      </c>
      <c r="I1685" s="43" t="e">
        <f>VLOOKUP($A1685,'[2]Team lists'!$A$2:$L$800,9,FALSE)</f>
        <v>#N/A</v>
      </c>
      <c r="J1685" s="43" t="e">
        <f>VLOOKUP($A1685,'[2]Team lists'!$A$2:$L$800,9,FALSE)</f>
        <v>#N/A</v>
      </c>
      <c r="K1685" s="43" t="e">
        <f>VLOOKUP($A1685,'[2]Team lists'!$A$2:$L$800,10,FALSE)</f>
        <v>#N/A</v>
      </c>
      <c r="L1685" s="43" t="e">
        <f>VLOOKUP($A1685,'[2]Team lists'!$A$2:$L$800,11,FALSE)</f>
        <v>#N/A</v>
      </c>
    </row>
    <row r="1686" spans="2:13">
      <c r="B1686" s="43" t="e">
        <f>VLOOKUP($A1686,'[2]Team lists'!$A$2:$L$800,2,FALSE)</f>
        <v>#N/A</v>
      </c>
      <c r="C1686" s="43" t="e">
        <f>VLOOKUP($A1686,'[2]Team lists'!$A$2:$L$800,3,FALSE)</f>
        <v>#N/A</v>
      </c>
      <c r="D1686" s="43" t="e">
        <f>VLOOKUP($A1686,'[2]Team lists'!$A$2:$L$800,4,FALSE)</f>
        <v>#N/A</v>
      </c>
      <c r="E1686" s="43" t="e">
        <f>VLOOKUP($A1686,'[2]Team lists'!$A$2:$L$800,5,FALSE)</f>
        <v>#N/A</v>
      </c>
      <c r="F1686" s="43" t="e">
        <f>VLOOKUP($A1686,'[2]Team lists'!$A$2:$L$800,6,FALSE)</f>
        <v>#N/A</v>
      </c>
      <c r="G1686" s="43" t="e">
        <f>VLOOKUP($A1686,'[2]Team lists'!$A$2:$L$800,7,FALSE)</f>
        <v>#N/A</v>
      </c>
      <c r="H1686" s="43" t="e">
        <f>VLOOKUP($A1686,'[2]Team lists'!$A$2:$L$800,8,FALSE)</f>
        <v>#N/A</v>
      </c>
      <c r="I1686" s="43" t="e">
        <f>VLOOKUP($A1686,'[2]Team lists'!$A$2:$L$800,9,FALSE)</f>
        <v>#N/A</v>
      </c>
      <c r="J1686" s="43" t="e">
        <f>VLOOKUP($A1686,'[2]Team lists'!$A$2:$L$800,9,FALSE)</f>
        <v>#N/A</v>
      </c>
      <c r="K1686" s="43" t="e">
        <f>VLOOKUP($A1686,'[2]Team lists'!$A$2:$L$800,10,FALSE)</f>
        <v>#N/A</v>
      </c>
      <c r="L1686" s="43" t="e">
        <f>VLOOKUP($A1686,'[2]Team lists'!$A$2:$L$800,11,FALSE)</f>
        <v>#N/A</v>
      </c>
    </row>
    <row r="1687" spans="2:13">
      <c r="B1687" s="43" t="e">
        <f>VLOOKUP($A1687,'[2]Team lists'!$A$2:$L$800,2,FALSE)</f>
        <v>#N/A</v>
      </c>
      <c r="C1687" s="43" t="e">
        <f>VLOOKUP($A1687,'[2]Team lists'!$A$2:$L$800,3,FALSE)</f>
        <v>#N/A</v>
      </c>
      <c r="D1687" s="43" t="e">
        <f>VLOOKUP($A1687,'[2]Team lists'!$A$2:$L$800,4,FALSE)</f>
        <v>#N/A</v>
      </c>
      <c r="E1687" s="43" t="e">
        <f>VLOOKUP($A1687,'[2]Team lists'!$A$2:$L$800,5,FALSE)</f>
        <v>#N/A</v>
      </c>
      <c r="F1687" s="43" t="e">
        <f>VLOOKUP($A1687,'[2]Team lists'!$A$2:$L$800,6,FALSE)</f>
        <v>#N/A</v>
      </c>
      <c r="G1687" s="43" t="e">
        <f>VLOOKUP($A1687,'[2]Team lists'!$A$2:$L$800,7,FALSE)</f>
        <v>#N/A</v>
      </c>
      <c r="H1687" s="43" t="e">
        <f>VLOOKUP($A1687,'[2]Team lists'!$A$2:$L$800,8,FALSE)</f>
        <v>#N/A</v>
      </c>
      <c r="I1687" s="43" t="e">
        <f>VLOOKUP($A1687,'[2]Team lists'!$A$2:$L$800,9,FALSE)</f>
        <v>#N/A</v>
      </c>
      <c r="J1687" s="43" t="e">
        <f>VLOOKUP($A1687,'[2]Team lists'!$A$2:$L$800,9,FALSE)</f>
        <v>#N/A</v>
      </c>
      <c r="K1687" s="43" t="e">
        <f>VLOOKUP($A1687,'[2]Team lists'!$A$2:$L$800,10,FALSE)</f>
        <v>#N/A</v>
      </c>
      <c r="L1687" s="43" t="e">
        <f>VLOOKUP($A1687,'[2]Team lists'!$A$2:$L$800,11,FALSE)</f>
        <v>#N/A</v>
      </c>
    </row>
    <row r="1688" spans="2:13">
      <c r="B1688" s="43" t="e">
        <f>VLOOKUP($A1688,'[2]Team lists'!$A$2:$L$800,2,FALSE)</f>
        <v>#N/A</v>
      </c>
      <c r="C1688" s="43" t="e">
        <f>VLOOKUP($A1688,'[2]Team lists'!$A$2:$L$800,3,FALSE)</f>
        <v>#N/A</v>
      </c>
      <c r="D1688" s="43" t="e">
        <f>VLOOKUP($A1688,'[2]Team lists'!$A$2:$L$800,4,FALSE)</f>
        <v>#N/A</v>
      </c>
      <c r="E1688" s="43" t="e">
        <f>VLOOKUP($A1688,'[2]Team lists'!$A$2:$L$800,5,FALSE)</f>
        <v>#N/A</v>
      </c>
      <c r="F1688" s="43" t="e">
        <f>VLOOKUP($A1688,'[2]Team lists'!$A$2:$L$800,6,FALSE)</f>
        <v>#N/A</v>
      </c>
      <c r="G1688" s="43" t="e">
        <f>VLOOKUP($A1688,'[2]Team lists'!$A$2:$L$800,7,FALSE)</f>
        <v>#N/A</v>
      </c>
      <c r="H1688" s="43" t="e">
        <f>VLOOKUP($A1688,'[2]Team lists'!$A$2:$L$800,8,FALSE)</f>
        <v>#N/A</v>
      </c>
      <c r="I1688" s="43" t="e">
        <f>VLOOKUP($A1688,'[2]Team lists'!$A$2:$L$800,9,FALSE)</f>
        <v>#N/A</v>
      </c>
      <c r="J1688" s="43" t="e">
        <f>VLOOKUP($A1688,'[2]Team lists'!$A$2:$L$800,9,FALSE)</f>
        <v>#N/A</v>
      </c>
      <c r="K1688" s="43" t="e">
        <f>VLOOKUP($A1688,'[2]Team lists'!$A$2:$L$800,10,FALSE)</f>
        <v>#N/A</v>
      </c>
      <c r="L1688" s="43" t="e">
        <f>VLOOKUP($A1688,'[2]Team lists'!$A$2:$L$800,11,FALSE)</f>
        <v>#N/A</v>
      </c>
    </row>
    <row r="1689" spans="2:13">
      <c r="B1689" s="43" t="e">
        <f>VLOOKUP($A1689,'[2]Team lists'!$A$2:$L$800,2,FALSE)</f>
        <v>#N/A</v>
      </c>
      <c r="C1689" s="43" t="e">
        <f>VLOOKUP($A1689,'[2]Team lists'!$A$2:$L$800,3,FALSE)</f>
        <v>#N/A</v>
      </c>
      <c r="D1689" s="43" t="e">
        <f>VLOOKUP($A1689,'[2]Team lists'!$A$2:$L$800,4,FALSE)</f>
        <v>#N/A</v>
      </c>
      <c r="E1689" s="43" t="e">
        <f>VLOOKUP($A1689,'[2]Team lists'!$A$2:$L$800,5,FALSE)</f>
        <v>#N/A</v>
      </c>
      <c r="F1689" s="43" t="e">
        <f>VLOOKUP($A1689,'[2]Team lists'!$A$2:$L$800,6,FALSE)</f>
        <v>#N/A</v>
      </c>
      <c r="G1689" s="43" t="e">
        <f>VLOOKUP($A1689,'[2]Team lists'!$A$2:$L$800,7,FALSE)</f>
        <v>#N/A</v>
      </c>
      <c r="H1689" s="43" t="e">
        <f>VLOOKUP($A1689,'[2]Team lists'!$A$2:$L$800,8,FALSE)</f>
        <v>#N/A</v>
      </c>
      <c r="I1689" s="43" t="e">
        <f>VLOOKUP($A1689,'[2]Team lists'!$A$2:$L$800,9,FALSE)</f>
        <v>#N/A</v>
      </c>
      <c r="J1689" s="43" t="e">
        <f>VLOOKUP($A1689,'[2]Team lists'!$A$2:$L$800,9,FALSE)</f>
        <v>#N/A</v>
      </c>
      <c r="K1689" s="43" t="e">
        <f>VLOOKUP($A1689,'[2]Team lists'!$A$2:$L$800,10,FALSE)</f>
        <v>#N/A</v>
      </c>
      <c r="L1689" s="43" t="e">
        <f>VLOOKUP($A1689,'[2]Team lists'!$A$2:$L$800,11,FALSE)</f>
        <v>#N/A</v>
      </c>
    </row>
    <row r="1690" spans="2:13">
      <c r="B1690" s="43" t="e">
        <f>VLOOKUP($A1690,'[2]Team lists'!$A$2:$L$800,2,FALSE)</f>
        <v>#N/A</v>
      </c>
      <c r="C1690" s="43" t="e">
        <f>VLOOKUP($A1690,'[2]Team lists'!$A$2:$L$800,3,FALSE)</f>
        <v>#N/A</v>
      </c>
      <c r="D1690" s="43" t="e">
        <f>VLOOKUP($A1690,'[2]Team lists'!$A$2:$L$800,4,FALSE)</f>
        <v>#N/A</v>
      </c>
      <c r="E1690" s="43" t="e">
        <f>VLOOKUP($A1690,'[2]Team lists'!$A$2:$L$800,5,FALSE)</f>
        <v>#N/A</v>
      </c>
      <c r="F1690" s="43" t="e">
        <f>VLOOKUP($A1690,'[2]Team lists'!$A$2:$L$800,6,FALSE)</f>
        <v>#N/A</v>
      </c>
      <c r="G1690" s="43" t="e">
        <f>VLOOKUP($A1690,'[2]Team lists'!$A$2:$L$800,7,FALSE)</f>
        <v>#N/A</v>
      </c>
      <c r="H1690" s="43" t="e">
        <f>VLOOKUP($A1690,'[2]Team lists'!$A$2:$L$800,8,FALSE)</f>
        <v>#N/A</v>
      </c>
      <c r="I1690" s="43" t="e">
        <f>VLOOKUP($A1690,'[2]Team lists'!$A$2:$L$800,9,FALSE)</f>
        <v>#N/A</v>
      </c>
      <c r="J1690" s="43" t="e">
        <f>VLOOKUP($A1690,'[2]Team lists'!$A$2:$L$800,9,FALSE)</f>
        <v>#N/A</v>
      </c>
      <c r="K1690" s="43" t="e">
        <f>VLOOKUP($A1690,'[2]Team lists'!$A$2:$L$800,10,FALSE)</f>
        <v>#N/A</v>
      </c>
      <c r="L1690" s="43" t="e">
        <f>VLOOKUP($A1690,'[2]Team lists'!$A$2:$L$800,11,FALSE)</f>
        <v>#N/A</v>
      </c>
    </row>
    <row r="1691" spans="2:13">
      <c r="B1691" s="43" t="e">
        <f>VLOOKUP($A1691,'[2]Team lists'!$A$2:$L$800,2,FALSE)</f>
        <v>#N/A</v>
      </c>
      <c r="C1691" s="43" t="e">
        <f>VLOOKUP($A1691,'[2]Team lists'!$A$2:$L$800,3,FALSE)</f>
        <v>#N/A</v>
      </c>
      <c r="D1691" s="43" t="e">
        <f>VLOOKUP($A1691,'[2]Team lists'!$A$2:$L$800,4,FALSE)</f>
        <v>#N/A</v>
      </c>
      <c r="E1691" s="43" t="e">
        <f>VLOOKUP($A1691,'[2]Team lists'!$A$2:$L$800,5,FALSE)</f>
        <v>#N/A</v>
      </c>
      <c r="F1691" s="43" t="e">
        <f>VLOOKUP($A1691,'[2]Team lists'!$A$2:$L$800,6,FALSE)</f>
        <v>#N/A</v>
      </c>
      <c r="G1691" s="43" t="e">
        <f>VLOOKUP($A1691,'[2]Team lists'!$A$2:$L$800,7,FALSE)</f>
        <v>#N/A</v>
      </c>
      <c r="H1691" s="43" t="e">
        <f>VLOOKUP($A1691,'[2]Team lists'!$A$2:$L$800,8,FALSE)</f>
        <v>#N/A</v>
      </c>
      <c r="I1691" s="43" t="e">
        <f>VLOOKUP($A1691,'[2]Team lists'!$A$2:$L$800,9,FALSE)</f>
        <v>#N/A</v>
      </c>
      <c r="J1691" s="43" t="e">
        <f>VLOOKUP($A1691,'[2]Team lists'!$A$2:$L$800,9,FALSE)</f>
        <v>#N/A</v>
      </c>
      <c r="K1691" s="43" t="e">
        <f>VLOOKUP($A1691,'[2]Team lists'!$A$2:$L$800,10,FALSE)</f>
        <v>#N/A</v>
      </c>
      <c r="L1691" s="43" t="e">
        <f>VLOOKUP($A1691,'[2]Team lists'!$A$2:$L$800,11,FALSE)</f>
        <v>#N/A</v>
      </c>
    </row>
    <row r="1692" spans="2:13">
      <c r="B1692" s="43" t="e">
        <f>VLOOKUP($A1692,'[2]Team lists'!$A$2:$L$800,2,FALSE)</f>
        <v>#N/A</v>
      </c>
      <c r="C1692" s="43" t="e">
        <f>VLOOKUP($A1692,'[2]Team lists'!$A$2:$L$800,3,FALSE)</f>
        <v>#N/A</v>
      </c>
      <c r="D1692" s="43" t="e">
        <f>VLOOKUP($A1692,'[2]Team lists'!$A$2:$L$800,4,FALSE)</f>
        <v>#N/A</v>
      </c>
      <c r="E1692" s="43" t="e">
        <f>VLOOKUP($A1692,'[2]Team lists'!$A$2:$L$800,5,FALSE)</f>
        <v>#N/A</v>
      </c>
      <c r="F1692" s="43" t="e">
        <f>VLOOKUP($A1692,'[2]Team lists'!$A$2:$L$800,6,FALSE)</f>
        <v>#N/A</v>
      </c>
      <c r="G1692" s="43" t="e">
        <f>VLOOKUP($A1692,'[2]Team lists'!$A$2:$L$800,7,FALSE)</f>
        <v>#N/A</v>
      </c>
      <c r="H1692" s="43" t="e">
        <f>VLOOKUP($A1692,'[2]Team lists'!$A$2:$L$800,8,FALSE)</f>
        <v>#N/A</v>
      </c>
      <c r="I1692" s="43" t="e">
        <f>VLOOKUP($A1692,'[2]Team lists'!$A$2:$L$800,9,FALSE)</f>
        <v>#N/A</v>
      </c>
      <c r="J1692" s="43" t="e">
        <f>VLOOKUP($A1692,'[2]Team lists'!$A$2:$L$800,9,FALSE)</f>
        <v>#N/A</v>
      </c>
      <c r="K1692" s="43" t="e">
        <f>VLOOKUP($A1692,'[2]Team lists'!$A$2:$L$800,10,FALSE)</f>
        <v>#N/A</v>
      </c>
      <c r="L1692" s="43" t="e">
        <f>VLOOKUP($A1692,'[2]Team lists'!$A$2:$L$800,11,FALSE)</f>
        <v>#N/A</v>
      </c>
    </row>
    <row r="1693" spans="2:13">
      <c r="B1693" s="43" t="e">
        <f>VLOOKUP($A1693,'[2]Team lists'!$A$2:$L$800,2,FALSE)</f>
        <v>#N/A</v>
      </c>
      <c r="C1693" s="43" t="e">
        <f>VLOOKUP($A1693,'[2]Team lists'!$A$2:$L$800,3,FALSE)</f>
        <v>#N/A</v>
      </c>
      <c r="D1693" s="43" t="e">
        <f>VLOOKUP($A1693,'[2]Team lists'!$A$2:$L$800,4,FALSE)</f>
        <v>#N/A</v>
      </c>
      <c r="E1693" s="43" t="e">
        <f>VLOOKUP($A1693,'[2]Team lists'!$A$2:$L$800,5,FALSE)</f>
        <v>#N/A</v>
      </c>
      <c r="F1693" s="43" t="e">
        <f>VLOOKUP($A1693,'[2]Team lists'!$A$2:$L$800,6,FALSE)</f>
        <v>#N/A</v>
      </c>
      <c r="G1693" s="43" t="e">
        <f>VLOOKUP($A1693,'[2]Team lists'!$A$2:$L$800,7,FALSE)</f>
        <v>#N/A</v>
      </c>
      <c r="H1693" s="43" t="e">
        <f>VLOOKUP($A1693,'[2]Team lists'!$A$2:$L$800,8,FALSE)</f>
        <v>#N/A</v>
      </c>
      <c r="I1693" s="43" t="e">
        <f>VLOOKUP($A1693,'[2]Team lists'!$A$2:$L$800,9,FALSE)</f>
        <v>#N/A</v>
      </c>
      <c r="J1693" s="43" t="e">
        <f>VLOOKUP($A1693,'[2]Team lists'!$A$2:$L$800,9,FALSE)</f>
        <v>#N/A</v>
      </c>
      <c r="K1693" s="43" t="e">
        <f>VLOOKUP($A1693,'[2]Team lists'!$A$2:$L$800,10,FALSE)</f>
        <v>#N/A</v>
      </c>
      <c r="L1693" s="43" t="e">
        <f>VLOOKUP($A1693,'[2]Team lists'!$A$2:$L$800,11,FALSE)</f>
        <v>#N/A</v>
      </c>
    </row>
    <row r="1694" spans="2:13">
      <c r="B1694" s="43" t="e">
        <f>VLOOKUP($A1694,'[2]Team lists'!$A$2:$L$800,2,FALSE)</f>
        <v>#N/A</v>
      </c>
      <c r="C1694" s="43" t="e">
        <f>VLOOKUP($A1694,'[2]Team lists'!$A$2:$L$800,3,FALSE)</f>
        <v>#N/A</v>
      </c>
      <c r="D1694" s="43" t="e">
        <f>VLOOKUP($A1694,'[2]Team lists'!$A$2:$L$800,4,FALSE)</f>
        <v>#N/A</v>
      </c>
      <c r="E1694" s="43" t="e">
        <f>VLOOKUP($A1694,'[2]Team lists'!$A$2:$L$800,5,FALSE)</f>
        <v>#N/A</v>
      </c>
      <c r="F1694" s="43" t="e">
        <f>VLOOKUP($A1694,'[2]Team lists'!$A$2:$L$800,6,FALSE)</f>
        <v>#N/A</v>
      </c>
      <c r="G1694" s="43" t="e">
        <f>VLOOKUP($A1694,'[2]Team lists'!$A$2:$L$800,7,FALSE)</f>
        <v>#N/A</v>
      </c>
      <c r="H1694" s="43" t="e">
        <f>VLOOKUP($A1694,'[2]Team lists'!$A$2:$L$800,8,FALSE)</f>
        <v>#N/A</v>
      </c>
      <c r="I1694" s="43" t="e">
        <f>VLOOKUP($A1694,'[2]Team lists'!$A$2:$L$800,9,FALSE)</f>
        <v>#N/A</v>
      </c>
      <c r="J1694" s="43" t="e">
        <f>VLOOKUP($A1694,'[2]Team lists'!$A$2:$L$800,9,FALSE)</f>
        <v>#N/A</v>
      </c>
      <c r="K1694" s="43" t="e">
        <f>VLOOKUP($A1694,'[2]Team lists'!$A$2:$L$800,10,FALSE)</f>
        <v>#N/A</v>
      </c>
      <c r="L1694" s="43" t="e">
        <f>VLOOKUP($A1694,'[2]Team lists'!$A$2:$L$800,11,FALSE)</f>
        <v>#N/A</v>
      </c>
    </row>
    <row r="1695" spans="2:13" ht="18" thickBot="1">
      <c r="B1695" s="45" t="s">
        <v>3210</v>
      </c>
      <c r="C1695" s="46"/>
      <c r="D1695" s="47"/>
      <c r="E1695" s="48" t="e">
        <f t="shared" ref="E1695:L1695" si="105">SUM(E1684:E1694)</f>
        <v>#N/A</v>
      </c>
      <c r="F1695" s="49" t="e">
        <f t="shared" si="105"/>
        <v>#N/A</v>
      </c>
      <c r="G1695" s="49" t="e">
        <f t="shared" si="105"/>
        <v>#N/A</v>
      </c>
      <c r="H1695" s="49" t="e">
        <f t="shared" si="105"/>
        <v>#N/A</v>
      </c>
      <c r="I1695" s="49" t="e">
        <f t="shared" si="105"/>
        <v>#N/A</v>
      </c>
      <c r="J1695" s="49" t="e">
        <f t="shared" si="105"/>
        <v>#N/A</v>
      </c>
      <c r="K1695" s="49" t="e">
        <f t="shared" si="105"/>
        <v>#N/A</v>
      </c>
      <c r="L1695" s="50" t="e">
        <f t="shared" si="105"/>
        <v>#N/A</v>
      </c>
    </row>
    <row r="1696" spans="2:13" ht="18.600000000000001" thickTop="1" thickBot="1"/>
    <row r="1697" spans="2:13" ht="18" thickTop="1">
      <c r="B1697" s="23" t="s">
        <v>3204</v>
      </c>
      <c r="C1697" s="24" t="s">
        <v>3205</v>
      </c>
      <c r="D1697" s="25"/>
      <c r="E1697" s="25"/>
      <c r="F1697" s="53"/>
      <c r="G1697" s="28" t="s">
        <v>3206</v>
      </c>
      <c r="H1697" s="54"/>
      <c r="I1697" s="54"/>
      <c r="J1697" s="54"/>
      <c r="K1697" s="28" t="s">
        <v>3207</v>
      </c>
      <c r="L1697" s="29"/>
      <c r="M1697" s="22" t="str">
        <f>G1697</f>
        <v>Manager:</v>
      </c>
    </row>
    <row r="1698" spans="2:13" ht="18" thickBot="1">
      <c r="B1698" s="30">
        <v>107</v>
      </c>
      <c r="C1698" s="57"/>
      <c r="D1698" s="31"/>
      <c r="E1698" s="31"/>
      <c r="F1698" s="33"/>
      <c r="G1698" s="55"/>
      <c r="H1698" s="55"/>
      <c r="I1698" s="55"/>
      <c r="J1698" s="55"/>
      <c r="K1698" s="34" t="e">
        <f>SUM(F1711:L1711)</f>
        <v>#N/A</v>
      </c>
      <c r="L1698" s="35"/>
      <c r="M1698" s="22">
        <f>G1698</f>
        <v>0</v>
      </c>
    </row>
    <row r="1699" spans="2:13" ht="18.600000000000001" thickTop="1">
      <c r="B1699" s="58" t="s">
        <v>913</v>
      </c>
      <c r="C1699" s="59" t="s">
        <v>912</v>
      </c>
      <c r="D1699" s="60" t="s">
        <v>911</v>
      </c>
      <c r="E1699" s="61" t="s">
        <v>3209</v>
      </c>
      <c r="F1699" s="62" t="s">
        <v>3162</v>
      </c>
      <c r="G1699" s="62" t="s">
        <v>3163</v>
      </c>
      <c r="H1699" s="62" t="s">
        <v>3164</v>
      </c>
      <c r="I1699" s="62" t="s">
        <v>3165</v>
      </c>
      <c r="J1699" s="62" t="s">
        <v>3166</v>
      </c>
      <c r="K1699" s="62" t="s">
        <v>3167</v>
      </c>
      <c r="L1699" s="63" t="s">
        <v>3168</v>
      </c>
    </row>
    <row r="1700" spans="2:13">
      <c r="B1700" s="43" t="e">
        <f>VLOOKUP($A1700,'[2]Team lists'!$A$2:$L$800,2,FALSE)</f>
        <v>#N/A</v>
      </c>
      <c r="C1700" s="43" t="e">
        <f>VLOOKUP($A1700,'[2]Team lists'!$A$2:$L$800,3,FALSE)</f>
        <v>#N/A</v>
      </c>
      <c r="D1700" s="43" t="e">
        <f>VLOOKUP($A1700,'[2]Team lists'!$A$2:$L$800,4,FALSE)</f>
        <v>#N/A</v>
      </c>
      <c r="E1700" s="43" t="e">
        <f>VLOOKUP($A1700,'[2]Team lists'!$A$2:$L$800,5,FALSE)</f>
        <v>#N/A</v>
      </c>
      <c r="F1700" s="43" t="e">
        <f>VLOOKUP($A1700,'[2]Team lists'!$A$2:$L$800,6,FALSE)</f>
        <v>#N/A</v>
      </c>
      <c r="G1700" s="43" t="e">
        <f>VLOOKUP($A1700,'[2]Team lists'!$A$2:$L$800,7,FALSE)</f>
        <v>#N/A</v>
      </c>
      <c r="H1700" s="43" t="e">
        <f>VLOOKUP($A1700,'[2]Team lists'!$A$2:$L$800,8,FALSE)</f>
        <v>#N/A</v>
      </c>
      <c r="I1700" s="43" t="e">
        <f>VLOOKUP($A1700,'[2]Team lists'!$A$2:$L$800,9,FALSE)</f>
        <v>#N/A</v>
      </c>
      <c r="J1700" s="43" t="e">
        <f>VLOOKUP($A1700,'[2]Team lists'!$A$2:$L$800,9,FALSE)</f>
        <v>#N/A</v>
      </c>
      <c r="K1700" s="43" t="e">
        <f>VLOOKUP($A1700,'[2]Team lists'!$A$2:$L$800,10,FALSE)</f>
        <v>#N/A</v>
      </c>
      <c r="L1700" s="43" t="e">
        <f>VLOOKUP($A1700,'[2]Team lists'!$A$2:$L$800,11,FALSE)</f>
        <v>#N/A</v>
      </c>
    </row>
    <row r="1701" spans="2:13">
      <c r="B1701" s="43" t="e">
        <f>VLOOKUP($A1701,'[2]Team lists'!$A$2:$L$800,2,FALSE)</f>
        <v>#N/A</v>
      </c>
      <c r="C1701" s="43" t="e">
        <f>VLOOKUP($A1701,'[2]Team lists'!$A$2:$L$800,3,FALSE)</f>
        <v>#N/A</v>
      </c>
      <c r="D1701" s="43" t="e">
        <f>VLOOKUP($A1701,'[2]Team lists'!$A$2:$L$800,4,FALSE)</f>
        <v>#N/A</v>
      </c>
      <c r="E1701" s="43" t="e">
        <f>VLOOKUP($A1701,'[2]Team lists'!$A$2:$L$800,5,FALSE)</f>
        <v>#N/A</v>
      </c>
      <c r="F1701" s="43" t="e">
        <f>VLOOKUP($A1701,'[2]Team lists'!$A$2:$L$800,6,FALSE)</f>
        <v>#N/A</v>
      </c>
      <c r="G1701" s="43" t="e">
        <f>VLOOKUP($A1701,'[2]Team lists'!$A$2:$L$800,7,FALSE)</f>
        <v>#N/A</v>
      </c>
      <c r="H1701" s="43" t="e">
        <f>VLOOKUP($A1701,'[2]Team lists'!$A$2:$L$800,8,FALSE)</f>
        <v>#N/A</v>
      </c>
      <c r="I1701" s="43" t="e">
        <f>VLOOKUP($A1701,'[2]Team lists'!$A$2:$L$800,9,FALSE)</f>
        <v>#N/A</v>
      </c>
      <c r="J1701" s="43" t="e">
        <f>VLOOKUP($A1701,'[2]Team lists'!$A$2:$L$800,9,FALSE)</f>
        <v>#N/A</v>
      </c>
      <c r="K1701" s="43" t="e">
        <f>VLOOKUP($A1701,'[2]Team lists'!$A$2:$L$800,10,FALSE)</f>
        <v>#N/A</v>
      </c>
      <c r="L1701" s="43" t="e">
        <f>VLOOKUP($A1701,'[2]Team lists'!$A$2:$L$800,11,FALSE)</f>
        <v>#N/A</v>
      </c>
    </row>
    <row r="1702" spans="2:13">
      <c r="B1702" s="43" t="e">
        <f>VLOOKUP($A1702,'[2]Team lists'!$A$2:$L$800,2,FALSE)</f>
        <v>#N/A</v>
      </c>
      <c r="C1702" s="43" t="e">
        <f>VLOOKUP($A1702,'[2]Team lists'!$A$2:$L$800,3,FALSE)</f>
        <v>#N/A</v>
      </c>
      <c r="D1702" s="43" t="e">
        <f>VLOOKUP($A1702,'[2]Team lists'!$A$2:$L$800,4,FALSE)</f>
        <v>#N/A</v>
      </c>
      <c r="E1702" s="43" t="e">
        <f>VLOOKUP($A1702,'[2]Team lists'!$A$2:$L$800,5,FALSE)</f>
        <v>#N/A</v>
      </c>
      <c r="F1702" s="43" t="e">
        <f>VLOOKUP($A1702,'[2]Team lists'!$A$2:$L$800,6,FALSE)</f>
        <v>#N/A</v>
      </c>
      <c r="G1702" s="43" t="e">
        <f>VLOOKUP($A1702,'[2]Team lists'!$A$2:$L$800,7,FALSE)</f>
        <v>#N/A</v>
      </c>
      <c r="H1702" s="43" t="e">
        <f>VLOOKUP($A1702,'[2]Team lists'!$A$2:$L$800,8,FALSE)</f>
        <v>#N/A</v>
      </c>
      <c r="I1702" s="43" t="e">
        <f>VLOOKUP($A1702,'[2]Team lists'!$A$2:$L$800,9,FALSE)</f>
        <v>#N/A</v>
      </c>
      <c r="J1702" s="43" t="e">
        <f>VLOOKUP($A1702,'[2]Team lists'!$A$2:$L$800,9,FALSE)</f>
        <v>#N/A</v>
      </c>
      <c r="K1702" s="43" t="e">
        <f>VLOOKUP($A1702,'[2]Team lists'!$A$2:$L$800,10,FALSE)</f>
        <v>#N/A</v>
      </c>
      <c r="L1702" s="43" t="e">
        <f>VLOOKUP($A1702,'[2]Team lists'!$A$2:$L$800,11,FALSE)</f>
        <v>#N/A</v>
      </c>
    </row>
    <row r="1703" spans="2:13">
      <c r="B1703" s="43" t="e">
        <f>VLOOKUP($A1703,'[2]Team lists'!$A$2:$L$800,2,FALSE)</f>
        <v>#N/A</v>
      </c>
      <c r="C1703" s="43" t="e">
        <f>VLOOKUP($A1703,'[2]Team lists'!$A$2:$L$800,3,FALSE)</f>
        <v>#N/A</v>
      </c>
      <c r="D1703" s="43" t="e">
        <f>VLOOKUP($A1703,'[2]Team lists'!$A$2:$L$800,4,FALSE)</f>
        <v>#N/A</v>
      </c>
      <c r="E1703" s="43" t="e">
        <f>VLOOKUP($A1703,'[2]Team lists'!$A$2:$L$800,5,FALSE)</f>
        <v>#N/A</v>
      </c>
      <c r="F1703" s="43" t="e">
        <f>VLOOKUP($A1703,'[2]Team lists'!$A$2:$L$800,6,FALSE)</f>
        <v>#N/A</v>
      </c>
      <c r="G1703" s="43" t="e">
        <f>VLOOKUP($A1703,'[2]Team lists'!$A$2:$L$800,7,FALSE)</f>
        <v>#N/A</v>
      </c>
      <c r="H1703" s="43" t="e">
        <f>VLOOKUP($A1703,'[2]Team lists'!$A$2:$L$800,8,FALSE)</f>
        <v>#N/A</v>
      </c>
      <c r="I1703" s="43" t="e">
        <f>VLOOKUP($A1703,'[2]Team lists'!$A$2:$L$800,9,FALSE)</f>
        <v>#N/A</v>
      </c>
      <c r="J1703" s="43" t="e">
        <f>VLOOKUP($A1703,'[2]Team lists'!$A$2:$L$800,9,FALSE)</f>
        <v>#N/A</v>
      </c>
      <c r="K1703" s="43" t="e">
        <f>VLOOKUP($A1703,'[2]Team lists'!$A$2:$L$800,10,FALSE)</f>
        <v>#N/A</v>
      </c>
      <c r="L1703" s="43" t="e">
        <f>VLOOKUP($A1703,'[2]Team lists'!$A$2:$L$800,11,FALSE)</f>
        <v>#N/A</v>
      </c>
    </row>
    <row r="1704" spans="2:13">
      <c r="B1704" s="43" t="e">
        <f>VLOOKUP($A1704,'[2]Team lists'!$A$2:$L$800,2,FALSE)</f>
        <v>#N/A</v>
      </c>
      <c r="C1704" s="43" t="e">
        <f>VLOOKUP($A1704,'[2]Team lists'!$A$2:$L$800,3,FALSE)</f>
        <v>#N/A</v>
      </c>
      <c r="D1704" s="43" t="e">
        <f>VLOOKUP($A1704,'[2]Team lists'!$A$2:$L$800,4,FALSE)</f>
        <v>#N/A</v>
      </c>
      <c r="E1704" s="43" t="e">
        <f>VLOOKUP($A1704,'[2]Team lists'!$A$2:$L$800,5,FALSE)</f>
        <v>#N/A</v>
      </c>
      <c r="F1704" s="43" t="e">
        <f>VLOOKUP($A1704,'[2]Team lists'!$A$2:$L$800,6,FALSE)</f>
        <v>#N/A</v>
      </c>
      <c r="G1704" s="43" t="e">
        <f>VLOOKUP($A1704,'[2]Team lists'!$A$2:$L$800,7,FALSE)</f>
        <v>#N/A</v>
      </c>
      <c r="H1704" s="43" t="e">
        <f>VLOOKUP($A1704,'[2]Team lists'!$A$2:$L$800,8,FALSE)</f>
        <v>#N/A</v>
      </c>
      <c r="I1704" s="43" t="e">
        <f>VLOOKUP($A1704,'[2]Team lists'!$A$2:$L$800,9,FALSE)</f>
        <v>#N/A</v>
      </c>
      <c r="J1704" s="43" t="e">
        <f>VLOOKUP($A1704,'[2]Team lists'!$A$2:$L$800,9,FALSE)</f>
        <v>#N/A</v>
      </c>
      <c r="K1704" s="43" t="e">
        <f>VLOOKUP($A1704,'[2]Team lists'!$A$2:$L$800,10,FALSE)</f>
        <v>#N/A</v>
      </c>
      <c r="L1704" s="43" t="e">
        <f>VLOOKUP($A1704,'[2]Team lists'!$A$2:$L$800,11,FALSE)</f>
        <v>#N/A</v>
      </c>
    </row>
    <row r="1705" spans="2:13">
      <c r="B1705" s="43" t="e">
        <f>VLOOKUP($A1705,'[2]Team lists'!$A$2:$L$800,2,FALSE)</f>
        <v>#N/A</v>
      </c>
      <c r="C1705" s="43" t="e">
        <f>VLOOKUP($A1705,'[2]Team lists'!$A$2:$L$800,3,FALSE)</f>
        <v>#N/A</v>
      </c>
      <c r="D1705" s="43" t="e">
        <f>VLOOKUP($A1705,'[2]Team lists'!$A$2:$L$800,4,FALSE)</f>
        <v>#N/A</v>
      </c>
      <c r="E1705" s="43" t="e">
        <f>VLOOKUP($A1705,'[2]Team lists'!$A$2:$L$800,5,FALSE)</f>
        <v>#N/A</v>
      </c>
      <c r="F1705" s="43" t="e">
        <f>VLOOKUP($A1705,'[2]Team lists'!$A$2:$L$800,6,FALSE)</f>
        <v>#N/A</v>
      </c>
      <c r="G1705" s="43" t="e">
        <f>VLOOKUP($A1705,'[2]Team lists'!$A$2:$L$800,7,FALSE)</f>
        <v>#N/A</v>
      </c>
      <c r="H1705" s="43" t="e">
        <f>VLOOKUP($A1705,'[2]Team lists'!$A$2:$L$800,8,FALSE)</f>
        <v>#N/A</v>
      </c>
      <c r="I1705" s="43" t="e">
        <f>VLOOKUP($A1705,'[2]Team lists'!$A$2:$L$800,9,FALSE)</f>
        <v>#N/A</v>
      </c>
      <c r="J1705" s="43" t="e">
        <f>VLOOKUP($A1705,'[2]Team lists'!$A$2:$L$800,9,FALSE)</f>
        <v>#N/A</v>
      </c>
      <c r="K1705" s="43" t="e">
        <f>VLOOKUP($A1705,'[2]Team lists'!$A$2:$L$800,10,FALSE)</f>
        <v>#N/A</v>
      </c>
      <c r="L1705" s="43" t="e">
        <f>VLOOKUP($A1705,'[2]Team lists'!$A$2:$L$800,11,FALSE)</f>
        <v>#N/A</v>
      </c>
    </row>
    <row r="1706" spans="2:13">
      <c r="B1706" s="43" t="e">
        <f>VLOOKUP($A1706,'[2]Team lists'!$A$2:$L$800,2,FALSE)</f>
        <v>#N/A</v>
      </c>
      <c r="C1706" s="43" t="e">
        <f>VLOOKUP($A1706,'[2]Team lists'!$A$2:$L$800,3,FALSE)</f>
        <v>#N/A</v>
      </c>
      <c r="D1706" s="43" t="e">
        <f>VLOOKUP($A1706,'[2]Team lists'!$A$2:$L$800,4,FALSE)</f>
        <v>#N/A</v>
      </c>
      <c r="E1706" s="43" t="e">
        <f>VLOOKUP($A1706,'[2]Team lists'!$A$2:$L$800,5,FALSE)</f>
        <v>#N/A</v>
      </c>
      <c r="F1706" s="43" t="e">
        <f>VLOOKUP($A1706,'[2]Team lists'!$A$2:$L$800,6,FALSE)</f>
        <v>#N/A</v>
      </c>
      <c r="G1706" s="43" t="e">
        <f>VLOOKUP($A1706,'[2]Team lists'!$A$2:$L$800,7,FALSE)</f>
        <v>#N/A</v>
      </c>
      <c r="H1706" s="43" t="e">
        <f>VLOOKUP($A1706,'[2]Team lists'!$A$2:$L$800,8,FALSE)</f>
        <v>#N/A</v>
      </c>
      <c r="I1706" s="43" t="e">
        <f>VLOOKUP($A1706,'[2]Team lists'!$A$2:$L$800,9,FALSE)</f>
        <v>#N/A</v>
      </c>
      <c r="J1706" s="43" t="e">
        <f>VLOOKUP($A1706,'[2]Team lists'!$A$2:$L$800,9,FALSE)</f>
        <v>#N/A</v>
      </c>
      <c r="K1706" s="43" t="e">
        <f>VLOOKUP($A1706,'[2]Team lists'!$A$2:$L$800,10,FALSE)</f>
        <v>#N/A</v>
      </c>
      <c r="L1706" s="43" t="e">
        <f>VLOOKUP($A1706,'[2]Team lists'!$A$2:$L$800,11,FALSE)</f>
        <v>#N/A</v>
      </c>
    </row>
    <row r="1707" spans="2:13">
      <c r="B1707" s="43" t="e">
        <f>VLOOKUP($A1707,'[2]Team lists'!$A$2:$L$800,2,FALSE)</f>
        <v>#N/A</v>
      </c>
      <c r="C1707" s="43" t="e">
        <f>VLOOKUP($A1707,'[2]Team lists'!$A$2:$L$800,3,FALSE)</f>
        <v>#N/A</v>
      </c>
      <c r="D1707" s="43" t="e">
        <f>VLOOKUP($A1707,'[2]Team lists'!$A$2:$L$800,4,FALSE)</f>
        <v>#N/A</v>
      </c>
      <c r="E1707" s="43" t="e">
        <f>VLOOKUP($A1707,'[2]Team lists'!$A$2:$L$800,5,FALSE)</f>
        <v>#N/A</v>
      </c>
      <c r="F1707" s="43" t="e">
        <f>VLOOKUP($A1707,'[2]Team lists'!$A$2:$L$800,6,FALSE)</f>
        <v>#N/A</v>
      </c>
      <c r="G1707" s="43" t="e">
        <f>VLOOKUP($A1707,'[2]Team lists'!$A$2:$L$800,7,FALSE)</f>
        <v>#N/A</v>
      </c>
      <c r="H1707" s="43" t="e">
        <f>VLOOKUP($A1707,'[2]Team lists'!$A$2:$L$800,8,FALSE)</f>
        <v>#N/A</v>
      </c>
      <c r="I1707" s="43" t="e">
        <f>VLOOKUP($A1707,'[2]Team lists'!$A$2:$L$800,9,FALSE)</f>
        <v>#N/A</v>
      </c>
      <c r="J1707" s="43" t="e">
        <f>VLOOKUP($A1707,'[2]Team lists'!$A$2:$L$800,9,FALSE)</f>
        <v>#N/A</v>
      </c>
      <c r="K1707" s="43" t="e">
        <f>VLOOKUP($A1707,'[2]Team lists'!$A$2:$L$800,10,FALSE)</f>
        <v>#N/A</v>
      </c>
      <c r="L1707" s="43" t="e">
        <f>VLOOKUP($A1707,'[2]Team lists'!$A$2:$L$800,11,FALSE)</f>
        <v>#N/A</v>
      </c>
    </row>
    <row r="1708" spans="2:13">
      <c r="B1708" s="43" t="e">
        <f>VLOOKUP($A1708,'[2]Team lists'!$A$2:$L$800,2,FALSE)</f>
        <v>#N/A</v>
      </c>
      <c r="C1708" s="43" t="e">
        <f>VLOOKUP($A1708,'[2]Team lists'!$A$2:$L$800,3,FALSE)</f>
        <v>#N/A</v>
      </c>
      <c r="D1708" s="43" t="e">
        <f>VLOOKUP($A1708,'[2]Team lists'!$A$2:$L$800,4,FALSE)</f>
        <v>#N/A</v>
      </c>
      <c r="E1708" s="43" t="e">
        <f>VLOOKUP($A1708,'[2]Team lists'!$A$2:$L$800,5,FALSE)</f>
        <v>#N/A</v>
      </c>
      <c r="F1708" s="43" t="e">
        <f>VLOOKUP($A1708,'[2]Team lists'!$A$2:$L$800,6,FALSE)</f>
        <v>#N/A</v>
      </c>
      <c r="G1708" s="43" t="e">
        <f>VLOOKUP($A1708,'[2]Team lists'!$A$2:$L$800,7,FALSE)</f>
        <v>#N/A</v>
      </c>
      <c r="H1708" s="43" t="e">
        <f>VLOOKUP($A1708,'[2]Team lists'!$A$2:$L$800,8,FALSE)</f>
        <v>#N/A</v>
      </c>
      <c r="I1708" s="43" t="e">
        <f>VLOOKUP($A1708,'[2]Team lists'!$A$2:$L$800,9,FALSE)</f>
        <v>#N/A</v>
      </c>
      <c r="J1708" s="43" t="e">
        <f>VLOOKUP($A1708,'[2]Team lists'!$A$2:$L$800,9,FALSE)</f>
        <v>#N/A</v>
      </c>
      <c r="K1708" s="43" t="e">
        <f>VLOOKUP($A1708,'[2]Team lists'!$A$2:$L$800,10,FALSE)</f>
        <v>#N/A</v>
      </c>
      <c r="L1708" s="43" t="e">
        <f>VLOOKUP($A1708,'[2]Team lists'!$A$2:$L$800,11,FALSE)</f>
        <v>#N/A</v>
      </c>
    </row>
    <row r="1709" spans="2:13">
      <c r="B1709" s="43" t="e">
        <f>VLOOKUP($A1709,'[2]Team lists'!$A$2:$L$800,2,FALSE)</f>
        <v>#N/A</v>
      </c>
      <c r="C1709" s="43" t="e">
        <f>VLOOKUP($A1709,'[2]Team lists'!$A$2:$L$800,3,FALSE)</f>
        <v>#N/A</v>
      </c>
      <c r="D1709" s="43" t="e">
        <f>VLOOKUP($A1709,'[2]Team lists'!$A$2:$L$800,4,FALSE)</f>
        <v>#N/A</v>
      </c>
      <c r="E1709" s="43" t="e">
        <f>VLOOKUP($A1709,'[2]Team lists'!$A$2:$L$800,5,FALSE)</f>
        <v>#N/A</v>
      </c>
      <c r="F1709" s="43" t="e">
        <f>VLOOKUP($A1709,'[2]Team lists'!$A$2:$L$800,6,FALSE)</f>
        <v>#N/A</v>
      </c>
      <c r="G1709" s="43" t="e">
        <f>VLOOKUP($A1709,'[2]Team lists'!$A$2:$L$800,7,FALSE)</f>
        <v>#N/A</v>
      </c>
      <c r="H1709" s="43" t="e">
        <f>VLOOKUP($A1709,'[2]Team lists'!$A$2:$L$800,8,FALSE)</f>
        <v>#N/A</v>
      </c>
      <c r="I1709" s="43" t="e">
        <f>VLOOKUP($A1709,'[2]Team lists'!$A$2:$L$800,9,FALSE)</f>
        <v>#N/A</v>
      </c>
      <c r="J1709" s="43" t="e">
        <f>VLOOKUP($A1709,'[2]Team lists'!$A$2:$L$800,9,FALSE)</f>
        <v>#N/A</v>
      </c>
      <c r="K1709" s="43" t="e">
        <f>VLOOKUP($A1709,'[2]Team lists'!$A$2:$L$800,10,FALSE)</f>
        <v>#N/A</v>
      </c>
      <c r="L1709" s="43" t="e">
        <f>VLOOKUP($A1709,'[2]Team lists'!$A$2:$L$800,11,FALSE)</f>
        <v>#N/A</v>
      </c>
    </row>
    <row r="1710" spans="2:13">
      <c r="B1710" s="43" t="e">
        <f>VLOOKUP($A1710,'[2]Team lists'!$A$2:$L$800,2,FALSE)</f>
        <v>#N/A</v>
      </c>
      <c r="C1710" s="43" t="e">
        <f>VLOOKUP($A1710,'[2]Team lists'!$A$2:$L$800,3,FALSE)</f>
        <v>#N/A</v>
      </c>
      <c r="D1710" s="43" t="e">
        <f>VLOOKUP($A1710,'[2]Team lists'!$A$2:$L$800,4,FALSE)</f>
        <v>#N/A</v>
      </c>
      <c r="E1710" s="43" t="e">
        <f>VLOOKUP($A1710,'[2]Team lists'!$A$2:$L$800,5,FALSE)</f>
        <v>#N/A</v>
      </c>
      <c r="F1710" s="43" t="e">
        <f>VLOOKUP($A1710,'[2]Team lists'!$A$2:$L$800,6,FALSE)</f>
        <v>#N/A</v>
      </c>
      <c r="G1710" s="43" t="e">
        <f>VLOOKUP($A1710,'[2]Team lists'!$A$2:$L$800,7,FALSE)</f>
        <v>#N/A</v>
      </c>
      <c r="H1710" s="43" t="e">
        <f>VLOOKUP($A1710,'[2]Team lists'!$A$2:$L$800,8,FALSE)</f>
        <v>#N/A</v>
      </c>
      <c r="I1710" s="43" t="e">
        <f>VLOOKUP($A1710,'[2]Team lists'!$A$2:$L$800,9,FALSE)</f>
        <v>#N/A</v>
      </c>
      <c r="J1710" s="43" t="e">
        <f>VLOOKUP($A1710,'[2]Team lists'!$A$2:$L$800,9,FALSE)</f>
        <v>#N/A</v>
      </c>
      <c r="K1710" s="43" t="e">
        <f>VLOOKUP($A1710,'[2]Team lists'!$A$2:$L$800,10,FALSE)</f>
        <v>#N/A</v>
      </c>
      <c r="L1710" s="43" t="e">
        <f>VLOOKUP($A1710,'[2]Team lists'!$A$2:$L$800,11,FALSE)</f>
        <v>#N/A</v>
      </c>
    </row>
    <row r="1711" spans="2:13" ht="18" thickBot="1">
      <c r="B1711" s="45" t="s">
        <v>3210</v>
      </c>
      <c r="C1711" s="46"/>
      <c r="D1711" s="47"/>
      <c r="E1711" s="48" t="e">
        <f t="shared" ref="E1711:L1711" si="106">SUM(E1700:E1710)</f>
        <v>#N/A</v>
      </c>
      <c r="F1711" s="49" t="e">
        <f t="shared" si="106"/>
        <v>#N/A</v>
      </c>
      <c r="G1711" s="49" t="e">
        <f t="shared" si="106"/>
        <v>#N/A</v>
      </c>
      <c r="H1711" s="49" t="e">
        <f t="shared" si="106"/>
        <v>#N/A</v>
      </c>
      <c r="I1711" s="49" t="e">
        <f t="shared" si="106"/>
        <v>#N/A</v>
      </c>
      <c r="J1711" s="49" t="e">
        <f t="shared" si="106"/>
        <v>#N/A</v>
      </c>
      <c r="K1711" s="49" t="e">
        <f t="shared" si="106"/>
        <v>#N/A</v>
      </c>
      <c r="L1711" s="50" t="e">
        <f t="shared" si="106"/>
        <v>#N/A</v>
      </c>
    </row>
    <row r="1712" spans="2:13" ht="18.600000000000001" thickTop="1" thickBot="1"/>
    <row r="1713" spans="2:13" ht="18" thickTop="1">
      <c r="B1713" s="23" t="s">
        <v>3204</v>
      </c>
      <c r="C1713" s="24" t="s">
        <v>3205</v>
      </c>
      <c r="D1713" s="25"/>
      <c r="E1713" s="25"/>
      <c r="F1713" s="53"/>
      <c r="G1713" s="28" t="s">
        <v>3206</v>
      </c>
      <c r="H1713" s="54"/>
      <c r="I1713" s="54"/>
      <c r="J1713" s="54"/>
      <c r="K1713" s="28" t="s">
        <v>3207</v>
      </c>
      <c r="L1713" s="29"/>
      <c r="M1713" s="22" t="str">
        <f>G1713</f>
        <v>Manager:</v>
      </c>
    </row>
    <row r="1714" spans="2:13" ht="18" thickBot="1">
      <c r="B1714" s="30">
        <v>108</v>
      </c>
      <c r="C1714" s="57"/>
      <c r="D1714" s="31"/>
      <c r="E1714" s="31"/>
      <c r="F1714" s="33"/>
      <c r="G1714" s="55"/>
      <c r="H1714" s="55"/>
      <c r="I1714" s="55"/>
      <c r="J1714" s="55"/>
      <c r="K1714" s="34" t="e">
        <f>SUM(F1727:L1727)</f>
        <v>#N/A</v>
      </c>
      <c r="L1714" s="35"/>
      <c r="M1714" s="22">
        <f>G1714</f>
        <v>0</v>
      </c>
    </row>
    <row r="1715" spans="2:13" ht="18.600000000000001" thickTop="1">
      <c r="B1715" s="58" t="s">
        <v>913</v>
      </c>
      <c r="C1715" s="59" t="s">
        <v>912</v>
      </c>
      <c r="D1715" s="60" t="s">
        <v>911</v>
      </c>
      <c r="E1715" s="61" t="s">
        <v>3209</v>
      </c>
      <c r="F1715" s="62" t="s">
        <v>3162</v>
      </c>
      <c r="G1715" s="62" t="s">
        <v>3163</v>
      </c>
      <c r="H1715" s="62" t="s">
        <v>3164</v>
      </c>
      <c r="I1715" s="62" t="s">
        <v>3165</v>
      </c>
      <c r="J1715" s="62" t="s">
        <v>3166</v>
      </c>
      <c r="K1715" s="62" t="s">
        <v>3167</v>
      </c>
      <c r="L1715" s="63" t="s">
        <v>3168</v>
      </c>
    </row>
    <row r="1716" spans="2:13">
      <c r="B1716" s="43" t="e">
        <f>VLOOKUP($A1716,'[2]Team lists'!$A$2:$L$800,2,FALSE)</f>
        <v>#N/A</v>
      </c>
      <c r="C1716" s="43" t="e">
        <f>VLOOKUP($A1716,'[2]Team lists'!$A$2:$L$800,3,FALSE)</f>
        <v>#N/A</v>
      </c>
      <c r="D1716" s="43" t="e">
        <f>VLOOKUP($A1716,'[2]Team lists'!$A$2:$L$800,4,FALSE)</f>
        <v>#N/A</v>
      </c>
      <c r="E1716" s="43" t="e">
        <f>VLOOKUP($A1716,'[2]Team lists'!$A$2:$L$800,5,FALSE)</f>
        <v>#N/A</v>
      </c>
      <c r="F1716" s="43" t="e">
        <f>VLOOKUP($A1716,'[2]Team lists'!$A$2:$L$800,6,FALSE)</f>
        <v>#N/A</v>
      </c>
      <c r="G1716" s="43" t="e">
        <f>VLOOKUP($A1716,'[2]Team lists'!$A$2:$L$800,7,FALSE)</f>
        <v>#N/A</v>
      </c>
      <c r="H1716" s="43" t="e">
        <f>VLOOKUP($A1716,'[2]Team lists'!$A$2:$L$800,8,FALSE)</f>
        <v>#N/A</v>
      </c>
      <c r="I1716" s="43" t="e">
        <f>VLOOKUP($A1716,'[2]Team lists'!$A$2:$L$800,9,FALSE)</f>
        <v>#N/A</v>
      </c>
      <c r="J1716" s="43" t="e">
        <f>VLOOKUP($A1716,'[2]Team lists'!$A$2:$L$800,9,FALSE)</f>
        <v>#N/A</v>
      </c>
      <c r="K1716" s="43" t="e">
        <f>VLOOKUP($A1716,'[2]Team lists'!$A$2:$L$800,10,FALSE)</f>
        <v>#N/A</v>
      </c>
      <c r="L1716" s="43" t="e">
        <f>VLOOKUP($A1716,'[2]Team lists'!$A$2:$L$800,11,FALSE)</f>
        <v>#N/A</v>
      </c>
    </row>
    <row r="1717" spans="2:13">
      <c r="B1717" s="43" t="e">
        <f>VLOOKUP($A1717,'[2]Team lists'!$A$2:$L$800,2,FALSE)</f>
        <v>#N/A</v>
      </c>
      <c r="C1717" s="43" t="e">
        <f>VLOOKUP($A1717,'[2]Team lists'!$A$2:$L$800,3,FALSE)</f>
        <v>#N/A</v>
      </c>
      <c r="D1717" s="43" t="e">
        <f>VLOOKUP($A1717,'[2]Team lists'!$A$2:$L$800,4,FALSE)</f>
        <v>#N/A</v>
      </c>
      <c r="E1717" s="43" t="e">
        <f>VLOOKUP($A1717,'[2]Team lists'!$A$2:$L$800,5,FALSE)</f>
        <v>#N/A</v>
      </c>
      <c r="F1717" s="43" t="e">
        <f>VLOOKUP($A1717,'[2]Team lists'!$A$2:$L$800,6,FALSE)</f>
        <v>#N/A</v>
      </c>
      <c r="G1717" s="43" t="e">
        <f>VLOOKUP($A1717,'[2]Team lists'!$A$2:$L$800,7,FALSE)</f>
        <v>#N/A</v>
      </c>
      <c r="H1717" s="43" t="e">
        <f>VLOOKUP($A1717,'[2]Team lists'!$A$2:$L$800,8,FALSE)</f>
        <v>#N/A</v>
      </c>
      <c r="I1717" s="43" t="e">
        <f>VLOOKUP($A1717,'[2]Team lists'!$A$2:$L$800,9,FALSE)</f>
        <v>#N/A</v>
      </c>
      <c r="J1717" s="43" t="e">
        <f>VLOOKUP($A1717,'[2]Team lists'!$A$2:$L$800,9,FALSE)</f>
        <v>#N/A</v>
      </c>
      <c r="K1717" s="43" t="e">
        <f>VLOOKUP($A1717,'[2]Team lists'!$A$2:$L$800,10,FALSE)</f>
        <v>#N/A</v>
      </c>
      <c r="L1717" s="43" t="e">
        <f>VLOOKUP($A1717,'[2]Team lists'!$A$2:$L$800,11,FALSE)</f>
        <v>#N/A</v>
      </c>
    </row>
    <row r="1718" spans="2:13">
      <c r="B1718" s="43" t="e">
        <f>VLOOKUP($A1718,'[2]Team lists'!$A$2:$L$800,2,FALSE)</f>
        <v>#N/A</v>
      </c>
      <c r="C1718" s="43" t="e">
        <f>VLOOKUP($A1718,'[2]Team lists'!$A$2:$L$800,3,FALSE)</f>
        <v>#N/A</v>
      </c>
      <c r="D1718" s="43" t="e">
        <f>VLOOKUP($A1718,'[2]Team lists'!$A$2:$L$800,4,FALSE)</f>
        <v>#N/A</v>
      </c>
      <c r="E1718" s="43" t="e">
        <f>VLOOKUP($A1718,'[2]Team lists'!$A$2:$L$800,5,FALSE)</f>
        <v>#N/A</v>
      </c>
      <c r="F1718" s="43" t="e">
        <f>VLOOKUP($A1718,'[2]Team lists'!$A$2:$L$800,6,FALSE)</f>
        <v>#N/A</v>
      </c>
      <c r="G1718" s="43" t="e">
        <f>VLOOKUP($A1718,'[2]Team lists'!$A$2:$L$800,7,FALSE)</f>
        <v>#N/A</v>
      </c>
      <c r="H1718" s="43" t="e">
        <f>VLOOKUP($A1718,'[2]Team lists'!$A$2:$L$800,8,FALSE)</f>
        <v>#N/A</v>
      </c>
      <c r="I1718" s="43" t="e">
        <f>VLOOKUP($A1718,'[2]Team lists'!$A$2:$L$800,9,FALSE)</f>
        <v>#N/A</v>
      </c>
      <c r="J1718" s="43" t="e">
        <f>VLOOKUP($A1718,'[2]Team lists'!$A$2:$L$800,9,FALSE)</f>
        <v>#N/A</v>
      </c>
      <c r="K1718" s="43" t="e">
        <f>VLOOKUP($A1718,'[2]Team lists'!$A$2:$L$800,10,FALSE)</f>
        <v>#N/A</v>
      </c>
      <c r="L1718" s="43" t="e">
        <f>VLOOKUP($A1718,'[2]Team lists'!$A$2:$L$800,11,FALSE)</f>
        <v>#N/A</v>
      </c>
    </row>
    <row r="1719" spans="2:13">
      <c r="B1719" s="43" t="e">
        <f>VLOOKUP($A1719,'[2]Team lists'!$A$2:$L$800,2,FALSE)</f>
        <v>#N/A</v>
      </c>
      <c r="C1719" s="43" t="e">
        <f>VLOOKUP($A1719,'[2]Team lists'!$A$2:$L$800,3,FALSE)</f>
        <v>#N/A</v>
      </c>
      <c r="D1719" s="43" t="e">
        <f>VLOOKUP($A1719,'[2]Team lists'!$A$2:$L$800,4,FALSE)</f>
        <v>#N/A</v>
      </c>
      <c r="E1719" s="43" t="e">
        <f>VLOOKUP($A1719,'[2]Team lists'!$A$2:$L$800,5,FALSE)</f>
        <v>#N/A</v>
      </c>
      <c r="F1719" s="43" t="e">
        <f>VLOOKUP($A1719,'[2]Team lists'!$A$2:$L$800,6,FALSE)</f>
        <v>#N/A</v>
      </c>
      <c r="G1719" s="43" t="e">
        <f>VLOOKUP($A1719,'[2]Team lists'!$A$2:$L$800,7,FALSE)</f>
        <v>#N/A</v>
      </c>
      <c r="H1719" s="43" t="e">
        <f>VLOOKUP($A1719,'[2]Team lists'!$A$2:$L$800,8,FALSE)</f>
        <v>#N/A</v>
      </c>
      <c r="I1719" s="43" t="e">
        <f>VLOOKUP($A1719,'[2]Team lists'!$A$2:$L$800,9,FALSE)</f>
        <v>#N/A</v>
      </c>
      <c r="J1719" s="43" t="e">
        <f>VLOOKUP($A1719,'[2]Team lists'!$A$2:$L$800,9,FALSE)</f>
        <v>#N/A</v>
      </c>
      <c r="K1719" s="43" t="e">
        <f>VLOOKUP($A1719,'[2]Team lists'!$A$2:$L$800,10,FALSE)</f>
        <v>#N/A</v>
      </c>
      <c r="L1719" s="43" t="e">
        <f>VLOOKUP($A1719,'[2]Team lists'!$A$2:$L$800,11,FALSE)</f>
        <v>#N/A</v>
      </c>
    </row>
    <row r="1720" spans="2:13">
      <c r="B1720" s="43" t="e">
        <f>VLOOKUP($A1720,'[2]Team lists'!$A$2:$L$800,2,FALSE)</f>
        <v>#N/A</v>
      </c>
      <c r="C1720" s="43" t="e">
        <f>VLOOKUP($A1720,'[2]Team lists'!$A$2:$L$800,3,FALSE)</f>
        <v>#N/A</v>
      </c>
      <c r="D1720" s="43" t="e">
        <f>VLOOKUP($A1720,'[2]Team lists'!$A$2:$L$800,4,FALSE)</f>
        <v>#N/A</v>
      </c>
      <c r="E1720" s="43" t="e">
        <f>VLOOKUP($A1720,'[2]Team lists'!$A$2:$L$800,5,FALSE)</f>
        <v>#N/A</v>
      </c>
      <c r="F1720" s="43" t="e">
        <f>VLOOKUP($A1720,'[2]Team lists'!$A$2:$L$800,6,FALSE)</f>
        <v>#N/A</v>
      </c>
      <c r="G1720" s="43" t="e">
        <f>VLOOKUP($A1720,'[2]Team lists'!$A$2:$L$800,7,FALSE)</f>
        <v>#N/A</v>
      </c>
      <c r="H1720" s="43" t="e">
        <f>VLOOKUP($A1720,'[2]Team lists'!$A$2:$L$800,8,FALSE)</f>
        <v>#N/A</v>
      </c>
      <c r="I1720" s="43" t="e">
        <f>VLOOKUP($A1720,'[2]Team lists'!$A$2:$L$800,9,FALSE)</f>
        <v>#N/A</v>
      </c>
      <c r="J1720" s="43" t="e">
        <f>VLOOKUP($A1720,'[2]Team lists'!$A$2:$L$800,9,FALSE)</f>
        <v>#N/A</v>
      </c>
      <c r="K1720" s="43" t="e">
        <f>VLOOKUP($A1720,'[2]Team lists'!$A$2:$L$800,10,FALSE)</f>
        <v>#N/A</v>
      </c>
      <c r="L1720" s="43" t="e">
        <f>VLOOKUP($A1720,'[2]Team lists'!$A$2:$L$800,11,FALSE)</f>
        <v>#N/A</v>
      </c>
    </row>
    <row r="1721" spans="2:13">
      <c r="B1721" s="43" t="e">
        <f>VLOOKUP($A1721,'[2]Team lists'!$A$2:$L$800,2,FALSE)</f>
        <v>#N/A</v>
      </c>
      <c r="C1721" s="43" t="e">
        <f>VLOOKUP($A1721,'[2]Team lists'!$A$2:$L$800,3,FALSE)</f>
        <v>#N/A</v>
      </c>
      <c r="D1721" s="43" t="e">
        <f>VLOOKUP($A1721,'[2]Team lists'!$A$2:$L$800,4,FALSE)</f>
        <v>#N/A</v>
      </c>
      <c r="E1721" s="43" t="e">
        <f>VLOOKUP($A1721,'[2]Team lists'!$A$2:$L$800,5,FALSE)</f>
        <v>#N/A</v>
      </c>
      <c r="F1721" s="43" t="e">
        <f>VLOOKUP($A1721,'[2]Team lists'!$A$2:$L$800,6,FALSE)</f>
        <v>#N/A</v>
      </c>
      <c r="G1721" s="43" t="e">
        <f>VLOOKUP($A1721,'[2]Team lists'!$A$2:$L$800,7,FALSE)</f>
        <v>#N/A</v>
      </c>
      <c r="H1721" s="43" t="e">
        <f>VLOOKUP($A1721,'[2]Team lists'!$A$2:$L$800,8,FALSE)</f>
        <v>#N/A</v>
      </c>
      <c r="I1721" s="43" t="e">
        <f>VLOOKUP($A1721,'[2]Team lists'!$A$2:$L$800,9,FALSE)</f>
        <v>#N/A</v>
      </c>
      <c r="J1721" s="43" t="e">
        <f>VLOOKUP($A1721,'[2]Team lists'!$A$2:$L$800,9,FALSE)</f>
        <v>#N/A</v>
      </c>
      <c r="K1721" s="43" t="e">
        <f>VLOOKUP($A1721,'[2]Team lists'!$A$2:$L$800,10,FALSE)</f>
        <v>#N/A</v>
      </c>
      <c r="L1721" s="43" t="e">
        <f>VLOOKUP($A1721,'[2]Team lists'!$A$2:$L$800,11,FALSE)</f>
        <v>#N/A</v>
      </c>
    </row>
    <row r="1722" spans="2:13">
      <c r="B1722" s="43" t="e">
        <f>VLOOKUP($A1722,'[2]Team lists'!$A$2:$L$800,2,FALSE)</f>
        <v>#N/A</v>
      </c>
      <c r="C1722" s="43" t="e">
        <f>VLOOKUP($A1722,'[2]Team lists'!$A$2:$L$800,3,FALSE)</f>
        <v>#N/A</v>
      </c>
      <c r="D1722" s="43" t="e">
        <f>VLOOKUP($A1722,'[2]Team lists'!$A$2:$L$800,4,FALSE)</f>
        <v>#N/A</v>
      </c>
      <c r="E1722" s="43" t="e">
        <f>VLOOKUP($A1722,'[2]Team lists'!$A$2:$L$800,5,FALSE)</f>
        <v>#N/A</v>
      </c>
      <c r="F1722" s="43" t="e">
        <f>VLOOKUP($A1722,'[2]Team lists'!$A$2:$L$800,6,FALSE)</f>
        <v>#N/A</v>
      </c>
      <c r="G1722" s="43" t="e">
        <f>VLOOKUP($A1722,'[2]Team lists'!$A$2:$L$800,7,FALSE)</f>
        <v>#N/A</v>
      </c>
      <c r="H1722" s="43" t="e">
        <f>VLOOKUP($A1722,'[2]Team lists'!$A$2:$L$800,8,FALSE)</f>
        <v>#N/A</v>
      </c>
      <c r="I1722" s="43" t="e">
        <f>VLOOKUP($A1722,'[2]Team lists'!$A$2:$L$800,9,FALSE)</f>
        <v>#N/A</v>
      </c>
      <c r="J1722" s="43" t="e">
        <f>VLOOKUP($A1722,'[2]Team lists'!$A$2:$L$800,9,FALSE)</f>
        <v>#N/A</v>
      </c>
      <c r="K1722" s="43" t="e">
        <f>VLOOKUP($A1722,'[2]Team lists'!$A$2:$L$800,10,FALSE)</f>
        <v>#N/A</v>
      </c>
      <c r="L1722" s="43" t="e">
        <f>VLOOKUP($A1722,'[2]Team lists'!$A$2:$L$800,11,FALSE)</f>
        <v>#N/A</v>
      </c>
    </row>
    <row r="1723" spans="2:13">
      <c r="B1723" s="43" t="e">
        <f>VLOOKUP($A1723,'[2]Team lists'!$A$2:$L$800,2,FALSE)</f>
        <v>#N/A</v>
      </c>
      <c r="C1723" s="43" t="e">
        <f>VLOOKUP($A1723,'[2]Team lists'!$A$2:$L$800,3,FALSE)</f>
        <v>#N/A</v>
      </c>
      <c r="D1723" s="43" t="e">
        <f>VLOOKUP($A1723,'[2]Team lists'!$A$2:$L$800,4,FALSE)</f>
        <v>#N/A</v>
      </c>
      <c r="E1723" s="43" t="e">
        <f>VLOOKUP($A1723,'[2]Team lists'!$A$2:$L$800,5,FALSE)</f>
        <v>#N/A</v>
      </c>
      <c r="F1723" s="43" t="e">
        <f>VLOOKUP($A1723,'[2]Team lists'!$A$2:$L$800,6,FALSE)</f>
        <v>#N/A</v>
      </c>
      <c r="G1723" s="43" t="e">
        <f>VLOOKUP($A1723,'[2]Team lists'!$A$2:$L$800,7,FALSE)</f>
        <v>#N/A</v>
      </c>
      <c r="H1723" s="43" t="e">
        <f>VLOOKUP($A1723,'[2]Team lists'!$A$2:$L$800,8,FALSE)</f>
        <v>#N/A</v>
      </c>
      <c r="I1723" s="43" t="e">
        <f>VLOOKUP($A1723,'[2]Team lists'!$A$2:$L$800,9,FALSE)</f>
        <v>#N/A</v>
      </c>
      <c r="J1723" s="43" t="e">
        <f>VLOOKUP($A1723,'[2]Team lists'!$A$2:$L$800,9,FALSE)</f>
        <v>#N/A</v>
      </c>
      <c r="K1723" s="43" t="e">
        <f>VLOOKUP($A1723,'[2]Team lists'!$A$2:$L$800,10,FALSE)</f>
        <v>#N/A</v>
      </c>
      <c r="L1723" s="43" t="e">
        <f>VLOOKUP($A1723,'[2]Team lists'!$A$2:$L$800,11,FALSE)</f>
        <v>#N/A</v>
      </c>
    </row>
    <row r="1724" spans="2:13">
      <c r="B1724" s="43" t="e">
        <f>VLOOKUP($A1724,'[2]Team lists'!$A$2:$L$800,2,FALSE)</f>
        <v>#N/A</v>
      </c>
      <c r="C1724" s="43" t="e">
        <f>VLOOKUP($A1724,'[2]Team lists'!$A$2:$L$800,3,FALSE)</f>
        <v>#N/A</v>
      </c>
      <c r="D1724" s="43" t="e">
        <f>VLOOKUP($A1724,'[2]Team lists'!$A$2:$L$800,4,FALSE)</f>
        <v>#N/A</v>
      </c>
      <c r="E1724" s="43" t="e">
        <f>VLOOKUP($A1724,'[2]Team lists'!$A$2:$L$800,5,FALSE)</f>
        <v>#N/A</v>
      </c>
      <c r="F1724" s="43" t="e">
        <f>VLOOKUP($A1724,'[2]Team lists'!$A$2:$L$800,6,FALSE)</f>
        <v>#N/A</v>
      </c>
      <c r="G1724" s="43" t="e">
        <f>VLOOKUP($A1724,'[2]Team lists'!$A$2:$L$800,7,FALSE)</f>
        <v>#N/A</v>
      </c>
      <c r="H1724" s="43" t="e">
        <f>VLOOKUP($A1724,'[2]Team lists'!$A$2:$L$800,8,FALSE)</f>
        <v>#N/A</v>
      </c>
      <c r="I1724" s="43" t="e">
        <f>VLOOKUP($A1724,'[2]Team lists'!$A$2:$L$800,9,FALSE)</f>
        <v>#N/A</v>
      </c>
      <c r="J1724" s="43" t="e">
        <f>VLOOKUP($A1724,'[2]Team lists'!$A$2:$L$800,9,FALSE)</f>
        <v>#N/A</v>
      </c>
      <c r="K1724" s="43" t="e">
        <f>VLOOKUP($A1724,'[2]Team lists'!$A$2:$L$800,10,FALSE)</f>
        <v>#N/A</v>
      </c>
      <c r="L1724" s="43" t="e">
        <f>VLOOKUP($A1724,'[2]Team lists'!$A$2:$L$800,11,FALSE)</f>
        <v>#N/A</v>
      </c>
    </row>
    <row r="1725" spans="2:13">
      <c r="B1725" s="43" t="e">
        <f>VLOOKUP($A1725,'[2]Team lists'!$A$2:$L$800,2,FALSE)</f>
        <v>#N/A</v>
      </c>
      <c r="C1725" s="43" t="e">
        <f>VLOOKUP($A1725,'[2]Team lists'!$A$2:$L$800,3,FALSE)</f>
        <v>#N/A</v>
      </c>
      <c r="D1725" s="43" t="e">
        <f>VLOOKUP($A1725,'[2]Team lists'!$A$2:$L$800,4,FALSE)</f>
        <v>#N/A</v>
      </c>
      <c r="E1725" s="43" t="e">
        <f>VLOOKUP($A1725,'[2]Team lists'!$A$2:$L$800,5,FALSE)</f>
        <v>#N/A</v>
      </c>
      <c r="F1725" s="43" t="e">
        <f>VLOOKUP($A1725,'[2]Team lists'!$A$2:$L$800,6,FALSE)</f>
        <v>#N/A</v>
      </c>
      <c r="G1725" s="43" t="e">
        <f>VLOOKUP($A1725,'[2]Team lists'!$A$2:$L$800,7,FALSE)</f>
        <v>#N/A</v>
      </c>
      <c r="H1725" s="43" t="e">
        <f>VLOOKUP($A1725,'[2]Team lists'!$A$2:$L$800,8,FALSE)</f>
        <v>#N/A</v>
      </c>
      <c r="I1725" s="43" t="e">
        <f>VLOOKUP($A1725,'[2]Team lists'!$A$2:$L$800,9,FALSE)</f>
        <v>#N/A</v>
      </c>
      <c r="J1725" s="43" t="e">
        <f>VLOOKUP($A1725,'[2]Team lists'!$A$2:$L$800,9,FALSE)</f>
        <v>#N/A</v>
      </c>
      <c r="K1725" s="43" t="e">
        <f>VLOOKUP($A1725,'[2]Team lists'!$A$2:$L$800,10,FALSE)</f>
        <v>#N/A</v>
      </c>
      <c r="L1725" s="43" t="e">
        <f>VLOOKUP($A1725,'[2]Team lists'!$A$2:$L$800,11,FALSE)</f>
        <v>#N/A</v>
      </c>
    </row>
    <row r="1726" spans="2:13">
      <c r="B1726" s="43" t="e">
        <f>VLOOKUP($A1726,'[2]Team lists'!$A$2:$L$800,2,FALSE)</f>
        <v>#N/A</v>
      </c>
      <c r="C1726" s="43" t="e">
        <f>VLOOKUP($A1726,'[2]Team lists'!$A$2:$L$800,3,FALSE)</f>
        <v>#N/A</v>
      </c>
      <c r="D1726" s="43" t="e">
        <f>VLOOKUP($A1726,'[2]Team lists'!$A$2:$L$800,4,FALSE)</f>
        <v>#N/A</v>
      </c>
      <c r="E1726" s="43" t="e">
        <f>VLOOKUP($A1726,'[2]Team lists'!$A$2:$L$800,5,FALSE)</f>
        <v>#N/A</v>
      </c>
      <c r="F1726" s="43" t="e">
        <f>VLOOKUP($A1726,'[2]Team lists'!$A$2:$L$800,6,FALSE)</f>
        <v>#N/A</v>
      </c>
      <c r="G1726" s="43" t="e">
        <f>VLOOKUP($A1726,'[2]Team lists'!$A$2:$L$800,7,FALSE)</f>
        <v>#N/A</v>
      </c>
      <c r="H1726" s="43" t="e">
        <f>VLOOKUP($A1726,'[2]Team lists'!$A$2:$L$800,8,FALSE)</f>
        <v>#N/A</v>
      </c>
      <c r="I1726" s="43" t="e">
        <f>VLOOKUP($A1726,'[2]Team lists'!$A$2:$L$800,9,FALSE)</f>
        <v>#N/A</v>
      </c>
      <c r="J1726" s="43" t="e">
        <f>VLOOKUP($A1726,'[2]Team lists'!$A$2:$L$800,9,FALSE)</f>
        <v>#N/A</v>
      </c>
      <c r="K1726" s="43" t="e">
        <f>VLOOKUP($A1726,'[2]Team lists'!$A$2:$L$800,10,FALSE)</f>
        <v>#N/A</v>
      </c>
      <c r="L1726" s="43" t="e">
        <f>VLOOKUP($A1726,'[2]Team lists'!$A$2:$L$800,11,FALSE)</f>
        <v>#N/A</v>
      </c>
    </row>
    <row r="1727" spans="2:13" ht="18" thickBot="1">
      <c r="B1727" s="45" t="s">
        <v>3210</v>
      </c>
      <c r="C1727" s="46"/>
      <c r="D1727" s="47"/>
      <c r="E1727" s="48" t="e">
        <f t="shared" ref="E1727:L1727" si="107">SUM(E1716:E1726)</f>
        <v>#N/A</v>
      </c>
      <c r="F1727" s="49" t="e">
        <f t="shared" si="107"/>
        <v>#N/A</v>
      </c>
      <c r="G1727" s="49" t="e">
        <f t="shared" si="107"/>
        <v>#N/A</v>
      </c>
      <c r="H1727" s="49" t="e">
        <f t="shared" si="107"/>
        <v>#N/A</v>
      </c>
      <c r="I1727" s="49" t="e">
        <f t="shared" si="107"/>
        <v>#N/A</v>
      </c>
      <c r="J1727" s="49" t="e">
        <f t="shared" si="107"/>
        <v>#N/A</v>
      </c>
      <c r="K1727" s="49" t="e">
        <f t="shared" si="107"/>
        <v>#N/A</v>
      </c>
      <c r="L1727" s="50" t="e">
        <f t="shared" si="107"/>
        <v>#N/A</v>
      </c>
    </row>
    <row r="1728" spans="2:13" ht="18.600000000000001" thickTop="1" thickBot="1"/>
    <row r="1729" spans="2:13" ht="18" thickTop="1">
      <c r="B1729" s="23" t="s">
        <v>3204</v>
      </c>
      <c r="C1729" s="24" t="s">
        <v>3205</v>
      </c>
      <c r="D1729" s="25"/>
      <c r="E1729" s="25"/>
      <c r="F1729" s="53"/>
      <c r="G1729" s="28" t="s">
        <v>3206</v>
      </c>
      <c r="H1729" s="54"/>
      <c r="I1729" s="54"/>
      <c r="J1729" s="54"/>
      <c r="K1729" s="28" t="s">
        <v>3207</v>
      </c>
      <c r="L1729" s="29"/>
      <c r="M1729" s="22" t="str">
        <f>G1729</f>
        <v>Manager:</v>
      </c>
    </row>
    <row r="1730" spans="2:13" ht="18" thickBot="1">
      <c r="B1730" s="30">
        <v>109</v>
      </c>
      <c r="C1730" s="57"/>
      <c r="D1730" s="31"/>
      <c r="E1730" s="31"/>
      <c r="F1730" s="33"/>
      <c r="G1730" s="55"/>
      <c r="H1730" s="55"/>
      <c r="I1730" s="55"/>
      <c r="J1730" s="55"/>
      <c r="K1730" s="34" t="e">
        <f>SUM(F1743:L1743)</f>
        <v>#N/A</v>
      </c>
      <c r="L1730" s="35"/>
      <c r="M1730" s="22">
        <f>G1730</f>
        <v>0</v>
      </c>
    </row>
    <row r="1731" spans="2:13" ht="18.600000000000001" thickTop="1">
      <c r="B1731" s="58" t="s">
        <v>913</v>
      </c>
      <c r="C1731" s="59" t="s">
        <v>912</v>
      </c>
      <c r="D1731" s="60" t="s">
        <v>911</v>
      </c>
      <c r="E1731" s="61" t="s">
        <v>3209</v>
      </c>
      <c r="F1731" s="62" t="s">
        <v>3162</v>
      </c>
      <c r="G1731" s="62" t="s">
        <v>3163</v>
      </c>
      <c r="H1731" s="62" t="s">
        <v>3164</v>
      </c>
      <c r="I1731" s="62" t="s">
        <v>3165</v>
      </c>
      <c r="J1731" s="62" t="s">
        <v>3166</v>
      </c>
      <c r="K1731" s="62" t="s">
        <v>3167</v>
      </c>
      <c r="L1731" s="63" t="s">
        <v>3168</v>
      </c>
    </row>
    <row r="1732" spans="2:13">
      <c r="B1732" s="43" t="e">
        <f>VLOOKUP($A1732,'[2]Team lists'!$A$2:$L$800,2,FALSE)</f>
        <v>#N/A</v>
      </c>
      <c r="C1732" s="43" t="e">
        <f>VLOOKUP($A1732,'[2]Team lists'!$A$2:$L$800,3,FALSE)</f>
        <v>#N/A</v>
      </c>
      <c r="D1732" s="43" t="e">
        <f>VLOOKUP($A1732,'[2]Team lists'!$A$2:$L$800,4,FALSE)</f>
        <v>#N/A</v>
      </c>
      <c r="E1732" s="43" t="e">
        <f>VLOOKUP($A1732,'[2]Team lists'!$A$2:$L$800,5,FALSE)</f>
        <v>#N/A</v>
      </c>
      <c r="F1732" s="43" t="e">
        <f>VLOOKUP($A1732,'[2]Team lists'!$A$2:$L$800,6,FALSE)</f>
        <v>#N/A</v>
      </c>
      <c r="G1732" s="43" t="e">
        <f>VLOOKUP($A1732,'[2]Team lists'!$A$2:$L$800,7,FALSE)</f>
        <v>#N/A</v>
      </c>
      <c r="H1732" s="43" t="e">
        <f>VLOOKUP($A1732,'[2]Team lists'!$A$2:$L$800,8,FALSE)</f>
        <v>#N/A</v>
      </c>
      <c r="I1732" s="43" t="e">
        <f>VLOOKUP($A1732,'[2]Team lists'!$A$2:$L$800,9,FALSE)</f>
        <v>#N/A</v>
      </c>
      <c r="J1732" s="43" t="e">
        <f>VLOOKUP($A1732,'[2]Team lists'!$A$2:$L$800,9,FALSE)</f>
        <v>#N/A</v>
      </c>
      <c r="K1732" s="43" t="e">
        <f>VLOOKUP($A1732,'[2]Team lists'!$A$2:$L$800,10,FALSE)</f>
        <v>#N/A</v>
      </c>
      <c r="L1732" s="43" t="e">
        <f>VLOOKUP($A1732,'[2]Team lists'!$A$2:$L$800,11,FALSE)</f>
        <v>#N/A</v>
      </c>
    </row>
    <row r="1733" spans="2:13">
      <c r="B1733" s="43" t="e">
        <f>VLOOKUP($A1733,'[2]Team lists'!$A$2:$L$800,2,FALSE)</f>
        <v>#N/A</v>
      </c>
      <c r="C1733" s="43" t="e">
        <f>VLOOKUP($A1733,'[2]Team lists'!$A$2:$L$800,3,FALSE)</f>
        <v>#N/A</v>
      </c>
      <c r="D1733" s="43" t="e">
        <f>VLOOKUP($A1733,'[2]Team lists'!$A$2:$L$800,4,FALSE)</f>
        <v>#N/A</v>
      </c>
      <c r="E1733" s="43" t="e">
        <f>VLOOKUP($A1733,'[2]Team lists'!$A$2:$L$800,5,FALSE)</f>
        <v>#N/A</v>
      </c>
      <c r="F1733" s="43" t="e">
        <f>VLOOKUP($A1733,'[2]Team lists'!$A$2:$L$800,6,FALSE)</f>
        <v>#N/A</v>
      </c>
      <c r="G1733" s="43" t="e">
        <f>VLOOKUP($A1733,'[2]Team lists'!$A$2:$L$800,7,FALSE)</f>
        <v>#N/A</v>
      </c>
      <c r="H1733" s="43" t="e">
        <f>VLOOKUP($A1733,'[2]Team lists'!$A$2:$L$800,8,FALSE)</f>
        <v>#N/A</v>
      </c>
      <c r="I1733" s="43" t="e">
        <f>VLOOKUP($A1733,'[2]Team lists'!$A$2:$L$800,9,FALSE)</f>
        <v>#N/A</v>
      </c>
      <c r="J1733" s="43" t="e">
        <f>VLOOKUP($A1733,'[2]Team lists'!$A$2:$L$800,9,FALSE)</f>
        <v>#N/A</v>
      </c>
      <c r="K1733" s="43" t="e">
        <f>VLOOKUP($A1733,'[2]Team lists'!$A$2:$L$800,10,FALSE)</f>
        <v>#N/A</v>
      </c>
      <c r="L1733" s="43" t="e">
        <f>VLOOKUP($A1733,'[2]Team lists'!$A$2:$L$800,11,FALSE)</f>
        <v>#N/A</v>
      </c>
    </row>
    <row r="1734" spans="2:13">
      <c r="B1734" s="43" t="e">
        <f>VLOOKUP($A1734,'[2]Team lists'!$A$2:$L$800,2,FALSE)</f>
        <v>#N/A</v>
      </c>
      <c r="C1734" s="43" t="e">
        <f>VLOOKUP($A1734,'[2]Team lists'!$A$2:$L$800,3,FALSE)</f>
        <v>#N/A</v>
      </c>
      <c r="D1734" s="43" t="e">
        <f>VLOOKUP($A1734,'[2]Team lists'!$A$2:$L$800,4,FALSE)</f>
        <v>#N/A</v>
      </c>
      <c r="E1734" s="43" t="e">
        <f>VLOOKUP($A1734,'[2]Team lists'!$A$2:$L$800,5,FALSE)</f>
        <v>#N/A</v>
      </c>
      <c r="F1734" s="43" t="e">
        <f>VLOOKUP($A1734,'[2]Team lists'!$A$2:$L$800,6,FALSE)</f>
        <v>#N/A</v>
      </c>
      <c r="G1734" s="43" t="e">
        <f>VLOOKUP($A1734,'[2]Team lists'!$A$2:$L$800,7,FALSE)</f>
        <v>#N/A</v>
      </c>
      <c r="H1734" s="43" t="e">
        <f>VLOOKUP($A1734,'[2]Team lists'!$A$2:$L$800,8,FALSE)</f>
        <v>#N/A</v>
      </c>
      <c r="I1734" s="43" t="e">
        <f>VLOOKUP($A1734,'[2]Team lists'!$A$2:$L$800,9,FALSE)</f>
        <v>#N/A</v>
      </c>
      <c r="J1734" s="43" t="e">
        <f>VLOOKUP($A1734,'[2]Team lists'!$A$2:$L$800,9,FALSE)</f>
        <v>#N/A</v>
      </c>
      <c r="K1734" s="43" t="e">
        <f>VLOOKUP($A1734,'[2]Team lists'!$A$2:$L$800,10,FALSE)</f>
        <v>#N/A</v>
      </c>
      <c r="L1734" s="43" t="e">
        <f>VLOOKUP($A1734,'[2]Team lists'!$A$2:$L$800,11,FALSE)</f>
        <v>#N/A</v>
      </c>
    </row>
    <row r="1735" spans="2:13">
      <c r="B1735" s="43" t="e">
        <f>VLOOKUP($A1735,'[2]Team lists'!$A$2:$L$800,2,FALSE)</f>
        <v>#N/A</v>
      </c>
      <c r="C1735" s="43" t="e">
        <f>VLOOKUP($A1735,'[2]Team lists'!$A$2:$L$800,3,FALSE)</f>
        <v>#N/A</v>
      </c>
      <c r="D1735" s="43" t="e">
        <f>VLOOKUP($A1735,'[2]Team lists'!$A$2:$L$800,4,FALSE)</f>
        <v>#N/A</v>
      </c>
      <c r="E1735" s="43" t="e">
        <f>VLOOKUP($A1735,'[2]Team lists'!$A$2:$L$800,5,FALSE)</f>
        <v>#N/A</v>
      </c>
      <c r="F1735" s="43" t="e">
        <f>VLOOKUP($A1735,'[2]Team lists'!$A$2:$L$800,6,FALSE)</f>
        <v>#N/A</v>
      </c>
      <c r="G1735" s="43" t="e">
        <f>VLOOKUP($A1735,'[2]Team lists'!$A$2:$L$800,7,FALSE)</f>
        <v>#N/A</v>
      </c>
      <c r="H1735" s="43" t="e">
        <f>VLOOKUP($A1735,'[2]Team lists'!$A$2:$L$800,8,FALSE)</f>
        <v>#N/A</v>
      </c>
      <c r="I1735" s="43" t="e">
        <f>VLOOKUP($A1735,'[2]Team lists'!$A$2:$L$800,9,FALSE)</f>
        <v>#N/A</v>
      </c>
      <c r="J1735" s="43" t="e">
        <f>VLOOKUP($A1735,'[2]Team lists'!$A$2:$L$800,9,FALSE)</f>
        <v>#N/A</v>
      </c>
      <c r="K1735" s="43" t="e">
        <f>VLOOKUP($A1735,'[2]Team lists'!$A$2:$L$800,10,FALSE)</f>
        <v>#N/A</v>
      </c>
      <c r="L1735" s="43" t="e">
        <f>VLOOKUP($A1735,'[2]Team lists'!$A$2:$L$800,11,FALSE)</f>
        <v>#N/A</v>
      </c>
    </row>
    <row r="1736" spans="2:13">
      <c r="B1736" s="43" t="e">
        <f>VLOOKUP($A1736,'[2]Team lists'!$A$2:$L$800,2,FALSE)</f>
        <v>#N/A</v>
      </c>
      <c r="C1736" s="43" t="e">
        <f>VLOOKUP($A1736,'[2]Team lists'!$A$2:$L$800,3,FALSE)</f>
        <v>#N/A</v>
      </c>
      <c r="D1736" s="43" t="e">
        <f>VLOOKUP($A1736,'[2]Team lists'!$A$2:$L$800,4,FALSE)</f>
        <v>#N/A</v>
      </c>
      <c r="E1736" s="43" t="e">
        <f>VLOOKUP($A1736,'[2]Team lists'!$A$2:$L$800,5,FALSE)</f>
        <v>#N/A</v>
      </c>
      <c r="F1736" s="43" t="e">
        <f>VLOOKUP($A1736,'[2]Team lists'!$A$2:$L$800,6,FALSE)</f>
        <v>#N/A</v>
      </c>
      <c r="G1736" s="43" t="e">
        <f>VLOOKUP($A1736,'[2]Team lists'!$A$2:$L$800,7,FALSE)</f>
        <v>#N/A</v>
      </c>
      <c r="H1736" s="43" t="e">
        <f>VLOOKUP($A1736,'[2]Team lists'!$A$2:$L$800,8,FALSE)</f>
        <v>#N/A</v>
      </c>
      <c r="I1736" s="43" t="e">
        <f>VLOOKUP($A1736,'[2]Team lists'!$A$2:$L$800,9,FALSE)</f>
        <v>#N/A</v>
      </c>
      <c r="J1736" s="43" t="e">
        <f>VLOOKUP($A1736,'[2]Team lists'!$A$2:$L$800,9,FALSE)</f>
        <v>#N/A</v>
      </c>
      <c r="K1736" s="43" t="e">
        <f>VLOOKUP($A1736,'[2]Team lists'!$A$2:$L$800,10,FALSE)</f>
        <v>#N/A</v>
      </c>
      <c r="L1736" s="43" t="e">
        <f>VLOOKUP($A1736,'[2]Team lists'!$A$2:$L$800,11,FALSE)</f>
        <v>#N/A</v>
      </c>
    </row>
    <row r="1737" spans="2:13">
      <c r="B1737" s="43" t="e">
        <f>VLOOKUP($A1737,'[2]Team lists'!$A$2:$L$800,2,FALSE)</f>
        <v>#N/A</v>
      </c>
      <c r="C1737" s="43" t="e">
        <f>VLOOKUP($A1737,'[2]Team lists'!$A$2:$L$800,3,FALSE)</f>
        <v>#N/A</v>
      </c>
      <c r="D1737" s="43" t="e">
        <f>VLOOKUP($A1737,'[2]Team lists'!$A$2:$L$800,4,FALSE)</f>
        <v>#N/A</v>
      </c>
      <c r="E1737" s="43" t="e">
        <f>VLOOKUP($A1737,'[2]Team lists'!$A$2:$L$800,5,FALSE)</f>
        <v>#N/A</v>
      </c>
      <c r="F1737" s="43" t="e">
        <f>VLOOKUP($A1737,'[2]Team lists'!$A$2:$L$800,6,FALSE)</f>
        <v>#N/A</v>
      </c>
      <c r="G1737" s="43" t="e">
        <f>VLOOKUP($A1737,'[2]Team lists'!$A$2:$L$800,7,FALSE)</f>
        <v>#N/A</v>
      </c>
      <c r="H1737" s="43" t="e">
        <f>VLOOKUP($A1737,'[2]Team lists'!$A$2:$L$800,8,FALSE)</f>
        <v>#N/A</v>
      </c>
      <c r="I1737" s="43" t="e">
        <f>VLOOKUP($A1737,'[2]Team lists'!$A$2:$L$800,9,FALSE)</f>
        <v>#N/A</v>
      </c>
      <c r="J1737" s="43" t="e">
        <f>VLOOKUP($A1737,'[2]Team lists'!$A$2:$L$800,9,FALSE)</f>
        <v>#N/A</v>
      </c>
      <c r="K1737" s="43" t="e">
        <f>VLOOKUP($A1737,'[2]Team lists'!$A$2:$L$800,10,FALSE)</f>
        <v>#N/A</v>
      </c>
      <c r="L1737" s="43" t="e">
        <f>VLOOKUP($A1737,'[2]Team lists'!$A$2:$L$800,11,FALSE)</f>
        <v>#N/A</v>
      </c>
    </row>
    <row r="1738" spans="2:13">
      <c r="B1738" s="43" t="e">
        <f>VLOOKUP($A1738,'[2]Team lists'!$A$2:$L$800,2,FALSE)</f>
        <v>#N/A</v>
      </c>
      <c r="C1738" s="43" t="e">
        <f>VLOOKUP($A1738,'[2]Team lists'!$A$2:$L$800,3,FALSE)</f>
        <v>#N/A</v>
      </c>
      <c r="D1738" s="43" t="e">
        <f>VLOOKUP($A1738,'[2]Team lists'!$A$2:$L$800,4,FALSE)</f>
        <v>#N/A</v>
      </c>
      <c r="E1738" s="43" t="e">
        <f>VLOOKUP($A1738,'[2]Team lists'!$A$2:$L$800,5,FALSE)</f>
        <v>#N/A</v>
      </c>
      <c r="F1738" s="43" t="e">
        <f>VLOOKUP($A1738,'[2]Team lists'!$A$2:$L$800,6,FALSE)</f>
        <v>#N/A</v>
      </c>
      <c r="G1738" s="43" t="e">
        <f>VLOOKUP($A1738,'[2]Team lists'!$A$2:$L$800,7,FALSE)</f>
        <v>#N/A</v>
      </c>
      <c r="H1738" s="43" t="e">
        <f>VLOOKUP($A1738,'[2]Team lists'!$A$2:$L$800,8,FALSE)</f>
        <v>#N/A</v>
      </c>
      <c r="I1738" s="43" t="e">
        <f>VLOOKUP($A1738,'[2]Team lists'!$A$2:$L$800,9,FALSE)</f>
        <v>#N/A</v>
      </c>
      <c r="J1738" s="43" t="e">
        <f>VLOOKUP($A1738,'[2]Team lists'!$A$2:$L$800,9,FALSE)</f>
        <v>#N/A</v>
      </c>
      <c r="K1738" s="43" t="e">
        <f>VLOOKUP($A1738,'[2]Team lists'!$A$2:$L$800,10,FALSE)</f>
        <v>#N/A</v>
      </c>
      <c r="L1738" s="43" t="e">
        <f>VLOOKUP($A1738,'[2]Team lists'!$A$2:$L$800,11,FALSE)</f>
        <v>#N/A</v>
      </c>
    </row>
    <row r="1739" spans="2:13">
      <c r="B1739" s="43" t="e">
        <f>VLOOKUP($A1739,'[2]Team lists'!$A$2:$L$800,2,FALSE)</f>
        <v>#N/A</v>
      </c>
      <c r="C1739" s="43" t="e">
        <f>VLOOKUP($A1739,'[2]Team lists'!$A$2:$L$800,3,FALSE)</f>
        <v>#N/A</v>
      </c>
      <c r="D1739" s="43" t="e">
        <f>VLOOKUP($A1739,'[2]Team lists'!$A$2:$L$800,4,FALSE)</f>
        <v>#N/A</v>
      </c>
      <c r="E1739" s="43" t="e">
        <f>VLOOKUP($A1739,'[2]Team lists'!$A$2:$L$800,5,FALSE)</f>
        <v>#N/A</v>
      </c>
      <c r="F1739" s="43" t="e">
        <f>VLOOKUP($A1739,'[2]Team lists'!$A$2:$L$800,6,FALSE)</f>
        <v>#N/A</v>
      </c>
      <c r="G1739" s="43" t="e">
        <f>VLOOKUP($A1739,'[2]Team lists'!$A$2:$L$800,7,FALSE)</f>
        <v>#N/A</v>
      </c>
      <c r="H1739" s="43" t="e">
        <f>VLOOKUP($A1739,'[2]Team lists'!$A$2:$L$800,8,FALSE)</f>
        <v>#N/A</v>
      </c>
      <c r="I1739" s="43" t="e">
        <f>VLOOKUP($A1739,'[2]Team lists'!$A$2:$L$800,9,FALSE)</f>
        <v>#N/A</v>
      </c>
      <c r="J1739" s="43" t="e">
        <f>VLOOKUP($A1739,'[2]Team lists'!$A$2:$L$800,9,FALSE)</f>
        <v>#N/A</v>
      </c>
      <c r="K1739" s="43" t="e">
        <f>VLOOKUP($A1739,'[2]Team lists'!$A$2:$L$800,10,FALSE)</f>
        <v>#N/A</v>
      </c>
      <c r="L1739" s="43" t="e">
        <f>VLOOKUP($A1739,'[2]Team lists'!$A$2:$L$800,11,FALSE)</f>
        <v>#N/A</v>
      </c>
    </row>
    <row r="1740" spans="2:13">
      <c r="B1740" s="43" t="e">
        <f>VLOOKUP($A1740,'[2]Team lists'!$A$2:$L$800,2,FALSE)</f>
        <v>#N/A</v>
      </c>
      <c r="C1740" s="43" t="e">
        <f>VLOOKUP($A1740,'[2]Team lists'!$A$2:$L$800,3,FALSE)</f>
        <v>#N/A</v>
      </c>
      <c r="D1740" s="43" t="e">
        <f>VLOOKUP($A1740,'[2]Team lists'!$A$2:$L$800,4,FALSE)</f>
        <v>#N/A</v>
      </c>
      <c r="E1740" s="43" t="e">
        <f>VLOOKUP($A1740,'[2]Team lists'!$A$2:$L$800,5,FALSE)</f>
        <v>#N/A</v>
      </c>
      <c r="F1740" s="43" t="e">
        <f>VLOOKUP($A1740,'[2]Team lists'!$A$2:$L$800,6,FALSE)</f>
        <v>#N/A</v>
      </c>
      <c r="G1740" s="43" t="e">
        <f>VLOOKUP($A1740,'[2]Team lists'!$A$2:$L$800,7,FALSE)</f>
        <v>#N/A</v>
      </c>
      <c r="H1740" s="43" t="e">
        <f>VLOOKUP($A1740,'[2]Team lists'!$A$2:$L$800,8,FALSE)</f>
        <v>#N/A</v>
      </c>
      <c r="I1740" s="43" t="e">
        <f>VLOOKUP($A1740,'[2]Team lists'!$A$2:$L$800,9,FALSE)</f>
        <v>#N/A</v>
      </c>
      <c r="J1740" s="43" t="e">
        <f>VLOOKUP($A1740,'[2]Team lists'!$A$2:$L$800,9,FALSE)</f>
        <v>#N/A</v>
      </c>
      <c r="K1740" s="43" t="e">
        <f>VLOOKUP($A1740,'[2]Team lists'!$A$2:$L$800,10,FALSE)</f>
        <v>#N/A</v>
      </c>
      <c r="L1740" s="43" t="e">
        <f>VLOOKUP($A1740,'[2]Team lists'!$A$2:$L$800,11,FALSE)</f>
        <v>#N/A</v>
      </c>
    </row>
    <row r="1741" spans="2:13">
      <c r="B1741" s="43" t="e">
        <f>VLOOKUP($A1741,'[2]Team lists'!$A$2:$L$800,2,FALSE)</f>
        <v>#N/A</v>
      </c>
      <c r="C1741" s="43" t="e">
        <f>VLOOKUP($A1741,'[2]Team lists'!$A$2:$L$800,3,FALSE)</f>
        <v>#N/A</v>
      </c>
      <c r="D1741" s="43" t="e">
        <f>VLOOKUP($A1741,'[2]Team lists'!$A$2:$L$800,4,FALSE)</f>
        <v>#N/A</v>
      </c>
      <c r="E1741" s="43" t="e">
        <f>VLOOKUP($A1741,'[2]Team lists'!$A$2:$L$800,5,FALSE)</f>
        <v>#N/A</v>
      </c>
      <c r="F1741" s="43" t="e">
        <f>VLOOKUP($A1741,'[2]Team lists'!$A$2:$L$800,6,FALSE)</f>
        <v>#N/A</v>
      </c>
      <c r="G1741" s="43" t="e">
        <f>VLOOKUP($A1741,'[2]Team lists'!$A$2:$L$800,7,FALSE)</f>
        <v>#N/A</v>
      </c>
      <c r="H1741" s="43" t="e">
        <f>VLOOKUP($A1741,'[2]Team lists'!$A$2:$L$800,8,FALSE)</f>
        <v>#N/A</v>
      </c>
      <c r="I1741" s="43" t="e">
        <f>VLOOKUP($A1741,'[2]Team lists'!$A$2:$L$800,9,FALSE)</f>
        <v>#N/A</v>
      </c>
      <c r="J1741" s="43" t="e">
        <f>VLOOKUP($A1741,'[2]Team lists'!$A$2:$L$800,9,FALSE)</f>
        <v>#N/A</v>
      </c>
      <c r="K1741" s="43" t="e">
        <f>VLOOKUP($A1741,'[2]Team lists'!$A$2:$L$800,10,FALSE)</f>
        <v>#N/A</v>
      </c>
      <c r="L1741" s="43" t="e">
        <f>VLOOKUP($A1741,'[2]Team lists'!$A$2:$L$800,11,FALSE)</f>
        <v>#N/A</v>
      </c>
    </row>
    <row r="1742" spans="2:13">
      <c r="B1742" s="43" t="e">
        <f>VLOOKUP($A1742,'[2]Team lists'!$A$2:$L$800,2,FALSE)</f>
        <v>#N/A</v>
      </c>
      <c r="C1742" s="43" t="e">
        <f>VLOOKUP($A1742,'[2]Team lists'!$A$2:$L$800,3,FALSE)</f>
        <v>#N/A</v>
      </c>
      <c r="D1742" s="43" t="e">
        <f>VLOOKUP($A1742,'[2]Team lists'!$A$2:$L$800,4,FALSE)</f>
        <v>#N/A</v>
      </c>
      <c r="E1742" s="43" t="e">
        <f>VLOOKUP($A1742,'[2]Team lists'!$A$2:$L$800,5,FALSE)</f>
        <v>#N/A</v>
      </c>
      <c r="F1742" s="43" t="e">
        <f>VLOOKUP($A1742,'[2]Team lists'!$A$2:$L$800,6,FALSE)</f>
        <v>#N/A</v>
      </c>
      <c r="G1742" s="43" t="e">
        <f>VLOOKUP($A1742,'[2]Team lists'!$A$2:$L$800,7,FALSE)</f>
        <v>#N/A</v>
      </c>
      <c r="H1742" s="43" t="e">
        <f>VLOOKUP($A1742,'[2]Team lists'!$A$2:$L$800,8,FALSE)</f>
        <v>#N/A</v>
      </c>
      <c r="I1742" s="43" t="e">
        <f>VLOOKUP($A1742,'[2]Team lists'!$A$2:$L$800,9,FALSE)</f>
        <v>#N/A</v>
      </c>
      <c r="J1742" s="43" t="e">
        <f>VLOOKUP($A1742,'[2]Team lists'!$A$2:$L$800,9,FALSE)</f>
        <v>#N/A</v>
      </c>
      <c r="K1742" s="43" t="e">
        <f>VLOOKUP($A1742,'[2]Team lists'!$A$2:$L$800,10,FALSE)</f>
        <v>#N/A</v>
      </c>
      <c r="L1742" s="43" t="e">
        <f>VLOOKUP($A1742,'[2]Team lists'!$A$2:$L$800,11,FALSE)</f>
        <v>#N/A</v>
      </c>
    </row>
    <row r="1743" spans="2:13" ht="18" thickBot="1">
      <c r="B1743" s="45" t="s">
        <v>3210</v>
      </c>
      <c r="C1743" s="46"/>
      <c r="D1743" s="47"/>
      <c r="E1743" s="48" t="e">
        <f t="shared" ref="E1743:L1743" si="108">SUM(E1732:E1742)</f>
        <v>#N/A</v>
      </c>
      <c r="F1743" s="49" t="e">
        <f t="shared" si="108"/>
        <v>#N/A</v>
      </c>
      <c r="G1743" s="49" t="e">
        <f t="shared" si="108"/>
        <v>#N/A</v>
      </c>
      <c r="H1743" s="49" t="e">
        <f t="shared" si="108"/>
        <v>#N/A</v>
      </c>
      <c r="I1743" s="49" t="e">
        <f t="shared" si="108"/>
        <v>#N/A</v>
      </c>
      <c r="J1743" s="49" t="e">
        <f t="shared" si="108"/>
        <v>#N/A</v>
      </c>
      <c r="K1743" s="49" t="e">
        <f t="shared" si="108"/>
        <v>#N/A</v>
      </c>
      <c r="L1743" s="50" t="e">
        <f t="shared" si="108"/>
        <v>#N/A</v>
      </c>
    </row>
    <row r="1744" spans="2:13" ht="18.600000000000001" thickTop="1" thickBot="1"/>
    <row r="1745" spans="2:13" ht="18" thickTop="1">
      <c r="B1745" s="23" t="s">
        <v>3204</v>
      </c>
      <c r="C1745" s="24" t="s">
        <v>3205</v>
      </c>
      <c r="D1745" s="25"/>
      <c r="E1745" s="25"/>
      <c r="F1745" s="53"/>
      <c r="G1745" s="28" t="s">
        <v>3206</v>
      </c>
      <c r="H1745" s="54"/>
      <c r="I1745" s="54"/>
      <c r="J1745" s="54"/>
      <c r="K1745" s="28" t="s">
        <v>3207</v>
      </c>
      <c r="L1745" s="29"/>
      <c r="M1745" s="22" t="str">
        <f>G1745</f>
        <v>Manager:</v>
      </c>
    </row>
    <row r="1746" spans="2:13" ht="18" thickBot="1">
      <c r="B1746" s="30">
        <v>110</v>
      </c>
      <c r="C1746" s="57"/>
      <c r="D1746" s="31"/>
      <c r="E1746" s="31"/>
      <c r="F1746" s="33"/>
      <c r="G1746" s="55"/>
      <c r="H1746" s="55"/>
      <c r="I1746" s="55"/>
      <c r="J1746" s="55"/>
      <c r="K1746" s="34" t="e">
        <f>SUM(F1759:L1759)</f>
        <v>#N/A</v>
      </c>
      <c r="L1746" s="35"/>
      <c r="M1746" s="22">
        <f>G1746</f>
        <v>0</v>
      </c>
    </row>
    <row r="1747" spans="2:13" ht="18.600000000000001" thickTop="1">
      <c r="B1747" s="58" t="s">
        <v>913</v>
      </c>
      <c r="C1747" s="59" t="s">
        <v>912</v>
      </c>
      <c r="D1747" s="60" t="s">
        <v>911</v>
      </c>
      <c r="E1747" s="61" t="s">
        <v>3209</v>
      </c>
      <c r="F1747" s="62" t="s">
        <v>3162</v>
      </c>
      <c r="G1747" s="62" t="s">
        <v>3163</v>
      </c>
      <c r="H1747" s="62" t="s">
        <v>3164</v>
      </c>
      <c r="I1747" s="62" t="s">
        <v>3165</v>
      </c>
      <c r="J1747" s="62" t="s">
        <v>3166</v>
      </c>
      <c r="K1747" s="62" t="s">
        <v>3167</v>
      </c>
      <c r="L1747" s="63" t="s">
        <v>3168</v>
      </c>
    </row>
    <row r="1748" spans="2:13">
      <c r="B1748" s="43" t="e">
        <f>VLOOKUP($A1748,'[2]Team lists'!$A$2:$L$800,2,FALSE)</f>
        <v>#N/A</v>
      </c>
      <c r="C1748" s="43" t="e">
        <f>VLOOKUP($A1748,'[2]Team lists'!$A$2:$L$800,3,FALSE)</f>
        <v>#N/A</v>
      </c>
      <c r="D1748" s="43" t="e">
        <f>VLOOKUP($A1748,'[2]Team lists'!$A$2:$L$800,4,FALSE)</f>
        <v>#N/A</v>
      </c>
      <c r="E1748" s="43" t="e">
        <f>VLOOKUP($A1748,'[2]Team lists'!$A$2:$L$800,5,FALSE)</f>
        <v>#N/A</v>
      </c>
      <c r="F1748" s="43" t="e">
        <f>VLOOKUP($A1748,'[2]Team lists'!$A$2:$L$800,6,FALSE)</f>
        <v>#N/A</v>
      </c>
      <c r="G1748" s="43" t="e">
        <f>VLOOKUP($A1748,'[2]Team lists'!$A$2:$L$800,7,FALSE)</f>
        <v>#N/A</v>
      </c>
      <c r="H1748" s="43" t="e">
        <f>VLOOKUP($A1748,'[2]Team lists'!$A$2:$L$800,8,FALSE)</f>
        <v>#N/A</v>
      </c>
      <c r="I1748" s="43" t="e">
        <f>VLOOKUP($A1748,'[2]Team lists'!$A$2:$L$800,9,FALSE)</f>
        <v>#N/A</v>
      </c>
      <c r="J1748" s="43" t="e">
        <f>VLOOKUP($A1748,'[2]Team lists'!$A$2:$L$800,9,FALSE)</f>
        <v>#N/A</v>
      </c>
      <c r="K1748" s="43" t="e">
        <f>VLOOKUP($A1748,'[2]Team lists'!$A$2:$L$800,10,FALSE)</f>
        <v>#N/A</v>
      </c>
      <c r="L1748" s="43" t="e">
        <f>VLOOKUP($A1748,'[2]Team lists'!$A$2:$L$800,11,FALSE)</f>
        <v>#N/A</v>
      </c>
    </row>
    <row r="1749" spans="2:13">
      <c r="B1749" s="43" t="e">
        <f>VLOOKUP($A1749,'[2]Team lists'!$A$2:$L$800,2,FALSE)</f>
        <v>#N/A</v>
      </c>
      <c r="C1749" s="43" t="e">
        <f>VLOOKUP($A1749,'[2]Team lists'!$A$2:$L$800,3,FALSE)</f>
        <v>#N/A</v>
      </c>
      <c r="D1749" s="43" t="e">
        <f>VLOOKUP($A1749,'[2]Team lists'!$A$2:$L$800,4,FALSE)</f>
        <v>#N/A</v>
      </c>
      <c r="E1749" s="43" t="e">
        <f>VLOOKUP($A1749,'[2]Team lists'!$A$2:$L$800,5,FALSE)</f>
        <v>#N/A</v>
      </c>
      <c r="F1749" s="43" t="e">
        <f>VLOOKUP($A1749,'[2]Team lists'!$A$2:$L$800,6,FALSE)</f>
        <v>#N/A</v>
      </c>
      <c r="G1749" s="43" t="e">
        <f>VLOOKUP($A1749,'[2]Team lists'!$A$2:$L$800,7,FALSE)</f>
        <v>#N/A</v>
      </c>
      <c r="H1749" s="43" t="e">
        <f>VLOOKUP($A1749,'[2]Team lists'!$A$2:$L$800,8,FALSE)</f>
        <v>#N/A</v>
      </c>
      <c r="I1749" s="43" t="e">
        <f>VLOOKUP($A1749,'[2]Team lists'!$A$2:$L$800,9,FALSE)</f>
        <v>#N/A</v>
      </c>
      <c r="J1749" s="43" t="e">
        <f>VLOOKUP($A1749,'[2]Team lists'!$A$2:$L$800,9,FALSE)</f>
        <v>#N/A</v>
      </c>
      <c r="K1749" s="43" t="e">
        <f>VLOOKUP($A1749,'[2]Team lists'!$A$2:$L$800,10,FALSE)</f>
        <v>#N/A</v>
      </c>
      <c r="L1749" s="43" t="e">
        <f>VLOOKUP($A1749,'[2]Team lists'!$A$2:$L$800,11,FALSE)</f>
        <v>#N/A</v>
      </c>
    </row>
    <row r="1750" spans="2:13">
      <c r="B1750" s="43" t="e">
        <f>VLOOKUP($A1750,'[2]Team lists'!$A$2:$L$800,2,FALSE)</f>
        <v>#N/A</v>
      </c>
      <c r="C1750" s="43" t="e">
        <f>VLOOKUP($A1750,'[2]Team lists'!$A$2:$L$800,3,FALSE)</f>
        <v>#N/A</v>
      </c>
      <c r="D1750" s="43" t="e">
        <f>VLOOKUP($A1750,'[2]Team lists'!$A$2:$L$800,4,FALSE)</f>
        <v>#N/A</v>
      </c>
      <c r="E1750" s="43" t="e">
        <f>VLOOKUP($A1750,'[2]Team lists'!$A$2:$L$800,5,FALSE)</f>
        <v>#N/A</v>
      </c>
      <c r="F1750" s="43" t="e">
        <f>VLOOKUP($A1750,'[2]Team lists'!$A$2:$L$800,6,FALSE)</f>
        <v>#N/A</v>
      </c>
      <c r="G1750" s="43" t="e">
        <f>VLOOKUP($A1750,'[2]Team lists'!$A$2:$L$800,7,FALSE)</f>
        <v>#N/A</v>
      </c>
      <c r="H1750" s="43" t="e">
        <f>VLOOKUP($A1750,'[2]Team lists'!$A$2:$L$800,8,FALSE)</f>
        <v>#N/A</v>
      </c>
      <c r="I1750" s="43" t="e">
        <f>VLOOKUP($A1750,'[2]Team lists'!$A$2:$L$800,9,FALSE)</f>
        <v>#N/A</v>
      </c>
      <c r="J1750" s="43" t="e">
        <f>VLOOKUP($A1750,'[2]Team lists'!$A$2:$L$800,9,FALSE)</f>
        <v>#N/A</v>
      </c>
      <c r="K1750" s="43" t="e">
        <f>VLOOKUP($A1750,'[2]Team lists'!$A$2:$L$800,10,FALSE)</f>
        <v>#N/A</v>
      </c>
      <c r="L1750" s="43" t="e">
        <f>VLOOKUP($A1750,'[2]Team lists'!$A$2:$L$800,11,FALSE)</f>
        <v>#N/A</v>
      </c>
    </row>
    <row r="1751" spans="2:13">
      <c r="B1751" s="43" t="e">
        <f>VLOOKUP($A1751,'[2]Team lists'!$A$2:$L$800,2,FALSE)</f>
        <v>#N/A</v>
      </c>
      <c r="C1751" s="43" t="e">
        <f>VLOOKUP($A1751,'[2]Team lists'!$A$2:$L$800,3,FALSE)</f>
        <v>#N/A</v>
      </c>
      <c r="D1751" s="43" t="e">
        <f>VLOOKUP($A1751,'[2]Team lists'!$A$2:$L$800,4,FALSE)</f>
        <v>#N/A</v>
      </c>
      <c r="E1751" s="43" t="e">
        <f>VLOOKUP($A1751,'[2]Team lists'!$A$2:$L$800,5,FALSE)</f>
        <v>#N/A</v>
      </c>
      <c r="F1751" s="43" t="e">
        <f>VLOOKUP($A1751,'[2]Team lists'!$A$2:$L$800,6,FALSE)</f>
        <v>#N/A</v>
      </c>
      <c r="G1751" s="43" t="e">
        <f>VLOOKUP($A1751,'[2]Team lists'!$A$2:$L$800,7,FALSE)</f>
        <v>#N/A</v>
      </c>
      <c r="H1751" s="43" t="e">
        <f>VLOOKUP($A1751,'[2]Team lists'!$A$2:$L$800,8,FALSE)</f>
        <v>#N/A</v>
      </c>
      <c r="I1751" s="43" t="e">
        <f>VLOOKUP($A1751,'[2]Team lists'!$A$2:$L$800,9,FALSE)</f>
        <v>#N/A</v>
      </c>
      <c r="J1751" s="43" t="e">
        <f>VLOOKUP($A1751,'[2]Team lists'!$A$2:$L$800,9,FALSE)</f>
        <v>#N/A</v>
      </c>
      <c r="K1751" s="43" t="e">
        <f>VLOOKUP($A1751,'[2]Team lists'!$A$2:$L$800,10,FALSE)</f>
        <v>#N/A</v>
      </c>
      <c r="L1751" s="43" t="e">
        <f>VLOOKUP($A1751,'[2]Team lists'!$A$2:$L$800,11,FALSE)</f>
        <v>#N/A</v>
      </c>
    </row>
    <row r="1752" spans="2:13">
      <c r="B1752" s="43" t="e">
        <f>VLOOKUP($A1752,'[2]Team lists'!$A$2:$L$800,2,FALSE)</f>
        <v>#N/A</v>
      </c>
      <c r="C1752" s="43" t="e">
        <f>VLOOKUP($A1752,'[2]Team lists'!$A$2:$L$800,3,FALSE)</f>
        <v>#N/A</v>
      </c>
      <c r="D1752" s="43" t="e">
        <f>VLOOKUP($A1752,'[2]Team lists'!$A$2:$L$800,4,FALSE)</f>
        <v>#N/A</v>
      </c>
      <c r="E1752" s="43" t="e">
        <f>VLOOKUP($A1752,'[2]Team lists'!$A$2:$L$800,5,FALSE)</f>
        <v>#N/A</v>
      </c>
      <c r="F1752" s="43" t="e">
        <f>VLOOKUP($A1752,'[2]Team lists'!$A$2:$L$800,6,FALSE)</f>
        <v>#N/A</v>
      </c>
      <c r="G1752" s="43" t="e">
        <f>VLOOKUP($A1752,'[2]Team lists'!$A$2:$L$800,7,FALSE)</f>
        <v>#N/A</v>
      </c>
      <c r="H1752" s="43" t="e">
        <f>VLOOKUP($A1752,'[2]Team lists'!$A$2:$L$800,8,FALSE)</f>
        <v>#N/A</v>
      </c>
      <c r="I1752" s="43" t="e">
        <f>VLOOKUP($A1752,'[2]Team lists'!$A$2:$L$800,9,FALSE)</f>
        <v>#N/A</v>
      </c>
      <c r="J1752" s="43" t="e">
        <f>VLOOKUP($A1752,'[2]Team lists'!$A$2:$L$800,9,FALSE)</f>
        <v>#N/A</v>
      </c>
      <c r="K1752" s="43" t="e">
        <f>VLOOKUP($A1752,'[2]Team lists'!$A$2:$L$800,10,FALSE)</f>
        <v>#N/A</v>
      </c>
      <c r="L1752" s="43" t="e">
        <f>VLOOKUP($A1752,'[2]Team lists'!$A$2:$L$800,11,FALSE)</f>
        <v>#N/A</v>
      </c>
    </row>
    <row r="1753" spans="2:13">
      <c r="B1753" s="43" t="e">
        <f>VLOOKUP($A1753,'[2]Team lists'!$A$2:$L$800,2,FALSE)</f>
        <v>#N/A</v>
      </c>
      <c r="C1753" s="43" t="e">
        <f>VLOOKUP($A1753,'[2]Team lists'!$A$2:$L$800,3,FALSE)</f>
        <v>#N/A</v>
      </c>
      <c r="D1753" s="43" t="e">
        <f>VLOOKUP($A1753,'[2]Team lists'!$A$2:$L$800,4,FALSE)</f>
        <v>#N/A</v>
      </c>
      <c r="E1753" s="43" t="e">
        <f>VLOOKUP($A1753,'[2]Team lists'!$A$2:$L$800,5,FALSE)</f>
        <v>#N/A</v>
      </c>
      <c r="F1753" s="43" t="e">
        <f>VLOOKUP($A1753,'[2]Team lists'!$A$2:$L$800,6,FALSE)</f>
        <v>#N/A</v>
      </c>
      <c r="G1753" s="43" t="e">
        <f>VLOOKUP($A1753,'[2]Team lists'!$A$2:$L$800,7,FALSE)</f>
        <v>#N/A</v>
      </c>
      <c r="H1753" s="43" t="e">
        <f>VLOOKUP($A1753,'[2]Team lists'!$A$2:$L$800,8,FALSE)</f>
        <v>#N/A</v>
      </c>
      <c r="I1753" s="43" t="e">
        <f>VLOOKUP($A1753,'[2]Team lists'!$A$2:$L$800,9,FALSE)</f>
        <v>#N/A</v>
      </c>
      <c r="J1753" s="43" t="e">
        <f>VLOOKUP($A1753,'[2]Team lists'!$A$2:$L$800,9,FALSE)</f>
        <v>#N/A</v>
      </c>
      <c r="K1753" s="43" t="e">
        <f>VLOOKUP($A1753,'[2]Team lists'!$A$2:$L$800,10,FALSE)</f>
        <v>#N/A</v>
      </c>
      <c r="L1753" s="43" t="e">
        <f>VLOOKUP($A1753,'[2]Team lists'!$A$2:$L$800,11,FALSE)</f>
        <v>#N/A</v>
      </c>
    </row>
    <row r="1754" spans="2:13">
      <c r="B1754" s="43" t="e">
        <f>VLOOKUP($A1754,'[2]Team lists'!$A$2:$L$800,2,FALSE)</f>
        <v>#N/A</v>
      </c>
      <c r="C1754" s="43" t="e">
        <f>VLOOKUP($A1754,'[2]Team lists'!$A$2:$L$800,3,FALSE)</f>
        <v>#N/A</v>
      </c>
      <c r="D1754" s="43" t="e">
        <f>VLOOKUP($A1754,'[2]Team lists'!$A$2:$L$800,4,FALSE)</f>
        <v>#N/A</v>
      </c>
      <c r="E1754" s="43" t="e">
        <f>VLOOKUP($A1754,'[2]Team lists'!$A$2:$L$800,5,FALSE)</f>
        <v>#N/A</v>
      </c>
      <c r="F1754" s="43" t="e">
        <f>VLOOKUP($A1754,'[2]Team lists'!$A$2:$L$800,6,FALSE)</f>
        <v>#N/A</v>
      </c>
      <c r="G1754" s="43" t="e">
        <f>VLOOKUP($A1754,'[2]Team lists'!$A$2:$L$800,7,FALSE)</f>
        <v>#N/A</v>
      </c>
      <c r="H1754" s="43" t="e">
        <f>VLOOKUP($A1754,'[2]Team lists'!$A$2:$L$800,8,FALSE)</f>
        <v>#N/A</v>
      </c>
      <c r="I1754" s="43" t="e">
        <f>VLOOKUP($A1754,'[2]Team lists'!$A$2:$L$800,9,FALSE)</f>
        <v>#N/A</v>
      </c>
      <c r="J1754" s="43" t="e">
        <f>VLOOKUP($A1754,'[2]Team lists'!$A$2:$L$800,9,FALSE)</f>
        <v>#N/A</v>
      </c>
      <c r="K1754" s="43" t="e">
        <f>VLOOKUP($A1754,'[2]Team lists'!$A$2:$L$800,10,FALSE)</f>
        <v>#N/A</v>
      </c>
      <c r="L1754" s="43" t="e">
        <f>VLOOKUP($A1754,'[2]Team lists'!$A$2:$L$800,11,FALSE)</f>
        <v>#N/A</v>
      </c>
    </row>
    <row r="1755" spans="2:13">
      <c r="B1755" s="43" t="e">
        <f>VLOOKUP($A1755,'[2]Team lists'!$A$2:$L$800,2,FALSE)</f>
        <v>#N/A</v>
      </c>
      <c r="C1755" s="43" t="e">
        <f>VLOOKUP($A1755,'[2]Team lists'!$A$2:$L$800,3,FALSE)</f>
        <v>#N/A</v>
      </c>
      <c r="D1755" s="43" t="e">
        <f>VLOOKUP($A1755,'[2]Team lists'!$A$2:$L$800,4,FALSE)</f>
        <v>#N/A</v>
      </c>
      <c r="E1755" s="43" t="e">
        <f>VLOOKUP($A1755,'[2]Team lists'!$A$2:$L$800,5,FALSE)</f>
        <v>#N/A</v>
      </c>
      <c r="F1755" s="43" t="e">
        <f>VLOOKUP($A1755,'[2]Team lists'!$A$2:$L$800,6,FALSE)</f>
        <v>#N/A</v>
      </c>
      <c r="G1755" s="43" t="e">
        <f>VLOOKUP($A1755,'[2]Team lists'!$A$2:$L$800,7,FALSE)</f>
        <v>#N/A</v>
      </c>
      <c r="H1755" s="43" t="e">
        <f>VLOOKUP($A1755,'[2]Team lists'!$A$2:$L$800,8,FALSE)</f>
        <v>#N/A</v>
      </c>
      <c r="I1755" s="43" t="e">
        <f>VLOOKUP($A1755,'[2]Team lists'!$A$2:$L$800,9,FALSE)</f>
        <v>#N/A</v>
      </c>
      <c r="J1755" s="43" t="e">
        <f>VLOOKUP($A1755,'[2]Team lists'!$A$2:$L$800,9,FALSE)</f>
        <v>#N/A</v>
      </c>
      <c r="K1755" s="43" t="e">
        <f>VLOOKUP($A1755,'[2]Team lists'!$A$2:$L$800,10,FALSE)</f>
        <v>#N/A</v>
      </c>
      <c r="L1755" s="43" t="e">
        <f>VLOOKUP($A1755,'[2]Team lists'!$A$2:$L$800,11,FALSE)</f>
        <v>#N/A</v>
      </c>
    </row>
    <row r="1756" spans="2:13">
      <c r="B1756" s="43" t="e">
        <f>VLOOKUP($A1756,'[2]Team lists'!$A$2:$L$800,2,FALSE)</f>
        <v>#N/A</v>
      </c>
      <c r="C1756" s="43" t="e">
        <f>VLOOKUP($A1756,'[2]Team lists'!$A$2:$L$800,3,FALSE)</f>
        <v>#N/A</v>
      </c>
      <c r="D1756" s="43" t="e">
        <f>VLOOKUP($A1756,'[2]Team lists'!$A$2:$L$800,4,FALSE)</f>
        <v>#N/A</v>
      </c>
      <c r="E1756" s="43" t="e">
        <f>VLOOKUP($A1756,'[2]Team lists'!$A$2:$L$800,5,FALSE)</f>
        <v>#N/A</v>
      </c>
      <c r="F1756" s="43" t="e">
        <f>VLOOKUP($A1756,'[2]Team lists'!$A$2:$L$800,6,FALSE)</f>
        <v>#N/A</v>
      </c>
      <c r="G1756" s="43" t="e">
        <f>VLOOKUP($A1756,'[2]Team lists'!$A$2:$L$800,7,FALSE)</f>
        <v>#N/A</v>
      </c>
      <c r="H1756" s="43" t="e">
        <f>VLOOKUP($A1756,'[2]Team lists'!$A$2:$L$800,8,FALSE)</f>
        <v>#N/A</v>
      </c>
      <c r="I1756" s="43" t="e">
        <f>VLOOKUP($A1756,'[2]Team lists'!$A$2:$L$800,9,FALSE)</f>
        <v>#N/A</v>
      </c>
      <c r="J1756" s="43" t="e">
        <f>VLOOKUP($A1756,'[2]Team lists'!$A$2:$L$800,9,FALSE)</f>
        <v>#N/A</v>
      </c>
      <c r="K1756" s="43" t="e">
        <f>VLOOKUP($A1756,'[2]Team lists'!$A$2:$L$800,10,FALSE)</f>
        <v>#N/A</v>
      </c>
      <c r="L1756" s="43" t="e">
        <f>VLOOKUP($A1756,'[2]Team lists'!$A$2:$L$800,11,FALSE)</f>
        <v>#N/A</v>
      </c>
    </row>
    <row r="1757" spans="2:13">
      <c r="B1757" s="43" t="e">
        <f>VLOOKUP($A1757,'[2]Team lists'!$A$2:$L$800,2,FALSE)</f>
        <v>#N/A</v>
      </c>
      <c r="C1757" s="43" t="e">
        <f>VLOOKUP($A1757,'[2]Team lists'!$A$2:$L$800,3,FALSE)</f>
        <v>#N/A</v>
      </c>
      <c r="D1757" s="43" t="e">
        <f>VLOOKUP($A1757,'[2]Team lists'!$A$2:$L$800,4,FALSE)</f>
        <v>#N/A</v>
      </c>
      <c r="E1757" s="43" t="e">
        <f>VLOOKUP($A1757,'[2]Team lists'!$A$2:$L$800,5,FALSE)</f>
        <v>#N/A</v>
      </c>
      <c r="F1757" s="43" t="e">
        <f>VLOOKUP($A1757,'[2]Team lists'!$A$2:$L$800,6,FALSE)</f>
        <v>#N/A</v>
      </c>
      <c r="G1757" s="43" t="e">
        <f>VLOOKUP($A1757,'[2]Team lists'!$A$2:$L$800,7,FALSE)</f>
        <v>#N/A</v>
      </c>
      <c r="H1757" s="43" t="e">
        <f>VLOOKUP($A1757,'[2]Team lists'!$A$2:$L$800,8,FALSE)</f>
        <v>#N/A</v>
      </c>
      <c r="I1757" s="43" t="e">
        <f>VLOOKUP($A1757,'[2]Team lists'!$A$2:$L$800,9,FALSE)</f>
        <v>#N/A</v>
      </c>
      <c r="J1757" s="43" t="e">
        <f>VLOOKUP($A1757,'[2]Team lists'!$A$2:$L$800,9,FALSE)</f>
        <v>#N/A</v>
      </c>
      <c r="K1757" s="43" t="e">
        <f>VLOOKUP($A1757,'[2]Team lists'!$A$2:$L$800,10,FALSE)</f>
        <v>#N/A</v>
      </c>
      <c r="L1757" s="43" t="e">
        <f>VLOOKUP($A1757,'[2]Team lists'!$A$2:$L$800,11,FALSE)</f>
        <v>#N/A</v>
      </c>
    </row>
    <row r="1758" spans="2:13">
      <c r="B1758" s="43" t="e">
        <f>VLOOKUP($A1758,'[2]Team lists'!$A$2:$L$800,2,FALSE)</f>
        <v>#N/A</v>
      </c>
      <c r="C1758" s="43" t="e">
        <f>VLOOKUP($A1758,'[2]Team lists'!$A$2:$L$800,3,FALSE)</f>
        <v>#N/A</v>
      </c>
      <c r="D1758" s="43" t="e">
        <f>VLOOKUP($A1758,'[2]Team lists'!$A$2:$L$800,4,FALSE)</f>
        <v>#N/A</v>
      </c>
      <c r="E1758" s="43" t="e">
        <f>VLOOKUP($A1758,'[2]Team lists'!$A$2:$L$800,5,FALSE)</f>
        <v>#N/A</v>
      </c>
      <c r="F1758" s="43" t="e">
        <f>VLOOKUP($A1758,'[2]Team lists'!$A$2:$L$800,6,FALSE)</f>
        <v>#N/A</v>
      </c>
      <c r="G1758" s="43" t="e">
        <f>VLOOKUP($A1758,'[2]Team lists'!$A$2:$L$800,7,FALSE)</f>
        <v>#N/A</v>
      </c>
      <c r="H1758" s="43" t="e">
        <f>VLOOKUP($A1758,'[2]Team lists'!$A$2:$L$800,8,FALSE)</f>
        <v>#N/A</v>
      </c>
      <c r="I1758" s="43" t="e">
        <f>VLOOKUP($A1758,'[2]Team lists'!$A$2:$L$800,9,FALSE)</f>
        <v>#N/A</v>
      </c>
      <c r="J1758" s="43" t="e">
        <f>VLOOKUP($A1758,'[2]Team lists'!$A$2:$L$800,9,FALSE)</f>
        <v>#N/A</v>
      </c>
      <c r="K1758" s="43" t="e">
        <f>VLOOKUP($A1758,'[2]Team lists'!$A$2:$L$800,10,FALSE)</f>
        <v>#N/A</v>
      </c>
      <c r="L1758" s="43" t="e">
        <f>VLOOKUP($A1758,'[2]Team lists'!$A$2:$L$800,11,FALSE)</f>
        <v>#N/A</v>
      </c>
    </row>
    <row r="1759" spans="2:13" ht="18" thickBot="1">
      <c r="B1759" s="45" t="s">
        <v>3210</v>
      </c>
      <c r="C1759" s="46"/>
      <c r="D1759" s="47"/>
      <c r="E1759" s="48" t="e">
        <f t="shared" ref="E1759:L1759" si="109">SUM(E1748:E1758)</f>
        <v>#N/A</v>
      </c>
      <c r="F1759" s="49" t="e">
        <f t="shared" si="109"/>
        <v>#N/A</v>
      </c>
      <c r="G1759" s="49" t="e">
        <f t="shared" si="109"/>
        <v>#N/A</v>
      </c>
      <c r="H1759" s="49" t="e">
        <f t="shared" si="109"/>
        <v>#N/A</v>
      </c>
      <c r="I1759" s="49" t="e">
        <f t="shared" si="109"/>
        <v>#N/A</v>
      </c>
      <c r="J1759" s="49" t="e">
        <f t="shared" si="109"/>
        <v>#N/A</v>
      </c>
      <c r="K1759" s="49" t="e">
        <f t="shared" si="109"/>
        <v>#N/A</v>
      </c>
      <c r="L1759" s="50" t="e">
        <f t="shared" si="109"/>
        <v>#N/A</v>
      </c>
    </row>
    <row r="1760" spans="2:13" ht="18.600000000000001" thickTop="1" thickBot="1"/>
    <row r="1761" spans="2:13" ht="18" thickTop="1">
      <c r="B1761" s="23" t="s">
        <v>3204</v>
      </c>
      <c r="C1761" s="24" t="s">
        <v>3205</v>
      </c>
      <c r="D1761" s="25"/>
      <c r="E1761" s="25"/>
      <c r="F1761" s="53"/>
      <c r="G1761" s="28" t="s">
        <v>3206</v>
      </c>
      <c r="H1761" s="54"/>
      <c r="I1761" s="54"/>
      <c r="J1761" s="54"/>
      <c r="K1761" s="28" t="s">
        <v>3207</v>
      </c>
      <c r="L1761" s="29"/>
      <c r="M1761" s="22" t="str">
        <f>G1761</f>
        <v>Manager:</v>
      </c>
    </row>
    <row r="1762" spans="2:13" ht="18" thickBot="1">
      <c r="B1762" s="30">
        <v>111</v>
      </c>
      <c r="C1762" s="57"/>
      <c r="D1762" s="31"/>
      <c r="E1762" s="31"/>
      <c r="F1762" s="33"/>
      <c r="G1762" s="55"/>
      <c r="H1762" s="55"/>
      <c r="I1762" s="55"/>
      <c r="J1762" s="55"/>
      <c r="K1762" s="34" t="e">
        <f>SUM(F1775:L1775)</f>
        <v>#N/A</v>
      </c>
      <c r="L1762" s="35"/>
      <c r="M1762" s="22">
        <f>G1762</f>
        <v>0</v>
      </c>
    </row>
    <row r="1763" spans="2:13" ht="18.600000000000001" thickTop="1">
      <c r="B1763" s="58" t="s">
        <v>913</v>
      </c>
      <c r="C1763" s="59" t="s">
        <v>912</v>
      </c>
      <c r="D1763" s="60" t="s">
        <v>911</v>
      </c>
      <c r="E1763" s="61" t="s">
        <v>3209</v>
      </c>
      <c r="F1763" s="62" t="s">
        <v>3162</v>
      </c>
      <c r="G1763" s="62" t="s">
        <v>3163</v>
      </c>
      <c r="H1763" s="62" t="s">
        <v>3164</v>
      </c>
      <c r="I1763" s="62" t="s">
        <v>3165</v>
      </c>
      <c r="J1763" s="62" t="s">
        <v>3166</v>
      </c>
      <c r="K1763" s="62" t="s">
        <v>3167</v>
      </c>
      <c r="L1763" s="63" t="s">
        <v>3168</v>
      </c>
    </row>
    <row r="1764" spans="2:13">
      <c r="B1764" s="43" t="e">
        <f>VLOOKUP($A1764,'[2]Team lists'!$A$2:$L$800,2,FALSE)</f>
        <v>#N/A</v>
      </c>
      <c r="C1764" s="43" t="e">
        <f>VLOOKUP($A1764,'[2]Team lists'!$A$2:$L$800,3,FALSE)</f>
        <v>#N/A</v>
      </c>
      <c r="D1764" s="43" t="e">
        <f>VLOOKUP($A1764,'[2]Team lists'!$A$2:$L$800,4,FALSE)</f>
        <v>#N/A</v>
      </c>
      <c r="E1764" s="43" t="e">
        <f>VLOOKUP($A1764,'[2]Team lists'!$A$2:$L$800,5,FALSE)</f>
        <v>#N/A</v>
      </c>
      <c r="F1764" s="43" t="e">
        <f>VLOOKUP($A1764,'[2]Team lists'!$A$2:$L$800,6,FALSE)</f>
        <v>#N/A</v>
      </c>
      <c r="G1764" s="43" t="e">
        <f>VLOOKUP($A1764,'[2]Team lists'!$A$2:$L$800,7,FALSE)</f>
        <v>#N/A</v>
      </c>
      <c r="H1764" s="43" t="e">
        <f>VLOOKUP($A1764,'[2]Team lists'!$A$2:$L$800,8,FALSE)</f>
        <v>#N/A</v>
      </c>
      <c r="I1764" s="43" t="e">
        <f>VLOOKUP($A1764,'[2]Team lists'!$A$2:$L$800,9,FALSE)</f>
        <v>#N/A</v>
      </c>
      <c r="J1764" s="43" t="e">
        <f>VLOOKUP($A1764,'[2]Team lists'!$A$2:$L$800,9,FALSE)</f>
        <v>#N/A</v>
      </c>
      <c r="K1764" s="43" t="e">
        <f>VLOOKUP($A1764,'[2]Team lists'!$A$2:$L$800,10,FALSE)</f>
        <v>#N/A</v>
      </c>
      <c r="L1764" s="43" t="e">
        <f>VLOOKUP($A1764,'[2]Team lists'!$A$2:$L$800,11,FALSE)</f>
        <v>#N/A</v>
      </c>
    </row>
    <row r="1765" spans="2:13">
      <c r="B1765" s="43" t="e">
        <f>VLOOKUP($A1765,'[2]Team lists'!$A$2:$L$800,2,FALSE)</f>
        <v>#N/A</v>
      </c>
      <c r="C1765" s="43" t="e">
        <f>VLOOKUP($A1765,'[2]Team lists'!$A$2:$L$800,3,FALSE)</f>
        <v>#N/A</v>
      </c>
      <c r="D1765" s="43" t="e">
        <f>VLOOKUP($A1765,'[2]Team lists'!$A$2:$L$800,4,FALSE)</f>
        <v>#N/A</v>
      </c>
      <c r="E1765" s="43" t="e">
        <f>VLOOKUP($A1765,'[2]Team lists'!$A$2:$L$800,5,FALSE)</f>
        <v>#N/A</v>
      </c>
      <c r="F1765" s="43" t="e">
        <f>VLOOKUP($A1765,'[2]Team lists'!$A$2:$L$800,6,FALSE)</f>
        <v>#N/A</v>
      </c>
      <c r="G1765" s="43" t="e">
        <f>VLOOKUP($A1765,'[2]Team lists'!$A$2:$L$800,7,FALSE)</f>
        <v>#N/A</v>
      </c>
      <c r="H1765" s="43" t="e">
        <f>VLOOKUP($A1765,'[2]Team lists'!$A$2:$L$800,8,FALSE)</f>
        <v>#N/A</v>
      </c>
      <c r="I1765" s="43" t="e">
        <f>VLOOKUP($A1765,'[2]Team lists'!$A$2:$L$800,9,FALSE)</f>
        <v>#N/A</v>
      </c>
      <c r="J1765" s="43" t="e">
        <f>VLOOKUP($A1765,'[2]Team lists'!$A$2:$L$800,9,FALSE)</f>
        <v>#N/A</v>
      </c>
      <c r="K1765" s="43" t="e">
        <f>VLOOKUP($A1765,'[2]Team lists'!$A$2:$L$800,10,FALSE)</f>
        <v>#N/A</v>
      </c>
      <c r="L1765" s="43" t="e">
        <f>VLOOKUP($A1765,'[2]Team lists'!$A$2:$L$800,11,FALSE)</f>
        <v>#N/A</v>
      </c>
    </row>
    <row r="1766" spans="2:13">
      <c r="B1766" s="43" t="e">
        <f>VLOOKUP($A1766,'[2]Team lists'!$A$2:$L$800,2,FALSE)</f>
        <v>#N/A</v>
      </c>
      <c r="C1766" s="43" t="e">
        <f>VLOOKUP($A1766,'[2]Team lists'!$A$2:$L$800,3,FALSE)</f>
        <v>#N/A</v>
      </c>
      <c r="D1766" s="43" t="e">
        <f>VLOOKUP($A1766,'[2]Team lists'!$A$2:$L$800,4,FALSE)</f>
        <v>#N/A</v>
      </c>
      <c r="E1766" s="43" t="e">
        <f>VLOOKUP($A1766,'[2]Team lists'!$A$2:$L$800,5,FALSE)</f>
        <v>#N/A</v>
      </c>
      <c r="F1766" s="43" t="e">
        <f>VLOOKUP($A1766,'[2]Team lists'!$A$2:$L$800,6,FALSE)</f>
        <v>#N/A</v>
      </c>
      <c r="G1766" s="43" t="e">
        <f>VLOOKUP($A1766,'[2]Team lists'!$A$2:$L$800,7,FALSE)</f>
        <v>#N/A</v>
      </c>
      <c r="H1766" s="43" t="e">
        <f>VLOOKUP($A1766,'[2]Team lists'!$A$2:$L$800,8,FALSE)</f>
        <v>#N/A</v>
      </c>
      <c r="I1766" s="43" t="e">
        <f>VLOOKUP($A1766,'[2]Team lists'!$A$2:$L$800,9,FALSE)</f>
        <v>#N/A</v>
      </c>
      <c r="J1766" s="43" t="e">
        <f>VLOOKUP($A1766,'[2]Team lists'!$A$2:$L$800,9,FALSE)</f>
        <v>#N/A</v>
      </c>
      <c r="K1766" s="43" t="e">
        <f>VLOOKUP($A1766,'[2]Team lists'!$A$2:$L$800,10,FALSE)</f>
        <v>#N/A</v>
      </c>
      <c r="L1766" s="43" t="e">
        <f>VLOOKUP($A1766,'[2]Team lists'!$A$2:$L$800,11,FALSE)</f>
        <v>#N/A</v>
      </c>
    </row>
    <row r="1767" spans="2:13">
      <c r="B1767" s="43" t="e">
        <f>VLOOKUP($A1767,'[2]Team lists'!$A$2:$L$800,2,FALSE)</f>
        <v>#N/A</v>
      </c>
      <c r="C1767" s="43" t="e">
        <f>VLOOKUP($A1767,'[2]Team lists'!$A$2:$L$800,3,FALSE)</f>
        <v>#N/A</v>
      </c>
      <c r="D1767" s="43" t="e">
        <f>VLOOKUP($A1767,'[2]Team lists'!$A$2:$L$800,4,FALSE)</f>
        <v>#N/A</v>
      </c>
      <c r="E1767" s="43" t="e">
        <f>VLOOKUP($A1767,'[2]Team lists'!$A$2:$L$800,5,FALSE)</f>
        <v>#N/A</v>
      </c>
      <c r="F1767" s="43" t="e">
        <f>VLOOKUP($A1767,'[2]Team lists'!$A$2:$L$800,6,FALSE)</f>
        <v>#N/A</v>
      </c>
      <c r="G1767" s="43" t="e">
        <f>VLOOKUP($A1767,'[2]Team lists'!$A$2:$L$800,7,FALSE)</f>
        <v>#N/A</v>
      </c>
      <c r="H1767" s="43" t="e">
        <f>VLOOKUP($A1767,'[2]Team lists'!$A$2:$L$800,8,FALSE)</f>
        <v>#N/A</v>
      </c>
      <c r="I1767" s="43" t="e">
        <f>VLOOKUP($A1767,'[2]Team lists'!$A$2:$L$800,9,FALSE)</f>
        <v>#N/A</v>
      </c>
      <c r="J1767" s="43" t="e">
        <f>VLOOKUP($A1767,'[2]Team lists'!$A$2:$L$800,9,FALSE)</f>
        <v>#N/A</v>
      </c>
      <c r="K1767" s="43" t="e">
        <f>VLOOKUP($A1767,'[2]Team lists'!$A$2:$L$800,10,FALSE)</f>
        <v>#N/A</v>
      </c>
      <c r="L1767" s="43" t="e">
        <f>VLOOKUP($A1767,'[2]Team lists'!$A$2:$L$800,11,FALSE)</f>
        <v>#N/A</v>
      </c>
    </row>
    <row r="1768" spans="2:13">
      <c r="B1768" s="43" t="e">
        <f>VLOOKUP($A1768,'[2]Team lists'!$A$2:$L$800,2,FALSE)</f>
        <v>#N/A</v>
      </c>
      <c r="C1768" s="43" t="e">
        <f>VLOOKUP($A1768,'[2]Team lists'!$A$2:$L$800,3,FALSE)</f>
        <v>#N/A</v>
      </c>
      <c r="D1768" s="43" t="e">
        <f>VLOOKUP($A1768,'[2]Team lists'!$A$2:$L$800,4,FALSE)</f>
        <v>#N/A</v>
      </c>
      <c r="E1768" s="43" t="e">
        <f>VLOOKUP($A1768,'[2]Team lists'!$A$2:$L$800,5,FALSE)</f>
        <v>#N/A</v>
      </c>
      <c r="F1768" s="43" t="e">
        <f>VLOOKUP($A1768,'[2]Team lists'!$A$2:$L$800,6,FALSE)</f>
        <v>#N/A</v>
      </c>
      <c r="G1768" s="43" t="e">
        <f>VLOOKUP($A1768,'[2]Team lists'!$A$2:$L$800,7,FALSE)</f>
        <v>#N/A</v>
      </c>
      <c r="H1768" s="43" t="e">
        <f>VLOOKUP($A1768,'[2]Team lists'!$A$2:$L$800,8,FALSE)</f>
        <v>#N/A</v>
      </c>
      <c r="I1768" s="43" t="e">
        <f>VLOOKUP($A1768,'[2]Team lists'!$A$2:$L$800,9,FALSE)</f>
        <v>#N/A</v>
      </c>
      <c r="J1768" s="43" t="e">
        <f>VLOOKUP($A1768,'[2]Team lists'!$A$2:$L$800,9,FALSE)</f>
        <v>#N/A</v>
      </c>
      <c r="K1768" s="43" t="e">
        <f>VLOOKUP($A1768,'[2]Team lists'!$A$2:$L$800,10,FALSE)</f>
        <v>#N/A</v>
      </c>
      <c r="L1768" s="43" t="e">
        <f>VLOOKUP($A1768,'[2]Team lists'!$A$2:$L$800,11,FALSE)</f>
        <v>#N/A</v>
      </c>
    </row>
    <row r="1769" spans="2:13">
      <c r="B1769" s="43" t="e">
        <f>VLOOKUP($A1769,'[2]Team lists'!$A$2:$L$800,2,FALSE)</f>
        <v>#N/A</v>
      </c>
      <c r="C1769" s="43" t="e">
        <f>VLOOKUP($A1769,'[2]Team lists'!$A$2:$L$800,3,FALSE)</f>
        <v>#N/A</v>
      </c>
      <c r="D1769" s="43" t="e">
        <f>VLOOKUP($A1769,'[2]Team lists'!$A$2:$L$800,4,FALSE)</f>
        <v>#N/A</v>
      </c>
      <c r="E1769" s="43" t="e">
        <f>VLOOKUP($A1769,'[2]Team lists'!$A$2:$L$800,5,FALSE)</f>
        <v>#N/A</v>
      </c>
      <c r="F1769" s="43" t="e">
        <f>VLOOKUP($A1769,'[2]Team lists'!$A$2:$L$800,6,FALSE)</f>
        <v>#N/A</v>
      </c>
      <c r="G1769" s="43" t="e">
        <f>VLOOKUP($A1769,'[2]Team lists'!$A$2:$L$800,7,FALSE)</f>
        <v>#N/A</v>
      </c>
      <c r="H1769" s="43" t="e">
        <f>VLOOKUP($A1769,'[2]Team lists'!$A$2:$L$800,8,FALSE)</f>
        <v>#N/A</v>
      </c>
      <c r="I1769" s="43" t="e">
        <f>VLOOKUP($A1769,'[2]Team lists'!$A$2:$L$800,9,FALSE)</f>
        <v>#N/A</v>
      </c>
      <c r="J1769" s="43" t="e">
        <f>VLOOKUP($A1769,'[2]Team lists'!$A$2:$L$800,9,FALSE)</f>
        <v>#N/A</v>
      </c>
      <c r="K1769" s="43" t="e">
        <f>VLOOKUP($A1769,'[2]Team lists'!$A$2:$L$800,10,FALSE)</f>
        <v>#N/A</v>
      </c>
      <c r="L1769" s="43" t="e">
        <f>VLOOKUP($A1769,'[2]Team lists'!$A$2:$L$800,11,FALSE)</f>
        <v>#N/A</v>
      </c>
    </row>
    <row r="1770" spans="2:13">
      <c r="B1770" s="43" t="e">
        <f>VLOOKUP($A1770,'[2]Team lists'!$A$2:$L$800,2,FALSE)</f>
        <v>#N/A</v>
      </c>
      <c r="C1770" s="43" t="e">
        <f>VLOOKUP($A1770,'[2]Team lists'!$A$2:$L$800,3,FALSE)</f>
        <v>#N/A</v>
      </c>
      <c r="D1770" s="43" t="e">
        <f>VLOOKUP($A1770,'[2]Team lists'!$A$2:$L$800,4,FALSE)</f>
        <v>#N/A</v>
      </c>
      <c r="E1770" s="43" t="e">
        <f>VLOOKUP($A1770,'[2]Team lists'!$A$2:$L$800,5,FALSE)</f>
        <v>#N/A</v>
      </c>
      <c r="F1770" s="43" t="e">
        <f>VLOOKUP($A1770,'[2]Team lists'!$A$2:$L$800,6,FALSE)</f>
        <v>#N/A</v>
      </c>
      <c r="G1770" s="43" t="e">
        <f>VLOOKUP($A1770,'[2]Team lists'!$A$2:$L$800,7,FALSE)</f>
        <v>#N/A</v>
      </c>
      <c r="H1770" s="43" t="e">
        <f>VLOOKUP($A1770,'[2]Team lists'!$A$2:$L$800,8,FALSE)</f>
        <v>#N/A</v>
      </c>
      <c r="I1770" s="43" t="e">
        <f>VLOOKUP($A1770,'[2]Team lists'!$A$2:$L$800,9,FALSE)</f>
        <v>#N/A</v>
      </c>
      <c r="J1770" s="43" t="e">
        <f>VLOOKUP($A1770,'[2]Team lists'!$A$2:$L$800,9,FALSE)</f>
        <v>#N/A</v>
      </c>
      <c r="K1770" s="43" t="e">
        <f>VLOOKUP($A1770,'[2]Team lists'!$A$2:$L$800,10,FALSE)</f>
        <v>#N/A</v>
      </c>
      <c r="L1770" s="43" t="e">
        <f>VLOOKUP($A1770,'[2]Team lists'!$A$2:$L$800,11,FALSE)</f>
        <v>#N/A</v>
      </c>
    </row>
    <row r="1771" spans="2:13">
      <c r="B1771" s="43" t="e">
        <f>VLOOKUP($A1771,'[2]Team lists'!$A$2:$L$800,2,FALSE)</f>
        <v>#N/A</v>
      </c>
      <c r="C1771" s="43" t="e">
        <f>VLOOKUP($A1771,'[2]Team lists'!$A$2:$L$800,3,FALSE)</f>
        <v>#N/A</v>
      </c>
      <c r="D1771" s="43" t="e">
        <f>VLOOKUP($A1771,'[2]Team lists'!$A$2:$L$800,4,FALSE)</f>
        <v>#N/A</v>
      </c>
      <c r="E1771" s="43" t="e">
        <f>VLOOKUP($A1771,'[2]Team lists'!$A$2:$L$800,5,FALSE)</f>
        <v>#N/A</v>
      </c>
      <c r="F1771" s="43" t="e">
        <f>VLOOKUP($A1771,'[2]Team lists'!$A$2:$L$800,6,FALSE)</f>
        <v>#N/A</v>
      </c>
      <c r="G1771" s="43" t="e">
        <f>VLOOKUP($A1771,'[2]Team lists'!$A$2:$L$800,7,FALSE)</f>
        <v>#N/A</v>
      </c>
      <c r="H1771" s="43" t="e">
        <f>VLOOKUP($A1771,'[2]Team lists'!$A$2:$L$800,8,FALSE)</f>
        <v>#N/A</v>
      </c>
      <c r="I1771" s="43" t="e">
        <f>VLOOKUP($A1771,'[2]Team lists'!$A$2:$L$800,9,FALSE)</f>
        <v>#N/A</v>
      </c>
      <c r="J1771" s="43" t="e">
        <f>VLOOKUP($A1771,'[2]Team lists'!$A$2:$L$800,9,FALSE)</f>
        <v>#N/A</v>
      </c>
      <c r="K1771" s="43" t="e">
        <f>VLOOKUP($A1771,'[2]Team lists'!$A$2:$L$800,10,FALSE)</f>
        <v>#N/A</v>
      </c>
      <c r="L1771" s="43" t="e">
        <f>VLOOKUP($A1771,'[2]Team lists'!$A$2:$L$800,11,FALSE)</f>
        <v>#N/A</v>
      </c>
    </row>
    <row r="1772" spans="2:13">
      <c r="B1772" s="43" t="e">
        <f>VLOOKUP($A1772,'[2]Team lists'!$A$2:$L$800,2,FALSE)</f>
        <v>#N/A</v>
      </c>
      <c r="C1772" s="43" t="e">
        <f>VLOOKUP($A1772,'[2]Team lists'!$A$2:$L$800,3,FALSE)</f>
        <v>#N/A</v>
      </c>
      <c r="D1772" s="43" t="e">
        <f>VLOOKUP($A1772,'[2]Team lists'!$A$2:$L$800,4,FALSE)</f>
        <v>#N/A</v>
      </c>
      <c r="E1772" s="43" t="e">
        <f>VLOOKUP($A1772,'[2]Team lists'!$A$2:$L$800,5,FALSE)</f>
        <v>#N/A</v>
      </c>
      <c r="F1772" s="43" t="e">
        <f>VLOOKUP($A1772,'[2]Team lists'!$A$2:$L$800,6,FALSE)</f>
        <v>#N/A</v>
      </c>
      <c r="G1772" s="43" t="e">
        <f>VLOOKUP($A1772,'[2]Team lists'!$A$2:$L$800,7,FALSE)</f>
        <v>#N/A</v>
      </c>
      <c r="H1772" s="43" t="e">
        <f>VLOOKUP($A1772,'[2]Team lists'!$A$2:$L$800,8,FALSE)</f>
        <v>#N/A</v>
      </c>
      <c r="I1772" s="43" t="e">
        <f>VLOOKUP($A1772,'[2]Team lists'!$A$2:$L$800,9,FALSE)</f>
        <v>#N/A</v>
      </c>
      <c r="J1772" s="43" t="e">
        <f>VLOOKUP($A1772,'[2]Team lists'!$A$2:$L$800,9,FALSE)</f>
        <v>#N/A</v>
      </c>
      <c r="K1772" s="43" t="e">
        <f>VLOOKUP($A1772,'[2]Team lists'!$A$2:$L$800,10,FALSE)</f>
        <v>#N/A</v>
      </c>
      <c r="L1772" s="43" t="e">
        <f>VLOOKUP($A1772,'[2]Team lists'!$A$2:$L$800,11,FALSE)</f>
        <v>#N/A</v>
      </c>
    </row>
    <row r="1773" spans="2:13">
      <c r="B1773" s="43" t="e">
        <f>VLOOKUP($A1773,'[2]Team lists'!$A$2:$L$800,2,FALSE)</f>
        <v>#N/A</v>
      </c>
      <c r="C1773" s="43" t="e">
        <f>VLOOKUP($A1773,'[2]Team lists'!$A$2:$L$800,3,FALSE)</f>
        <v>#N/A</v>
      </c>
      <c r="D1773" s="43" t="e">
        <f>VLOOKUP($A1773,'[2]Team lists'!$A$2:$L$800,4,FALSE)</f>
        <v>#N/A</v>
      </c>
      <c r="E1773" s="43" t="e">
        <f>VLOOKUP($A1773,'[2]Team lists'!$A$2:$L$800,5,FALSE)</f>
        <v>#N/A</v>
      </c>
      <c r="F1773" s="43" t="e">
        <f>VLOOKUP($A1773,'[2]Team lists'!$A$2:$L$800,6,FALSE)</f>
        <v>#N/A</v>
      </c>
      <c r="G1773" s="43" t="e">
        <f>VLOOKUP($A1773,'[2]Team lists'!$A$2:$L$800,7,FALSE)</f>
        <v>#N/A</v>
      </c>
      <c r="H1773" s="43" t="e">
        <f>VLOOKUP($A1773,'[2]Team lists'!$A$2:$L$800,8,FALSE)</f>
        <v>#N/A</v>
      </c>
      <c r="I1773" s="43" t="e">
        <f>VLOOKUP($A1773,'[2]Team lists'!$A$2:$L$800,9,FALSE)</f>
        <v>#N/A</v>
      </c>
      <c r="J1773" s="43" t="e">
        <f>VLOOKUP($A1773,'[2]Team lists'!$A$2:$L$800,9,FALSE)</f>
        <v>#N/A</v>
      </c>
      <c r="K1773" s="43" t="e">
        <f>VLOOKUP($A1773,'[2]Team lists'!$A$2:$L$800,10,FALSE)</f>
        <v>#N/A</v>
      </c>
      <c r="L1773" s="43" t="e">
        <f>VLOOKUP($A1773,'[2]Team lists'!$A$2:$L$800,11,FALSE)</f>
        <v>#N/A</v>
      </c>
    </row>
    <row r="1774" spans="2:13">
      <c r="B1774" s="43" t="e">
        <f>VLOOKUP($A1774,'[2]Team lists'!$A$2:$L$800,2,FALSE)</f>
        <v>#N/A</v>
      </c>
      <c r="C1774" s="43" t="e">
        <f>VLOOKUP($A1774,'[2]Team lists'!$A$2:$L$800,3,FALSE)</f>
        <v>#N/A</v>
      </c>
      <c r="D1774" s="43" t="e">
        <f>VLOOKUP($A1774,'[2]Team lists'!$A$2:$L$800,4,FALSE)</f>
        <v>#N/A</v>
      </c>
      <c r="E1774" s="43" t="e">
        <f>VLOOKUP($A1774,'[2]Team lists'!$A$2:$L$800,5,FALSE)</f>
        <v>#N/A</v>
      </c>
      <c r="F1774" s="43" t="e">
        <f>VLOOKUP($A1774,'[2]Team lists'!$A$2:$L$800,6,FALSE)</f>
        <v>#N/A</v>
      </c>
      <c r="G1774" s="43" t="e">
        <f>VLOOKUP($A1774,'[2]Team lists'!$A$2:$L$800,7,FALSE)</f>
        <v>#N/A</v>
      </c>
      <c r="H1774" s="43" t="e">
        <f>VLOOKUP($A1774,'[2]Team lists'!$A$2:$L$800,8,FALSE)</f>
        <v>#N/A</v>
      </c>
      <c r="I1774" s="43" t="e">
        <f>VLOOKUP($A1774,'[2]Team lists'!$A$2:$L$800,9,FALSE)</f>
        <v>#N/A</v>
      </c>
      <c r="J1774" s="43" t="e">
        <f>VLOOKUP($A1774,'[2]Team lists'!$A$2:$L$800,9,FALSE)</f>
        <v>#N/A</v>
      </c>
      <c r="K1774" s="43" t="e">
        <f>VLOOKUP($A1774,'[2]Team lists'!$A$2:$L$800,10,FALSE)</f>
        <v>#N/A</v>
      </c>
      <c r="L1774" s="43" t="e">
        <f>VLOOKUP($A1774,'[2]Team lists'!$A$2:$L$800,11,FALSE)</f>
        <v>#N/A</v>
      </c>
    </row>
    <row r="1775" spans="2:13" ht="18" thickBot="1">
      <c r="B1775" s="45" t="s">
        <v>3210</v>
      </c>
      <c r="C1775" s="46"/>
      <c r="D1775" s="47"/>
      <c r="E1775" s="48" t="e">
        <f t="shared" ref="E1775:L1775" si="110">SUM(E1764:E1774)</f>
        <v>#N/A</v>
      </c>
      <c r="F1775" s="49" t="e">
        <f t="shared" si="110"/>
        <v>#N/A</v>
      </c>
      <c r="G1775" s="49" t="e">
        <f t="shared" si="110"/>
        <v>#N/A</v>
      </c>
      <c r="H1775" s="49" t="e">
        <f t="shared" si="110"/>
        <v>#N/A</v>
      </c>
      <c r="I1775" s="49" t="e">
        <f t="shared" si="110"/>
        <v>#N/A</v>
      </c>
      <c r="J1775" s="49" t="e">
        <f t="shared" si="110"/>
        <v>#N/A</v>
      </c>
      <c r="K1775" s="49" t="e">
        <f t="shared" si="110"/>
        <v>#N/A</v>
      </c>
      <c r="L1775" s="50" t="e">
        <f t="shared" si="110"/>
        <v>#N/A</v>
      </c>
    </row>
    <row r="1776" spans="2:13" ht="18.600000000000001" thickTop="1" thickBot="1"/>
    <row r="1777" spans="2:13" ht="18" thickTop="1">
      <c r="B1777" s="23" t="s">
        <v>3204</v>
      </c>
      <c r="C1777" s="24" t="s">
        <v>3205</v>
      </c>
      <c r="D1777" s="25"/>
      <c r="E1777" s="25"/>
      <c r="F1777" s="53"/>
      <c r="G1777" s="28" t="s">
        <v>3206</v>
      </c>
      <c r="H1777" s="54"/>
      <c r="I1777" s="54"/>
      <c r="J1777" s="54"/>
      <c r="K1777" s="28" t="s">
        <v>3207</v>
      </c>
      <c r="L1777" s="29"/>
      <c r="M1777" s="22" t="str">
        <f>G1777</f>
        <v>Manager:</v>
      </c>
    </row>
    <row r="1778" spans="2:13" ht="18" thickBot="1">
      <c r="B1778" s="30">
        <v>112</v>
      </c>
      <c r="C1778" s="57"/>
      <c r="D1778" s="31"/>
      <c r="E1778" s="31"/>
      <c r="F1778" s="33"/>
      <c r="G1778" s="55"/>
      <c r="H1778" s="55"/>
      <c r="I1778" s="55"/>
      <c r="J1778" s="55"/>
      <c r="K1778" s="34" t="e">
        <f>SUM(F1791:L1791)</f>
        <v>#N/A</v>
      </c>
      <c r="L1778" s="35"/>
      <c r="M1778" s="22">
        <f>G1778</f>
        <v>0</v>
      </c>
    </row>
    <row r="1779" spans="2:13" ht="18.600000000000001" thickTop="1">
      <c r="B1779" s="58" t="s">
        <v>913</v>
      </c>
      <c r="C1779" s="59" t="s">
        <v>912</v>
      </c>
      <c r="D1779" s="60" t="s">
        <v>911</v>
      </c>
      <c r="E1779" s="61" t="s">
        <v>3209</v>
      </c>
      <c r="F1779" s="62" t="s">
        <v>3162</v>
      </c>
      <c r="G1779" s="62" t="s">
        <v>3163</v>
      </c>
      <c r="H1779" s="62" t="s">
        <v>3164</v>
      </c>
      <c r="I1779" s="62" t="s">
        <v>3165</v>
      </c>
      <c r="J1779" s="62" t="s">
        <v>3166</v>
      </c>
      <c r="K1779" s="62" t="s">
        <v>3167</v>
      </c>
      <c r="L1779" s="63" t="s">
        <v>3168</v>
      </c>
    </row>
    <row r="1780" spans="2:13">
      <c r="B1780" s="43" t="e">
        <f>VLOOKUP($A1780,'[2]Team lists'!$A$2:$L$800,2,FALSE)</f>
        <v>#N/A</v>
      </c>
      <c r="C1780" s="43" t="e">
        <f>VLOOKUP($A1780,'[2]Team lists'!$A$2:$L$800,3,FALSE)</f>
        <v>#N/A</v>
      </c>
      <c r="D1780" s="43" t="e">
        <f>VLOOKUP($A1780,'[2]Team lists'!$A$2:$L$800,4,FALSE)</f>
        <v>#N/A</v>
      </c>
      <c r="E1780" s="43" t="e">
        <f>VLOOKUP($A1780,'[2]Team lists'!$A$2:$L$800,5,FALSE)</f>
        <v>#N/A</v>
      </c>
      <c r="F1780" s="43" t="e">
        <f>VLOOKUP($A1780,'[2]Team lists'!$A$2:$L$800,6,FALSE)</f>
        <v>#N/A</v>
      </c>
      <c r="G1780" s="43" t="e">
        <f>VLOOKUP($A1780,'[2]Team lists'!$A$2:$L$800,7,FALSE)</f>
        <v>#N/A</v>
      </c>
      <c r="H1780" s="43" t="e">
        <f>VLOOKUP($A1780,'[2]Team lists'!$A$2:$L$800,8,FALSE)</f>
        <v>#N/A</v>
      </c>
      <c r="I1780" s="43" t="e">
        <f>VLOOKUP($A1780,'[2]Team lists'!$A$2:$L$800,9,FALSE)</f>
        <v>#N/A</v>
      </c>
      <c r="J1780" s="43" t="e">
        <f>VLOOKUP($A1780,'[2]Team lists'!$A$2:$L$800,9,FALSE)</f>
        <v>#N/A</v>
      </c>
      <c r="K1780" s="43" t="e">
        <f>VLOOKUP($A1780,'[2]Team lists'!$A$2:$L$800,10,FALSE)</f>
        <v>#N/A</v>
      </c>
      <c r="L1780" s="43" t="e">
        <f>VLOOKUP($A1780,'[2]Team lists'!$A$2:$L$800,11,FALSE)</f>
        <v>#N/A</v>
      </c>
    </row>
    <row r="1781" spans="2:13">
      <c r="B1781" s="43" t="e">
        <f>VLOOKUP($A1781,'[2]Team lists'!$A$2:$L$800,2,FALSE)</f>
        <v>#N/A</v>
      </c>
      <c r="C1781" s="43" t="e">
        <f>VLOOKUP($A1781,'[2]Team lists'!$A$2:$L$800,3,FALSE)</f>
        <v>#N/A</v>
      </c>
      <c r="D1781" s="43" t="e">
        <f>VLOOKUP($A1781,'[2]Team lists'!$A$2:$L$800,4,FALSE)</f>
        <v>#N/A</v>
      </c>
      <c r="E1781" s="43" t="e">
        <f>VLOOKUP($A1781,'[2]Team lists'!$A$2:$L$800,5,FALSE)</f>
        <v>#N/A</v>
      </c>
      <c r="F1781" s="43" t="e">
        <f>VLOOKUP($A1781,'[2]Team lists'!$A$2:$L$800,6,FALSE)</f>
        <v>#N/A</v>
      </c>
      <c r="G1781" s="43" t="e">
        <f>VLOOKUP($A1781,'[2]Team lists'!$A$2:$L$800,7,FALSE)</f>
        <v>#N/A</v>
      </c>
      <c r="H1781" s="43" t="e">
        <f>VLOOKUP($A1781,'[2]Team lists'!$A$2:$L$800,8,FALSE)</f>
        <v>#N/A</v>
      </c>
      <c r="I1781" s="43" t="e">
        <f>VLOOKUP($A1781,'[2]Team lists'!$A$2:$L$800,9,FALSE)</f>
        <v>#N/A</v>
      </c>
      <c r="J1781" s="43" t="e">
        <f>VLOOKUP($A1781,'[2]Team lists'!$A$2:$L$800,9,FALSE)</f>
        <v>#N/A</v>
      </c>
      <c r="K1781" s="43" t="e">
        <f>VLOOKUP($A1781,'[2]Team lists'!$A$2:$L$800,10,FALSE)</f>
        <v>#N/A</v>
      </c>
      <c r="L1781" s="43" t="e">
        <f>VLOOKUP($A1781,'[2]Team lists'!$A$2:$L$800,11,FALSE)</f>
        <v>#N/A</v>
      </c>
    </row>
    <row r="1782" spans="2:13">
      <c r="B1782" s="43" t="e">
        <f>VLOOKUP($A1782,'[2]Team lists'!$A$2:$L$800,2,FALSE)</f>
        <v>#N/A</v>
      </c>
      <c r="C1782" s="43" t="e">
        <f>VLOOKUP($A1782,'[2]Team lists'!$A$2:$L$800,3,FALSE)</f>
        <v>#N/A</v>
      </c>
      <c r="D1782" s="43" t="e">
        <f>VLOOKUP($A1782,'[2]Team lists'!$A$2:$L$800,4,FALSE)</f>
        <v>#N/A</v>
      </c>
      <c r="E1782" s="43" t="e">
        <f>VLOOKUP($A1782,'[2]Team lists'!$A$2:$L$800,5,FALSE)</f>
        <v>#N/A</v>
      </c>
      <c r="F1782" s="43" t="e">
        <f>VLOOKUP($A1782,'[2]Team lists'!$A$2:$L$800,6,FALSE)</f>
        <v>#N/A</v>
      </c>
      <c r="G1782" s="43" t="e">
        <f>VLOOKUP($A1782,'[2]Team lists'!$A$2:$L$800,7,FALSE)</f>
        <v>#N/A</v>
      </c>
      <c r="H1782" s="43" t="e">
        <f>VLOOKUP($A1782,'[2]Team lists'!$A$2:$L$800,8,FALSE)</f>
        <v>#N/A</v>
      </c>
      <c r="I1782" s="43" t="e">
        <f>VLOOKUP($A1782,'[2]Team lists'!$A$2:$L$800,9,FALSE)</f>
        <v>#N/A</v>
      </c>
      <c r="J1782" s="43" t="e">
        <f>VLOOKUP($A1782,'[2]Team lists'!$A$2:$L$800,9,FALSE)</f>
        <v>#N/A</v>
      </c>
      <c r="K1782" s="43" t="e">
        <f>VLOOKUP($A1782,'[2]Team lists'!$A$2:$L$800,10,FALSE)</f>
        <v>#N/A</v>
      </c>
      <c r="L1782" s="43" t="e">
        <f>VLOOKUP($A1782,'[2]Team lists'!$A$2:$L$800,11,FALSE)</f>
        <v>#N/A</v>
      </c>
    </row>
    <row r="1783" spans="2:13">
      <c r="B1783" s="43" t="e">
        <f>VLOOKUP($A1783,'[2]Team lists'!$A$2:$L$800,2,FALSE)</f>
        <v>#N/A</v>
      </c>
      <c r="C1783" s="43" t="e">
        <f>VLOOKUP($A1783,'[2]Team lists'!$A$2:$L$800,3,FALSE)</f>
        <v>#N/A</v>
      </c>
      <c r="D1783" s="43" t="e">
        <f>VLOOKUP($A1783,'[2]Team lists'!$A$2:$L$800,4,FALSE)</f>
        <v>#N/A</v>
      </c>
      <c r="E1783" s="43" t="e">
        <f>VLOOKUP($A1783,'[2]Team lists'!$A$2:$L$800,5,FALSE)</f>
        <v>#N/A</v>
      </c>
      <c r="F1783" s="43" t="e">
        <f>VLOOKUP($A1783,'[2]Team lists'!$A$2:$L$800,6,FALSE)</f>
        <v>#N/A</v>
      </c>
      <c r="G1783" s="43" t="e">
        <f>VLOOKUP($A1783,'[2]Team lists'!$A$2:$L$800,7,FALSE)</f>
        <v>#N/A</v>
      </c>
      <c r="H1783" s="43" t="e">
        <f>VLOOKUP($A1783,'[2]Team lists'!$A$2:$L$800,8,FALSE)</f>
        <v>#N/A</v>
      </c>
      <c r="I1783" s="43" t="e">
        <f>VLOOKUP($A1783,'[2]Team lists'!$A$2:$L$800,9,FALSE)</f>
        <v>#N/A</v>
      </c>
      <c r="J1783" s="43" t="e">
        <f>VLOOKUP($A1783,'[2]Team lists'!$A$2:$L$800,9,FALSE)</f>
        <v>#N/A</v>
      </c>
      <c r="K1783" s="43" t="e">
        <f>VLOOKUP($A1783,'[2]Team lists'!$A$2:$L$800,10,FALSE)</f>
        <v>#N/A</v>
      </c>
      <c r="L1783" s="43" t="e">
        <f>VLOOKUP($A1783,'[2]Team lists'!$A$2:$L$800,11,FALSE)</f>
        <v>#N/A</v>
      </c>
    </row>
    <row r="1784" spans="2:13">
      <c r="B1784" s="43" t="e">
        <f>VLOOKUP($A1784,'[2]Team lists'!$A$2:$L$800,2,FALSE)</f>
        <v>#N/A</v>
      </c>
      <c r="C1784" s="43" t="e">
        <f>VLOOKUP($A1784,'[2]Team lists'!$A$2:$L$800,3,FALSE)</f>
        <v>#N/A</v>
      </c>
      <c r="D1784" s="43" t="e">
        <f>VLOOKUP($A1784,'[2]Team lists'!$A$2:$L$800,4,FALSE)</f>
        <v>#N/A</v>
      </c>
      <c r="E1784" s="43" t="e">
        <f>VLOOKUP($A1784,'[2]Team lists'!$A$2:$L$800,5,FALSE)</f>
        <v>#N/A</v>
      </c>
      <c r="F1784" s="43" t="e">
        <f>VLOOKUP($A1784,'[2]Team lists'!$A$2:$L$800,6,FALSE)</f>
        <v>#N/A</v>
      </c>
      <c r="G1784" s="43" t="e">
        <f>VLOOKUP($A1784,'[2]Team lists'!$A$2:$L$800,7,FALSE)</f>
        <v>#N/A</v>
      </c>
      <c r="H1784" s="43" t="e">
        <f>VLOOKUP($A1784,'[2]Team lists'!$A$2:$L$800,8,FALSE)</f>
        <v>#N/A</v>
      </c>
      <c r="I1784" s="43" t="e">
        <f>VLOOKUP($A1784,'[2]Team lists'!$A$2:$L$800,9,FALSE)</f>
        <v>#N/A</v>
      </c>
      <c r="J1784" s="43" t="e">
        <f>VLOOKUP($A1784,'[2]Team lists'!$A$2:$L$800,9,FALSE)</f>
        <v>#N/A</v>
      </c>
      <c r="K1784" s="43" t="e">
        <f>VLOOKUP($A1784,'[2]Team lists'!$A$2:$L$800,10,FALSE)</f>
        <v>#N/A</v>
      </c>
      <c r="L1784" s="43" t="e">
        <f>VLOOKUP($A1784,'[2]Team lists'!$A$2:$L$800,11,FALSE)</f>
        <v>#N/A</v>
      </c>
    </row>
    <row r="1785" spans="2:13">
      <c r="B1785" s="43" t="e">
        <f>VLOOKUP($A1785,'[2]Team lists'!$A$2:$L$800,2,FALSE)</f>
        <v>#N/A</v>
      </c>
      <c r="C1785" s="43" t="e">
        <f>VLOOKUP($A1785,'[2]Team lists'!$A$2:$L$800,3,FALSE)</f>
        <v>#N/A</v>
      </c>
      <c r="D1785" s="43" t="e">
        <f>VLOOKUP($A1785,'[2]Team lists'!$A$2:$L$800,4,FALSE)</f>
        <v>#N/A</v>
      </c>
      <c r="E1785" s="43" t="e">
        <f>VLOOKUP($A1785,'[2]Team lists'!$A$2:$L$800,5,FALSE)</f>
        <v>#N/A</v>
      </c>
      <c r="F1785" s="43" t="e">
        <f>VLOOKUP($A1785,'[2]Team lists'!$A$2:$L$800,6,FALSE)</f>
        <v>#N/A</v>
      </c>
      <c r="G1785" s="43" t="e">
        <f>VLOOKUP($A1785,'[2]Team lists'!$A$2:$L$800,7,FALSE)</f>
        <v>#N/A</v>
      </c>
      <c r="H1785" s="43" t="e">
        <f>VLOOKUP($A1785,'[2]Team lists'!$A$2:$L$800,8,FALSE)</f>
        <v>#N/A</v>
      </c>
      <c r="I1785" s="43" t="e">
        <f>VLOOKUP($A1785,'[2]Team lists'!$A$2:$L$800,9,FALSE)</f>
        <v>#N/A</v>
      </c>
      <c r="J1785" s="43" t="e">
        <f>VLOOKUP($A1785,'[2]Team lists'!$A$2:$L$800,9,FALSE)</f>
        <v>#N/A</v>
      </c>
      <c r="K1785" s="43" t="e">
        <f>VLOOKUP($A1785,'[2]Team lists'!$A$2:$L$800,10,FALSE)</f>
        <v>#N/A</v>
      </c>
      <c r="L1785" s="43" t="e">
        <f>VLOOKUP($A1785,'[2]Team lists'!$A$2:$L$800,11,FALSE)</f>
        <v>#N/A</v>
      </c>
    </row>
    <row r="1786" spans="2:13">
      <c r="B1786" s="43" t="e">
        <f>VLOOKUP($A1786,'[2]Team lists'!$A$2:$L$800,2,FALSE)</f>
        <v>#N/A</v>
      </c>
      <c r="C1786" s="43" t="e">
        <f>VLOOKUP($A1786,'[2]Team lists'!$A$2:$L$800,3,FALSE)</f>
        <v>#N/A</v>
      </c>
      <c r="D1786" s="43" t="e">
        <f>VLOOKUP($A1786,'[2]Team lists'!$A$2:$L$800,4,FALSE)</f>
        <v>#N/A</v>
      </c>
      <c r="E1786" s="43" t="e">
        <f>VLOOKUP($A1786,'[2]Team lists'!$A$2:$L$800,5,FALSE)</f>
        <v>#N/A</v>
      </c>
      <c r="F1786" s="43" t="e">
        <f>VLOOKUP($A1786,'[2]Team lists'!$A$2:$L$800,6,FALSE)</f>
        <v>#N/A</v>
      </c>
      <c r="G1786" s="43" t="e">
        <f>VLOOKUP($A1786,'[2]Team lists'!$A$2:$L$800,7,FALSE)</f>
        <v>#N/A</v>
      </c>
      <c r="H1786" s="43" t="e">
        <f>VLOOKUP($A1786,'[2]Team lists'!$A$2:$L$800,8,FALSE)</f>
        <v>#N/A</v>
      </c>
      <c r="I1786" s="43" t="e">
        <f>VLOOKUP($A1786,'[2]Team lists'!$A$2:$L$800,9,FALSE)</f>
        <v>#N/A</v>
      </c>
      <c r="J1786" s="43" t="e">
        <f>VLOOKUP($A1786,'[2]Team lists'!$A$2:$L$800,9,FALSE)</f>
        <v>#N/A</v>
      </c>
      <c r="K1786" s="43" t="e">
        <f>VLOOKUP($A1786,'[2]Team lists'!$A$2:$L$800,10,FALSE)</f>
        <v>#N/A</v>
      </c>
      <c r="L1786" s="43" t="e">
        <f>VLOOKUP($A1786,'[2]Team lists'!$A$2:$L$800,11,FALSE)</f>
        <v>#N/A</v>
      </c>
    </row>
    <row r="1787" spans="2:13">
      <c r="B1787" s="43" t="e">
        <f>VLOOKUP($A1787,'[2]Team lists'!$A$2:$L$800,2,FALSE)</f>
        <v>#N/A</v>
      </c>
      <c r="C1787" s="43" t="e">
        <f>VLOOKUP($A1787,'[2]Team lists'!$A$2:$L$800,3,FALSE)</f>
        <v>#N/A</v>
      </c>
      <c r="D1787" s="43" t="e">
        <f>VLOOKUP($A1787,'[2]Team lists'!$A$2:$L$800,4,FALSE)</f>
        <v>#N/A</v>
      </c>
      <c r="E1787" s="43" t="e">
        <f>VLOOKUP($A1787,'[2]Team lists'!$A$2:$L$800,5,FALSE)</f>
        <v>#N/A</v>
      </c>
      <c r="F1787" s="43" t="e">
        <f>VLOOKUP($A1787,'[2]Team lists'!$A$2:$L$800,6,FALSE)</f>
        <v>#N/A</v>
      </c>
      <c r="G1787" s="43" t="e">
        <f>VLOOKUP($A1787,'[2]Team lists'!$A$2:$L$800,7,FALSE)</f>
        <v>#N/A</v>
      </c>
      <c r="H1787" s="43" t="e">
        <f>VLOOKUP($A1787,'[2]Team lists'!$A$2:$L$800,8,FALSE)</f>
        <v>#N/A</v>
      </c>
      <c r="I1787" s="43" t="e">
        <f>VLOOKUP($A1787,'[2]Team lists'!$A$2:$L$800,9,FALSE)</f>
        <v>#N/A</v>
      </c>
      <c r="J1787" s="43" t="e">
        <f>VLOOKUP($A1787,'[2]Team lists'!$A$2:$L$800,9,FALSE)</f>
        <v>#N/A</v>
      </c>
      <c r="K1787" s="43" t="e">
        <f>VLOOKUP($A1787,'[2]Team lists'!$A$2:$L$800,10,FALSE)</f>
        <v>#N/A</v>
      </c>
      <c r="L1787" s="43" t="e">
        <f>VLOOKUP($A1787,'[2]Team lists'!$A$2:$L$800,11,FALSE)</f>
        <v>#N/A</v>
      </c>
    </row>
    <row r="1788" spans="2:13">
      <c r="B1788" s="43" t="e">
        <f>VLOOKUP($A1788,'[2]Team lists'!$A$2:$L$800,2,FALSE)</f>
        <v>#N/A</v>
      </c>
      <c r="C1788" s="43" t="e">
        <f>VLOOKUP($A1788,'[2]Team lists'!$A$2:$L$800,3,FALSE)</f>
        <v>#N/A</v>
      </c>
      <c r="D1788" s="43" t="e">
        <f>VLOOKUP($A1788,'[2]Team lists'!$A$2:$L$800,4,FALSE)</f>
        <v>#N/A</v>
      </c>
      <c r="E1788" s="43" t="e">
        <f>VLOOKUP($A1788,'[2]Team lists'!$A$2:$L$800,5,FALSE)</f>
        <v>#N/A</v>
      </c>
      <c r="F1788" s="43" t="e">
        <f>VLOOKUP($A1788,'[2]Team lists'!$A$2:$L$800,6,FALSE)</f>
        <v>#N/A</v>
      </c>
      <c r="G1788" s="43" t="e">
        <f>VLOOKUP($A1788,'[2]Team lists'!$A$2:$L$800,7,FALSE)</f>
        <v>#N/A</v>
      </c>
      <c r="H1788" s="43" t="e">
        <f>VLOOKUP($A1788,'[2]Team lists'!$A$2:$L$800,8,FALSE)</f>
        <v>#N/A</v>
      </c>
      <c r="I1788" s="43" t="e">
        <f>VLOOKUP($A1788,'[2]Team lists'!$A$2:$L$800,9,FALSE)</f>
        <v>#N/A</v>
      </c>
      <c r="J1788" s="43" t="e">
        <f>VLOOKUP($A1788,'[2]Team lists'!$A$2:$L$800,9,FALSE)</f>
        <v>#N/A</v>
      </c>
      <c r="K1788" s="43" t="e">
        <f>VLOOKUP($A1788,'[2]Team lists'!$A$2:$L$800,10,FALSE)</f>
        <v>#N/A</v>
      </c>
      <c r="L1788" s="43" t="e">
        <f>VLOOKUP($A1788,'[2]Team lists'!$A$2:$L$800,11,FALSE)</f>
        <v>#N/A</v>
      </c>
    </row>
    <row r="1789" spans="2:13">
      <c r="B1789" s="43" t="e">
        <f>VLOOKUP($A1789,'[2]Team lists'!$A$2:$L$800,2,FALSE)</f>
        <v>#N/A</v>
      </c>
      <c r="C1789" s="43" t="e">
        <f>VLOOKUP($A1789,'[2]Team lists'!$A$2:$L$800,3,FALSE)</f>
        <v>#N/A</v>
      </c>
      <c r="D1789" s="43" t="e">
        <f>VLOOKUP($A1789,'[2]Team lists'!$A$2:$L$800,4,FALSE)</f>
        <v>#N/A</v>
      </c>
      <c r="E1789" s="43" t="e">
        <f>VLOOKUP($A1789,'[2]Team lists'!$A$2:$L$800,5,FALSE)</f>
        <v>#N/A</v>
      </c>
      <c r="F1789" s="43" t="e">
        <f>VLOOKUP($A1789,'[2]Team lists'!$A$2:$L$800,6,FALSE)</f>
        <v>#N/A</v>
      </c>
      <c r="G1789" s="43" t="e">
        <f>VLOOKUP($A1789,'[2]Team lists'!$A$2:$L$800,7,FALSE)</f>
        <v>#N/A</v>
      </c>
      <c r="H1789" s="43" t="e">
        <f>VLOOKUP($A1789,'[2]Team lists'!$A$2:$L$800,8,FALSE)</f>
        <v>#N/A</v>
      </c>
      <c r="I1789" s="43" t="e">
        <f>VLOOKUP($A1789,'[2]Team lists'!$A$2:$L$800,9,FALSE)</f>
        <v>#N/A</v>
      </c>
      <c r="J1789" s="43" t="e">
        <f>VLOOKUP($A1789,'[2]Team lists'!$A$2:$L$800,9,FALSE)</f>
        <v>#N/A</v>
      </c>
      <c r="K1789" s="43" t="e">
        <f>VLOOKUP($A1789,'[2]Team lists'!$A$2:$L$800,10,FALSE)</f>
        <v>#N/A</v>
      </c>
      <c r="L1789" s="43" t="e">
        <f>VLOOKUP($A1789,'[2]Team lists'!$A$2:$L$800,11,FALSE)</f>
        <v>#N/A</v>
      </c>
    </row>
    <row r="1790" spans="2:13">
      <c r="B1790" s="43" t="e">
        <f>VLOOKUP($A1790,'[2]Team lists'!$A$2:$L$800,2,FALSE)</f>
        <v>#N/A</v>
      </c>
      <c r="C1790" s="43" t="e">
        <f>VLOOKUP($A1790,'[2]Team lists'!$A$2:$L$800,3,FALSE)</f>
        <v>#N/A</v>
      </c>
      <c r="D1790" s="43" t="e">
        <f>VLOOKUP($A1790,'[2]Team lists'!$A$2:$L$800,4,FALSE)</f>
        <v>#N/A</v>
      </c>
      <c r="E1790" s="43" t="e">
        <f>VLOOKUP($A1790,'[2]Team lists'!$A$2:$L$800,5,FALSE)</f>
        <v>#N/A</v>
      </c>
      <c r="F1790" s="43" t="e">
        <f>VLOOKUP($A1790,'[2]Team lists'!$A$2:$L$800,6,FALSE)</f>
        <v>#N/A</v>
      </c>
      <c r="G1790" s="43" t="e">
        <f>VLOOKUP($A1790,'[2]Team lists'!$A$2:$L$800,7,FALSE)</f>
        <v>#N/A</v>
      </c>
      <c r="H1790" s="43" t="e">
        <f>VLOOKUP($A1790,'[2]Team lists'!$A$2:$L$800,8,FALSE)</f>
        <v>#N/A</v>
      </c>
      <c r="I1790" s="43" t="e">
        <f>VLOOKUP($A1790,'[2]Team lists'!$A$2:$L$800,9,FALSE)</f>
        <v>#N/A</v>
      </c>
      <c r="J1790" s="43" t="e">
        <f>VLOOKUP($A1790,'[2]Team lists'!$A$2:$L$800,9,FALSE)</f>
        <v>#N/A</v>
      </c>
      <c r="K1790" s="43" t="e">
        <f>VLOOKUP($A1790,'[2]Team lists'!$A$2:$L$800,10,FALSE)</f>
        <v>#N/A</v>
      </c>
      <c r="L1790" s="43" t="e">
        <f>VLOOKUP($A1790,'[2]Team lists'!$A$2:$L$800,11,FALSE)</f>
        <v>#N/A</v>
      </c>
    </row>
    <row r="1791" spans="2:13" ht="18" thickBot="1">
      <c r="B1791" s="45" t="s">
        <v>3210</v>
      </c>
      <c r="C1791" s="46"/>
      <c r="D1791" s="47"/>
      <c r="E1791" s="48" t="e">
        <f t="shared" ref="E1791:L1791" si="111">SUM(E1780:E1790)</f>
        <v>#N/A</v>
      </c>
      <c r="F1791" s="49" t="e">
        <f t="shared" si="111"/>
        <v>#N/A</v>
      </c>
      <c r="G1791" s="49" t="e">
        <f t="shared" si="111"/>
        <v>#N/A</v>
      </c>
      <c r="H1791" s="49" t="e">
        <f t="shared" si="111"/>
        <v>#N/A</v>
      </c>
      <c r="I1791" s="49" t="e">
        <f t="shared" si="111"/>
        <v>#N/A</v>
      </c>
      <c r="J1791" s="49" t="e">
        <f t="shared" si="111"/>
        <v>#N/A</v>
      </c>
      <c r="K1791" s="49" t="e">
        <f t="shared" si="111"/>
        <v>#N/A</v>
      </c>
      <c r="L1791" s="50" t="e">
        <f t="shared" si="111"/>
        <v>#N/A</v>
      </c>
    </row>
    <row r="1792" spans="2:13" ht="18.600000000000001" thickTop="1" thickBot="1"/>
    <row r="1793" spans="2:13" ht="18" thickTop="1">
      <c r="B1793" s="23" t="s">
        <v>3204</v>
      </c>
      <c r="C1793" s="24" t="s">
        <v>3205</v>
      </c>
      <c r="D1793" s="25"/>
      <c r="E1793" s="25"/>
      <c r="F1793" s="53"/>
      <c r="G1793" s="28" t="s">
        <v>3206</v>
      </c>
      <c r="H1793" s="54"/>
      <c r="I1793" s="54"/>
      <c r="J1793" s="54"/>
      <c r="K1793" s="28" t="s">
        <v>3207</v>
      </c>
      <c r="L1793" s="29"/>
      <c r="M1793" s="22" t="str">
        <f>G1793</f>
        <v>Manager:</v>
      </c>
    </row>
    <row r="1794" spans="2:13" ht="18" thickBot="1">
      <c r="B1794" s="30">
        <v>113</v>
      </c>
      <c r="C1794" s="57"/>
      <c r="D1794" s="31"/>
      <c r="E1794" s="31"/>
      <c r="F1794" s="33"/>
      <c r="G1794" s="55"/>
      <c r="H1794" s="55"/>
      <c r="I1794" s="55"/>
      <c r="J1794" s="55"/>
      <c r="K1794" s="34" t="e">
        <f>SUM(F1807:L1807)</f>
        <v>#N/A</v>
      </c>
      <c r="L1794" s="35"/>
      <c r="M1794" s="22">
        <f>G1794</f>
        <v>0</v>
      </c>
    </row>
    <row r="1795" spans="2:13" ht="18.600000000000001" thickTop="1">
      <c r="B1795" s="58" t="s">
        <v>913</v>
      </c>
      <c r="C1795" s="59" t="s">
        <v>912</v>
      </c>
      <c r="D1795" s="60" t="s">
        <v>911</v>
      </c>
      <c r="E1795" s="61" t="s">
        <v>3209</v>
      </c>
      <c r="F1795" s="62" t="s">
        <v>3162</v>
      </c>
      <c r="G1795" s="62" t="s">
        <v>3163</v>
      </c>
      <c r="H1795" s="62" t="s">
        <v>3164</v>
      </c>
      <c r="I1795" s="62" t="s">
        <v>3165</v>
      </c>
      <c r="J1795" s="62" t="s">
        <v>3166</v>
      </c>
      <c r="K1795" s="62" t="s">
        <v>3167</v>
      </c>
      <c r="L1795" s="63" t="s">
        <v>3168</v>
      </c>
    </row>
    <row r="1796" spans="2:13">
      <c r="B1796" s="43" t="e">
        <f>VLOOKUP($A1796,'[2]Team lists'!$A$2:$L$800,2,FALSE)</f>
        <v>#N/A</v>
      </c>
      <c r="C1796" s="43" t="e">
        <f>VLOOKUP($A1796,'[2]Team lists'!$A$2:$L$800,3,FALSE)</f>
        <v>#N/A</v>
      </c>
      <c r="D1796" s="43" t="e">
        <f>VLOOKUP($A1796,'[2]Team lists'!$A$2:$L$800,4,FALSE)</f>
        <v>#N/A</v>
      </c>
      <c r="E1796" s="43" t="e">
        <f>VLOOKUP($A1796,'[2]Team lists'!$A$2:$L$800,5,FALSE)</f>
        <v>#N/A</v>
      </c>
      <c r="F1796" s="43" t="e">
        <f>VLOOKUP($A1796,'[2]Team lists'!$A$2:$L$800,6,FALSE)</f>
        <v>#N/A</v>
      </c>
      <c r="G1796" s="43" t="e">
        <f>VLOOKUP($A1796,'[2]Team lists'!$A$2:$L$800,7,FALSE)</f>
        <v>#N/A</v>
      </c>
      <c r="H1796" s="43" t="e">
        <f>VLOOKUP($A1796,'[2]Team lists'!$A$2:$L$800,8,FALSE)</f>
        <v>#N/A</v>
      </c>
      <c r="I1796" s="43" t="e">
        <f>VLOOKUP($A1796,'[2]Team lists'!$A$2:$L$800,9,FALSE)</f>
        <v>#N/A</v>
      </c>
      <c r="J1796" s="43" t="e">
        <f>VLOOKUP($A1796,'[2]Team lists'!$A$2:$L$800,9,FALSE)</f>
        <v>#N/A</v>
      </c>
      <c r="K1796" s="43" t="e">
        <f>VLOOKUP($A1796,'[2]Team lists'!$A$2:$L$800,10,FALSE)</f>
        <v>#N/A</v>
      </c>
      <c r="L1796" s="43" t="e">
        <f>VLOOKUP($A1796,'[2]Team lists'!$A$2:$L$800,11,FALSE)</f>
        <v>#N/A</v>
      </c>
    </row>
    <row r="1797" spans="2:13">
      <c r="B1797" s="43" t="e">
        <f>VLOOKUP($A1797,'[2]Team lists'!$A$2:$L$800,2,FALSE)</f>
        <v>#N/A</v>
      </c>
      <c r="C1797" s="43" t="e">
        <f>VLOOKUP($A1797,'[2]Team lists'!$A$2:$L$800,3,FALSE)</f>
        <v>#N/A</v>
      </c>
      <c r="D1797" s="43" t="e">
        <f>VLOOKUP($A1797,'[2]Team lists'!$A$2:$L$800,4,FALSE)</f>
        <v>#N/A</v>
      </c>
      <c r="E1797" s="43" t="e">
        <f>VLOOKUP($A1797,'[2]Team lists'!$A$2:$L$800,5,FALSE)</f>
        <v>#N/A</v>
      </c>
      <c r="F1797" s="43" t="e">
        <f>VLOOKUP($A1797,'[2]Team lists'!$A$2:$L$800,6,FALSE)</f>
        <v>#N/A</v>
      </c>
      <c r="G1797" s="43" t="e">
        <f>VLOOKUP($A1797,'[2]Team lists'!$A$2:$L$800,7,FALSE)</f>
        <v>#N/A</v>
      </c>
      <c r="H1797" s="43" t="e">
        <f>VLOOKUP($A1797,'[2]Team lists'!$A$2:$L$800,8,FALSE)</f>
        <v>#N/A</v>
      </c>
      <c r="I1797" s="43" t="e">
        <f>VLOOKUP($A1797,'[2]Team lists'!$A$2:$L$800,9,FALSE)</f>
        <v>#N/A</v>
      </c>
      <c r="J1797" s="43" t="e">
        <f>VLOOKUP($A1797,'[2]Team lists'!$A$2:$L$800,9,FALSE)</f>
        <v>#N/A</v>
      </c>
      <c r="K1797" s="43" t="e">
        <f>VLOOKUP($A1797,'[2]Team lists'!$A$2:$L$800,10,FALSE)</f>
        <v>#N/A</v>
      </c>
      <c r="L1797" s="43" t="e">
        <f>VLOOKUP($A1797,'[2]Team lists'!$A$2:$L$800,11,FALSE)</f>
        <v>#N/A</v>
      </c>
    </row>
    <row r="1798" spans="2:13">
      <c r="B1798" s="43" t="e">
        <f>VLOOKUP($A1798,'[2]Team lists'!$A$2:$L$800,2,FALSE)</f>
        <v>#N/A</v>
      </c>
      <c r="C1798" s="43" t="e">
        <f>VLOOKUP($A1798,'[2]Team lists'!$A$2:$L$800,3,FALSE)</f>
        <v>#N/A</v>
      </c>
      <c r="D1798" s="43" t="e">
        <f>VLOOKUP($A1798,'[2]Team lists'!$A$2:$L$800,4,FALSE)</f>
        <v>#N/A</v>
      </c>
      <c r="E1798" s="43" t="e">
        <f>VLOOKUP($A1798,'[2]Team lists'!$A$2:$L$800,5,FALSE)</f>
        <v>#N/A</v>
      </c>
      <c r="F1798" s="43" t="e">
        <f>VLOOKUP($A1798,'[2]Team lists'!$A$2:$L$800,6,FALSE)</f>
        <v>#N/A</v>
      </c>
      <c r="G1798" s="43" t="e">
        <f>VLOOKUP($A1798,'[2]Team lists'!$A$2:$L$800,7,FALSE)</f>
        <v>#N/A</v>
      </c>
      <c r="H1798" s="43" t="e">
        <f>VLOOKUP($A1798,'[2]Team lists'!$A$2:$L$800,8,FALSE)</f>
        <v>#N/A</v>
      </c>
      <c r="I1798" s="43" t="e">
        <f>VLOOKUP($A1798,'[2]Team lists'!$A$2:$L$800,9,FALSE)</f>
        <v>#N/A</v>
      </c>
      <c r="J1798" s="43" t="e">
        <f>VLOOKUP($A1798,'[2]Team lists'!$A$2:$L$800,9,FALSE)</f>
        <v>#N/A</v>
      </c>
      <c r="K1798" s="43" t="e">
        <f>VLOOKUP($A1798,'[2]Team lists'!$A$2:$L$800,10,FALSE)</f>
        <v>#N/A</v>
      </c>
      <c r="L1798" s="43" t="e">
        <f>VLOOKUP($A1798,'[2]Team lists'!$A$2:$L$800,11,FALSE)</f>
        <v>#N/A</v>
      </c>
    </row>
    <row r="1799" spans="2:13">
      <c r="B1799" s="43" t="e">
        <f>VLOOKUP($A1799,'[2]Team lists'!$A$2:$L$800,2,FALSE)</f>
        <v>#N/A</v>
      </c>
      <c r="C1799" s="43" t="e">
        <f>VLOOKUP($A1799,'[2]Team lists'!$A$2:$L$800,3,FALSE)</f>
        <v>#N/A</v>
      </c>
      <c r="D1799" s="43" t="e">
        <f>VLOOKUP($A1799,'[2]Team lists'!$A$2:$L$800,4,FALSE)</f>
        <v>#N/A</v>
      </c>
      <c r="E1799" s="43" t="e">
        <f>VLOOKUP($A1799,'[2]Team lists'!$A$2:$L$800,5,FALSE)</f>
        <v>#N/A</v>
      </c>
      <c r="F1799" s="43" t="e">
        <f>VLOOKUP($A1799,'[2]Team lists'!$A$2:$L$800,6,FALSE)</f>
        <v>#N/A</v>
      </c>
      <c r="G1799" s="43" t="e">
        <f>VLOOKUP($A1799,'[2]Team lists'!$A$2:$L$800,7,FALSE)</f>
        <v>#N/A</v>
      </c>
      <c r="H1799" s="43" t="e">
        <f>VLOOKUP($A1799,'[2]Team lists'!$A$2:$L$800,8,FALSE)</f>
        <v>#N/A</v>
      </c>
      <c r="I1799" s="43" t="e">
        <f>VLOOKUP($A1799,'[2]Team lists'!$A$2:$L$800,9,FALSE)</f>
        <v>#N/A</v>
      </c>
      <c r="J1799" s="43" t="e">
        <f>VLOOKUP($A1799,'[2]Team lists'!$A$2:$L$800,9,FALSE)</f>
        <v>#N/A</v>
      </c>
      <c r="K1799" s="43" t="e">
        <f>VLOOKUP($A1799,'[2]Team lists'!$A$2:$L$800,10,FALSE)</f>
        <v>#N/A</v>
      </c>
      <c r="L1799" s="43" t="e">
        <f>VLOOKUP($A1799,'[2]Team lists'!$A$2:$L$800,11,FALSE)</f>
        <v>#N/A</v>
      </c>
    </row>
    <row r="1800" spans="2:13">
      <c r="B1800" s="43" t="e">
        <f>VLOOKUP($A1800,'[2]Team lists'!$A$2:$L$800,2,FALSE)</f>
        <v>#N/A</v>
      </c>
      <c r="C1800" s="43" t="e">
        <f>VLOOKUP($A1800,'[2]Team lists'!$A$2:$L$800,3,FALSE)</f>
        <v>#N/A</v>
      </c>
      <c r="D1800" s="43" t="e">
        <f>VLOOKUP($A1800,'[2]Team lists'!$A$2:$L$800,4,FALSE)</f>
        <v>#N/A</v>
      </c>
      <c r="E1800" s="43" t="e">
        <f>VLOOKUP($A1800,'[2]Team lists'!$A$2:$L$800,5,FALSE)</f>
        <v>#N/A</v>
      </c>
      <c r="F1800" s="43" t="e">
        <f>VLOOKUP($A1800,'[2]Team lists'!$A$2:$L$800,6,FALSE)</f>
        <v>#N/A</v>
      </c>
      <c r="G1800" s="43" t="e">
        <f>VLOOKUP($A1800,'[2]Team lists'!$A$2:$L$800,7,FALSE)</f>
        <v>#N/A</v>
      </c>
      <c r="H1800" s="43" t="e">
        <f>VLOOKUP($A1800,'[2]Team lists'!$A$2:$L$800,8,FALSE)</f>
        <v>#N/A</v>
      </c>
      <c r="I1800" s="43" t="e">
        <f>VLOOKUP($A1800,'[2]Team lists'!$A$2:$L$800,9,FALSE)</f>
        <v>#N/A</v>
      </c>
      <c r="J1800" s="43" t="e">
        <f>VLOOKUP($A1800,'[2]Team lists'!$A$2:$L$800,9,FALSE)</f>
        <v>#N/A</v>
      </c>
      <c r="K1800" s="43" t="e">
        <f>VLOOKUP($A1800,'[2]Team lists'!$A$2:$L$800,10,FALSE)</f>
        <v>#N/A</v>
      </c>
      <c r="L1800" s="43" t="e">
        <f>VLOOKUP($A1800,'[2]Team lists'!$A$2:$L$800,11,FALSE)</f>
        <v>#N/A</v>
      </c>
    </row>
    <row r="1801" spans="2:13">
      <c r="B1801" s="43" t="e">
        <f>VLOOKUP($A1801,'[2]Team lists'!$A$2:$L$800,2,FALSE)</f>
        <v>#N/A</v>
      </c>
      <c r="C1801" s="43" t="e">
        <f>VLOOKUP($A1801,'[2]Team lists'!$A$2:$L$800,3,FALSE)</f>
        <v>#N/A</v>
      </c>
      <c r="D1801" s="43" t="e">
        <f>VLOOKUP($A1801,'[2]Team lists'!$A$2:$L$800,4,FALSE)</f>
        <v>#N/A</v>
      </c>
      <c r="E1801" s="43" t="e">
        <f>VLOOKUP($A1801,'[2]Team lists'!$A$2:$L$800,5,FALSE)</f>
        <v>#N/A</v>
      </c>
      <c r="F1801" s="43" t="e">
        <f>VLOOKUP($A1801,'[2]Team lists'!$A$2:$L$800,6,FALSE)</f>
        <v>#N/A</v>
      </c>
      <c r="G1801" s="43" t="e">
        <f>VLOOKUP($A1801,'[2]Team lists'!$A$2:$L$800,7,FALSE)</f>
        <v>#N/A</v>
      </c>
      <c r="H1801" s="43" t="e">
        <f>VLOOKUP($A1801,'[2]Team lists'!$A$2:$L$800,8,FALSE)</f>
        <v>#N/A</v>
      </c>
      <c r="I1801" s="43" t="e">
        <f>VLOOKUP($A1801,'[2]Team lists'!$A$2:$L$800,9,FALSE)</f>
        <v>#N/A</v>
      </c>
      <c r="J1801" s="43" t="e">
        <f>VLOOKUP($A1801,'[2]Team lists'!$A$2:$L$800,9,FALSE)</f>
        <v>#N/A</v>
      </c>
      <c r="K1801" s="43" t="e">
        <f>VLOOKUP($A1801,'[2]Team lists'!$A$2:$L$800,10,FALSE)</f>
        <v>#N/A</v>
      </c>
      <c r="L1801" s="43" t="e">
        <f>VLOOKUP($A1801,'[2]Team lists'!$A$2:$L$800,11,FALSE)</f>
        <v>#N/A</v>
      </c>
    </row>
    <row r="1802" spans="2:13">
      <c r="B1802" s="43" t="e">
        <f>VLOOKUP($A1802,'[2]Team lists'!$A$2:$L$800,2,FALSE)</f>
        <v>#N/A</v>
      </c>
      <c r="C1802" s="43" t="e">
        <f>VLOOKUP($A1802,'[2]Team lists'!$A$2:$L$800,3,FALSE)</f>
        <v>#N/A</v>
      </c>
      <c r="D1802" s="43" t="e">
        <f>VLOOKUP($A1802,'[2]Team lists'!$A$2:$L$800,4,FALSE)</f>
        <v>#N/A</v>
      </c>
      <c r="E1802" s="43" t="e">
        <f>VLOOKUP($A1802,'[2]Team lists'!$A$2:$L$800,5,FALSE)</f>
        <v>#N/A</v>
      </c>
      <c r="F1802" s="43" t="e">
        <f>VLOOKUP($A1802,'[2]Team lists'!$A$2:$L$800,6,FALSE)</f>
        <v>#N/A</v>
      </c>
      <c r="G1802" s="43" t="e">
        <f>VLOOKUP($A1802,'[2]Team lists'!$A$2:$L$800,7,FALSE)</f>
        <v>#N/A</v>
      </c>
      <c r="H1802" s="43" t="e">
        <f>VLOOKUP($A1802,'[2]Team lists'!$A$2:$L$800,8,FALSE)</f>
        <v>#N/A</v>
      </c>
      <c r="I1802" s="43" t="e">
        <f>VLOOKUP($A1802,'[2]Team lists'!$A$2:$L$800,9,FALSE)</f>
        <v>#N/A</v>
      </c>
      <c r="J1802" s="43" t="e">
        <f>VLOOKUP($A1802,'[2]Team lists'!$A$2:$L$800,9,FALSE)</f>
        <v>#N/A</v>
      </c>
      <c r="K1802" s="43" t="e">
        <f>VLOOKUP($A1802,'[2]Team lists'!$A$2:$L$800,10,FALSE)</f>
        <v>#N/A</v>
      </c>
      <c r="L1802" s="43" t="e">
        <f>VLOOKUP($A1802,'[2]Team lists'!$A$2:$L$800,11,FALSE)</f>
        <v>#N/A</v>
      </c>
    </row>
    <row r="1803" spans="2:13">
      <c r="B1803" s="43" t="e">
        <f>VLOOKUP($A1803,'[2]Team lists'!$A$2:$L$800,2,FALSE)</f>
        <v>#N/A</v>
      </c>
      <c r="C1803" s="43" t="e">
        <f>VLOOKUP($A1803,'[2]Team lists'!$A$2:$L$800,3,FALSE)</f>
        <v>#N/A</v>
      </c>
      <c r="D1803" s="43" t="e">
        <f>VLOOKUP($A1803,'[2]Team lists'!$A$2:$L$800,4,FALSE)</f>
        <v>#N/A</v>
      </c>
      <c r="E1803" s="43" t="e">
        <f>VLOOKUP($A1803,'[2]Team lists'!$A$2:$L$800,5,FALSE)</f>
        <v>#N/A</v>
      </c>
      <c r="F1803" s="43" t="e">
        <f>VLOOKUP($A1803,'[2]Team lists'!$A$2:$L$800,6,FALSE)</f>
        <v>#N/A</v>
      </c>
      <c r="G1803" s="43" t="e">
        <f>VLOOKUP($A1803,'[2]Team lists'!$A$2:$L$800,7,FALSE)</f>
        <v>#N/A</v>
      </c>
      <c r="H1803" s="43" t="e">
        <f>VLOOKUP($A1803,'[2]Team lists'!$A$2:$L$800,8,FALSE)</f>
        <v>#N/A</v>
      </c>
      <c r="I1803" s="43" t="e">
        <f>VLOOKUP($A1803,'[2]Team lists'!$A$2:$L$800,9,FALSE)</f>
        <v>#N/A</v>
      </c>
      <c r="J1803" s="43" t="e">
        <f>VLOOKUP($A1803,'[2]Team lists'!$A$2:$L$800,9,FALSE)</f>
        <v>#N/A</v>
      </c>
      <c r="K1803" s="43" t="e">
        <f>VLOOKUP($A1803,'[2]Team lists'!$A$2:$L$800,10,FALSE)</f>
        <v>#N/A</v>
      </c>
      <c r="L1803" s="43" t="e">
        <f>VLOOKUP($A1803,'[2]Team lists'!$A$2:$L$800,11,FALSE)</f>
        <v>#N/A</v>
      </c>
    </row>
    <row r="1804" spans="2:13">
      <c r="B1804" s="43" t="e">
        <f>VLOOKUP($A1804,'[2]Team lists'!$A$2:$L$800,2,FALSE)</f>
        <v>#N/A</v>
      </c>
      <c r="C1804" s="43" t="e">
        <f>VLOOKUP($A1804,'[2]Team lists'!$A$2:$L$800,3,FALSE)</f>
        <v>#N/A</v>
      </c>
      <c r="D1804" s="43" t="e">
        <f>VLOOKUP($A1804,'[2]Team lists'!$A$2:$L$800,4,FALSE)</f>
        <v>#N/A</v>
      </c>
      <c r="E1804" s="43" t="e">
        <f>VLOOKUP($A1804,'[2]Team lists'!$A$2:$L$800,5,FALSE)</f>
        <v>#N/A</v>
      </c>
      <c r="F1804" s="43" t="e">
        <f>VLOOKUP($A1804,'[2]Team lists'!$A$2:$L$800,6,FALSE)</f>
        <v>#N/A</v>
      </c>
      <c r="G1804" s="43" t="e">
        <f>VLOOKUP($A1804,'[2]Team lists'!$A$2:$L$800,7,FALSE)</f>
        <v>#N/A</v>
      </c>
      <c r="H1804" s="43" t="e">
        <f>VLOOKUP($A1804,'[2]Team lists'!$A$2:$L$800,8,FALSE)</f>
        <v>#N/A</v>
      </c>
      <c r="I1804" s="43" t="e">
        <f>VLOOKUP($A1804,'[2]Team lists'!$A$2:$L$800,9,FALSE)</f>
        <v>#N/A</v>
      </c>
      <c r="J1804" s="43" t="e">
        <f>VLOOKUP($A1804,'[2]Team lists'!$A$2:$L$800,9,FALSE)</f>
        <v>#N/A</v>
      </c>
      <c r="K1804" s="43" t="e">
        <f>VLOOKUP($A1804,'[2]Team lists'!$A$2:$L$800,10,FALSE)</f>
        <v>#N/A</v>
      </c>
      <c r="L1804" s="43" t="e">
        <f>VLOOKUP($A1804,'[2]Team lists'!$A$2:$L$800,11,FALSE)</f>
        <v>#N/A</v>
      </c>
    </row>
    <row r="1805" spans="2:13">
      <c r="B1805" s="43" t="e">
        <f>VLOOKUP($A1805,'[2]Team lists'!$A$2:$L$800,2,FALSE)</f>
        <v>#N/A</v>
      </c>
      <c r="C1805" s="43" t="e">
        <f>VLOOKUP($A1805,'[2]Team lists'!$A$2:$L$800,3,FALSE)</f>
        <v>#N/A</v>
      </c>
      <c r="D1805" s="43" t="e">
        <f>VLOOKUP($A1805,'[2]Team lists'!$A$2:$L$800,4,FALSE)</f>
        <v>#N/A</v>
      </c>
      <c r="E1805" s="43" t="e">
        <f>VLOOKUP($A1805,'[2]Team lists'!$A$2:$L$800,5,FALSE)</f>
        <v>#N/A</v>
      </c>
      <c r="F1805" s="43" t="e">
        <f>VLOOKUP($A1805,'[2]Team lists'!$A$2:$L$800,6,FALSE)</f>
        <v>#N/A</v>
      </c>
      <c r="G1805" s="43" t="e">
        <f>VLOOKUP($A1805,'[2]Team lists'!$A$2:$L$800,7,FALSE)</f>
        <v>#N/A</v>
      </c>
      <c r="H1805" s="43" t="e">
        <f>VLOOKUP($A1805,'[2]Team lists'!$A$2:$L$800,8,FALSE)</f>
        <v>#N/A</v>
      </c>
      <c r="I1805" s="43" t="e">
        <f>VLOOKUP($A1805,'[2]Team lists'!$A$2:$L$800,9,FALSE)</f>
        <v>#N/A</v>
      </c>
      <c r="J1805" s="43" t="e">
        <f>VLOOKUP($A1805,'[2]Team lists'!$A$2:$L$800,9,FALSE)</f>
        <v>#N/A</v>
      </c>
      <c r="K1805" s="43" t="e">
        <f>VLOOKUP($A1805,'[2]Team lists'!$A$2:$L$800,10,FALSE)</f>
        <v>#N/A</v>
      </c>
      <c r="L1805" s="43" t="e">
        <f>VLOOKUP($A1805,'[2]Team lists'!$A$2:$L$800,11,FALSE)</f>
        <v>#N/A</v>
      </c>
    </row>
    <row r="1806" spans="2:13">
      <c r="B1806" s="43" t="e">
        <f>VLOOKUP($A1806,'[2]Team lists'!$A$2:$L$800,2,FALSE)</f>
        <v>#N/A</v>
      </c>
      <c r="C1806" s="43" t="e">
        <f>VLOOKUP($A1806,'[2]Team lists'!$A$2:$L$800,3,FALSE)</f>
        <v>#N/A</v>
      </c>
      <c r="D1806" s="43" t="e">
        <f>VLOOKUP($A1806,'[2]Team lists'!$A$2:$L$800,4,FALSE)</f>
        <v>#N/A</v>
      </c>
      <c r="E1806" s="43" t="e">
        <f>VLOOKUP($A1806,'[2]Team lists'!$A$2:$L$800,5,FALSE)</f>
        <v>#N/A</v>
      </c>
      <c r="F1806" s="43" t="e">
        <f>VLOOKUP($A1806,'[2]Team lists'!$A$2:$L$800,6,FALSE)</f>
        <v>#N/A</v>
      </c>
      <c r="G1806" s="43" t="e">
        <f>VLOOKUP($A1806,'[2]Team lists'!$A$2:$L$800,7,FALSE)</f>
        <v>#N/A</v>
      </c>
      <c r="H1806" s="43" t="e">
        <f>VLOOKUP($A1806,'[2]Team lists'!$A$2:$L$800,8,FALSE)</f>
        <v>#N/A</v>
      </c>
      <c r="I1806" s="43" t="e">
        <f>VLOOKUP($A1806,'[2]Team lists'!$A$2:$L$800,9,FALSE)</f>
        <v>#N/A</v>
      </c>
      <c r="J1806" s="43" t="e">
        <f>VLOOKUP($A1806,'[2]Team lists'!$A$2:$L$800,9,FALSE)</f>
        <v>#N/A</v>
      </c>
      <c r="K1806" s="43" t="e">
        <f>VLOOKUP($A1806,'[2]Team lists'!$A$2:$L$800,10,FALSE)</f>
        <v>#N/A</v>
      </c>
      <c r="L1806" s="43" t="e">
        <f>VLOOKUP($A1806,'[2]Team lists'!$A$2:$L$800,11,FALSE)</f>
        <v>#N/A</v>
      </c>
    </row>
    <row r="1807" spans="2:13" ht="18" thickBot="1">
      <c r="B1807" s="45" t="s">
        <v>3210</v>
      </c>
      <c r="C1807" s="46"/>
      <c r="D1807" s="47"/>
      <c r="E1807" s="48" t="e">
        <f t="shared" ref="E1807:L1807" si="112">SUM(E1796:E1806)</f>
        <v>#N/A</v>
      </c>
      <c r="F1807" s="49" t="e">
        <f t="shared" si="112"/>
        <v>#N/A</v>
      </c>
      <c r="G1807" s="49" t="e">
        <f t="shared" si="112"/>
        <v>#N/A</v>
      </c>
      <c r="H1807" s="49" t="e">
        <f t="shared" si="112"/>
        <v>#N/A</v>
      </c>
      <c r="I1807" s="49" t="e">
        <f t="shared" si="112"/>
        <v>#N/A</v>
      </c>
      <c r="J1807" s="49" t="e">
        <f t="shared" si="112"/>
        <v>#N/A</v>
      </c>
      <c r="K1807" s="49" t="e">
        <f t="shared" si="112"/>
        <v>#N/A</v>
      </c>
      <c r="L1807" s="50" t="e">
        <f t="shared" si="112"/>
        <v>#N/A</v>
      </c>
    </row>
    <row r="1808" spans="2:13" ht="18" thickTop="1"/>
  </sheetData>
  <printOptions horizontalCentered="1" verticalCentered="1"/>
  <pageMargins left="0.47244094488188981" right="0.51181102362204722" top="0.74803149606299213" bottom="0.70866141732283472" header="0.51181102362204722" footer="0.43307086614173229"/>
  <pageSetup orientation="landscape" r:id="rId1"/>
  <headerFooter alignWithMargins="0"/>
  <rowBreaks count="1" manualBreakCount="1">
    <brk id="47" min="1" max="1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36D27-6972-4530-8F35-4F5179254FB8}">
  <sheetPr codeName="Sheet6"/>
  <dimension ref="A1:J275"/>
  <sheetViews>
    <sheetView workbookViewId="0">
      <selection activeCell="F3" sqref="F3"/>
    </sheetView>
  </sheetViews>
  <sheetFormatPr defaultRowHeight="14.4"/>
  <cols>
    <col min="1" max="1" width="9.6640625" style="2" bestFit="1" customWidth="1"/>
    <col min="2" max="2" width="4.88671875" style="2" bestFit="1" customWidth="1"/>
    <col min="3" max="3" width="2" style="2" bestFit="1" customWidth="1"/>
    <col min="4" max="4" width="4.77734375" style="2" bestFit="1" customWidth="1"/>
    <col min="5" max="5" width="2" style="2" bestFit="1" customWidth="1"/>
    <col min="6" max="6" width="49.5546875" style="2" bestFit="1" customWidth="1"/>
    <col min="7" max="7" width="20.33203125" style="2" bestFit="1" customWidth="1"/>
    <col min="8" max="9" width="8.88671875" style="2"/>
    <col min="10" max="10" width="10.5546875" style="2" bestFit="1" customWidth="1"/>
    <col min="11" max="16384" width="8.88671875" style="2"/>
  </cols>
  <sheetData>
    <row r="1" spans="1:7">
      <c r="A1" s="2" t="s">
        <v>3193</v>
      </c>
      <c r="B1" s="2" t="s">
        <v>942</v>
      </c>
      <c r="C1" s="2">
        <v>2</v>
      </c>
      <c r="D1" s="2" t="s">
        <v>992</v>
      </c>
      <c r="E1" s="2">
        <v>0</v>
      </c>
      <c r="F1" s="2" t="s">
        <v>3220</v>
      </c>
    </row>
    <row r="2" spans="1:7">
      <c r="A2" s="2" t="s">
        <v>3193</v>
      </c>
      <c r="B2" s="2" t="s">
        <v>933</v>
      </c>
      <c r="C2" s="2">
        <v>3</v>
      </c>
      <c r="D2" s="2" t="s">
        <v>991</v>
      </c>
      <c r="E2" s="2">
        <v>0</v>
      </c>
      <c r="F2" s="2" t="s">
        <v>3221</v>
      </c>
    </row>
    <row r="3" spans="1:7">
      <c r="A3" s="2" t="s">
        <v>3192</v>
      </c>
      <c r="B3" s="2" t="s">
        <v>917</v>
      </c>
      <c r="C3" s="2">
        <v>1</v>
      </c>
      <c r="D3" s="2" t="s">
        <v>942</v>
      </c>
      <c r="E3" s="2">
        <v>2</v>
      </c>
      <c r="F3" s="2" t="s">
        <v>2628</v>
      </c>
      <c r="G3" s="2" t="s">
        <v>3219</v>
      </c>
    </row>
    <row r="4" spans="1:7">
      <c r="A4" s="2" t="s">
        <v>3192</v>
      </c>
      <c r="B4" s="2" t="s">
        <v>992</v>
      </c>
      <c r="C4" s="2">
        <v>1</v>
      </c>
      <c r="D4" s="2" t="s">
        <v>1000</v>
      </c>
      <c r="E4" s="2">
        <v>0</v>
      </c>
      <c r="F4" s="2" t="s">
        <v>2805</v>
      </c>
    </row>
    <row r="5" spans="1:7">
      <c r="A5" s="2" t="s">
        <v>3164</v>
      </c>
      <c r="B5" s="2" t="s">
        <v>934</v>
      </c>
      <c r="C5" s="2">
        <v>1</v>
      </c>
      <c r="D5" s="2" t="s">
        <v>940</v>
      </c>
      <c r="E5" s="2">
        <v>2</v>
      </c>
      <c r="F5" s="2" t="s">
        <v>937</v>
      </c>
      <c r="G5" s="2" t="s">
        <v>3218</v>
      </c>
    </row>
    <row r="6" spans="1:7">
      <c r="A6" s="2" t="s">
        <v>3164</v>
      </c>
      <c r="B6" s="2" t="s">
        <v>941</v>
      </c>
      <c r="C6" s="2">
        <v>0</v>
      </c>
      <c r="D6" s="2" t="s">
        <v>933</v>
      </c>
      <c r="E6" s="2">
        <v>2</v>
      </c>
      <c r="G6" s="2" t="s">
        <v>3217</v>
      </c>
    </row>
    <row r="7" spans="1:7">
      <c r="A7" s="2" t="s">
        <v>3164</v>
      </c>
      <c r="B7" s="2" t="s">
        <v>939</v>
      </c>
      <c r="C7" s="2">
        <v>1</v>
      </c>
      <c r="D7" s="2" t="s">
        <v>942</v>
      </c>
      <c r="E7" s="2">
        <v>0</v>
      </c>
      <c r="F7" s="2" t="s">
        <v>3084</v>
      </c>
    </row>
    <row r="8" spans="1:7">
      <c r="A8" s="2" t="s">
        <v>3164</v>
      </c>
      <c r="B8" s="2" t="s">
        <v>943</v>
      </c>
      <c r="C8" s="2">
        <v>1</v>
      </c>
      <c r="D8" s="2" t="s">
        <v>938</v>
      </c>
      <c r="E8" s="2">
        <v>0</v>
      </c>
      <c r="F8" s="2" t="s">
        <v>2400</v>
      </c>
    </row>
    <row r="9" spans="1:7">
      <c r="A9" s="2" t="s">
        <v>3164</v>
      </c>
      <c r="B9" s="2" t="s">
        <v>930</v>
      </c>
      <c r="C9" s="2">
        <v>0</v>
      </c>
      <c r="D9" s="2" t="s">
        <v>917</v>
      </c>
      <c r="E9" s="2">
        <v>3</v>
      </c>
      <c r="G9" s="2" t="s">
        <v>3216</v>
      </c>
    </row>
    <row r="10" spans="1:7">
      <c r="A10" s="2" t="s">
        <v>3164</v>
      </c>
      <c r="B10" s="2" t="s">
        <v>918</v>
      </c>
      <c r="C10" s="2">
        <v>0</v>
      </c>
      <c r="D10" s="2" t="s">
        <v>929</v>
      </c>
      <c r="E10" s="2">
        <v>1</v>
      </c>
      <c r="G10" s="2" t="s">
        <v>3103</v>
      </c>
    </row>
    <row r="11" spans="1:7">
      <c r="A11" s="2" t="s">
        <v>3164</v>
      </c>
      <c r="B11" s="2" t="s">
        <v>926</v>
      </c>
      <c r="C11" s="2">
        <v>2</v>
      </c>
      <c r="D11" s="2" t="s">
        <v>914</v>
      </c>
      <c r="E11" s="2">
        <v>0</v>
      </c>
      <c r="F11" s="2" t="s">
        <v>3215</v>
      </c>
    </row>
    <row r="12" spans="1:7">
      <c r="A12" s="2" t="s">
        <v>3164</v>
      </c>
      <c r="B12" s="2" t="s">
        <v>915</v>
      </c>
      <c r="C12" s="2">
        <v>1</v>
      </c>
      <c r="D12" s="2" t="s">
        <v>925</v>
      </c>
      <c r="E12" s="2">
        <v>2</v>
      </c>
      <c r="F12" s="2" t="s">
        <v>2602</v>
      </c>
      <c r="G12" s="2" t="s">
        <v>3214</v>
      </c>
    </row>
    <row r="13" spans="1:7">
      <c r="A13" s="2" t="s">
        <v>3163</v>
      </c>
      <c r="B13" s="2" t="s">
        <v>1000</v>
      </c>
      <c r="C13" s="2">
        <v>2</v>
      </c>
      <c r="D13" s="2" t="s">
        <v>1001</v>
      </c>
      <c r="E13" s="2">
        <v>0</v>
      </c>
      <c r="F13" s="2" t="s">
        <v>2868</v>
      </c>
    </row>
    <row r="14" spans="1:7">
      <c r="A14" s="2" t="s">
        <v>3163</v>
      </c>
      <c r="B14" s="2" t="s">
        <v>995</v>
      </c>
      <c r="C14" s="2">
        <v>1</v>
      </c>
      <c r="D14" s="2" t="s">
        <v>998</v>
      </c>
      <c r="E14" s="2">
        <v>0</v>
      </c>
      <c r="F14" s="2" t="s">
        <v>553</v>
      </c>
    </row>
    <row r="15" spans="1:7">
      <c r="A15" s="2" t="s">
        <v>3163</v>
      </c>
      <c r="B15" s="2" t="s">
        <v>1002</v>
      </c>
      <c r="C15" s="2">
        <v>2</v>
      </c>
      <c r="D15" s="2" t="s">
        <v>999</v>
      </c>
      <c r="E15" s="2">
        <v>3</v>
      </c>
      <c r="F15" s="2" t="s">
        <v>3005</v>
      </c>
      <c r="G15" s="2" t="s">
        <v>3213</v>
      </c>
    </row>
    <row r="16" spans="1:7">
      <c r="A16" s="2" t="s">
        <v>3163</v>
      </c>
      <c r="B16" s="2" t="s">
        <v>3175</v>
      </c>
      <c r="C16" s="2">
        <v>3</v>
      </c>
      <c r="D16" s="2" t="s">
        <v>997</v>
      </c>
      <c r="E16" s="2">
        <v>3</v>
      </c>
      <c r="F16" s="2" t="s">
        <v>3211</v>
      </c>
      <c r="G16" s="2" t="s">
        <v>3212</v>
      </c>
    </row>
    <row r="17" spans="1:7">
      <c r="A17" s="2" t="s">
        <v>3163</v>
      </c>
      <c r="B17" s="2" t="s">
        <v>987</v>
      </c>
      <c r="C17" s="2">
        <v>1</v>
      </c>
      <c r="D17" s="2" t="s">
        <v>989</v>
      </c>
      <c r="E17" s="2">
        <v>1</v>
      </c>
      <c r="F17" s="2" t="s">
        <v>3202</v>
      </c>
      <c r="G17" s="2" t="s">
        <v>2671</v>
      </c>
    </row>
    <row r="18" spans="1:7">
      <c r="A18" s="2" t="s">
        <v>3163</v>
      </c>
      <c r="B18" s="2" t="s">
        <v>991</v>
      </c>
      <c r="C18" s="2">
        <v>4</v>
      </c>
      <c r="D18" s="2" t="s">
        <v>994</v>
      </c>
      <c r="E18" s="2">
        <v>1</v>
      </c>
      <c r="F18" s="2" t="s">
        <v>3201</v>
      </c>
      <c r="G18" s="2" t="s">
        <v>2504</v>
      </c>
    </row>
    <row r="19" spans="1:7">
      <c r="A19" s="2" t="s">
        <v>3163</v>
      </c>
      <c r="B19" s="2" t="s">
        <v>993</v>
      </c>
      <c r="C19" s="2">
        <v>0</v>
      </c>
      <c r="D19" s="2" t="s">
        <v>992</v>
      </c>
      <c r="E19" s="2">
        <v>2</v>
      </c>
      <c r="G19" s="2" t="s">
        <v>3200</v>
      </c>
    </row>
    <row r="20" spans="1:7">
      <c r="A20" s="2" t="s">
        <v>3163</v>
      </c>
      <c r="B20" s="2" t="s">
        <v>1007</v>
      </c>
      <c r="C20" s="2">
        <v>0</v>
      </c>
      <c r="D20" s="2" t="s">
        <v>990</v>
      </c>
      <c r="E20" s="2">
        <v>1</v>
      </c>
      <c r="G20" s="2" t="s">
        <v>2511</v>
      </c>
    </row>
    <row r="21" spans="1:7">
      <c r="A21" s="2" t="s">
        <v>3163</v>
      </c>
      <c r="B21" s="2" t="s">
        <v>933</v>
      </c>
      <c r="C21" s="2">
        <v>2</v>
      </c>
      <c r="D21" s="2" t="s">
        <v>940</v>
      </c>
      <c r="E21" s="2">
        <v>0</v>
      </c>
      <c r="F21" s="2" t="s">
        <v>3199</v>
      </c>
    </row>
    <row r="22" spans="1:7">
      <c r="A22" s="2" t="s">
        <v>3163</v>
      </c>
      <c r="B22" s="2" t="s">
        <v>942</v>
      </c>
      <c r="C22" s="2">
        <v>2</v>
      </c>
      <c r="D22" s="2" t="s">
        <v>938</v>
      </c>
      <c r="E22" s="2">
        <v>1</v>
      </c>
      <c r="F22" s="2" t="s">
        <v>946</v>
      </c>
      <c r="G22" s="2" t="s">
        <v>2566</v>
      </c>
    </row>
    <row r="23" spans="1:7">
      <c r="A23" s="2" t="s">
        <v>3163</v>
      </c>
      <c r="B23" s="2" t="s">
        <v>941</v>
      </c>
      <c r="C23" s="2">
        <v>2</v>
      </c>
      <c r="D23" s="2" t="s">
        <v>934</v>
      </c>
      <c r="E23" s="2">
        <v>0</v>
      </c>
      <c r="F23" s="2" t="s">
        <v>3198</v>
      </c>
    </row>
    <row r="24" spans="1:7">
      <c r="A24" s="2" t="s">
        <v>3163</v>
      </c>
      <c r="B24" s="2" t="s">
        <v>939</v>
      </c>
      <c r="C24" s="2">
        <v>0</v>
      </c>
      <c r="D24" s="2" t="s">
        <v>943</v>
      </c>
      <c r="E24" s="2">
        <v>1</v>
      </c>
      <c r="G24" s="2" t="s">
        <v>2402</v>
      </c>
    </row>
    <row r="25" spans="1:7">
      <c r="A25" s="2" t="s">
        <v>3163</v>
      </c>
      <c r="B25" s="2" t="s">
        <v>917</v>
      </c>
      <c r="C25" s="2">
        <v>0</v>
      </c>
      <c r="D25" s="2" t="s">
        <v>929</v>
      </c>
      <c r="E25" s="2">
        <v>0</v>
      </c>
    </row>
    <row r="26" spans="1:7">
      <c r="A26" s="2" t="s">
        <v>3163</v>
      </c>
      <c r="B26" s="2" t="s">
        <v>926</v>
      </c>
      <c r="C26" s="2">
        <v>1</v>
      </c>
      <c r="D26" s="2" t="s">
        <v>915</v>
      </c>
      <c r="E26" s="2">
        <v>1</v>
      </c>
      <c r="F26" s="2" t="s">
        <v>927</v>
      </c>
      <c r="G26" s="2" t="s">
        <v>916</v>
      </c>
    </row>
    <row r="27" spans="1:7">
      <c r="A27" s="2" t="s">
        <v>3163</v>
      </c>
      <c r="B27" s="2" t="s">
        <v>914</v>
      </c>
      <c r="C27" s="2">
        <v>1</v>
      </c>
      <c r="D27" s="2" t="s">
        <v>925</v>
      </c>
      <c r="E27" s="2">
        <v>3</v>
      </c>
      <c r="F27" s="2" t="s">
        <v>2903</v>
      </c>
      <c r="G27" s="2" t="s">
        <v>3197</v>
      </c>
    </row>
    <row r="28" spans="1:7">
      <c r="A28" s="2" t="s">
        <v>3163</v>
      </c>
      <c r="B28" s="2" t="s">
        <v>930</v>
      </c>
      <c r="C28" s="2">
        <v>0</v>
      </c>
      <c r="D28" s="2" t="s">
        <v>918</v>
      </c>
      <c r="E28" s="2">
        <v>2</v>
      </c>
      <c r="G28" s="2" t="s">
        <v>3137</v>
      </c>
    </row>
    <row r="29" spans="1:7">
      <c r="A29" s="2" t="s">
        <v>3162</v>
      </c>
      <c r="B29" s="2" t="s">
        <v>995</v>
      </c>
      <c r="C29" s="2">
        <v>2</v>
      </c>
      <c r="D29" s="2" t="s">
        <v>997</v>
      </c>
      <c r="E29" s="2">
        <v>0</v>
      </c>
      <c r="F29" s="2" t="s">
        <v>559</v>
      </c>
    </row>
    <row r="30" spans="1:7">
      <c r="A30" s="2" t="s">
        <v>3162</v>
      </c>
      <c r="B30" s="2" t="s">
        <v>1000</v>
      </c>
      <c r="C30" s="2">
        <v>3</v>
      </c>
      <c r="D30" s="2" t="s">
        <v>999</v>
      </c>
      <c r="E30" s="2">
        <v>2</v>
      </c>
      <c r="F30" s="2" t="s">
        <v>3176</v>
      </c>
      <c r="G30" s="2" t="s">
        <v>3177</v>
      </c>
    </row>
    <row r="31" spans="1:7">
      <c r="A31" s="2" t="s">
        <v>3162</v>
      </c>
      <c r="B31" s="2" t="s">
        <v>1001</v>
      </c>
      <c r="C31" s="2">
        <v>0</v>
      </c>
      <c r="D31" s="2" t="s">
        <v>1002</v>
      </c>
      <c r="E31" s="2">
        <v>0</v>
      </c>
    </row>
    <row r="32" spans="1:7">
      <c r="A32" s="2" t="s">
        <v>3162</v>
      </c>
      <c r="B32" s="2" t="s">
        <v>998</v>
      </c>
      <c r="C32" s="2">
        <v>1</v>
      </c>
      <c r="D32" s="2" t="s">
        <v>3175</v>
      </c>
      <c r="E32" s="2">
        <v>0</v>
      </c>
      <c r="F32" s="2" t="s">
        <v>3058</v>
      </c>
    </row>
    <row r="33" spans="1:7">
      <c r="A33" s="2" t="s">
        <v>3162</v>
      </c>
      <c r="B33" s="2" t="s">
        <v>993</v>
      </c>
      <c r="C33" s="2">
        <v>1</v>
      </c>
      <c r="D33" s="2" t="s">
        <v>994</v>
      </c>
      <c r="E33" s="2">
        <v>0</v>
      </c>
      <c r="F33" s="2" t="s">
        <v>1011</v>
      </c>
    </row>
    <row r="34" spans="1:7">
      <c r="A34" s="2" t="s">
        <v>3162</v>
      </c>
      <c r="B34" s="2" t="s">
        <v>987</v>
      </c>
      <c r="C34" s="2">
        <v>7</v>
      </c>
      <c r="D34" s="2" t="s">
        <v>990</v>
      </c>
      <c r="E34" s="2">
        <v>0</v>
      </c>
      <c r="F34" s="2" t="s">
        <v>1010</v>
      </c>
    </row>
    <row r="35" spans="1:7">
      <c r="A35" s="2" t="s">
        <v>3162</v>
      </c>
      <c r="B35" s="2" t="s">
        <v>989</v>
      </c>
      <c r="C35" s="2">
        <v>1</v>
      </c>
      <c r="D35" s="2" t="s">
        <v>1007</v>
      </c>
      <c r="E35" s="2">
        <v>2</v>
      </c>
      <c r="F35" s="2" t="s">
        <v>1008</v>
      </c>
      <c r="G35" s="2" t="s">
        <v>1009</v>
      </c>
    </row>
    <row r="36" spans="1:7">
      <c r="A36" s="2" t="s">
        <v>3162</v>
      </c>
      <c r="B36" s="2" t="s">
        <v>992</v>
      </c>
      <c r="C36" s="2">
        <v>0</v>
      </c>
      <c r="D36" s="2" t="s">
        <v>991</v>
      </c>
      <c r="E36" s="2">
        <v>0</v>
      </c>
    </row>
    <row r="37" spans="1:7">
      <c r="A37" s="2" t="s">
        <v>3162</v>
      </c>
      <c r="B37" s="2" t="s">
        <v>942</v>
      </c>
      <c r="C37" s="2">
        <v>4</v>
      </c>
      <c r="D37" s="2" t="s">
        <v>943</v>
      </c>
      <c r="E37" s="2">
        <v>1</v>
      </c>
      <c r="F37" s="2" t="s">
        <v>1006</v>
      </c>
      <c r="G37" s="2" t="s">
        <v>947</v>
      </c>
    </row>
    <row r="38" spans="1:7">
      <c r="A38" s="2" t="s">
        <v>3162</v>
      </c>
      <c r="B38" s="2" t="s">
        <v>940</v>
      </c>
      <c r="C38" s="2">
        <v>0</v>
      </c>
      <c r="D38" s="2" t="s">
        <v>941</v>
      </c>
      <c r="E38" s="2">
        <v>0</v>
      </c>
    </row>
    <row r="39" spans="1:7">
      <c r="A39" s="2" t="s">
        <v>3162</v>
      </c>
      <c r="B39" s="2" t="s">
        <v>938</v>
      </c>
      <c r="C39" s="2">
        <v>0</v>
      </c>
      <c r="D39" s="2" t="s">
        <v>939</v>
      </c>
      <c r="E39" s="2">
        <v>0</v>
      </c>
    </row>
    <row r="40" spans="1:7">
      <c r="A40" s="2" t="s">
        <v>3162</v>
      </c>
      <c r="B40" s="2" t="s">
        <v>933</v>
      </c>
      <c r="C40" s="2">
        <v>1</v>
      </c>
      <c r="D40" s="2" t="s">
        <v>934</v>
      </c>
      <c r="E40" s="2">
        <v>2</v>
      </c>
      <c r="F40" s="2" t="s">
        <v>935</v>
      </c>
      <c r="G40" s="2" t="s">
        <v>1005</v>
      </c>
    </row>
    <row r="41" spans="1:7">
      <c r="A41" s="2" t="s">
        <v>3162</v>
      </c>
      <c r="B41" s="2" t="s">
        <v>929</v>
      </c>
      <c r="C41" s="2">
        <v>1</v>
      </c>
      <c r="D41" s="2" t="s">
        <v>930</v>
      </c>
      <c r="E41" s="2">
        <v>1</v>
      </c>
      <c r="F41" s="2" t="s">
        <v>931</v>
      </c>
      <c r="G41" s="2" t="s">
        <v>932</v>
      </c>
    </row>
    <row r="42" spans="1:7">
      <c r="A42" s="2" t="s">
        <v>3162</v>
      </c>
      <c r="B42" s="2" t="s">
        <v>925</v>
      </c>
      <c r="C42" s="2">
        <v>0</v>
      </c>
      <c r="D42" s="2" t="s">
        <v>926</v>
      </c>
      <c r="E42" s="2">
        <v>2</v>
      </c>
      <c r="G42" s="2" t="s">
        <v>1004</v>
      </c>
    </row>
    <row r="43" spans="1:7">
      <c r="A43" s="2" t="s">
        <v>3162</v>
      </c>
      <c r="B43" s="2" t="s">
        <v>917</v>
      </c>
      <c r="C43" s="2">
        <v>6</v>
      </c>
      <c r="D43" s="2" t="s">
        <v>918</v>
      </c>
      <c r="E43" s="2">
        <v>2</v>
      </c>
      <c r="F43" s="2" t="s">
        <v>1003</v>
      </c>
      <c r="G43" s="2" t="s">
        <v>924</v>
      </c>
    </row>
    <row r="44" spans="1:7">
      <c r="A44" s="2" t="s">
        <v>3162</v>
      </c>
      <c r="B44" s="2" t="s">
        <v>914</v>
      </c>
      <c r="C44" s="2">
        <v>0</v>
      </c>
      <c r="D44" s="2" t="s">
        <v>915</v>
      </c>
      <c r="E44" s="2">
        <v>2</v>
      </c>
      <c r="G44" s="2" t="s">
        <v>916</v>
      </c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2" spans="1:1">
      <c r="A142" s="4"/>
    </row>
    <row r="145" spans="1:10">
      <c r="A145" s="4"/>
    </row>
    <row r="148" spans="1:10">
      <c r="A148" s="4"/>
    </row>
    <row r="151" spans="1:10">
      <c r="A151" s="4"/>
    </row>
    <row r="154" spans="1:10">
      <c r="A154" s="4"/>
      <c r="J154" s="3"/>
    </row>
    <row r="155" spans="1:10">
      <c r="J155" s="3"/>
    </row>
    <row r="156" spans="1:10">
      <c r="J156" s="3"/>
    </row>
    <row r="157" spans="1:10">
      <c r="A157" s="4"/>
      <c r="J157" s="3"/>
    </row>
    <row r="160" spans="1:10">
      <c r="A160" s="4"/>
    </row>
    <row r="163" spans="1:1">
      <c r="A163" s="4"/>
    </row>
    <row r="166" spans="1:1">
      <c r="A166" s="4"/>
    </row>
    <row r="169" spans="1:1">
      <c r="A169" s="4"/>
    </row>
    <row r="172" spans="1:1">
      <c r="A172" s="4"/>
    </row>
    <row r="175" spans="1:1">
      <c r="A175" s="4"/>
    </row>
    <row r="178" spans="1:1">
      <c r="A178" s="4"/>
    </row>
    <row r="181" spans="1:1">
      <c r="A181" s="4"/>
    </row>
    <row r="184" spans="1:1">
      <c r="A184" s="4"/>
    </row>
    <row r="187" spans="1:1">
      <c r="A187" s="4"/>
    </row>
    <row r="190" spans="1:1">
      <c r="A190" s="4"/>
    </row>
    <row r="193" spans="1:1">
      <c r="A193" s="4"/>
    </row>
    <row r="196" spans="1:1">
      <c r="A196" s="4"/>
    </row>
    <row r="199" spans="1:1">
      <c r="A199" s="4"/>
    </row>
    <row r="202" spans="1:1">
      <c r="A202" s="4"/>
    </row>
    <row r="268" spans="1:2">
      <c r="A268" s="3"/>
    </row>
    <row r="272" spans="1:2">
      <c r="B272" s="3"/>
    </row>
    <row r="275" spans="2:2">
      <c r="B27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2AC14-9C24-4F53-8580-FDA73A72E05A}">
  <sheetPr codeName="Sheet8"/>
  <dimension ref="A1:AE42"/>
  <sheetViews>
    <sheetView zoomScale="82" zoomScaleNormal="82" workbookViewId="0">
      <pane xSplit="3" ySplit="3" topLeftCell="D7" activePane="bottomRight" state="frozen"/>
      <selection pane="topRight" activeCell="C1" sqref="C1"/>
      <selection pane="bottomLeft" activeCell="A4" sqref="A4"/>
      <selection pane="bottomRight" activeCell="D7" sqref="D7"/>
    </sheetView>
  </sheetViews>
  <sheetFormatPr defaultRowHeight="13.2"/>
  <cols>
    <col min="1" max="1" width="7" style="9" bestFit="1" customWidth="1"/>
    <col min="2" max="2" width="15.44140625" style="9" bestFit="1" customWidth="1"/>
    <col min="3" max="3" width="8.88671875" style="9"/>
    <col min="4" max="31" width="7" style="9" customWidth="1"/>
    <col min="32" max="16384" width="8.88671875" style="9"/>
  </cols>
  <sheetData>
    <row r="1" spans="1:31" s="14" customFormat="1" ht="17.399999999999999">
      <c r="B1" s="15"/>
      <c r="D1" s="65" t="s">
        <v>3162</v>
      </c>
      <c r="E1" s="65"/>
      <c r="F1" s="65"/>
      <c r="G1" s="65"/>
      <c r="H1" s="66" t="s">
        <v>3163</v>
      </c>
      <c r="I1" s="66"/>
      <c r="J1" s="66"/>
      <c r="K1" s="66"/>
      <c r="L1" s="65" t="s">
        <v>3164</v>
      </c>
      <c r="M1" s="65"/>
      <c r="N1" s="65"/>
      <c r="O1" s="65"/>
      <c r="P1" s="66" t="s">
        <v>3191</v>
      </c>
      <c r="Q1" s="66"/>
      <c r="R1" s="66"/>
      <c r="S1" s="66"/>
      <c r="T1" s="65" t="s">
        <v>3192</v>
      </c>
      <c r="U1" s="65"/>
      <c r="V1" s="65"/>
      <c r="W1" s="65"/>
      <c r="X1" s="66" t="s">
        <v>3193</v>
      </c>
      <c r="Y1" s="66"/>
      <c r="Z1" s="66"/>
      <c r="AA1" s="66"/>
      <c r="AB1" s="65" t="s">
        <v>3194</v>
      </c>
      <c r="AC1" s="65"/>
      <c r="AD1" s="65"/>
      <c r="AE1" s="65"/>
    </row>
    <row r="2" spans="1:31" s="12" customFormat="1">
      <c r="B2" s="13"/>
      <c r="D2" s="16"/>
      <c r="E2" s="16"/>
      <c r="F2" s="16"/>
      <c r="G2" s="16"/>
      <c r="H2" s="17"/>
      <c r="I2" s="17"/>
      <c r="J2" s="17"/>
      <c r="K2" s="17"/>
      <c r="L2" s="16"/>
      <c r="M2" s="16"/>
      <c r="N2" s="16"/>
      <c r="O2" s="16"/>
      <c r="P2" s="17" t="s">
        <v>3195</v>
      </c>
      <c r="Q2" s="17"/>
      <c r="R2" s="17"/>
      <c r="S2" s="17"/>
      <c r="T2" s="16" t="s">
        <v>3166</v>
      </c>
      <c r="U2" s="16"/>
      <c r="V2" s="16"/>
      <c r="W2" s="16"/>
      <c r="X2" s="18"/>
      <c r="Y2" s="17" t="s">
        <v>3196</v>
      </c>
      <c r="Z2" s="17"/>
      <c r="AA2" s="17"/>
      <c r="AB2" s="16"/>
      <c r="AC2" s="16" t="s">
        <v>3168</v>
      </c>
      <c r="AD2" s="16"/>
      <c r="AE2" s="16"/>
    </row>
    <row r="3" spans="1:31" s="11" customFormat="1">
      <c r="A3" s="11" t="s">
        <v>3174</v>
      </c>
      <c r="B3" s="11" t="s">
        <v>3173</v>
      </c>
      <c r="D3" s="19" t="s">
        <v>3172</v>
      </c>
      <c r="E3" s="19" t="s">
        <v>3190</v>
      </c>
      <c r="F3" s="19" t="s">
        <v>3171</v>
      </c>
      <c r="G3" s="19" t="s">
        <v>3170</v>
      </c>
      <c r="H3" s="19" t="s">
        <v>3172</v>
      </c>
      <c r="I3" s="19" t="s">
        <v>3190</v>
      </c>
      <c r="J3" s="19" t="s">
        <v>3171</v>
      </c>
      <c r="K3" s="19" t="s">
        <v>3170</v>
      </c>
      <c r="L3" s="19" t="s">
        <v>3172</v>
      </c>
      <c r="M3" s="19" t="s">
        <v>3190</v>
      </c>
      <c r="N3" s="19" t="s">
        <v>3171</v>
      </c>
      <c r="O3" s="19" t="s">
        <v>3170</v>
      </c>
      <c r="P3" s="19" t="s">
        <v>3172</v>
      </c>
      <c r="Q3" s="19" t="s">
        <v>3190</v>
      </c>
      <c r="R3" s="19" t="s">
        <v>3171</v>
      </c>
      <c r="S3" s="19" t="s">
        <v>3170</v>
      </c>
      <c r="T3" s="19" t="s">
        <v>3172</v>
      </c>
      <c r="U3" s="19" t="s">
        <v>3190</v>
      </c>
      <c r="V3" s="19" t="s">
        <v>3171</v>
      </c>
      <c r="W3" s="19" t="s">
        <v>3170</v>
      </c>
      <c r="X3" s="19" t="s">
        <v>3172</v>
      </c>
      <c r="Y3" s="19" t="s">
        <v>3190</v>
      </c>
      <c r="Z3" s="19" t="s">
        <v>3171</v>
      </c>
      <c r="AA3" s="19" t="s">
        <v>3170</v>
      </c>
      <c r="AB3" s="19" t="s">
        <v>3172</v>
      </c>
      <c r="AC3" s="19" t="s">
        <v>3190</v>
      </c>
      <c r="AD3" s="19" t="s">
        <v>3171</v>
      </c>
      <c r="AE3" s="19" t="s">
        <v>3170</v>
      </c>
    </row>
    <row r="4" spans="1:31" s="10" customFormat="1">
      <c r="A4" s="9" t="s">
        <v>949</v>
      </c>
      <c r="B4" s="9" t="s">
        <v>881</v>
      </c>
      <c r="C4" s="9" t="s">
        <v>926</v>
      </c>
      <c r="D4" s="20" t="e" cm="1">
        <f t="array" ref="D4">winDrawLosePoints($C4,D$1)</f>
        <v>#VALUE!</v>
      </c>
      <c r="E4" s="20" t="e" cm="1">
        <f t="array" ref="E4">goalDifferencePoints($C4,D$1)</f>
        <v>#VALUE!</v>
      </c>
      <c r="F4" s="20" t="e" cm="1">
        <f t="array" ref="F4">goalsConcededPoints($C4,D$1)</f>
        <v>#VALUE!</v>
      </c>
      <c r="G4" s="20" t="e" cm="1">
        <f t="array" ref="G4">cleanSheet(F4)</f>
        <v>#VALUE!</v>
      </c>
      <c r="H4" s="21" t="e" cm="1">
        <f t="array" ref="H4">winDrawLosePoints($C4,H$1)</f>
        <v>#VALUE!</v>
      </c>
      <c r="I4" s="21" t="e" cm="1">
        <f t="array" ref="I4">goalDifferencePoints($C4,H$1)</f>
        <v>#VALUE!</v>
      </c>
      <c r="J4" s="21" t="e" cm="1">
        <f t="array" ref="J4">goalsConcededPoints($C4,H$1)</f>
        <v>#VALUE!</v>
      </c>
      <c r="K4" s="21" t="e" cm="1">
        <f t="array" ref="K4">cleanSheet(J4)</f>
        <v>#VALUE!</v>
      </c>
      <c r="L4" s="20" t="e" cm="1">
        <f t="array" ref="L4">winDrawLosePoints($C4,L$1)</f>
        <v>#VALUE!</v>
      </c>
      <c r="M4" s="20" t="e" cm="1">
        <f t="array" ref="M4">goalDifferencePoints($C4,L$1)</f>
        <v>#VALUE!</v>
      </c>
      <c r="N4" s="20" t="e" cm="1">
        <f t="array" ref="N4">goalsConcededPoints($C4,L$1)</f>
        <v>#VALUE!</v>
      </c>
      <c r="O4" s="20" t="e" cm="1">
        <f t="array" ref="O4">cleanSheet(N4)</f>
        <v>#VALUE!</v>
      </c>
      <c r="P4" s="21" t="e" cm="1">
        <f t="array" ref="P4">winDrawLosePoints($C4,P$1)</f>
        <v>#VALUE!</v>
      </c>
      <c r="Q4" s="21" t="e" cm="1">
        <f t="array" ref="Q4">goalDifferencePoints($C4,P$1)</f>
        <v>#VALUE!</v>
      </c>
      <c r="R4" s="21" t="e" cm="1">
        <f t="array" ref="R4">goalsConcededPoints($C4,P$1)</f>
        <v>#VALUE!</v>
      </c>
      <c r="S4" s="21" t="e" cm="1">
        <f t="array" ref="S4">cleanSheet(R4)</f>
        <v>#VALUE!</v>
      </c>
      <c r="T4" s="20" t="e" cm="1">
        <f t="array" ref="T4">winDrawLosePoints($C4,T$1)</f>
        <v>#VALUE!</v>
      </c>
      <c r="U4" s="20" t="e" cm="1">
        <f t="array" ref="U4">goalDifferencePoints($C4,T$1)</f>
        <v>#VALUE!</v>
      </c>
      <c r="V4" s="20" t="e" cm="1">
        <f t="array" ref="V4">goalsConcededPoints($C4,T$1)</f>
        <v>#VALUE!</v>
      </c>
      <c r="W4" s="20" t="e" cm="1">
        <f t="array" ref="W4">cleanSheet(V4)</f>
        <v>#VALUE!</v>
      </c>
      <c r="X4" s="21" t="e" cm="1">
        <f t="array" ref="X4">winDrawLosePoints($C4,X$1)</f>
        <v>#VALUE!</v>
      </c>
      <c r="Y4" s="21" t="e" cm="1">
        <f t="array" ref="Y4">goalDifferencePoints($C4,X$1)</f>
        <v>#VALUE!</v>
      </c>
      <c r="Z4" s="21" t="e" cm="1">
        <f t="array" ref="Z4">goalsConcededPoints($C4,X$1)</f>
        <v>#VALUE!</v>
      </c>
      <c r="AA4" s="21" t="e" cm="1">
        <f t="array" ref="AA4">cleanSheet(Z4)</f>
        <v>#VALUE!</v>
      </c>
      <c r="AB4" s="20" t="e" cm="1">
        <f t="array" ref="AB4">winDrawLosePoints($C4,AB$1)</f>
        <v>#VALUE!</v>
      </c>
      <c r="AC4" s="20" t="e" cm="1">
        <f t="array" ref="AC4">goalDifferencePoints($C4,AB$1)</f>
        <v>#VALUE!</v>
      </c>
      <c r="AD4" s="20" t="e" cm="1">
        <f t="array" ref="AD4">goalsConcededPoints($C4,AB$1)</f>
        <v>#VALUE!</v>
      </c>
      <c r="AE4" s="20" t="e" cm="1">
        <f t="array" ref="AE4">cleanSheet(AD4)</f>
        <v>#VALUE!</v>
      </c>
    </row>
    <row r="5" spans="1:31" s="10" customFormat="1">
      <c r="A5" s="9" t="s">
        <v>949</v>
      </c>
      <c r="B5" s="9" t="s">
        <v>904</v>
      </c>
      <c r="C5" s="9" t="s">
        <v>915</v>
      </c>
      <c r="D5" s="20" t="e" cm="1">
        <f t="array" ref="D5">winDrawLosePoints($C5,D$1)</f>
        <v>#VALUE!</v>
      </c>
      <c r="E5" s="20" t="e" cm="1">
        <f t="array" ref="E5">goalDifferencePoints($C5,D$1)</f>
        <v>#VALUE!</v>
      </c>
      <c r="F5" s="20" t="e" cm="1">
        <f t="array" ref="F5">goalsConcededPoints($C5,D$1)</f>
        <v>#VALUE!</v>
      </c>
      <c r="G5" s="20" t="e" cm="1">
        <f t="array" ref="G5">cleanSheet(F5)</f>
        <v>#VALUE!</v>
      </c>
      <c r="H5" s="21" t="e" cm="1">
        <f t="array" ref="H5">winDrawLosePoints($C5,H$1)</f>
        <v>#VALUE!</v>
      </c>
      <c r="I5" s="21" t="e" cm="1">
        <f t="array" ref="I5">goalDifferencePoints($C5,H$1)</f>
        <v>#VALUE!</v>
      </c>
      <c r="J5" s="21" t="e" cm="1">
        <f t="array" ref="J5">goalsConcededPoints($C5,H$1)</f>
        <v>#VALUE!</v>
      </c>
      <c r="K5" s="21" t="e" cm="1">
        <f t="array" ref="K5">cleanSheet(J5)</f>
        <v>#VALUE!</v>
      </c>
      <c r="L5" s="20" t="e" cm="1">
        <f t="array" ref="L5">winDrawLosePoints($C5,L$1)</f>
        <v>#VALUE!</v>
      </c>
      <c r="M5" s="20" t="e" cm="1">
        <f t="array" ref="M5">goalDifferencePoints($C5,L$1)</f>
        <v>#VALUE!</v>
      </c>
      <c r="N5" s="20" t="e" cm="1">
        <f t="array" ref="N5">goalsConcededPoints($C5,L$1)</f>
        <v>#VALUE!</v>
      </c>
      <c r="O5" s="20" t="e" cm="1">
        <f t="array" ref="O5">cleanSheet(N5)</f>
        <v>#VALUE!</v>
      </c>
      <c r="P5" s="21" t="e" cm="1">
        <f t="array" ref="P5">winDrawLosePoints($C5,P$1)</f>
        <v>#VALUE!</v>
      </c>
      <c r="Q5" s="21" t="e" cm="1">
        <f t="array" ref="Q5">goalDifferencePoints($C5,P$1)</f>
        <v>#VALUE!</v>
      </c>
      <c r="R5" s="21" t="e" cm="1">
        <f t="array" ref="R5">goalsConcededPoints($C5,P$1)</f>
        <v>#VALUE!</v>
      </c>
      <c r="S5" s="21" t="e" cm="1">
        <f t="array" ref="S5">cleanSheet(R5)</f>
        <v>#VALUE!</v>
      </c>
      <c r="T5" s="20" t="e" cm="1">
        <f t="array" ref="T5">winDrawLosePoints($C5,T$1)</f>
        <v>#VALUE!</v>
      </c>
      <c r="U5" s="20" t="e" cm="1">
        <f t="array" ref="U5">goalDifferencePoints($C5,T$1)</f>
        <v>#VALUE!</v>
      </c>
      <c r="V5" s="20" t="e" cm="1">
        <f t="array" ref="V5">goalsConcededPoints($C5,T$1)</f>
        <v>#VALUE!</v>
      </c>
      <c r="W5" s="20" t="e" cm="1">
        <f t="array" ref="W5">cleanSheet(V5)</f>
        <v>#VALUE!</v>
      </c>
      <c r="X5" s="21" t="e" cm="1">
        <f t="array" ref="X5">winDrawLosePoints($C5,X$1)</f>
        <v>#VALUE!</v>
      </c>
      <c r="Y5" s="21" t="e" cm="1">
        <f t="array" ref="Y5">goalDifferencePoints($C5,X$1)</f>
        <v>#VALUE!</v>
      </c>
      <c r="Z5" s="21" t="e" cm="1">
        <f t="array" ref="Z5">goalsConcededPoints($C5,X$1)</f>
        <v>#VALUE!</v>
      </c>
      <c r="AA5" s="21" t="e" cm="1">
        <f t="array" ref="AA5">cleanSheet(Z5)</f>
        <v>#VALUE!</v>
      </c>
      <c r="AB5" s="20" t="e" cm="1">
        <f t="array" ref="AB5">winDrawLosePoints($C5,AB$1)</f>
        <v>#VALUE!</v>
      </c>
      <c r="AC5" s="20" t="e" cm="1">
        <f t="array" ref="AC5">goalDifferencePoints($C5,AB$1)</f>
        <v>#VALUE!</v>
      </c>
      <c r="AD5" s="20" t="e" cm="1">
        <f t="array" ref="AD5">goalsConcededPoints($C5,AB$1)</f>
        <v>#VALUE!</v>
      </c>
      <c r="AE5" s="20" t="e" cm="1">
        <f t="array" ref="AE5">cleanSheet(AD5)</f>
        <v>#VALUE!</v>
      </c>
    </row>
    <row r="6" spans="1:31" s="10" customFormat="1">
      <c r="A6" s="9" t="s">
        <v>949</v>
      </c>
      <c r="B6" s="9" t="s">
        <v>886</v>
      </c>
      <c r="C6" s="9" t="s">
        <v>925</v>
      </c>
      <c r="D6" s="20" t="e" cm="1">
        <f t="array" ref="D6">winDrawLosePoints($C6,D$1)</f>
        <v>#VALUE!</v>
      </c>
      <c r="E6" s="20" t="e" cm="1">
        <f t="array" ref="E6">goalDifferencePoints($C6,D$1)</f>
        <v>#VALUE!</v>
      </c>
      <c r="F6" s="20" t="e" cm="1">
        <f t="array" ref="F6">goalsConcededPoints($C6,D$1)</f>
        <v>#VALUE!</v>
      </c>
      <c r="G6" s="20" t="e" cm="1">
        <f t="array" ref="G6">cleanSheet(F6)</f>
        <v>#VALUE!</v>
      </c>
      <c r="H6" s="21" t="e" cm="1">
        <f t="array" ref="H6">winDrawLosePoints($C6,H$1)</f>
        <v>#VALUE!</v>
      </c>
      <c r="I6" s="21" t="e" cm="1">
        <f t="array" ref="I6">goalDifferencePoints($C6,H$1)</f>
        <v>#VALUE!</v>
      </c>
      <c r="J6" s="21" t="e" cm="1">
        <f t="array" ref="J6">goalsConcededPoints($C6,H$1)</f>
        <v>#VALUE!</v>
      </c>
      <c r="K6" s="21" t="e" cm="1">
        <f t="array" ref="K6">cleanSheet(J6)</f>
        <v>#VALUE!</v>
      </c>
      <c r="L6" s="20" t="e" cm="1">
        <f t="array" ref="L6">winDrawLosePoints($C6,L$1)</f>
        <v>#VALUE!</v>
      </c>
      <c r="M6" s="20" t="e" cm="1">
        <f t="array" ref="M6">goalDifferencePoints($C6,L$1)</f>
        <v>#VALUE!</v>
      </c>
      <c r="N6" s="20" t="e" cm="1">
        <f t="array" ref="N6">goalsConcededPoints($C6,L$1)</f>
        <v>#VALUE!</v>
      </c>
      <c r="O6" s="20" t="e" cm="1">
        <f t="array" ref="O6">cleanSheet(N6)</f>
        <v>#VALUE!</v>
      </c>
      <c r="P6" s="21" t="e" cm="1">
        <f t="array" ref="P6">winDrawLosePoints($C6,P$1)</f>
        <v>#VALUE!</v>
      </c>
      <c r="Q6" s="21" t="e" cm="1">
        <f t="array" ref="Q6">goalDifferencePoints($C6,P$1)</f>
        <v>#VALUE!</v>
      </c>
      <c r="R6" s="21" t="e" cm="1">
        <f t="array" ref="R6">goalsConcededPoints($C6,P$1)</f>
        <v>#VALUE!</v>
      </c>
      <c r="S6" s="21" t="e" cm="1">
        <f t="array" ref="S6">cleanSheet(R6)</f>
        <v>#VALUE!</v>
      </c>
      <c r="T6" s="20" t="e" cm="1">
        <f t="array" ref="T6">winDrawLosePoints($C6,T$1)</f>
        <v>#VALUE!</v>
      </c>
      <c r="U6" s="20" t="e" cm="1">
        <f t="array" ref="U6">goalDifferencePoints($C6,T$1)</f>
        <v>#VALUE!</v>
      </c>
      <c r="V6" s="20" t="e" cm="1">
        <f t="array" ref="V6">goalsConcededPoints($C6,T$1)</f>
        <v>#VALUE!</v>
      </c>
      <c r="W6" s="20" t="e" cm="1">
        <f t="array" ref="W6">cleanSheet(V6)</f>
        <v>#VALUE!</v>
      </c>
      <c r="X6" s="21" t="e" cm="1">
        <f t="array" ref="X6">winDrawLosePoints($C6,X$1)</f>
        <v>#VALUE!</v>
      </c>
      <c r="Y6" s="21" t="e" cm="1">
        <f t="array" ref="Y6">goalDifferencePoints($C6,X$1)</f>
        <v>#VALUE!</v>
      </c>
      <c r="Z6" s="21" t="e" cm="1">
        <f t="array" ref="Z6">goalsConcededPoints($C6,X$1)</f>
        <v>#VALUE!</v>
      </c>
      <c r="AA6" s="21" t="e" cm="1">
        <f t="array" ref="AA6">cleanSheet(Z6)</f>
        <v>#VALUE!</v>
      </c>
      <c r="AB6" s="20" t="e" cm="1">
        <f t="array" ref="AB6">winDrawLosePoints($C6,AB$1)</f>
        <v>#VALUE!</v>
      </c>
      <c r="AC6" s="20" t="e" cm="1">
        <f t="array" ref="AC6">goalDifferencePoints($C6,AB$1)</f>
        <v>#VALUE!</v>
      </c>
      <c r="AD6" s="20" t="e" cm="1">
        <f t="array" ref="AD6">goalsConcededPoints($C6,AB$1)</f>
        <v>#VALUE!</v>
      </c>
      <c r="AE6" s="20" t="e" cm="1">
        <f t="array" ref="AE6">cleanSheet(AD6)</f>
        <v>#VALUE!</v>
      </c>
    </row>
    <row r="7" spans="1:31" s="10" customFormat="1">
      <c r="A7" s="9" t="s">
        <v>949</v>
      </c>
      <c r="B7" s="9" t="s">
        <v>884</v>
      </c>
      <c r="C7" s="9" t="s">
        <v>914</v>
      </c>
      <c r="D7" s="20" cm="1">
        <f t="array" ref="D7">winDrawLosePoints($C7,D$1)</f>
        <v>0</v>
      </c>
      <c r="E7" s="20" t="e" cm="1">
        <f t="array" ref="E7">goalDifferencePoints($C7,D$1)</f>
        <v>#VALUE!</v>
      </c>
      <c r="F7" s="20" t="e" cm="1">
        <f t="array" ref="F7">goalsConcededPoints($C7,D$1)</f>
        <v>#VALUE!</v>
      </c>
      <c r="G7" s="20" t="e" cm="1">
        <f t="array" ref="G7">cleanSheet(F7)</f>
        <v>#VALUE!</v>
      </c>
      <c r="H7" s="21" t="e" cm="1">
        <f t="array" ref="H7">winDrawLosePoints($C7,H$1)</f>
        <v>#VALUE!</v>
      </c>
      <c r="I7" s="21" t="e" cm="1">
        <f t="array" ref="I7">goalDifferencePoints($C7,H$1)</f>
        <v>#VALUE!</v>
      </c>
      <c r="J7" s="21" t="e" cm="1">
        <f t="array" ref="J7">goalsConcededPoints($C7,H$1)</f>
        <v>#VALUE!</v>
      </c>
      <c r="K7" s="21" t="e" cm="1">
        <f t="array" ref="K7">cleanSheet(J7)</f>
        <v>#VALUE!</v>
      </c>
      <c r="L7" s="20" t="e" cm="1">
        <f t="array" ref="L7">winDrawLosePoints($C7,L$1)</f>
        <v>#VALUE!</v>
      </c>
      <c r="M7" s="20" t="e" cm="1">
        <f t="array" ref="M7">goalDifferencePoints($C7,L$1)</f>
        <v>#VALUE!</v>
      </c>
      <c r="N7" s="20" t="e" cm="1">
        <f t="array" ref="N7">goalsConcededPoints($C7,L$1)</f>
        <v>#VALUE!</v>
      </c>
      <c r="O7" s="20" t="e" cm="1">
        <f t="array" ref="O7">cleanSheet(N7)</f>
        <v>#VALUE!</v>
      </c>
      <c r="P7" s="21" t="e" cm="1">
        <f t="array" ref="P7">winDrawLosePoints($C7,P$1)</f>
        <v>#VALUE!</v>
      </c>
      <c r="Q7" s="21" t="e" cm="1">
        <f t="array" ref="Q7">goalDifferencePoints($C7,P$1)</f>
        <v>#VALUE!</v>
      </c>
      <c r="R7" s="21" t="e" cm="1">
        <f t="array" ref="R7">goalsConcededPoints($C7,P$1)</f>
        <v>#VALUE!</v>
      </c>
      <c r="S7" s="21" t="e" cm="1">
        <f t="array" ref="S7">cleanSheet(R7)</f>
        <v>#VALUE!</v>
      </c>
      <c r="T7" s="20" t="e" cm="1">
        <f t="array" ref="T7">winDrawLosePoints($C7,T$1)</f>
        <v>#VALUE!</v>
      </c>
      <c r="U7" s="20" t="e" cm="1">
        <f t="array" ref="U7">goalDifferencePoints($C7,T$1)</f>
        <v>#VALUE!</v>
      </c>
      <c r="V7" s="20" t="e" cm="1">
        <f t="array" ref="V7">goalsConcededPoints($C7,T$1)</f>
        <v>#VALUE!</v>
      </c>
      <c r="W7" s="20" t="e" cm="1">
        <f t="array" ref="W7">cleanSheet(V7)</f>
        <v>#VALUE!</v>
      </c>
      <c r="X7" s="21" t="e" cm="1">
        <f t="array" ref="X7">winDrawLosePoints($C7,X$1)</f>
        <v>#VALUE!</v>
      </c>
      <c r="Y7" s="21" t="e" cm="1">
        <f t="array" ref="Y7">goalDifferencePoints($C7,X$1)</f>
        <v>#VALUE!</v>
      </c>
      <c r="Z7" s="21" t="e" cm="1">
        <f t="array" ref="Z7">goalsConcededPoints($C7,X$1)</f>
        <v>#VALUE!</v>
      </c>
      <c r="AA7" s="21" t="e" cm="1">
        <f t="array" ref="AA7">cleanSheet(Z7)</f>
        <v>#VALUE!</v>
      </c>
      <c r="AB7" s="20" t="e" cm="1">
        <f t="array" ref="AB7">winDrawLosePoints($C7,AB$1)</f>
        <v>#VALUE!</v>
      </c>
      <c r="AC7" s="20" t="e" cm="1">
        <f t="array" ref="AC7">goalDifferencePoints($C7,AB$1)</f>
        <v>#VALUE!</v>
      </c>
      <c r="AD7" s="20" t="e" cm="1">
        <f t="array" ref="AD7">goalsConcededPoints($C7,AB$1)</f>
        <v>#VALUE!</v>
      </c>
      <c r="AE7" s="20" t="e" cm="1">
        <f t="array" ref="AE7">cleanSheet(AD7)</f>
        <v>#VALUE!</v>
      </c>
    </row>
    <row r="8" spans="1:31" s="10" customFormat="1">
      <c r="A8" s="9" t="s">
        <v>982</v>
      </c>
      <c r="B8" s="9" t="s">
        <v>905</v>
      </c>
      <c r="C8" s="9" t="s">
        <v>917</v>
      </c>
      <c r="D8" s="20" t="e" cm="1">
        <f t="array" ref="D8">winDrawLosePoints($C8,D$1)</f>
        <v>#VALUE!</v>
      </c>
      <c r="E8" s="20" t="e" cm="1">
        <f t="array" ref="E8">goalDifferencePoints($C8,D$1)</f>
        <v>#VALUE!</v>
      </c>
      <c r="F8" s="20" t="e" cm="1">
        <f t="array" ref="F8">goalsConcededPoints($C8,D$1)</f>
        <v>#VALUE!</v>
      </c>
      <c r="G8" s="20" t="e" cm="1">
        <f t="array" ref="G8">cleanSheet(F8)</f>
        <v>#VALUE!</v>
      </c>
      <c r="H8" s="21" t="e" cm="1">
        <f t="array" ref="H8">winDrawLosePoints($C8,H$1)</f>
        <v>#VALUE!</v>
      </c>
      <c r="I8" s="21" t="e" cm="1">
        <f t="array" ref="I8">goalDifferencePoints($C8,H$1)</f>
        <v>#VALUE!</v>
      </c>
      <c r="J8" s="21" t="e" cm="1">
        <f t="array" ref="J8">goalsConcededPoints($C8,H$1)</f>
        <v>#VALUE!</v>
      </c>
      <c r="K8" s="21" t="e" cm="1">
        <f t="array" ref="K8">cleanSheet(J8)</f>
        <v>#VALUE!</v>
      </c>
      <c r="L8" s="20" t="e" cm="1">
        <f t="array" ref="L8">winDrawLosePoints($C8,L$1)</f>
        <v>#VALUE!</v>
      </c>
      <c r="M8" s="20" t="e" cm="1">
        <f t="array" ref="M8">goalDifferencePoints($C8,L$1)</f>
        <v>#VALUE!</v>
      </c>
      <c r="N8" s="20" t="e" cm="1">
        <f t="array" ref="N8">goalsConcededPoints($C8,L$1)</f>
        <v>#VALUE!</v>
      </c>
      <c r="O8" s="20" t="e" cm="1">
        <f t="array" ref="O8">cleanSheet(N8)</f>
        <v>#VALUE!</v>
      </c>
      <c r="P8" s="21" t="e" cm="1">
        <f t="array" ref="P8">winDrawLosePoints($C8,P$1)</f>
        <v>#VALUE!</v>
      </c>
      <c r="Q8" s="21" t="e" cm="1">
        <f t="array" ref="Q8">goalDifferencePoints($C8,P$1)</f>
        <v>#VALUE!</v>
      </c>
      <c r="R8" s="21" t="e" cm="1">
        <f t="array" ref="R8">goalsConcededPoints($C8,P$1)</f>
        <v>#VALUE!</v>
      </c>
      <c r="S8" s="21" t="e" cm="1">
        <f t="array" ref="S8">cleanSheet(R8)</f>
        <v>#VALUE!</v>
      </c>
      <c r="T8" s="20" t="e" cm="1">
        <f t="array" ref="T8">winDrawLosePoints($C8,T$1)</f>
        <v>#VALUE!</v>
      </c>
      <c r="U8" s="20" t="e" cm="1">
        <f t="array" ref="U8">goalDifferencePoints($C8,T$1)</f>
        <v>#VALUE!</v>
      </c>
      <c r="V8" s="20" t="e" cm="1">
        <f t="array" ref="V8">goalsConcededPoints($C8,T$1)</f>
        <v>#VALUE!</v>
      </c>
      <c r="W8" s="20" t="e" cm="1">
        <f t="array" ref="W8">cleanSheet(V8)</f>
        <v>#VALUE!</v>
      </c>
      <c r="X8" s="21" t="e" cm="1">
        <f t="array" ref="X8">winDrawLosePoints($C8,X$1)</f>
        <v>#VALUE!</v>
      </c>
      <c r="Y8" s="21" t="e" cm="1">
        <f t="array" ref="Y8">goalDifferencePoints($C8,X$1)</f>
        <v>#VALUE!</v>
      </c>
      <c r="Z8" s="21" t="e" cm="1">
        <f t="array" ref="Z8">goalsConcededPoints($C8,X$1)</f>
        <v>#VALUE!</v>
      </c>
      <c r="AA8" s="21" t="e" cm="1">
        <f t="array" ref="AA8">cleanSheet(Z8)</f>
        <v>#VALUE!</v>
      </c>
      <c r="AB8" s="20" t="e" cm="1">
        <f t="array" ref="AB8">winDrawLosePoints($C8,AB$1)</f>
        <v>#VALUE!</v>
      </c>
      <c r="AC8" s="20" t="e" cm="1">
        <f t="array" ref="AC8">goalDifferencePoints($C8,AB$1)</f>
        <v>#VALUE!</v>
      </c>
      <c r="AD8" s="20" t="e" cm="1">
        <f t="array" ref="AD8">goalsConcededPoints($C8,AB$1)</f>
        <v>#VALUE!</v>
      </c>
      <c r="AE8" s="20" t="e" cm="1">
        <f t="array" ref="AE8">cleanSheet(AD8)</f>
        <v>#VALUE!</v>
      </c>
    </row>
    <row r="9" spans="1:31" s="10" customFormat="1">
      <c r="A9" s="9" t="s">
        <v>982</v>
      </c>
      <c r="B9" s="9" t="s">
        <v>894</v>
      </c>
      <c r="C9" s="9" t="s">
        <v>930</v>
      </c>
      <c r="D9" s="20" t="e" cm="1">
        <f t="array" ref="D9">winDrawLosePoints($C9,D$1)</f>
        <v>#VALUE!</v>
      </c>
      <c r="E9" s="20" t="e" cm="1">
        <f t="array" ref="E9">goalDifferencePoints($C9,D$1)</f>
        <v>#VALUE!</v>
      </c>
      <c r="F9" s="20" t="e" cm="1">
        <f t="array" ref="F9">goalsConcededPoints($C9,D$1)</f>
        <v>#VALUE!</v>
      </c>
      <c r="G9" s="20" t="e" cm="1">
        <f t="array" ref="G9">cleanSheet(F9)</f>
        <v>#VALUE!</v>
      </c>
      <c r="H9" s="21" t="e" cm="1">
        <f t="array" ref="H9">winDrawLosePoints($C9,H$1)</f>
        <v>#VALUE!</v>
      </c>
      <c r="I9" s="21" t="e" cm="1">
        <f t="array" ref="I9">goalDifferencePoints($C9,H$1)</f>
        <v>#VALUE!</v>
      </c>
      <c r="J9" s="21" t="e" cm="1">
        <f t="array" ref="J9">goalsConcededPoints($C9,H$1)</f>
        <v>#VALUE!</v>
      </c>
      <c r="K9" s="21" t="e" cm="1">
        <f t="array" ref="K9">cleanSheet(J9)</f>
        <v>#VALUE!</v>
      </c>
      <c r="L9" s="20" t="e" cm="1">
        <f t="array" ref="L9">winDrawLosePoints($C9,L$1)</f>
        <v>#VALUE!</v>
      </c>
      <c r="M9" s="20" t="e" cm="1">
        <f t="array" ref="M9">goalDifferencePoints($C9,L$1)</f>
        <v>#VALUE!</v>
      </c>
      <c r="N9" s="20" t="e" cm="1">
        <f t="array" ref="N9">goalsConcededPoints($C9,L$1)</f>
        <v>#VALUE!</v>
      </c>
      <c r="O9" s="20" t="e" cm="1">
        <f t="array" ref="O9">cleanSheet(N9)</f>
        <v>#VALUE!</v>
      </c>
      <c r="P9" s="21" t="e" cm="1">
        <f t="array" ref="P9">winDrawLosePoints($C9,P$1)</f>
        <v>#VALUE!</v>
      </c>
      <c r="Q9" s="21" t="e" cm="1">
        <f t="array" ref="Q9">goalDifferencePoints($C9,P$1)</f>
        <v>#VALUE!</v>
      </c>
      <c r="R9" s="21" t="e" cm="1">
        <f t="array" ref="R9">goalsConcededPoints($C9,P$1)</f>
        <v>#VALUE!</v>
      </c>
      <c r="S9" s="21" t="e" cm="1">
        <f t="array" ref="S9">cleanSheet(R9)</f>
        <v>#VALUE!</v>
      </c>
      <c r="T9" s="20" t="e" cm="1">
        <f t="array" ref="T9">winDrawLosePoints($C9,T$1)</f>
        <v>#VALUE!</v>
      </c>
      <c r="U9" s="20" t="e" cm="1">
        <f t="array" ref="U9">goalDifferencePoints($C9,T$1)</f>
        <v>#VALUE!</v>
      </c>
      <c r="V9" s="20" t="e" cm="1">
        <f t="array" ref="V9">goalsConcededPoints($C9,T$1)</f>
        <v>#VALUE!</v>
      </c>
      <c r="W9" s="20" t="e" cm="1">
        <f t="array" ref="W9">cleanSheet(V9)</f>
        <v>#VALUE!</v>
      </c>
      <c r="X9" s="21" t="e" cm="1">
        <f t="array" ref="X9">winDrawLosePoints($C9,X$1)</f>
        <v>#VALUE!</v>
      </c>
      <c r="Y9" s="21" t="e" cm="1">
        <f t="array" ref="Y9">goalDifferencePoints($C9,X$1)</f>
        <v>#VALUE!</v>
      </c>
      <c r="Z9" s="21" t="e" cm="1">
        <f t="array" ref="Z9">goalsConcededPoints($C9,X$1)</f>
        <v>#VALUE!</v>
      </c>
      <c r="AA9" s="21" t="e" cm="1">
        <f t="array" ref="AA9">cleanSheet(Z9)</f>
        <v>#VALUE!</v>
      </c>
      <c r="AB9" s="20" t="e" cm="1">
        <f t="array" ref="AB9">winDrawLosePoints($C9,AB$1)</f>
        <v>#VALUE!</v>
      </c>
      <c r="AC9" s="20" t="e" cm="1">
        <f t="array" ref="AC9">goalDifferencePoints($C9,AB$1)</f>
        <v>#VALUE!</v>
      </c>
      <c r="AD9" s="20" t="e" cm="1">
        <f t="array" ref="AD9">goalsConcededPoints($C9,AB$1)</f>
        <v>#VALUE!</v>
      </c>
      <c r="AE9" s="20" t="e" cm="1">
        <f t="array" ref="AE9">cleanSheet(AD9)</f>
        <v>#VALUE!</v>
      </c>
    </row>
    <row r="10" spans="1:31" s="10" customFormat="1">
      <c r="A10" s="9" t="s">
        <v>982</v>
      </c>
      <c r="B10" s="9" t="s">
        <v>892</v>
      </c>
      <c r="C10" s="9" t="s">
        <v>929</v>
      </c>
      <c r="D10" s="20" t="e" cm="1">
        <f t="array" ref="D10">winDrawLosePoints($C10,D$1)</f>
        <v>#VALUE!</v>
      </c>
      <c r="E10" s="20" t="e" cm="1">
        <f t="array" ref="E10">goalDifferencePoints($C10,D$1)</f>
        <v>#VALUE!</v>
      </c>
      <c r="F10" s="20" t="e" cm="1">
        <f t="array" ref="F10">goalsConcededPoints($C10,D$1)</f>
        <v>#VALUE!</v>
      </c>
      <c r="G10" s="20" t="e" cm="1">
        <f t="array" ref="G10">cleanSheet(F10)</f>
        <v>#VALUE!</v>
      </c>
      <c r="H10" s="21" t="e" cm="1">
        <f t="array" ref="H10">winDrawLosePoints($C10,H$1)</f>
        <v>#VALUE!</v>
      </c>
      <c r="I10" s="21" t="e" cm="1">
        <f t="array" ref="I10">goalDifferencePoints($C10,H$1)</f>
        <v>#VALUE!</v>
      </c>
      <c r="J10" s="21" t="e" cm="1">
        <f t="array" ref="J10">goalsConcededPoints($C10,H$1)</f>
        <v>#VALUE!</v>
      </c>
      <c r="K10" s="21" t="e" cm="1">
        <f t="array" ref="K10">cleanSheet(J10)</f>
        <v>#VALUE!</v>
      </c>
      <c r="L10" s="20" t="e" cm="1">
        <f t="array" ref="L10">winDrawLosePoints($C10,L$1)</f>
        <v>#VALUE!</v>
      </c>
      <c r="M10" s="20" t="e" cm="1">
        <f t="array" ref="M10">goalDifferencePoints($C10,L$1)</f>
        <v>#VALUE!</v>
      </c>
      <c r="N10" s="20" t="e" cm="1">
        <f t="array" ref="N10">goalsConcededPoints($C10,L$1)</f>
        <v>#VALUE!</v>
      </c>
      <c r="O10" s="20" t="e" cm="1">
        <f t="array" ref="O10">cleanSheet(N10)</f>
        <v>#VALUE!</v>
      </c>
      <c r="P10" s="21" t="e" cm="1">
        <f t="array" ref="P10">winDrawLosePoints($C10,P$1)</f>
        <v>#VALUE!</v>
      </c>
      <c r="Q10" s="21" t="e" cm="1">
        <f t="array" ref="Q10">goalDifferencePoints($C10,P$1)</f>
        <v>#VALUE!</v>
      </c>
      <c r="R10" s="21" t="e" cm="1">
        <f t="array" ref="R10">goalsConcededPoints($C10,P$1)</f>
        <v>#VALUE!</v>
      </c>
      <c r="S10" s="21" t="e" cm="1">
        <f t="array" ref="S10">cleanSheet(R10)</f>
        <v>#VALUE!</v>
      </c>
      <c r="T10" s="20" t="e" cm="1">
        <f t="array" ref="T10">winDrawLosePoints($C10,T$1)</f>
        <v>#VALUE!</v>
      </c>
      <c r="U10" s="20" t="e" cm="1">
        <f t="array" ref="U10">goalDifferencePoints($C10,T$1)</f>
        <v>#VALUE!</v>
      </c>
      <c r="V10" s="20" t="e" cm="1">
        <f t="array" ref="V10">goalsConcededPoints($C10,T$1)</f>
        <v>#VALUE!</v>
      </c>
      <c r="W10" s="20" t="e" cm="1">
        <f t="array" ref="W10">cleanSheet(V10)</f>
        <v>#VALUE!</v>
      </c>
      <c r="X10" s="21" t="e" cm="1">
        <f t="array" ref="X10">winDrawLosePoints($C10,X$1)</f>
        <v>#VALUE!</v>
      </c>
      <c r="Y10" s="21" t="e" cm="1">
        <f t="array" ref="Y10">goalDifferencePoints($C10,X$1)</f>
        <v>#VALUE!</v>
      </c>
      <c r="Z10" s="21" t="e" cm="1">
        <f t="array" ref="Z10">goalsConcededPoints($C10,X$1)</f>
        <v>#VALUE!</v>
      </c>
      <c r="AA10" s="21" t="e" cm="1">
        <f t="array" ref="AA10">cleanSheet(Z10)</f>
        <v>#VALUE!</v>
      </c>
      <c r="AB10" s="20" t="e" cm="1">
        <f t="array" ref="AB10">winDrawLosePoints($C10,AB$1)</f>
        <v>#VALUE!</v>
      </c>
      <c r="AC10" s="20" t="e" cm="1">
        <f t="array" ref="AC10">goalDifferencePoints($C10,AB$1)</f>
        <v>#VALUE!</v>
      </c>
      <c r="AD10" s="20" t="e" cm="1">
        <f t="array" ref="AD10">goalsConcededPoints($C10,AB$1)</f>
        <v>#VALUE!</v>
      </c>
      <c r="AE10" s="20" t="e" cm="1">
        <f t="array" ref="AE10">cleanSheet(AD10)</f>
        <v>#VALUE!</v>
      </c>
    </row>
    <row r="11" spans="1:31" s="10" customFormat="1">
      <c r="A11" s="9" t="s">
        <v>982</v>
      </c>
      <c r="B11" s="9" t="s">
        <v>986</v>
      </c>
      <c r="C11" s="9" t="s">
        <v>918</v>
      </c>
      <c r="D11" s="20" t="e" cm="1">
        <f t="array" ref="D11">winDrawLosePoints($C11,D$1)</f>
        <v>#VALUE!</v>
      </c>
      <c r="E11" s="20" t="e" cm="1">
        <f t="array" ref="E11">goalDifferencePoints($C11,D$1)</f>
        <v>#VALUE!</v>
      </c>
      <c r="F11" s="20" t="e" cm="1">
        <f t="array" ref="F11">goalsConcededPoints($C11,D$1)</f>
        <v>#VALUE!</v>
      </c>
      <c r="G11" s="20" t="e" cm="1">
        <f t="array" ref="G11">cleanSheet(F11)</f>
        <v>#VALUE!</v>
      </c>
      <c r="H11" s="21" t="e" cm="1">
        <f t="array" ref="H11">winDrawLosePoints($C11,H$1)</f>
        <v>#VALUE!</v>
      </c>
      <c r="I11" s="21" t="e" cm="1">
        <f t="array" ref="I11">goalDifferencePoints($C11,H$1)</f>
        <v>#VALUE!</v>
      </c>
      <c r="J11" s="21" t="e" cm="1">
        <f t="array" ref="J11">goalsConcededPoints($C11,H$1)</f>
        <v>#VALUE!</v>
      </c>
      <c r="K11" s="21" t="e" cm="1">
        <f t="array" ref="K11">cleanSheet(J11)</f>
        <v>#VALUE!</v>
      </c>
      <c r="L11" s="20" t="e" cm="1">
        <f t="array" ref="L11">winDrawLosePoints($C11,L$1)</f>
        <v>#VALUE!</v>
      </c>
      <c r="M11" s="20" t="e" cm="1">
        <f t="array" ref="M11">goalDifferencePoints($C11,L$1)</f>
        <v>#VALUE!</v>
      </c>
      <c r="N11" s="20" t="e" cm="1">
        <f t="array" ref="N11">goalsConcededPoints($C11,L$1)</f>
        <v>#VALUE!</v>
      </c>
      <c r="O11" s="20" t="e" cm="1">
        <f t="array" ref="O11">cleanSheet(N11)</f>
        <v>#VALUE!</v>
      </c>
      <c r="P11" s="21" t="e" cm="1">
        <f t="array" ref="P11">winDrawLosePoints($C11,P$1)</f>
        <v>#VALUE!</v>
      </c>
      <c r="Q11" s="21" t="e" cm="1">
        <f t="array" ref="Q11">goalDifferencePoints($C11,P$1)</f>
        <v>#VALUE!</v>
      </c>
      <c r="R11" s="21" t="e" cm="1">
        <f t="array" ref="R11">goalsConcededPoints($C11,P$1)</f>
        <v>#VALUE!</v>
      </c>
      <c r="S11" s="21" t="e" cm="1">
        <f t="array" ref="S11">cleanSheet(R11)</f>
        <v>#VALUE!</v>
      </c>
      <c r="T11" s="20" t="e" cm="1">
        <f t="array" ref="T11">winDrawLosePoints($C11,T$1)</f>
        <v>#VALUE!</v>
      </c>
      <c r="U11" s="20" t="e" cm="1">
        <f t="array" ref="U11">goalDifferencePoints($C11,T$1)</f>
        <v>#VALUE!</v>
      </c>
      <c r="V11" s="20" t="e" cm="1">
        <f t="array" ref="V11">goalsConcededPoints($C11,T$1)</f>
        <v>#VALUE!</v>
      </c>
      <c r="W11" s="20" t="e" cm="1">
        <f t="array" ref="W11">cleanSheet(V11)</f>
        <v>#VALUE!</v>
      </c>
      <c r="X11" s="21" t="e" cm="1">
        <f t="array" ref="X11">winDrawLosePoints($C11,X$1)</f>
        <v>#VALUE!</v>
      </c>
      <c r="Y11" s="21" t="e" cm="1">
        <f t="array" ref="Y11">goalDifferencePoints($C11,X$1)</f>
        <v>#VALUE!</v>
      </c>
      <c r="Z11" s="21" t="e" cm="1">
        <f t="array" ref="Z11">goalsConcededPoints($C11,X$1)</f>
        <v>#VALUE!</v>
      </c>
      <c r="AA11" s="21" t="e" cm="1">
        <f t="array" ref="AA11">cleanSheet(Z11)</f>
        <v>#VALUE!</v>
      </c>
      <c r="AB11" s="20" t="e" cm="1">
        <f t="array" ref="AB11">winDrawLosePoints($C11,AB$1)</f>
        <v>#VALUE!</v>
      </c>
      <c r="AC11" s="20" t="e" cm="1">
        <f t="array" ref="AC11">goalDifferencePoints($C11,AB$1)</f>
        <v>#VALUE!</v>
      </c>
      <c r="AD11" s="20" t="e" cm="1">
        <f t="array" ref="AD11">goalsConcededPoints($C11,AB$1)</f>
        <v>#VALUE!</v>
      </c>
      <c r="AE11" s="20" t="e" cm="1">
        <f t="array" ref="AE11">cleanSheet(AD11)</f>
        <v>#VALUE!</v>
      </c>
    </row>
    <row r="12" spans="1:31" s="10" customFormat="1">
      <c r="A12" s="9" t="s">
        <v>983</v>
      </c>
      <c r="B12" s="9" t="s">
        <v>885</v>
      </c>
      <c r="C12" s="9" t="s">
        <v>934</v>
      </c>
      <c r="D12" s="20" t="e" cm="1">
        <f t="array" ref="D12">winDrawLosePoints($C12,D$1)</f>
        <v>#VALUE!</v>
      </c>
      <c r="E12" s="20" t="e" cm="1">
        <f t="array" ref="E12">goalDifferencePoints($C12,D$1)</f>
        <v>#VALUE!</v>
      </c>
      <c r="F12" s="20" t="e" cm="1">
        <f t="array" ref="F12">goalsConcededPoints($C12,D$1)</f>
        <v>#VALUE!</v>
      </c>
      <c r="G12" s="20" t="e" cm="1">
        <f t="array" ref="G12">cleanSheet(F12)</f>
        <v>#VALUE!</v>
      </c>
      <c r="H12" s="21" t="e" cm="1">
        <f t="array" ref="H12">winDrawLosePoints($C12,H$1)</f>
        <v>#VALUE!</v>
      </c>
      <c r="I12" s="21" t="e" cm="1">
        <f t="array" ref="I12">goalDifferencePoints($C12,H$1)</f>
        <v>#VALUE!</v>
      </c>
      <c r="J12" s="21" t="e" cm="1">
        <f t="array" ref="J12">goalsConcededPoints($C12,H$1)</f>
        <v>#VALUE!</v>
      </c>
      <c r="K12" s="21" t="e" cm="1">
        <f t="array" ref="K12">cleanSheet(J12)</f>
        <v>#VALUE!</v>
      </c>
      <c r="L12" s="20" t="e" cm="1">
        <f t="array" ref="L12">winDrawLosePoints($C12,L$1)</f>
        <v>#VALUE!</v>
      </c>
      <c r="M12" s="20" t="e" cm="1">
        <f t="array" ref="M12">goalDifferencePoints($C12,L$1)</f>
        <v>#VALUE!</v>
      </c>
      <c r="N12" s="20" t="e" cm="1">
        <f t="array" ref="N12">goalsConcededPoints($C12,L$1)</f>
        <v>#VALUE!</v>
      </c>
      <c r="O12" s="20" t="e" cm="1">
        <f t="array" ref="O12">cleanSheet(N12)</f>
        <v>#VALUE!</v>
      </c>
      <c r="P12" s="21" t="e" cm="1">
        <f t="array" ref="P12">winDrawLosePoints($C12,P$1)</f>
        <v>#VALUE!</v>
      </c>
      <c r="Q12" s="21" t="e" cm="1">
        <f t="array" ref="Q12">goalDifferencePoints($C12,P$1)</f>
        <v>#VALUE!</v>
      </c>
      <c r="R12" s="21" t="e" cm="1">
        <f t="array" ref="R12">goalsConcededPoints($C12,P$1)</f>
        <v>#VALUE!</v>
      </c>
      <c r="S12" s="21" t="e" cm="1">
        <f t="array" ref="S12">cleanSheet(R12)</f>
        <v>#VALUE!</v>
      </c>
      <c r="T12" s="20" t="e" cm="1">
        <f t="array" ref="T12">winDrawLosePoints($C12,T$1)</f>
        <v>#VALUE!</v>
      </c>
      <c r="U12" s="20" t="e" cm="1">
        <f t="array" ref="U12">goalDifferencePoints($C12,T$1)</f>
        <v>#VALUE!</v>
      </c>
      <c r="V12" s="20" t="e" cm="1">
        <f t="array" ref="V12">goalsConcededPoints($C12,T$1)</f>
        <v>#VALUE!</v>
      </c>
      <c r="W12" s="20" t="e" cm="1">
        <f t="array" ref="W12">cleanSheet(V12)</f>
        <v>#VALUE!</v>
      </c>
      <c r="X12" s="21" t="e" cm="1">
        <f t="array" ref="X12">winDrawLosePoints($C12,X$1)</f>
        <v>#VALUE!</v>
      </c>
      <c r="Y12" s="21" t="e" cm="1">
        <f t="array" ref="Y12">goalDifferencePoints($C12,X$1)</f>
        <v>#VALUE!</v>
      </c>
      <c r="Z12" s="21" t="e" cm="1">
        <f t="array" ref="Z12">goalsConcededPoints($C12,X$1)</f>
        <v>#VALUE!</v>
      </c>
      <c r="AA12" s="21" t="e" cm="1">
        <f t="array" ref="AA12">cleanSheet(Z12)</f>
        <v>#VALUE!</v>
      </c>
      <c r="AB12" s="20" t="e" cm="1">
        <f t="array" ref="AB12">winDrawLosePoints($C12,AB$1)</f>
        <v>#VALUE!</v>
      </c>
      <c r="AC12" s="20" t="e" cm="1">
        <f t="array" ref="AC12">goalDifferencePoints($C12,AB$1)</f>
        <v>#VALUE!</v>
      </c>
      <c r="AD12" s="20" t="e" cm="1">
        <f t="array" ref="AD12">goalsConcededPoints($C12,AB$1)</f>
        <v>#VALUE!</v>
      </c>
      <c r="AE12" s="20" t="e" cm="1">
        <f t="array" ref="AE12">cleanSheet(AD12)</f>
        <v>#VALUE!</v>
      </c>
    </row>
    <row r="13" spans="1:31" s="10" customFormat="1">
      <c r="A13" s="9" t="s">
        <v>983</v>
      </c>
      <c r="B13" s="9" t="s">
        <v>882</v>
      </c>
      <c r="C13" s="9" t="s">
        <v>941</v>
      </c>
      <c r="D13" s="20" t="e" cm="1">
        <f t="array" ref="D13">winDrawLosePoints($C13,D$1)</f>
        <v>#VALUE!</v>
      </c>
      <c r="E13" s="20" t="e" cm="1">
        <f t="array" ref="E13">goalDifferencePoints($C13,D$1)</f>
        <v>#VALUE!</v>
      </c>
      <c r="F13" s="20" t="e" cm="1">
        <f t="array" ref="F13">goalsConcededPoints($C13,D$1)</f>
        <v>#VALUE!</v>
      </c>
      <c r="G13" s="20" t="e" cm="1">
        <f t="array" ref="G13">cleanSheet(F13)</f>
        <v>#VALUE!</v>
      </c>
      <c r="H13" s="21" t="e" cm="1">
        <f t="array" ref="H13">winDrawLosePoints($C13,H$1)</f>
        <v>#VALUE!</v>
      </c>
      <c r="I13" s="21" t="e" cm="1">
        <f t="array" ref="I13">goalDifferencePoints($C13,H$1)</f>
        <v>#VALUE!</v>
      </c>
      <c r="J13" s="21" t="e" cm="1">
        <f t="array" ref="J13">goalsConcededPoints($C13,H$1)</f>
        <v>#VALUE!</v>
      </c>
      <c r="K13" s="21" t="e" cm="1">
        <f t="array" ref="K13">cleanSheet(J13)</f>
        <v>#VALUE!</v>
      </c>
      <c r="L13" s="20" t="e" cm="1">
        <f t="array" ref="L13">winDrawLosePoints($C13,L$1)</f>
        <v>#VALUE!</v>
      </c>
      <c r="M13" s="20" t="e" cm="1">
        <f t="array" ref="M13">goalDifferencePoints($C13,L$1)</f>
        <v>#VALUE!</v>
      </c>
      <c r="N13" s="20" t="e" cm="1">
        <f t="array" ref="N13">goalsConcededPoints($C13,L$1)</f>
        <v>#VALUE!</v>
      </c>
      <c r="O13" s="20" t="e" cm="1">
        <f t="array" ref="O13">cleanSheet(N13)</f>
        <v>#VALUE!</v>
      </c>
      <c r="P13" s="21" t="e" cm="1">
        <f t="array" ref="P13">winDrawLosePoints($C13,P$1)</f>
        <v>#VALUE!</v>
      </c>
      <c r="Q13" s="21" t="e" cm="1">
        <f t="array" ref="Q13">goalDifferencePoints($C13,P$1)</f>
        <v>#VALUE!</v>
      </c>
      <c r="R13" s="21" t="e" cm="1">
        <f t="array" ref="R13">goalsConcededPoints($C13,P$1)</f>
        <v>#VALUE!</v>
      </c>
      <c r="S13" s="21" t="e" cm="1">
        <f t="array" ref="S13">cleanSheet(R13)</f>
        <v>#VALUE!</v>
      </c>
      <c r="T13" s="20" t="e" cm="1">
        <f t="array" ref="T13">winDrawLosePoints($C13,T$1)</f>
        <v>#VALUE!</v>
      </c>
      <c r="U13" s="20" t="e" cm="1">
        <f t="array" ref="U13">goalDifferencePoints($C13,T$1)</f>
        <v>#VALUE!</v>
      </c>
      <c r="V13" s="20" t="e" cm="1">
        <f t="array" ref="V13">goalsConcededPoints($C13,T$1)</f>
        <v>#VALUE!</v>
      </c>
      <c r="W13" s="20" t="e" cm="1">
        <f t="array" ref="W13">cleanSheet(V13)</f>
        <v>#VALUE!</v>
      </c>
      <c r="X13" s="21" t="e" cm="1">
        <f t="array" ref="X13">winDrawLosePoints($C13,X$1)</f>
        <v>#VALUE!</v>
      </c>
      <c r="Y13" s="21" t="e" cm="1">
        <f t="array" ref="Y13">goalDifferencePoints($C13,X$1)</f>
        <v>#VALUE!</v>
      </c>
      <c r="Z13" s="21" t="e" cm="1">
        <f t="array" ref="Z13">goalsConcededPoints($C13,X$1)</f>
        <v>#VALUE!</v>
      </c>
      <c r="AA13" s="21" t="e" cm="1">
        <f t="array" ref="AA13">cleanSheet(Z13)</f>
        <v>#VALUE!</v>
      </c>
      <c r="AB13" s="20" t="e" cm="1">
        <f t="array" ref="AB13">winDrawLosePoints($C13,AB$1)</f>
        <v>#VALUE!</v>
      </c>
      <c r="AC13" s="20" t="e" cm="1">
        <f t="array" ref="AC13">goalDifferencePoints($C13,AB$1)</f>
        <v>#VALUE!</v>
      </c>
      <c r="AD13" s="20" t="e" cm="1">
        <f t="array" ref="AD13">goalsConcededPoints($C13,AB$1)</f>
        <v>#VALUE!</v>
      </c>
      <c r="AE13" s="20" t="e" cm="1">
        <f t="array" ref="AE13">cleanSheet(AD13)</f>
        <v>#VALUE!</v>
      </c>
    </row>
    <row r="14" spans="1:31" s="10" customFormat="1">
      <c r="A14" s="9" t="s">
        <v>983</v>
      </c>
      <c r="B14" s="9" t="s">
        <v>879</v>
      </c>
      <c r="C14" s="9" t="s">
        <v>940</v>
      </c>
      <c r="D14" s="20" t="e" cm="1">
        <f t="array" ref="D14">winDrawLosePoints($C14,D$1)</f>
        <v>#VALUE!</v>
      </c>
      <c r="E14" s="20" t="e" cm="1">
        <f t="array" ref="E14">goalDifferencePoints($C14,D$1)</f>
        <v>#VALUE!</v>
      </c>
      <c r="F14" s="20" t="e" cm="1">
        <f t="array" ref="F14">goalsConcededPoints($C14,D$1)</f>
        <v>#VALUE!</v>
      </c>
      <c r="G14" s="20" t="e" cm="1">
        <f t="array" ref="G14">cleanSheet(F14)</f>
        <v>#VALUE!</v>
      </c>
      <c r="H14" s="21" t="e" cm="1">
        <f t="array" ref="H14">winDrawLosePoints($C14,H$1)</f>
        <v>#VALUE!</v>
      </c>
      <c r="I14" s="21" t="e" cm="1">
        <f t="array" ref="I14">goalDifferencePoints($C14,H$1)</f>
        <v>#VALUE!</v>
      </c>
      <c r="J14" s="21" t="e" cm="1">
        <f t="array" ref="J14">goalsConcededPoints($C14,H$1)</f>
        <v>#VALUE!</v>
      </c>
      <c r="K14" s="21" t="e" cm="1">
        <f t="array" ref="K14">cleanSheet(J14)</f>
        <v>#VALUE!</v>
      </c>
      <c r="L14" s="20" t="e" cm="1">
        <f t="array" ref="L14">winDrawLosePoints($C14,L$1)</f>
        <v>#VALUE!</v>
      </c>
      <c r="M14" s="20" t="e" cm="1">
        <f t="array" ref="M14">goalDifferencePoints($C14,L$1)</f>
        <v>#VALUE!</v>
      </c>
      <c r="N14" s="20" t="e" cm="1">
        <f t="array" ref="N14">goalsConcededPoints($C14,L$1)</f>
        <v>#VALUE!</v>
      </c>
      <c r="O14" s="20" t="e" cm="1">
        <f t="array" ref="O14">cleanSheet(N14)</f>
        <v>#VALUE!</v>
      </c>
      <c r="P14" s="21" t="e" cm="1">
        <f t="array" ref="P14">winDrawLosePoints($C14,P$1)</f>
        <v>#VALUE!</v>
      </c>
      <c r="Q14" s="21" t="e" cm="1">
        <f t="array" ref="Q14">goalDifferencePoints($C14,P$1)</f>
        <v>#VALUE!</v>
      </c>
      <c r="R14" s="21" t="e" cm="1">
        <f t="array" ref="R14">goalsConcededPoints($C14,P$1)</f>
        <v>#VALUE!</v>
      </c>
      <c r="S14" s="21" t="e" cm="1">
        <f t="array" ref="S14">cleanSheet(R14)</f>
        <v>#VALUE!</v>
      </c>
      <c r="T14" s="20" t="e" cm="1">
        <f t="array" ref="T14">winDrawLosePoints($C14,T$1)</f>
        <v>#VALUE!</v>
      </c>
      <c r="U14" s="20" t="e" cm="1">
        <f t="array" ref="U14">goalDifferencePoints($C14,T$1)</f>
        <v>#VALUE!</v>
      </c>
      <c r="V14" s="20" t="e" cm="1">
        <f t="array" ref="V14">goalsConcededPoints($C14,T$1)</f>
        <v>#VALUE!</v>
      </c>
      <c r="W14" s="20" t="e" cm="1">
        <f t="array" ref="W14">cleanSheet(V14)</f>
        <v>#VALUE!</v>
      </c>
      <c r="X14" s="21" t="e" cm="1">
        <f t="array" ref="X14">winDrawLosePoints($C14,X$1)</f>
        <v>#VALUE!</v>
      </c>
      <c r="Y14" s="21" t="e" cm="1">
        <f t="array" ref="Y14">goalDifferencePoints($C14,X$1)</f>
        <v>#VALUE!</v>
      </c>
      <c r="Z14" s="21" t="e" cm="1">
        <f t="array" ref="Z14">goalsConcededPoints($C14,X$1)</f>
        <v>#VALUE!</v>
      </c>
      <c r="AA14" s="21" t="e" cm="1">
        <f t="array" ref="AA14">cleanSheet(Z14)</f>
        <v>#VALUE!</v>
      </c>
      <c r="AB14" s="20" t="e" cm="1">
        <f t="array" ref="AB14">winDrawLosePoints($C14,AB$1)</f>
        <v>#VALUE!</v>
      </c>
      <c r="AC14" s="20" t="e" cm="1">
        <f t="array" ref="AC14">goalDifferencePoints($C14,AB$1)</f>
        <v>#VALUE!</v>
      </c>
      <c r="AD14" s="20" t="e" cm="1">
        <f t="array" ref="AD14">goalsConcededPoints($C14,AB$1)</f>
        <v>#VALUE!</v>
      </c>
      <c r="AE14" s="20" t="e" cm="1">
        <f t="array" ref="AE14">cleanSheet(AD14)</f>
        <v>#VALUE!</v>
      </c>
    </row>
    <row r="15" spans="1:31" s="10" customFormat="1">
      <c r="A15" s="9" t="s">
        <v>983</v>
      </c>
      <c r="B15" s="9" t="s">
        <v>895</v>
      </c>
      <c r="C15" s="9" t="s">
        <v>933</v>
      </c>
      <c r="D15" s="20" t="e" cm="1">
        <f t="array" ref="D15">winDrawLosePoints($C15,D$1)</f>
        <v>#VALUE!</v>
      </c>
      <c r="E15" s="20" t="e" cm="1">
        <f t="array" ref="E15">goalDifferencePoints($C15,D$1)</f>
        <v>#VALUE!</v>
      </c>
      <c r="F15" s="20" t="e" cm="1">
        <f t="array" ref="F15">goalsConcededPoints($C15,D$1)</f>
        <v>#VALUE!</v>
      </c>
      <c r="G15" s="20" t="e" cm="1">
        <f t="array" ref="G15">cleanSheet(F15)</f>
        <v>#VALUE!</v>
      </c>
      <c r="H15" s="21" t="e" cm="1">
        <f t="array" ref="H15">winDrawLosePoints($C15,H$1)</f>
        <v>#VALUE!</v>
      </c>
      <c r="I15" s="21" t="e" cm="1">
        <f t="array" ref="I15">goalDifferencePoints($C15,H$1)</f>
        <v>#VALUE!</v>
      </c>
      <c r="J15" s="21" t="e" cm="1">
        <f t="array" ref="J15">goalsConcededPoints($C15,H$1)</f>
        <v>#VALUE!</v>
      </c>
      <c r="K15" s="21" t="e" cm="1">
        <f t="array" ref="K15">cleanSheet(J15)</f>
        <v>#VALUE!</v>
      </c>
      <c r="L15" s="20" t="e" cm="1">
        <f t="array" ref="L15">winDrawLosePoints($C15,L$1)</f>
        <v>#VALUE!</v>
      </c>
      <c r="M15" s="20" t="e" cm="1">
        <f t="array" ref="M15">goalDifferencePoints($C15,L$1)</f>
        <v>#VALUE!</v>
      </c>
      <c r="N15" s="20" t="e" cm="1">
        <f t="array" ref="N15">goalsConcededPoints($C15,L$1)</f>
        <v>#VALUE!</v>
      </c>
      <c r="O15" s="20" t="e" cm="1">
        <f t="array" ref="O15">cleanSheet(N15)</f>
        <v>#VALUE!</v>
      </c>
      <c r="P15" s="21" t="e" cm="1">
        <f t="array" ref="P15">winDrawLosePoints($C15,P$1)</f>
        <v>#VALUE!</v>
      </c>
      <c r="Q15" s="21" t="e" cm="1">
        <f t="array" ref="Q15">goalDifferencePoints($C15,P$1)</f>
        <v>#VALUE!</v>
      </c>
      <c r="R15" s="21" t="e" cm="1">
        <f t="array" ref="R15">goalsConcededPoints($C15,P$1)</f>
        <v>#VALUE!</v>
      </c>
      <c r="S15" s="21" t="e" cm="1">
        <f t="array" ref="S15">cleanSheet(R15)</f>
        <v>#VALUE!</v>
      </c>
      <c r="T15" s="20" t="e" cm="1">
        <f t="array" ref="T15">winDrawLosePoints($C15,T$1)</f>
        <v>#VALUE!</v>
      </c>
      <c r="U15" s="20" t="e" cm="1">
        <f t="array" ref="U15">goalDifferencePoints($C15,T$1)</f>
        <v>#VALUE!</v>
      </c>
      <c r="V15" s="20" t="e" cm="1">
        <f t="array" ref="V15">goalsConcededPoints($C15,T$1)</f>
        <v>#VALUE!</v>
      </c>
      <c r="W15" s="20" t="e" cm="1">
        <f t="array" ref="W15">cleanSheet(V15)</f>
        <v>#VALUE!</v>
      </c>
      <c r="X15" s="21" t="e" cm="1">
        <f t="array" ref="X15">winDrawLosePoints($C15,X$1)</f>
        <v>#VALUE!</v>
      </c>
      <c r="Y15" s="21" t="e" cm="1">
        <f t="array" ref="Y15">goalDifferencePoints($C15,X$1)</f>
        <v>#VALUE!</v>
      </c>
      <c r="Z15" s="21" t="e" cm="1">
        <f t="array" ref="Z15">goalsConcededPoints($C15,X$1)</f>
        <v>#VALUE!</v>
      </c>
      <c r="AA15" s="21" t="e" cm="1">
        <f t="array" ref="AA15">cleanSheet(Z15)</f>
        <v>#VALUE!</v>
      </c>
      <c r="AB15" s="20" t="e" cm="1">
        <f t="array" ref="AB15">winDrawLosePoints($C15,AB$1)</f>
        <v>#VALUE!</v>
      </c>
      <c r="AC15" s="20" t="e" cm="1">
        <f t="array" ref="AC15">goalDifferencePoints($C15,AB$1)</f>
        <v>#VALUE!</v>
      </c>
      <c r="AD15" s="20" t="e" cm="1">
        <f t="array" ref="AD15">goalsConcededPoints($C15,AB$1)</f>
        <v>#VALUE!</v>
      </c>
      <c r="AE15" s="20" t="e" cm="1">
        <f t="array" ref="AE15">cleanSheet(AD15)</f>
        <v>#VALUE!</v>
      </c>
    </row>
    <row r="16" spans="1:31" s="10" customFormat="1">
      <c r="A16" s="9" t="s">
        <v>48</v>
      </c>
      <c r="B16" s="9" t="s">
        <v>906</v>
      </c>
      <c r="C16" s="9" t="s">
        <v>942</v>
      </c>
      <c r="D16" s="20" t="e" cm="1">
        <f t="array" ref="D16">winDrawLosePoints($C16,D$1)</f>
        <v>#VALUE!</v>
      </c>
      <c r="E16" s="20" t="e" cm="1">
        <f t="array" ref="E16">goalDifferencePoints($C16,D$1)</f>
        <v>#VALUE!</v>
      </c>
      <c r="F16" s="20" t="e" cm="1">
        <f t="array" ref="F16">goalsConcededPoints($C16,D$1)</f>
        <v>#VALUE!</v>
      </c>
      <c r="G16" s="20" t="e" cm="1">
        <f t="array" ref="G16">cleanSheet(F16)</f>
        <v>#VALUE!</v>
      </c>
      <c r="H16" s="21" t="e" cm="1">
        <f t="array" ref="H16">winDrawLosePoints($C16,H$1)</f>
        <v>#VALUE!</v>
      </c>
      <c r="I16" s="21" t="e" cm="1">
        <f t="array" ref="I16">goalDifferencePoints($C16,H$1)</f>
        <v>#VALUE!</v>
      </c>
      <c r="J16" s="21" t="e" cm="1">
        <f t="array" ref="J16">goalsConcededPoints($C16,H$1)</f>
        <v>#VALUE!</v>
      </c>
      <c r="K16" s="21" t="e" cm="1">
        <f t="array" ref="K16">cleanSheet(J16)</f>
        <v>#VALUE!</v>
      </c>
      <c r="L16" s="20" t="e" cm="1">
        <f t="array" ref="L16">winDrawLosePoints($C16,L$1)</f>
        <v>#VALUE!</v>
      </c>
      <c r="M16" s="20" t="e" cm="1">
        <f t="array" ref="M16">goalDifferencePoints($C16,L$1)</f>
        <v>#VALUE!</v>
      </c>
      <c r="N16" s="20" t="e" cm="1">
        <f t="array" ref="N16">goalsConcededPoints($C16,L$1)</f>
        <v>#VALUE!</v>
      </c>
      <c r="O16" s="20" t="e" cm="1">
        <f t="array" ref="O16">cleanSheet(N16)</f>
        <v>#VALUE!</v>
      </c>
      <c r="P16" s="21" t="e" cm="1">
        <f t="array" ref="P16">winDrawLosePoints($C16,P$1)</f>
        <v>#VALUE!</v>
      </c>
      <c r="Q16" s="21" t="e" cm="1">
        <f t="array" ref="Q16">goalDifferencePoints($C16,P$1)</f>
        <v>#VALUE!</v>
      </c>
      <c r="R16" s="21" t="e" cm="1">
        <f t="array" ref="R16">goalsConcededPoints($C16,P$1)</f>
        <v>#VALUE!</v>
      </c>
      <c r="S16" s="21" t="e" cm="1">
        <f t="array" ref="S16">cleanSheet(R16)</f>
        <v>#VALUE!</v>
      </c>
      <c r="T16" s="20" t="e" cm="1">
        <f t="array" ref="T16">winDrawLosePoints($C16,T$1)</f>
        <v>#VALUE!</v>
      </c>
      <c r="U16" s="20" t="e" cm="1">
        <f t="array" ref="U16">goalDifferencePoints($C16,T$1)</f>
        <v>#VALUE!</v>
      </c>
      <c r="V16" s="20" t="e" cm="1">
        <f t="array" ref="V16">goalsConcededPoints($C16,T$1)</f>
        <v>#VALUE!</v>
      </c>
      <c r="W16" s="20" t="e" cm="1">
        <f t="array" ref="W16">cleanSheet(V16)</f>
        <v>#VALUE!</v>
      </c>
      <c r="X16" s="21" t="e" cm="1">
        <f t="array" ref="X16">winDrawLosePoints($C16,X$1)</f>
        <v>#VALUE!</v>
      </c>
      <c r="Y16" s="21" t="e" cm="1">
        <f t="array" ref="Y16">goalDifferencePoints($C16,X$1)</f>
        <v>#VALUE!</v>
      </c>
      <c r="Z16" s="21" t="e" cm="1">
        <f t="array" ref="Z16">goalsConcededPoints($C16,X$1)</f>
        <v>#VALUE!</v>
      </c>
      <c r="AA16" s="21" t="e" cm="1">
        <f t="array" ref="AA16">cleanSheet(Z16)</f>
        <v>#VALUE!</v>
      </c>
      <c r="AB16" s="20" t="e" cm="1">
        <f t="array" ref="AB16">winDrawLosePoints($C16,AB$1)</f>
        <v>#VALUE!</v>
      </c>
      <c r="AC16" s="20" t="e" cm="1">
        <f t="array" ref="AC16">goalDifferencePoints($C16,AB$1)</f>
        <v>#VALUE!</v>
      </c>
      <c r="AD16" s="20" t="e" cm="1">
        <f t="array" ref="AD16">goalsConcededPoints($C16,AB$1)</f>
        <v>#VALUE!</v>
      </c>
      <c r="AE16" s="20" t="e" cm="1">
        <f t="array" ref="AE16">cleanSheet(AD16)</f>
        <v>#VALUE!</v>
      </c>
    </row>
    <row r="17" spans="1:31" s="10" customFormat="1">
      <c r="A17" s="9" t="s">
        <v>48</v>
      </c>
      <c r="B17" s="9" t="s">
        <v>891</v>
      </c>
      <c r="C17" s="9" t="s">
        <v>939</v>
      </c>
      <c r="D17" s="20" t="e" cm="1">
        <f t="array" ref="D17">winDrawLosePoints($C17,D$1)</f>
        <v>#VALUE!</v>
      </c>
      <c r="E17" s="20" t="e" cm="1">
        <f t="array" ref="E17">goalDifferencePoints($C17,D$1)</f>
        <v>#VALUE!</v>
      </c>
      <c r="F17" s="20" t="e" cm="1">
        <f t="array" ref="F17">goalsConcededPoints($C17,D$1)</f>
        <v>#VALUE!</v>
      </c>
      <c r="G17" s="20" t="e" cm="1">
        <f t="array" ref="G17">cleanSheet(F17)</f>
        <v>#VALUE!</v>
      </c>
      <c r="H17" s="21" t="e" cm="1">
        <f t="array" ref="H17">winDrawLosePoints($C17,H$1)</f>
        <v>#VALUE!</v>
      </c>
      <c r="I17" s="21" t="e" cm="1">
        <f t="array" ref="I17">goalDifferencePoints($C17,H$1)</f>
        <v>#VALUE!</v>
      </c>
      <c r="J17" s="21" t="e" cm="1">
        <f t="array" ref="J17">goalsConcededPoints($C17,H$1)</f>
        <v>#VALUE!</v>
      </c>
      <c r="K17" s="21" t="e" cm="1">
        <f t="array" ref="K17">cleanSheet(J17)</f>
        <v>#VALUE!</v>
      </c>
      <c r="L17" s="20" t="e" cm="1">
        <f t="array" ref="L17">winDrawLosePoints($C17,L$1)</f>
        <v>#VALUE!</v>
      </c>
      <c r="M17" s="20" t="e" cm="1">
        <f t="array" ref="M17">goalDifferencePoints($C17,L$1)</f>
        <v>#VALUE!</v>
      </c>
      <c r="N17" s="20" t="e" cm="1">
        <f t="array" ref="N17">goalsConcededPoints($C17,L$1)</f>
        <v>#VALUE!</v>
      </c>
      <c r="O17" s="20" t="e" cm="1">
        <f t="array" ref="O17">cleanSheet(N17)</f>
        <v>#VALUE!</v>
      </c>
      <c r="P17" s="21" t="e" cm="1">
        <f t="array" ref="P17">winDrawLosePoints($C17,P$1)</f>
        <v>#VALUE!</v>
      </c>
      <c r="Q17" s="21" t="e" cm="1">
        <f t="array" ref="Q17">goalDifferencePoints($C17,P$1)</f>
        <v>#VALUE!</v>
      </c>
      <c r="R17" s="21" t="e" cm="1">
        <f t="array" ref="R17">goalsConcededPoints($C17,P$1)</f>
        <v>#VALUE!</v>
      </c>
      <c r="S17" s="21" t="e" cm="1">
        <f t="array" ref="S17">cleanSheet(R17)</f>
        <v>#VALUE!</v>
      </c>
      <c r="T17" s="20" t="e" cm="1">
        <f t="array" ref="T17">winDrawLosePoints($C17,T$1)</f>
        <v>#VALUE!</v>
      </c>
      <c r="U17" s="20" t="e" cm="1">
        <f t="array" ref="U17">goalDifferencePoints($C17,T$1)</f>
        <v>#VALUE!</v>
      </c>
      <c r="V17" s="20" t="e" cm="1">
        <f t="array" ref="V17">goalsConcededPoints($C17,T$1)</f>
        <v>#VALUE!</v>
      </c>
      <c r="W17" s="20" t="e" cm="1">
        <f t="array" ref="W17">cleanSheet(V17)</f>
        <v>#VALUE!</v>
      </c>
      <c r="X17" s="21" t="e" cm="1">
        <f t="array" ref="X17">winDrawLosePoints($C17,X$1)</f>
        <v>#VALUE!</v>
      </c>
      <c r="Y17" s="21" t="e" cm="1">
        <f t="array" ref="Y17">goalDifferencePoints($C17,X$1)</f>
        <v>#VALUE!</v>
      </c>
      <c r="Z17" s="21" t="e" cm="1">
        <f t="array" ref="Z17">goalsConcededPoints($C17,X$1)</f>
        <v>#VALUE!</v>
      </c>
      <c r="AA17" s="21" t="e" cm="1">
        <f t="array" ref="AA17">cleanSheet(Z17)</f>
        <v>#VALUE!</v>
      </c>
      <c r="AB17" s="20" t="e" cm="1">
        <f t="array" ref="AB17">winDrawLosePoints($C17,AB$1)</f>
        <v>#VALUE!</v>
      </c>
      <c r="AC17" s="20" t="e" cm="1">
        <f t="array" ref="AC17">goalDifferencePoints($C17,AB$1)</f>
        <v>#VALUE!</v>
      </c>
      <c r="AD17" s="20" t="e" cm="1">
        <f t="array" ref="AD17">goalsConcededPoints($C17,AB$1)</f>
        <v>#VALUE!</v>
      </c>
      <c r="AE17" s="20" t="e" cm="1">
        <f t="array" ref="AE17">cleanSheet(AD17)</f>
        <v>#VALUE!</v>
      </c>
    </row>
    <row r="18" spans="1:31" s="10" customFormat="1">
      <c r="A18" s="9" t="s">
        <v>48</v>
      </c>
      <c r="B18" s="9" t="s">
        <v>903</v>
      </c>
      <c r="C18" s="9" t="s">
        <v>938</v>
      </c>
      <c r="D18" s="20" t="e" cm="1">
        <f t="array" ref="D18">winDrawLosePoints($C18,D$1)</f>
        <v>#VALUE!</v>
      </c>
      <c r="E18" s="20" t="e" cm="1">
        <f t="array" ref="E18">goalDifferencePoints($C18,D$1)</f>
        <v>#VALUE!</v>
      </c>
      <c r="F18" s="20" t="e" cm="1">
        <f t="array" ref="F18">goalsConcededPoints($C18,D$1)</f>
        <v>#VALUE!</v>
      </c>
      <c r="G18" s="20" t="e" cm="1">
        <f t="array" ref="G18">cleanSheet(F18)</f>
        <v>#VALUE!</v>
      </c>
      <c r="H18" s="21" t="e" cm="1">
        <f t="array" ref="H18">winDrawLosePoints($C18,H$1)</f>
        <v>#VALUE!</v>
      </c>
      <c r="I18" s="21" t="e" cm="1">
        <f t="array" ref="I18">goalDifferencePoints($C18,H$1)</f>
        <v>#VALUE!</v>
      </c>
      <c r="J18" s="21" t="e" cm="1">
        <f t="array" ref="J18">goalsConcededPoints($C18,H$1)</f>
        <v>#VALUE!</v>
      </c>
      <c r="K18" s="21" t="e" cm="1">
        <f t="array" ref="K18">cleanSheet(J18)</f>
        <v>#VALUE!</v>
      </c>
      <c r="L18" s="20" t="e" cm="1">
        <f t="array" ref="L18">winDrawLosePoints($C18,L$1)</f>
        <v>#VALUE!</v>
      </c>
      <c r="M18" s="20" t="e" cm="1">
        <f t="array" ref="M18">goalDifferencePoints($C18,L$1)</f>
        <v>#VALUE!</v>
      </c>
      <c r="N18" s="20" t="e" cm="1">
        <f t="array" ref="N18">goalsConcededPoints($C18,L$1)</f>
        <v>#VALUE!</v>
      </c>
      <c r="O18" s="20" t="e" cm="1">
        <f t="array" ref="O18">cleanSheet(N18)</f>
        <v>#VALUE!</v>
      </c>
      <c r="P18" s="21" t="e" cm="1">
        <f t="array" ref="P18">winDrawLosePoints($C18,P$1)</f>
        <v>#VALUE!</v>
      </c>
      <c r="Q18" s="21" t="e" cm="1">
        <f t="array" ref="Q18">goalDifferencePoints($C18,P$1)</f>
        <v>#VALUE!</v>
      </c>
      <c r="R18" s="21" t="e" cm="1">
        <f t="array" ref="R18">goalsConcededPoints($C18,P$1)</f>
        <v>#VALUE!</v>
      </c>
      <c r="S18" s="21" t="e" cm="1">
        <f t="array" ref="S18">cleanSheet(R18)</f>
        <v>#VALUE!</v>
      </c>
      <c r="T18" s="20" t="e" cm="1">
        <f t="array" ref="T18">winDrawLosePoints($C18,T$1)</f>
        <v>#VALUE!</v>
      </c>
      <c r="U18" s="20" t="e" cm="1">
        <f t="array" ref="U18">goalDifferencePoints($C18,T$1)</f>
        <v>#VALUE!</v>
      </c>
      <c r="V18" s="20" t="e" cm="1">
        <f t="array" ref="V18">goalsConcededPoints($C18,T$1)</f>
        <v>#VALUE!</v>
      </c>
      <c r="W18" s="20" t="e" cm="1">
        <f t="array" ref="W18">cleanSheet(V18)</f>
        <v>#VALUE!</v>
      </c>
      <c r="X18" s="21" t="e" cm="1">
        <f t="array" ref="X18">winDrawLosePoints($C18,X$1)</f>
        <v>#VALUE!</v>
      </c>
      <c r="Y18" s="21" t="e" cm="1">
        <f t="array" ref="Y18">goalDifferencePoints($C18,X$1)</f>
        <v>#VALUE!</v>
      </c>
      <c r="Z18" s="21" t="e" cm="1">
        <f t="array" ref="Z18">goalsConcededPoints($C18,X$1)</f>
        <v>#VALUE!</v>
      </c>
      <c r="AA18" s="21" t="e" cm="1">
        <f t="array" ref="AA18">cleanSheet(Z18)</f>
        <v>#VALUE!</v>
      </c>
      <c r="AB18" s="20" t="e" cm="1">
        <f t="array" ref="AB18">winDrawLosePoints($C18,AB$1)</f>
        <v>#VALUE!</v>
      </c>
      <c r="AC18" s="20" t="e" cm="1">
        <f t="array" ref="AC18">goalDifferencePoints($C18,AB$1)</f>
        <v>#VALUE!</v>
      </c>
      <c r="AD18" s="20" t="e" cm="1">
        <f t="array" ref="AD18">goalsConcededPoints($C18,AB$1)</f>
        <v>#VALUE!</v>
      </c>
      <c r="AE18" s="20" t="e" cm="1">
        <f t="array" ref="AE18">cleanSheet(AD18)</f>
        <v>#VALUE!</v>
      </c>
    </row>
    <row r="19" spans="1:31" s="10" customFormat="1">
      <c r="A19" s="9" t="s">
        <v>48</v>
      </c>
      <c r="B19" s="9" t="s">
        <v>896</v>
      </c>
      <c r="C19" s="9" t="s">
        <v>943</v>
      </c>
      <c r="D19" s="20" t="e" cm="1">
        <f t="array" ref="D19">winDrawLosePoints($C19,D$1)</f>
        <v>#VALUE!</v>
      </c>
      <c r="E19" s="20" t="e" cm="1">
        <f t="array" ref="E19">goalDifferencePoints($C19,D$1)</f>
        <v>#VALUE!</v>
      </c>
      <c r="F19" s="20" t="e" cm="1">
        <f t="array" ref="F19">goalsConcededPoints($C19,D$1)</f>
        <v>#VALUE!</v>
      </c>
      <c r="G19" s="20" t="e" cm="1">
        <f t="array" ref="G19">cleanSheet(F19)</f>
        <v>#VALUE!</v>
      </c>
      <c r="H19" s="21" t="e" cm="1">
        <f t="array" ref="H19">winDrawLosePoints($C19,H$1)</f>
        <v>#VALUE!</v>
      </c>
      <c r="I19" s="21" t="e" cm="1">
        <f t="array" ref="I19">goalDifferencePoints($C19,H$1)</f>
        <v>#VALUE!</v>
      </c>
      <c r="J19" s="21" t="e" cm="1">
        <f t="array" ref="J19">goalsConcededPoints($C19,H$1)</f>
        <v>#VALUE!</v>
      </c>
      <c r="K19" s="21" t="e" cm="1">
        <f t="array" ref="K19">cleanSheet(J19)</f>
        <v>#VALUE!</v>
      </c>
      <c r="L19" s="20" t="e" cm="1">
        <f t="array" ref="L19">winDrawLosePoints($C19,L$1)</f>
        <v>#VALUE!</v>
      </c>
      <c r="M19" s="20" t="e" cm="1">
        <f t="array" ref="M19">goalDifferencePoints($C19,L$1)</f>
        <v>#VALUE!</v>
      </c>
      <c r="N19" s="20" t="e" cm="1">
        <f t="array" ref="N19">goalsConcededPoints($C19,L$1)</f>
        <v>#VALUE!</v>
      </c>
      <c r="O19" s="20" t="e" cm="1">
        <f t="array" ref="O19">cleanSheet(N19)</f>
        <v>#VALUE!</v>
      </c>
      <c r="P19" s="21" t="e" cm="1">
        <f t="array" ref="P19">winDrawLosePoints($C19,P$1)</f>
        <v>#VALUE!</v>
      </c>
      <c r="Q19" s="21" t="e" cm="1">
        <f t="array" ref="Q19">goalDifferencePoints($C19,P$1)</f>
        <v>#VALUE!</v>
      </c>
      <c r="R19" s="21" t="e" cm="1">
        <f t="array" ref="R19">goalsConcededPoints($C19,P$1)</f>
        <v>#VALUE!</v>
      </c>
      <c r="S19" s="21" t="e" cm="1">
        <f t="array" ref="S19">cleanSheet(R19)</f>
        <v>#VALUE!</v>
      </c>
      <c r="T19" s="20" t="e" cm="1">
        <f t="array" ref="T19">winDrawLosePoints($C19,T$1)</f>
        <v>#VALUE!</v>
      </c>
      <c r="U19" s="20" t="e" cm="1">
        <f t="array" ref="U19">goalDifferencePoints($C19,T$1)</f>
        <v>#VALUE!</v>
      </c>
      <c r="V19" s="20" t="e" cm="1">
        <f t="array" ref="V19">goalsConcededPoints($C19,T$1)</f>
        <v>#VALUE!</v>
      </c>
      <c r="W19" s="20" t="e" cm="1">
        <f t="array" ref="W19">cleanSheet(V19)</f>
        <v>#VALUE!</v>
      </c>
      <c r="X19" s="21" t="e" cm="1">
        <f t="array" ref="X19">winDrawLosePoints($C19,X$1)</f>
        <v>#VALUE!</v>
      </c>
      <c r="Y19" s="21" t="e" cm="1">
        <f t="array" ref="Y19">goalDifferencePoints($C19,X$1)</f>
        <v>#VALUE!</v>
      </c>
      <c r="Z19" s="21" t="e" cm="1">
        <f t="array" ref="Z19">goalsConcededPoints($C19,X$1)</f>
        <v>#VALUE!</v>
      </c>
      <c r="AA19" s="21" t="e" cm="1">
        <f t="array" ref="AA19">cleanSheet(Z19)</f>
        <v>#VALUE!</v>
      </c>
      <c r="AB19" s="20" t="e" cm="1">
        <f t="array" ref="AB19">winDrawLosePoints($C19,AB$1)</f>
        <v>#VALUE!</v>
      </c>
      <c r="AC19" s="20" t="e" cm="1">
        <f t="array" ref="AC19">goalDifferencePoints($C19,AB$1)</f>
        <v>#VALUE!</v>
      </c>
      <c r="AD19" s="20" t="e" cm="1">
        <f t="array" ref="AD19">goalsConcededPoints($C19,AB$1)</f>
        <v>#VALUE!</v>
      </c>
      <c r="AE19" s="20" t="e" cm="1">
        <f t="array" ref="AE19">cleanSheet(AD19)</f>
        <v>#VALUE!</v>
      </c>
    </row>
    <row r="20" spans="1:31" s="10" customFormat="1">
      <c r="A20" s="9" t="s">
        <v>984</v>
      </c>
      <c r="B20" s="9" t="s">
        <v>889</v>
      </c>
      <c r="C20" s="9" t="s">
        <v>987</v>
      </c>
      <c r="D20" s="20" t="e" cm="1">
        <f t="array" ref="D20">winDrawLosePoints($C20,D$1)</f>
        <v>#VALUE!</v>
      </c>
      <c r="E20" s="20" t="e" cm="1">
        <f t="array" ref="E20">goalDifferencePoints($C20,D$1)</f>
        <v>#VALUE!</v>
      </c>
      <c r="F20" s="20" t="e" cm="1">
        <f t="array" ref="F20">goalsConcededPoints($C20,D$1)</f>
        <v>#VALUE!</v>
      </c>
      <c r="G20" s="20" t="e" cm="1">
        <f t="array" ref="G20">cleanSheet(F20)</f>
        <v>#VALUE!</v>
      </c>
      <c r="H20" s="21" t="e" cm="1">
        <f t="array" ref="H20">winDrawLosePoints($C20,H$1)</f>
        <v>#VALUE!</v>
      </c>
      <c r="I20" s="21" t="e" cm="1">
        <f t="array" ref="I20">goalDifferencePoints($C20,H$1)</f>
        <v>#VALUE!</v>
      </c>
      <c r="J20" s="21" t="e" cm="1">
        <f t="array" ref="J20">goalsConcededPoints($C20,H$1)</f>
        <v>#VALUE!</v>
      </c>
      <c r="K20" s="21" t="e" cm="1">
        <f t="array" ref="K20">cleanSheet(J20)</f>
        <v>#VALUE!</v>
      </c>
      <c r="L20" s="20" t="e" cm="1">
        <f t="array" ref="L20">winDrawLosePoints($C20,L$1)</f>
        <v>#VALUE!</v>
      </c>
      <c r="M20" s="20" t="e" cm="1">
        <f t="array" ref="M20">goalDifferencePoints($C20,L$1)</f>
        <v>#VALUE!</v>
      </c>
      <c r="N20" s="20" t="e" cm="1">
        <f t="array" ref="N20">goalsConcededPoints($C20,L$1)</f>
        <v>#VALUE!</v>
      </c>
      <c r="O20" s="20" t="e" cm="1">
        <f t="array" ref="O20">cleanSheet(N20)</f>
        <v>#VALUE!</v>
      </c>
      <c r="P20" s="21" t="e" cm="1">
        <f t="array" ref="P20">winDrawLosePoints($C20,P$1)</f>
        <v>#VALUE!</v>
      </c>
      <c r="Q20" s="21" t="e" cm="1">
        <f t="array" ref="Q20">goalDifferencePoints($C20,P$1)</f>
        <v>#VALUE!</v>
      </c>
      <c r="R20" s="21" t="e" cm="1">
        <f t="array" ref="R20">goalsConcededPoints($C20,P$1)</f>
        <v>#VALUE!</v>
      </c>
      <c r="S20" s="21" t="e" cm="1">
        <f t="array" ref="S20">cleanSheet(R20)</f>
        <v>#VALUE!</v>
      </c>
      <c r="T20" s="20" t="e" cm="1">
        <f t="array" ref="T20">winDrawLosePoints($C20,T$1)</f>
        <v>#VALUE!</v>
      </c>
      <c r="U20" s="20" t="e" cm="1">
        <f t="array" ref="U20">goalDifferencePoints($C20,T$1)</f>
        <v>#VALUE!</v>
      </c>
      <c r="V20" s="20" t="e" cm="1">
        <f t="array" ref="V20">goalsConcededPoints($C20,T$1)</f>
        <v>#VALUE!</v>
      </c>
      <c r="W20" s="20" t="e" cm="1">
        <f t="array" ref="W20">cleanSheet(V20)</f>
        <v>#VALUE!</v>
      </c>
      <c r="X20" s="21" t="e" cm="1">
        <f t="array" ref="X20">winDrawLosePoints($C20,X$1)</f>
        <v>#VALUE!</v>
      </c>
      <c r="Y20" s="21" t="e" cm="1">
        <f t="array" ref="Y20">goalDifferencePoints($C20,X$1)</f>
        <v>#VALUE!</v>
      </c>
      <c r="Z20" s="21" t="e" cm="1">
        <f t="array" ref="Z20">goalsConcededPoints($C20,X$1)</f>
        <v>#VALUE!</v>
      </c>
      <c r="AA20" s="21" t="e" cm="1">
        <f t="array" ref="AA20">cleanSheet(Z20)</f>
        <v>#VALUE!</v>
      </c>
      <c r="AB20" s="20" t="e" cm="1">
        <f t="array" ref="AB20">winDrawLosePoints($C20,AB$1)</f>
        <v>#VALUE!</v>
      </c>
      <c r="AC20" s="20" t="e" cm="1">
        <f t="array" ref="AC20">goalDifferencePoints($C20,AB$1)</f>
        <v>#VALUE!</v>
      </c>
      <c r="AD20" s="20" t="e" cm="1">
        <f t="array" ref="AD20">goalsConcededPoints($C20,AB$1)</f>
        <v>#VALUE!</v>
      </c>
      <c r="AE20" s="20" t="e" cm="1">
        <f t="array" ref="AE20">cleanSheet(AD20)</f>
        <v>#VALUE!</v>
      </c>
    </row>
    <row r="21" spans="1:31" s="10" customFormat="1">
      <c r="A21" s="9" t="s">
        <v>984</v>
      </c>
      <c r="B21" s="9" t="s">
        <v>910</v>
      </c>
      <c r="C21" s="9" t="s">
        <v>1007</v>
      </c>
      <c r="D21" s="20" t="e" cm="1">
        <f t="array" ref="D21">winDrawLosePoints($C21,D$1)</f>
        <v>#VALUE!</v>
      </c>
      <c r="E21" s="20" t="e" cm="1">
        <f t="array" ref="E21">goalDifferencePoints($C21,D$1)</f>
        <v>#VALUE!</v>
      </c>
      <c r="F21" s="20" t="e" cm="1">
        <f t="array" ref="F21">goalsConcededPoints($C21,D$1)</f>
        <v>#VALUE!</v>
      </c>
      <c r="G21" s="20" t="e" cm="1">
        <f t="array" ref="G21">cleanSheet(F21)</f>
        <v>#VALUE!</v>
      </c>
      <c r="H21" s="21" t="e" cm="1">
        <f t="array" ref="H21">winDrawLosePoints($C21,H$1)</f>
        <v>#VALUE!</v>
      </c>
      <c r="I21" s="21" t="e" cm="1">
        <f t="array" ref="I21">goalDifferencePoints($C21,H$1)</f>
        <v>#VALUE!</v>
      </c>
      <c r="J21" s="21" t="e" cm="1">
        <f t="array" ref="J21">goalsConcededPoints($C21,H$1)</f>
        <v>#VALUE!</v>
      </c>
      <c r="K21" s="21" t="e" cm="1">
        <f t="array" ref="K21">cleanSheet(J21)</f>
        <v>#VALUE!</v>
      </c>
      <c r="L21" s="20" t="e" cm="1">
        <f t="array" ref="L21">winDrawLosePoints($C21,L$1)</f>
        <v>#VALUE!</v>
      </c>
      <c r="M21" s="20" t="e" cm="1">
        <f t="array" ref="M21">goalDifferencePoints($C21,L$1)</f>
        <v>#VALUE!</v>
      </c>
      <c r="N21" s="20" t="e" cm="1">
        <f t="array" ref="N21">goalsConcededPoints($C21,L$1)</f>
        <v>#VALUE!</v>
      </c>
      <c r="O21" s="20" t="e" cm="1">
        <f t="array" ref="O21">cleanSheet(N21)</f>
        <v>#VALUE!</v>
      </c>
      <c r="P21" s="21" t="e" cm="1">
        <f t="array" ref="P21">winDrawLosePoints($C21,P$1)</f>
        <v>#VALUE!</v>
      </c>
      <c r="Q21" s="21" t="e" cm="1">
        <f t="array" ref="Q21">goalDifferencePoints($C21,P$1)</f>
        <v>#VALUE!</v>
      </c>
      <c r="R21" s="21" t="e" cm="1">
        <f t="array" ref="R21">goalsConcededPoints($C21,P$1)</f>
        <v>#VALUE!</v>
      </c>
      <c r="S21" s="21" t="e" cm="1">
        <f t="array" ref="S21">cleanSheet(R21)</f>
        <v>#VALUE!</v>
      </c>
      <c r="T21" s="20" t="e" cm="1">
        <f t="array" ref="T21">winDrawLosePoints($C21,T$1)</f>
        <v>#VALUE!</v>
      </c>
      <c r="U21" s="20" t="e" cm="1">
        <f t="array" ref="U21">goalDifferencePoints($C21,T$1)</f>
        <v>#VALUE!</v>
      </c>
      <c r="V21" s="20" t="e" cm="1">
        <f t="array" ref="V21">goalsConcededPoints($C21,T$1)</f>
        <v>#VALUE!</v>
      </c>
      <c r="W21" s="20" t="e" cm="1">
        <f t="array" ref="W21">cleanSheet(V21)</f>
        <v>#VALUE!</v>
      </c>
      <c r="X21" s="21" t="e" cm="1">
        <f t="array" ref="X21">winDrawLosePoints($C21,X$1)</f>
        <v>#VALUE!</v>
      </c>
      <c r="Y21" s="21" t="e" cm="1">
        <f t="array" ref="Y21">goalDifferencePoints($C21,X$1)</f>
        <v>#VALUE!</v>
      </c>
      <c r="Z21" s="21" t="e" cm="1">
        <f t="array" ref="Z21">goalsConcededPoints($C21,X$1)</f>
        <v>#VALUE!</v>
      </c>
      <c r="AA21" s="21" t="e" cm="1">
        <f t="array" ref="AA21">cleanSheet(Z21)</f>
        <v>#VALUE!</v>
      </c>
      <c r="AB21" s="20" t="e" cm="1">
        <f t="array" ref="AB21">winDrawLosePoints($C21,AB$1)</f>
        <v>#VALUE!</v>
      </c>
      <c r="AC21" s="20" t="e" cm="1">
        <f t="array" ref="AC21">goalDifferencePoints($C21,AB$1)</f>
        <v>#VALUE!</v>
      </c>
      <c r="AD21" s="20" t="e" cm="1">
        <f t="array" ref="AD21">goalsConcededPoints($C21,AB$1)</f>
        <v>#VALUE!</v>
      </c>
      <c r="AE21" s="20" t="e" cm="1">
        <f t="array" ref="AE21">cleanSheet(AD21)</f>
        <v>#VALUE!</v>
      </c>
    </row>
    <row r="22" spans="1:31" s="10" customFormat="1">
      <c r="A22" s="9" t="s">
        <v>984</v>
      </c>
      <c r="B22" s="9" t="s">
        <v>907</v>
      </c>
      <c r="C22" s="9" t="s">
        <v>989</v>
      </c>
      <c r="D22" s="20" t="e" cm="1">
        <f t="array" ref="D22">winDrawLosePoints($C22,D$1)</f>
        <v>#VALUE!</v>
      </c>
      <c r="E22" s="20" t="e" cm="1">
        <f t="array" ref="E22">goalDifferencePoints($C22,D$1)</f>
        <v>#VALUE!</v>
      </c>
      <c r="F22" s="20" t="e" cm="1">
        <f t="array" ref="F22">goalsConcededPoints($C22,D$1)</f>
        <v>#VALUE!</v>
      </c>
      <c r="G22" s="20" t="e" cm="1">
        <f t="array" ref="G22">cleanSheet(F22)</f>
        <v>#VALUE!</v>
      </c>
      <c r="H22" s="21" t="e" cm="1">
        <f t="array" ref="H22">winDrawLosePoints($C22,H$1)</f>
        <v>#VALUE!</v>
      </c>
      <c r="I22" s="21" t="e" cm="1">
        <f t="array" ref="I22">goalDifferencePoints($C22,H$1)</f>
        <v>#VALUE!</v>
      </c>
      <c r="J22" s="21" t="e" cm="1">
        <f t="array" ref="J22">goalsConcededPoints($C22,H$1)</f>
        <v>#VALUE!</v>
      </c>
      <c r="K22" s="21" t="e" cm="1">
        <f t="array" ref="K22">cleanSheet(J22)</f>
        <v>#VALUE!</v>
      </c>
      <c r="L22" s="20" t="e" cm="1">
        <f t="array" ref="L22">winDrawLosePoints($C22,L$1)</f>
        <v>#VALUE!</v>
      </c>
      <c r="M22" s="20" t="e" cm="1">
        <f t="array" ref="M22">goalDifferencePoints($C22,L$1)</f>
        <v>#VALUE!</v>
      </c>
      <c r="N22" s="20" t="e" cm="1">
        <f t="array" ref="N22">goalsConcededPoints($C22,L$1)</f>
        <v>#VALUE!</v>
      </c>
      <c r="O22" s="20" t="e" cm="1">
        <f t="array" ref="O22">cleanSheet(N22)</f>
        <v>#VALUE!</v>
      </c>
      <c r="P22" s="21" t="e" cm="1">
        <f t="array" ref="P22">winDrawLosePoints($C22,P$1)</f>
        <v>#VALUE!</v>
      </c>
      <c r="Q22" s="21" t="e" cm="1">
        <f t="array" ref="Q22">goalDifferencePoints($C22,P$1)</f>
        <v>#VALUE!</v>
      </c>
      <c r="R22" s="21" t="e" cm="1">
        <f t="array" ref="R22">goalsConcededPoints($C22,P$1)</f>
        <v>#VALUE!</v>
      </c>
      <c r="S22" s="21" t="e" cm="1">
        <f t="array" ref="S22">cleanSheet(R22)</f>
        <v>#VALUE!</v>
      </c>
      <c r="T22" s="20" t="e" cm="1">
        <f t="array" ref="T22">winDrawLosePoints($C22,T$1)</f>
        <v>#VALUE!</v>
      </c>
      <c r="U22" s="20" t="e" cm="1">
        <f t="array" ref="U22">goalDifferencePoints($C22,T$1)</f>
        <v>#VALUE!</v>
      </c>
      <c r="V22" s="20" t="e" cm="1">
        <f t="array" ref="V22">goalsConcededPoints($C22,T$1)</f>
        <v>#VALUE!</v>
      </c>
      <c r="W22" s="20" t="e" cm="1">
        <f t="array" ref="W22">cleanSheet(V22)</f>
        <v>#VALUE!</v>
      </c>
      <c r="X22" s="21" t="e" cm="1">
        <f t="array" ref="X22">winDrawLosePoints($C22,X$1)</f>
        <v>#VALUE!</v>
      </c>
      <c r="Y22" s="21" t="e" cm="1">
        <f t="array" ref="Y22">goalDifferencePoints($C22,X$1)</f>
        <v>#VALUE!</v>
      </c>
      <c r="Z22" s="21" t="e" cm="1">
        <f t="array" ref="Z22">goalsConcededPoints($C22,X$1)</f>
        <v>#VALUE!</v>
      </c>
      <c r="AA22" s="21" t="e" cm="1">
        <f t="array" ref="AA22">cleanSheet(Z22)</f>
        <v>#VALUE!</v>
      </c>
      <c r="AB22" s="20" t="e" cm="1">
        <f t="array" ref="AB22">winDrawLosePoints($C22,AB$1)</f>
        <v>#VALUE!</v>
      </c>
      <c r="AC22" s="20" t="e" cm="1">
        <f t="array" ref="AC22">goalDifferencePoints($C22,AB$1)</f>
        <v>#VALUE!</v>
      </c>
      <c r="AD22" s="20" t="e" cm="1">
        <f t="array" ref="AD22">goalsConcededPoints($C22,AB$1)</f>
        <v>#VALUE!</v>
      </c>
      <c r="AE22" s="20" t="e" cm="1">
        <f t="array" ref="AE22">cleanSheet(AD22)</f>
        <v>#VALUE!</v>
      </c>
    </row>
    <row r="23" spans="1:31" s="10" customFormat="1">
      <c r="A23" s="9" t="s">
        <v>984</v>
      </c>
      <c r="B23" s="9" t="s">
        <v>901</v>
      </c>
      <c r="C23" s="9" t="s">
        <v>990</v>
      </c>
      <c r="D23" s="20" t="e" cm="1">
        <f t="array" ref="D23">winDrawLosePoints($C23,D$1)</f>
        <v>#VALUE!</v>
      </c>
      <c r="E23" s="20" t="e" cm="1">
        <f t="array" ref="E23">goalDifferencePoints($C23,D$1)</f>
        <v>#VALUE!</v>
      </c>
      <c r="F23" s="20" t="e" cm="1">
        <f t="array" ref="F23">goalsConcededPoints($C23,D$1)</f>
        <v>#VALUE!</v>
      </c>
      <c r="G23" s="20" t="e" cm="1">
        <f t="array" ref="G23">cleanSheet(F23)</f>
        <v>#VALUE!</v>
      </c>
      <c r="H23" s="21" t="e" cm="1">
        <f t="array" ref="H23">winDrawLosePoints($C23,H$1)</f>
        <v>#VALUE!</v>
      </c>
      <c r="I23" s="21" t="e" cm="1">
        <f t="array" ref="I23">goalDifferencePoints($C23,H$1)</f>
        <v>#VALUE!</v>
      </c>
      <c r="J23" s="21" t="e" cm="1">
        <f t="array" ref="J23">goalsConcededPoints($C23,H$1)</f>
        <v>#VALUE!</v>
      </c>
      <c r="K23" s="21" t="e" cm="1">
        <f t="array" ref="K23">cleanSheet(J23)</f>
        <v>#VALUE!</v>
      </c>
      <c r="L23" s="20" t="e" cm="1">
        <f t="array" ref="L23">winDrawLosePoints($C23,L$1)</f>
        <v>#VALUE!</v>
      </c>
      <c r="M23" s="20" t="e" cm="1">
        <f t="array" ref="M23">goalDifferencePoints($C23,L$1)</f>
        <v>#VALUE!</v>
      </c>
      <c r="N23" s="20" t="e" cm="1">
        <f t="array" ref="N23">goalsConcededPoints($C23,L$1)</f>
        <v>#VALUE!</v>
      </c>
      <c r="O23" s="20" t="e" cm="1">
        <f t="array" ref="O23">cleanSheet(N23)</f>
        <v>#VALUE!</v>
      </c>
      <c r="P23" s="21" t="e" cm="1">
        <f t="array" ref="P23">winDrawLosePoints($C23,P$1)</f>
        <v>#VALUE!</v>
      </c>
      <c r="Q23" s="21" t="e" cm="1">
        <f t="array" ref="Q23">goalDifferencePoints($C23,P$1)</f>
        <v>#VALUE!</v>
      </c>
      <c r="R23" s="21" t="e" cm="1">
        <f t="array" ref="R23">goalsConcededPoints($C23,P$1)</f>
        <v>#VALUE!</v>
      </c>
      <c r="S23" s="21" t="e" cm="1">
        <f t="array" ref="S23">cleanSheet(R23)</f>
        <v>#VALUE!</v>
      </c>
      <c r="T23" s="20" t="e" cm="1">
        <f t="array" ref="T23">winDrawLosePoints($C23,T$1)</f>
        <v>#VALUE!</v>
      </c>
      <c r="U23" s="20" t="e" cm="1">
        <f t="array" ref="U23">goalDifferencePoints($C23,T$1)</f>
        <v>#VALUE!</v>
      </c>
      <c r="V23" s="20" t="e" cm="1">
        <f t="array" ref="V23">goalsConcededPoints($C23,T$1)</f>
        <v>#VALUE!</v>
      </c>
      <c r="W23" s="20" t="e" cm="1">
        <f t="array" ref="W23">cleanSheet(V23)</f>
        <v>#VALUE!</v>
      </c>
      <c r="X23" s="21" t="e" cm="1">
        <f t="array" ref="X23">winDrawLosePoints($C23,X$1)</f>
        <v>#VALUE!</v>
      </c>
      <c r="Y23" s="21" t="e" cm="1">
        <f t="array" ref="Y23">goalDifferencePoints($C23,X$1)</f>
        <v>#VALUE!</v>
      </c>
      <c r="Z23" s="21" t="e" cm="1">
        <f t="array" ref="Z23">goalsConcededPoints($C23,X$1)</f>
        <v>#VALUE!</v>
      </c>
      <c r="AA23" s="21" t="e" cm="1">
        <f t="array" ref="AA23">cleanSheet(Z23)</f>
        <v>#VALUE!</v>
      </c>
      <c r="AB23" s="20" t="e" cm="1">
        <f t="array" ref="AB23">winDrawLosePoints($C23,AB$1)</f>
        <v>#VALUE!</v>
      </c>
      <c r="AC23" s="20" t="e" cm="1">
        <f t="array" ref="AC23">goalDifferencePoints($C23,AB$1)</f>
        <v>#VALUE!</v>
      </c>
      <c r="AD23" s="20" t="e" cm="1">
        <f t="array" ref="AD23">goalsConcededPoints($C23,AB$1)</f>
        <v>#VALUE!</v>
      </c>
      <c r="AE23" s="20" t="e" cm="1">
        <f t="array" ref="AE23">cleanSheet(AD23)</f>
        <v>#VALUE!</v>
      </c>
    </row>
    <row r="24" spans="1:31" s="10" customFormat="1">
      <c r="A24" s="9" t="s">
        <v>66</v>
      </c>
      <c r="B24" s="9" t="s">
        <v>902</v>
      </c>
      <c r="C24" s="9" t="s">
        <v>991</v>
      </c>
      <c r="D24" s="20" t="e" cm="1">
        <f t="array" ref="D24">winDrawLosePoints($C24,D$1)</f>
        <v>#VALUE!</v>
      </c>
      <c r="E24" s="20" t="e" cm="1">
        <f t="array" ref="E24">goalDifferencePoints($C24,D$1)</f>
        <v>#VALUE!</v>
      </c>
      <c r="F24" s="20" t="e" cm="1">
        <f t="array" ref="F24">goalsConcededPoints($C24,D$1)</f>
        <v>#VALUE!</v>
      </c>
      <c r="G24" s="20" t="e" cm="1">
        <f t="array" ref="G24">cleanSheet(F24)</f>
        <v>#VALUE!</v>
      </c>
      <c r="H24" s="21" t="e" cm="1">
        <f t="array" ref="H24">winDrawLosePoints($C24,H$1)</f>
        <v>#VALUE!</v>
      </c>
      <c r="I24" s="21" t="e" cm="1">
        <f t="array" ref="I24">goalDifferencePoints($C24,H$1)</f>
        <v>#VALUE!</v>
      </c>
      <c r="J24" s="21" t="e" cm="1">
        <f t="array" ref="J24">goalsConcededPoints($C24,H$1)</f>
        <v>#VALUE!</v>
      </c>
      <c r="K24" s="21" t="e" cm="1">
        <f t="array" ref="K24">cleanSheet(J24)</f>
        <v>#VALUE!</v>
      </c>
      <c r="L24" s="20" t="e" cm="1">
        <f t="array" ref="L24">winDrawLosePoints($C24,L$1)</f>
        <v>#VALUE!</v>
      </c>
      <c r="M24" s="20" t="e" cm="1">
        <f t="array" ref="M24">goalDifferencePoints($C24,L$1)</f>
        <v>#VALUE!</v>
      </c>
      <c r="N24" s="20" t="e" cm="1">
        <f t="array" ref="N24">goalsConcededPoints($C24,L$1)</f>
        <v>#VALUE!</v>
      </c>
      <c r="O24" s="20" t="e" cm="1">
        <f t="array" ref="O24">cleanSheet(N24)</f>
        <v>#VALUE!</v>
      </c>
      <c r="P24" s="21" t="e" cm="1">
        <f t="array" ref="P24">winDrawLosePoints($C24,P$1)</f>
        <v>#VALUE!</v>
      </c>
      <c r="Q24" s="21" t="e" cm="1">
        <f t="array" ref="Q24">goalDifferencePoints($C24,P$1)</f>
        <v>#VALUE!</v>
      </c>
      <c r="R24" s="21" t="e" cm="1">
        <f t="array" ref="R24">goalsConcededPoints($C24,P$1)</f>
        <v>#VALUE!</v>
      </c>
      <c r="S24" s="21" t="e" cm="1">
        <f t="array" ref="S24">cleanSheet(R24)</f>
        <v>#VALUE!</v>
      </c>
      <c r="T24" s="20" t="e" cm="1">
        <f t="array" ref="T24">winDrawLosePoints($C24,T$1)</f>
        <v>#VALUE!</v>
      </c>
      <c r="U24" s="20" t="e" cm="1">
        <f t="array" ref="U24">goalDifferencePoints($C24,T$1)</f>
        <v>#VALUE!</v>
      </c>
      <c r="V24" s="20" t="e" cm="1">
        <f t="array" ref="V24">goalsConcededPoints($C24,T$1)</f>
        <v>#VALUE!</v>
      </c>
      <c r="W24" s="20" t="e" cm="1">
        <f t="array" ref="W24">cleanSheet(V24)</f>
        <v>#VALUE!</v>
      </c>
      <c r="X24" s="21" t="e" cm="1">
        <f t="array" ref="X24">winDrawLosePoints($C24,X$1)</f>
        <v>#VALUE!</v>
      </c>
      <c r="Y24" s="21" t="e" cm="1">
        <f t="array" ref="Y24">goalDifferencePoints($C24,X$1)</f>
        <v>#VALUE!</v>
      </c>
      <c r="Z24" s="21" t="e" cm="1">
        <f t="array" ref="Z24">goalsConcededPoints($C24,X$1)</f>
        <v>#VALUE!</v>
      </c>
      <c r="AA24" s="21" t="e" cm="1">
        <f t="array" ref="AA24">cleanSheet(Z24)</f>
        <v>#VALUE!</v>
      </c>
      <c r="AB24" s="20" t="e" cm="1">
        <f t="array" ref="AB24">winDrawLosePoints($C24,AB$1)</f>
        <v>#VALUE!</v>
      </c>
      <c r="AC24" s="20" t="e" cm="1">
        <f t="array" ref="AC24">goalDifferencePoints($C24,AB$1)</f>
        <v>#VALUE!</v>
      </c>
      <c r="AD24" s="20" t="e" cm="1">
        <f t="array" ref="AD24">goalsConcededPoints($C24,AB$1)</f>
        <v>#VALUE!</v>
      </c>
      <c r="AE24" s="20" t="e" cm="1">
        <f t="array" ref="AE24">cleanSheet(AD24)</f>
        <v>#VALUE!</v>
      </c>
    </row>
    <row r="25" spans="1:31" s="10" customFormat="1">
      <c r="A25" s="9" t="s">
        <v>66</v>
      </c>
      <c r="B25" s="9" t="s">
        <v>880</v>
      </c>
      <c r="C25" s="9" t="s">
        <v>992</v>
      </c>
      <c r="D25" s="20" t="e" cm="1">
        <f t="array" ref="D25">winDrawLosePoints($C25,D$1)</f>
        <v>#VALUE!</v>
      </c>
      <c r="E25" s="20" t="e" cm="1">
        <f t="array" ref="E25">goalDifferencePoints($C25,D$1)</f>
        <v>#VALUE!</v>
      </c>
      <c r="F25" s="20" t="e" cm="1">
        <f t="array" ref="F25">goalsConcededPoints($C25,D$1)</f>
        <v>#VALUE!</v>
      </c>
      <c r="G25" s="20" t="e" cm="1">
        <f t="array" ref="G25">cleanSheet(F25)</f>
        <v>#VALUE!</v>
      </c>
      <c r="H25" s="21" t="e" cm="1">
        <f t="array" ref="H25">winDrawLosePoints($C25,H$1)</f>
        <v>#VALUE!</v>
      </c>
      <c r="I25" s="21" t="e" cm="1">
        <f t="array" ref="I25">goalDifferencePoints($C25,H$1)</f>
        <v>#VALUE!</v>
      </c>
      <c r="J25" s="21" t="e" cm="1">
        <f t="array" ref="J25">goalsConcededPoints($C25,H$1)</f>
        <v>#VALUE!</v>
      </c>
      <c r="K25" s="21" t="e" cm="1">
        <f t="array" ref="K25">cleanSheet(J25)</f>
        <v>#VALUE!</v>
      </c>
      <c r="L25" s="20" t="e" cm="1">
        <f t="array" ref="L25">winDrawLosePoints($C25,L$1)</f>
        <v>#VALUE!</v>
      </c>
      <c r="M25" s="20" t="e" cm="1">
        <f t="array" ref="M25">goalDifferencePoints($C25,L$1)</f>
        <v>#VALUE!</v>
      </c>
      <c r="N25" s="20" t="e" cm="1">
        <f t="array" ref="N25">goalsConcededPoints($C25,L$1)</f>
        <v>#VALUE!</v>
      </c>
      <c r="O25" s="20" t="e" cm="1">
        <f t="array" ref="O25">cleanSheet(N25)</f>
        <v>#VALUE!</v>
      </c>
      <c r="P25" s="21" t="e" cm="1">
        <f t="array" ref="P25">winDrawLosePoints($C25,P$1)</f>
        <v>#VALUE!</v>
      </c>
      <c r="Q25" s="21" t="e" cm="1">
        <f t="array" ref="Q25">goalDifferencePoints($C25,P$1)</f>
        <v>#VALUE!</v>
      </c>
      <c r="R25" s="21" t="e" cm="1">
        <f t="array" ref="R25">goalsConcededPoints($C25,P$1)</f>
        <v>#VALUE!</v>
      </c>
      <c r="S25" s="21" t="e" cm="1">
        <f t="array" ref="S25">cleanSheet(R25)</f>
        <v>#VALUE!</v>
      </c>
      <c r="T25" s="20" t="e" cm="1">
        <f t="array" ref="T25">winDrawLosePoints($C25,T$1)</f>
        <v>#VALUE!</v>
      </c>
      <c r="U25" s="20" t="e" cm="1">
        <f t="array" ref="U25">goalDifferencePoints($C25,T$1)</f>
        <v>#VALUE!</v>
      </c>
      <c r="V25" s="20" t="e" cm="1">
        <f t="array" ref="V25">goalsConcededPoints($C25,T$1)</f>
        <v>#VALUE!</v>
      </c>
      <c r="W25" s="20" t="e" cm="1">
        <f t="array" ref="W25">cleanSheet(V25)</f>
        <v>#VALUE!</v>
      </c>
      <c r="X25" s="21" t="e" cm="1">
        <f t="array" ref="X25">winDrawLosePoints($C25,X$1)</f>
        <v>#VALUE!</v>
      </c>
      <c r="Y25" s="21" t="e" cm="1">
        <f t="array" ref="Y25">goalDifferencePoints($C25,X$1)</f>
        <v>#VALUE!</v>
      </c>
      <c r="Z25" s="21" t="e" cm="1">
        <f t="array" ref="Z25">goalsConcededPoints($C25,X$1)</f>
        <v>#VALUE!</v>
      </c>
      <c r="AA25" s="21" t="e" cm="1">
        <f t="array" ref="AA25">cleanSheet(Z25)</f>
        <v>#VALUE!</v>
      </c>
      <c r="AB25" s="20" t="e" cm="1">
        <f t="array" ref="AB25">winDrawLosePoints($C25,AB$1)</f>
        <v>#VALUE!</v>
      </c>
      <c r="AC25" s="20" t="e" cm="1">
        <f t="array" ref="AC25">goalDifferencePoints($C25,AB$1)</f>
        <v>#VALUE!</v>
      </c>
      <c r="AD25" s="20" t="e" cm="1">
        <f t="array" ref="AD25">goalsConcededPoints($C25,AB$1)</f>
        <v>#VALUE!</v>
      </c>
      <c r="AE25" s="20" t="e" cm="1">
        <f t="array" ref="AE25">cleanSheet(AD25)</f>
        <v>#VALUE!</v>
      </c>
    </row>
    <row r="26" spans="1:31" s="10" customFormat="1">
      <c r="A26" s="9" t="s">
        <v>66</v>
      </c>
      <c r="B26" s="9" t="s">
        <v>897</v>
      </c>
      <c r="C26" s="9" t="s">
        <v>993</v>
      </c>
      <c r="D26" s="20" t="e" cm="1">
        <f t="array" ref="D26">winDrawLosePoints($C26,D$1)</f>
        <v>#VALUE!</v>
      </c>
      <c r="E26" s="20" t="e" cm="1">
        <f t="array" ref="E26">goalDifferencePoints($C26,D$1)</f>
        <v>#VALUE!</v>
      </c>
      <c r="F26" s="20" t="e" cm="1">
        <f t="array" ref="F26">goalsConcededPoints($C26,D$1)</f>
        <v>#VALUE!</v>
      </c>
      <c r="G26" s="20" t="e" cm="1">
        <f t="array" ref="G26">cleanSheet(F26)</f>
        <v>#VALUE!</v>
      </c>
      <c r="H26" s="21" t="e" cm="1">
        <f t="array" ref="H26">winDrawLosePoints($C26,H$1)</f>
        <v>#VALUE!</v>
      </c>
      <c r="I26" s="21" t="e" cm="1">
        <f t="array" ref="I26">goalDifferencePoints($C26,H$1)</f>
        <v>#VALUE!</v>
      </c>
      <c r="J26" s="21" t="e" cm="1">
        <f t="array" ref="J26">goalsConcededPoints($C26,H$1)</f>
        <v>#VALUE!</v>
      </c>
      <c r="K26" s="21" t="e" cm="1">
        <f t="array" ref="K26">cleanSheet(J26)</f>
        <v>#VALUE!</v>
      </c>
      <c r="L26" s="20" t="e" cm="1">
        <f t="array" ref="L26">winDrawLosePoints($C26,L$1)</f>
        <v>#VALUE!</v>
      </c>
      <c r="M26" s="20" t="e" cm="1">
        <f t="array" ref="M26">goalDifferencePoints($C26,L$1)</f>
        <v>#VALUE!</v>
      </c>
      <c r="N26" s="20" t="e" cm="1">
        <f t="array" ref="N26">goalsConcededPoints($C26,L$1)</f>
        <v>#VALUE!</v>
      </c>
      <c r="O26" s="20" t="e" cm="1">
        <f t="array" ref="O26">cleanSheet(N26)</f>
        <v>#VALUE!</v>
      </c>
      <c r="P26" s="21" t="e" cm="1">
        <f t="array" ref="P26">winDrawLosePoints($C26,P$1)</f>
        <v>#VALUE!</v>
      </c>
      <c r="Q26" s="21" t="e" cm="1">
        <f t="array" ref="Q26">goalDifferencePoints($C26,P$1)</f>
        <v>#VALUE!</v>
      </c>
      <c r="R26" s="21" t="e" cm="1">
        <f t="array" ref="R26">goalsConcededPoints($C26,P$1)</f>
        <v>#VALUE!</v>
      </c>
      <c r="S26" s="21" t="e" cm="1">
        <f t="array" ref="S26">cleanSheet(R26)</f>
        <v>#VALUE!</v>
      </c>
      <c r="T26" s="20" t="e" cm="1">
        <f t="array" ref="T26">winDrawLosePoints($C26,T$1)</f>
        <v>#VALUE!</v>
      </c>
      <c r="U26" s="20" t="e" cm="1">
        <f t="array" ref="U26">goalDifferencePoints($C26,T$1)</f>
        <v>#VALUE!</v>
      </c>
      <c r="V26" s="20" t="e" cm="1">
        <f t="array" ref="V26">goalsConcededPoints($C26,T$1)</f>
        <v>#VALUE!</v>
      </c>
      <c r="W26" s="20" t="e" cm="1">
        <f t="array" ref="W26">cleanSheet(V26)</f>
        <v>#VALUE!</v>
      </c>
      <c r="X26" s="21" t="e" cm="1">
        <f t="array" ref="X26">winDrawLosePoints($C26,X$1)</f>
        <v>#VALUE!</v>
      </c>
      <c r="Y26" s="21" t="e" cm="1">
        <f t="array" ref="Y26">goalDifferencePoints($C26,X$1)</f>
        <v>#VALUE!</v>
      </c>
      <c r="Z26" s="21" t="e" cm="1">
        <f t="array" ref="Z26">goalsConcededPoints($C26,X$1)</f>
        <v>#VALUE!</v>
      </c>
      <c r="AA26" s="21" t="e" cm="1">
        <f t="array" ref="AA26">cleanSheet(Z26)</f>
        <v>#VALUE!</v>
      </c>
      <c r="AB26" s="20" t="e" cm="1">
        <f t="array" ref="AB26">winDrawLosePoints($C26,AB$1)</f>
        <v>#VALUE!</v>
      </c>
      <c r="AC26" s="20" t="e" cm="1">
        <f t="array" ref="AC26">goalDifferencePoints($C26,AB$1)</f>
        <v>#VALUE!</v>
      </c>
      <c r="AD26" s="20" t="e" cm="1">
        <f t="array" ref="AD26">goalsConcededPoints($C26,AB$1)</f>
        <v>#VALUE!</v>
      </c>
      <c r="AE26" s="20" t="e" cm="1">
        <f t="array" ref="AE26">cleanSheet(AD26)</f>
        <v>#VALUE!</v>
      </c>
    </row>
    <row r="27" spans="1:31" s="10" customFormat="1">
      <c r="A27" s="9" t="s">
        <v>66</v>
      </c>
      <c r="B27" s="9" t="s">
        <v>900</v>
      </c>
      <c r="C27" s="9" t="s">
        <v>994</v>
      </c>
      <c r="D27" s="20" t="e" cm="1">
        <f t="array" ref="D27">winDrawLosePoints($C27,D$1)</f>
        <v>#VALUE!</v>
      </c>
      <c r="E27" s="20" t="e" cm="1">
        <f t="array" ref="E27">goalDifferencePoints($C27,D$1)</f>
        <v>#VALUE!</v>
      </c>
      <c r="F27" s="20" t="e" cm="1">
        <f t="array" ref="F27">goalsConcededPoints($C27,D$1)</f>
        <v>#VALUE!</v>
      </c>
      <c r="G27" s="20" t="e" cm="1">
        <f t="array" ref="G27">cleanSheet(F27)</f>
        <v>#VALUE!</v>
      </c>
      <c r="H27" s="21" t="e" cm="1">
        <f t="array" ref="H27">winDrawLosePoints($C27,H$1)</f>
        <v>#VALUE!</v>
      </c>
      <c r="I27" s="21" t="e" cm="1">
        <f t="array" ref="I27">goalDifferencePoints($C27,H$1)</f>
        <v>#VALUE!</v>
      </c>
      <c r="J27" s="21" t="e" cm="1">
        <f t="array" ref="J27">goalsConcededPoints($C27,H$1)</f>
        <v>#VALUE!</v>
      </c>
      <c r="K27" s="21" t="e" cm="1">
        <f t="array" ref="K27">cleanSheet(J27)</f>
        <v>#VALUE!</v>
      </c>
      <c r="L27" s="20" t="e" cm="1">
        <f t="array" ref="L27">winDrawLosePoints($C27,L$1)</f>
        <v>#VALUE!</v>
      </c>
      <c r="M27" s="20" t="e" cm="1">
        <f t="array" ref="M27">goalDifferencePoints($C27,L$1)</f>
        <v>#VALUE!</v>
      </c>
      <c r="N27" s="20" t="e" cm="1">
        <f t="array" ref="N27">goalsConcededPoints($C27,L$1)</f>
        <v>#VALUE!</v>
      </c>
      <c r="O27" s="20" t="e" cm="1">
        <f t="array" ref="O27">cleanSheet(N27)</f>
        <v>#VALUE!</v>
      </c>
      <c r="P27" s="21" t="e" cm="1">
        <f t="array" ref="P27">winDrawLosePoints($C27,P$1)</f>
        <v>#VALUE!</v>
      </c>
      <c r="Q27" s="21" t="e" cm="1">
        <f t="array" ref="Q27">goalDifferencePoints($C27,P$1)</f>
        <v>#VALUE!</v>
      </c>
      <c r="R27" s="21" t="e" cm="1">
        <f t="array" ref="R27">goalsConcededPoints($C27,P$1)</f>
        <v>#VALUE!</v>
      </c>
      <c r="S27" s="21" t="e" cm="1">
        <f t="array" ref="S27">cleanSheet(R27)</f>
        <v>#VALUE!</v>
      </c>
      <c r="T27" s="20" t="e" cm="1">
        <f t="array" ref="T27">winDrawLosePoints($C27,T$1)</f>
        <v>#VALUE!</v>
      </c>
      <c r="U27" s="20" t="e" cm="1">
        <f t="array" ref="U27">goalDifferencePoints($C27,T$1)</f>
        <v>#VALUE!</v>
      </c>
      <c r="V27" s="20" t="e" cm="1">
        <f t="array" ref="V27">goalsConcededPoints($C27,T$1)</f>
        <v>#VALUE!</v>
      </c>
      <c r="W27" s="20" t="e" cm="1">
        <f t="array" ref="W27">cleanSheet(V27)</f>
        <v>#VALUE!</v>
      </c>
      <c r="X27" s="21" t="e" cm="1">
        <f t="array" ref="X27">winDrawLosePoints($C27,X$1)</f>
        <v>#VALUE!</v>
      </c>
      <c r="Y27" s="21" t="e" cm="1">
        <f t="array" ref="Y27">goalDifferencePoints($C27,X$1)</f>
        <v>#VALUE!</v>
      </c>
      <c r="Z27" s="21" t="e" cm="1">
        <f t="array" ref="Z27">goalsConcededPoints($C27,X$1)</f>
        <v>#VALUE!</v>
      </c>
      <c r="AA27" s="21" t="e" cm="1">
        <f t="array" ref="AA27">cleanSheet(Z27)</f>
        <v>#VALUE!</v>
      </c>
      <c r="AB27" s="20" t="e" cm="1">
        <f t="array" ref="AB27">winDrawLosePoints($C27,AB$1)</f>
        <v>#VALUE!</v>
      </c>
      <c r="AC27" s="20" t="e" cm="1">
        <f t="array" ref="AC27">goalDifferencePoints($C27,AB$1)</f>
        <v>#VALUE!</v>
      </c>
      <c r="AD27" s="20" t="e" cm="1">
        <f t="array" ref="AD27">goalsConcededPoints($C27,AB$1)</f>
        <v>#VALUE!</v>
      </c>
      <c r="AE27" s="20" t="e" cm="1">
        <f t="array" ref="AE27">cleanSheet(AD27)</f>
        <v>#VALUE!</v>
      </c>
    </row>
    <row r="28" spans="1:31" s="10" customFormat="1">
      <c r="A28" s="9" t="s">
        <v>44</v>
      </c>
      <c r="B28" s="9" t="s">
        <v>898</v>
      </c>
      <c r="C28" s="9" t="s">
        <v>995</v>
      </c>
      <c r="D28" s="20" t="e" cm="1">
        <f t="array" ref="D28">winDrawLosePoints($C28,D$1)</f>
        <v>#VALUE!</v>
      </c>
      <c r="E28" s="20" t="e" cm="1">
        <f t="array" ref="E28">goalDifferencePoints($C28,D$1)</f>
        <v>#VALUE!</v>
      </c>
      <c r="F28" s="20" t="e" cm="1">
        <f t="array" ref="F28">goalsConcededPoints($C28,D$1)</f>
        <v>#VALUE!</v>
      </c>
      <c r="G28" s="20" t="e" cm="1">
        <f t="array" ref="G28">cleanSheet(F28)</f>
        <v>#VALUE!</v>
      </c>
      <c r="H28" s="21" t="e" cm="1">
        <f t="array" ref="H28">winDrawLosePoints($C28,H$1)</f>
        <v>#VALUE!</v>
      </c>
      <c r="I28" s="21" t="e" cm="1">
        <f t="array" ref="I28">goalDifferencePoints($C28,H$1)</f>
        <v>#VALUE!</v>
      </c>
      <c r="J28" s="21" t="e" cm="1">
        <f t="array" ref="J28">goalsConcededPoints($C28,H$1)</f>
        <v>#VALUE!</v>
      </c>
      <c r="K28" s="21" t="e" cm="1">
        <f t="array" ref="K28">cleanSheet(J28)</f>
        <v>#VALUE!</v>
      </c>
      <c r="L28" s="20" t="e" cm="1">
        <f t="array" ref="L28">winDrawLosePoints($C28,L$1)</f>
        <v>#VALUE!</v>
      </c>
      <c r="M28" s="20" t="e" cm="1">
        <f t="array" ref="M28">goalDifferencePoints($C28,L$1)</f>
        <v>#VALUE!</v>
      </c>
      <c r="N28" s="20" t="e" cm="1">
        <f t="array" ref="N28">goalsConcededPoints($C28,L$1)</f>
        <v>#VALUE!</v>
      </c>
      <c r="O28" s="20" t="e" cm="1">
        <f t="array" ref="O28">cleanSheet(N28)</f>
        <v>#VALUE!</v>
      </c>
      <c r="P28" s="21" t="e" cm="1">
        <f t="array" ref="P28">winDrawLosePoints($C28,P$1)</f>
        <v>#VALUE!</v>
      </c>
      <c r="Q28" s="21" t="e" cm="1">
        <f t="array" ref="Q28">goalDifferencePoints($C28,P$1)</f>
        <v>#VALUE!</v>
      </c>
      <c r="R28" s="21" t="e" cm="1">
        <f t="array" ref="R28">goalsConcededPoints($C28,P$1)</f>
        <v>#VALUE!</v>
      </c>
      <c r="S28" s="21" t="e" cm="1">
        <f t="array" ref="S28">cleanSheet(R28)</f>
        <v>#VALUE!</v>
      </c>
      <c r="T28" s="20" t="e" cm="1">
        <f t="array" ref="T28">winDrawLosePoints($C28,T$1)</f>
        <v>#VALUE!</v>
      </c>
      <c r="U28" s="20" t="e" cm="1">
        <f t="array" ref="U28">goalDifferencePoints($C28,T$1)</f>
        <v>#VALUE!</v>
      </c>
      <c r="V28" s="20" t="e" cm="1">
        <f t="array" ref="V28">goalsConcededPoints($C28,T$1)</f>
        <v>#VALUE!</v>
      </c>
      <c r="W28" s="20" t="e" cm="1">
        <f t="array" ref="W28">cleanSheet(V28)</f>
        <v>#VALUE!</v>
      </c>
      <c r="X28" s="21" t="e" cm="1">
        <f t="array" ref="X28">winDrawLosePoints($C28,X$1)</f>
        <v>#VALUE!</v>
      </c>
      <c r="Y28" s="21" t="e" cm="1">
        <f t="array" ref="Y28">goalDifferencePoints($C28,X$1)</f>
        <v>#VALUE!</v>
      </c>
      <c r="Z28" s="21" t="e" cm="1">
        <f t="array" ref="Z28">goalsConcededPoints($C28,X$1)</f>
        <v>#VALUE!</v>
      </c>
      <c r="AA28" s="21" t="e" cm="1">
        <f t="array" ref="AA28">cleanSheet(Z28)</f>
        <v>#VALUE!</v>
      </c>
      <c r="AB28" s="20" t="e" cm="1">
        <f t="array" ref="AB28">winDrawLosePoints($C28,AB$1)</f>
        <v>#VALUE!</v>
      </c>
      <c r="AC28" s="20" t="e" cm="1">
        <f t="array" ref="AC28">goalDifferencePoints($C28,AB$1)</f>
        <v>#VALUE!</v>
      </c>
      <c r="AD28" s="20" t="e" cm="1">
        <f t="array" ref="AD28">goalsConcededPoints($C28,AB$1)</f>
        <v>#VALUE!</v>
      </c>
      <c r="AE28" s="20" t="e" cm="1">
        <f t="array" ref="AE28">cleanSheet(AD28)</f>
        <v>#VALUE!</v>
      </c>
    </row>
    <row r="29" spans="1:31" s="10" customFormat="1">
      <c r="A29" s="9" t="s">
        <v>44</v>
      </c>
      <c r="B29" s="9" t="s">
        <v>899</v>
      </c>
      <c r="C29" s="9" t="s">
        <v>3175</v>
      </c>
      <c r="D29" s="20" t="e" cm="1">
        <f t="array" ref="D29">winDrawLosePoints($C29,D$1)</f>
        <v>#VALUE!</v>
      </c>
      <c r="E29" s="20" t="e" cm="1">
        <f t="array" ref="E29">goalDifferencePoints($C29,D$1)</f>
        <v>#VALUE!</v>
      </c>
      <c r="F29" s="20" t="e" cm="1">
        <f t="array" ref="F29">goalsConcededPoints($C29,D$1)</f>
        <v>#VALUE!</v>
      </c>
      <c r="G29" s="20" t="e" cm="1">
        <f t="array" ref="G29">cleanSheet(F29)</f>
        <v>#VALUE!</v>
      </c>
      <c r="H29" s="21" t="e" cm="1">
        <f t="array" ref="H29">winDrawLosePoints($C29,H$1)</f>
        <v>#VALUE!</v>
      </c>
      <c r="I29" s="21" t="e" cm="1">
        <f t="array" ref="I29">goalDifferencePoints($C29,H$1)</f>
        <v>#VALUE!</v>
      </c>
      <c r="J29" s="21" t="e" cm="1">
        <f t="array" ref="J29">goalsConcededPoints($C29,H$1)</f>
        <v>#VALUE!</v>
      </c>
      <c r="K29" s="21" t="e" cm="1">
        <f t="array" ref="K29">cleanSheet(J29)</f>
        <v>#VALUE!</v>
      </c>
      <c r="L29" s="20" t="e" cm="1">
        <f t="array" ref="L29">winDrawLosePoints($C29,L$1)</f>
        <v>#VALUE!</v>
      </c>
      <c r="M29" s="20" t="e" cm="1">
        <f t="array" ref="M29">goalDifferencePoints($C29,L$1)</f>
        <v>#VALUE!</v>
      </c>
      <c r="N29" s="20" t="e" cm="1">
        <f t="array" ref="N29">goalsConcededPoints($C29,L$1)</f>
        <v>#VALUE!</v>
      </c>
      <c r="O29" s="20" t="e" cm="1">
        <f t="array" ref="O29">cleanSheet(N29)</f>
        <v>#VALUE!</v>
      </c>
      <c r="P29" s="21" t="e" cm="1">
        <f t="array" ref="P29">winDrawLosePoints($C29,P$1)</f>
        <v>#VALUE!</v>
      </c>
      <c r="Q29" s="21" t="e" cm="1">
        <f t="array" ref="Q29">goalDifferencePoints($C29,P$1)</f>
        <v>#VALUE!</v>
      </c>
      <c r="R29" s="21" t="e" cm="1">
        <f t="array" ref="R29">goalsConcededPoints($C29,P$1)</f>
        <v>#VALUE!</v>
      </c>
      <c r="S29" s="21" t="e" cm="1">
        <f t="array" ref="S29">cleanSheet(R29)</f>
        <v>#VALUE!</v>
      </c>
      <c r="T29" s="20" t="e" cm="1">
        <f t="array" ref="T29">winDrawLosePoints($C29,T$1)</f>
        <v>#VALUE!</v>
      </c>
      <c r="U29" s="20" t="e" cm="1">
        <f t="array" ref="U29">goalDifferencePoints($C29,T$1)</f>
        <v>#VALUE!</v>
      </c>
      <c r="V29" s="20" t="e" cm="1">
        <f t="array" ref="V29">goalsConcededPoints($C29,T$1)</f>
        <v>#VALUE!</v>
      </c>
      <c r="W29" s="20" t="e" cm="1">
        <f t="array" ref="W29">cleanSheet(V29)</f>
        <v>#VALUE!</v>
      </c>
      <c r="X29" s="21" t="e" cm="1">
        <f t="array" ref="X29">winDrawLosePoints($C29,X$1)</f>
        <v>#VALUE!</v>
      </c>
      <c r="Y29" s="21" t="e" cm="1">
        <f t="array" ref="Y29">goalDifferencePoints($C29,X$1)</f>
        <v>#VALUE!</v>
      </c>
      <c r="Z29" s="21" t="e" cm="1">
        <f t="array" ref="Z29">goalsConcededPoints($C29,X$1)</f>
        <v>#VALUE!</v>
      </c>
      <c r="AA29" s="21" t="e" cm="1">
        <f t="array" ref="AA29">cleanSheet(Z29)</f>
        <v>#VALUE!</v>
      </c>
      <c r="AB29" s="20" t="e" cm="1">
        <f t="array" ref="AB29">winDrawLosePoints($C29,AB$1)</f>
        <v>#VALUE!</v>
      </c>
      <c r="AC29" s="20" t="e" cm="1">
        <f t="array" ref="AC29">goalDifferencePoints($C29,AB$1)</f>
        <v>#VALUE!</v>
      </c>
      <c r="AD29" s="20" t="e" cm="1">
        <f t="array" ref="AD29">goalsConcededPoints($C29,AB$1)</f>
        <v>#VALUE!</v>
      </c>
      <c r="AE29" s="20" t="e" cm="1">
        <f t="array" ref="AE29">cleanSheet(AD29)</f>
        <v>#VALUE!</v>
      </c>
    </row>
    <row r="30" spans="1:31" s="10" customFormat="1">
      <c r="A30" s="9" t="s">
        <v>44</v>
      </c>
      <c r="B30" s="9" t="s">
        <v>887</v>
      </c>
      <c r="C30" s="9" t="s">
        <v>997</v>
      </c>
      <c r="D30" s="20" t="e" cm="1">
        <f t="array" ref="D30">winDrawLosePoints($C30,D$1)</f>
        <v>#VALUE!</v>
      </c>
      <c r="E30" s="20" t="e" cm="1">
        <f t="array" ref="E30">goalDifferencePoints($C30,D$1)</f>
        <v>#VALUE!</v>
      </c>
      <c r="F30" s="20" t="e" cm="1">
        <f t="array" ref="F30">goalsConcededPoints($C30,D$1)</f>
        <v>#VALUE!</v>
      </c>
      <c r="G30" s="20" t="e" cm="1">
        <f t="array" ref="G30">cleanSheet(F30)</f>
        <v>#VALUE!</v>
      </c>
      <c r="H30" s="21" t="e" cm="1">
        <f t="array" ref="H30">winDrawLosePoints($C30,H$1)</f>
        <v>#VALUE!</v>
      </c>
      <c r="I30" s="21" t="e" cm="1">
        <f t="array" ref="I30">goalDifferencePoints($C30,H$1)</f>
        <v>#VALUE!</v>
      </c>
      <c r="J30" s="21" t="e" cm="1">
        <f t="array" ref="J30">goalsConcededPoints($C30,H$1)</f>
        <v>#VALUE!</v>
      </c>
      <c r="K30" s="21" t="e" cm="1">
        <f t="array" ref="K30">cleanSheet(J30)</f>
        <v>#VALUE!</v>
      </c>
      <c r="L30" s="20" t="e" cm="1">
        <f t="array" ref="L30">winDrawLosePoints($C30,L$1)</f>
        <v>#VALUE!</v>
      </c>
      <c r="M30" s="20" t="e" cm="1">
        <f t="array" ref="M30">goalDifferencePoints($C30,L$1)</f>
        <v>#VALUE!</v>
      </c>
      <c r="N30" s="20" t="e" cm="1">
        <f t="array" ref="N30">goalsConcededPoints($C30,L$1)</f>
        <v>#VALUE!</v>
      </c>
      <c r="O30" s="20" t="e" cm="1">
        <f t="array" ref="O30">cleanSheet(N30)</f>
        <v>#VALUE!</v>
      </c>
      <c r="P30" s="21" t="e" cm="1">
        <f t="array" ref="P30">winDrawLosePoints($C30,P$1)</f>
        <v>#VALUE!</v>
      </c>
      <c r="Q30" s="21" t="e" cm="1">
        <f t="array" ref="Q30">goalDifferencePoints($C30,P$1)</f>
        <v>#VALUE!</v>
      </c>
      <c r="R30" s="21" t="e" cm="1">
        <f t="array" ref="R30">goalsConcededPoints($C30,P$1)</f>
        <v>#VALUE!</v>
      </c>
      <c r="S30" s="21" t="e" cm="1">
        <f t="array" ref="S30">cleanSheet(R30)</f>
        <v>#VALUE!</v>
      </c>
      <c r="T30" s="20" t="e" cm="1">
        <f t="array" ref="T30">winDrawLosePoints($C30,T$1)</f>
        <v>#VALUE!</v>
      </c>
      <c r="U30" s="20" t="e" cm="1">
        <f t="array" ref="U30">goalDifferencePoints($C30,T$1)</f>
        <v>#VALUE!</v>
      </c>
      <c r="V30" s="20" t="e" cm="1">
        <f t="array" ref="V30">goalsConcededPoints($C30,T$1)</f>
        <v>#VALUE!</v>
      </c>
      <c r="W30" s="20" t="e" cm="1">
        <f t="array" ref="W30">cleanSheet(V30)</f>
        <v>#VALUE!</v>
      </c>
      <c r="X30" s="21" t="e" cm="1">
        <f t="array" ref="X30">winDrawLosePoints($C30,X$1)</f>
        <v>#VALUE!</v>
      </c>
      <c r="Y30" s="21" t="e" cm="1">
        <f t="array" ref="Y30">goalDifferencePoints($C30,X$1)</f>
        <v>#VALUE!</v>
      </c>
      <c r="Z30" s="21" t="e" cm="1">
        <f t="array" ref="Z30">goalsConcededPoints($C30,X$1)</f>
        <v>#VALUE!</v>
      </c>
      <c r="AA30" s="21" t="e" cm="1">
        <f t="array" ref="AA30">cleanSheet(Z30)</f>
        <v>#VALUE!</v>
      </c>
      <c r="AB30" s="20" t="e" cm="1">
        <f t="array" ref="AB30">winDrawLosePoints($C30,AB$1)</f>
        <v>#VALUE!</v>
      </c>
      <c r="AC30" s="20" t="e" cm="1">
        <f t="array" ref="AC30">goalDifferencePoints($C30,AB$1)</f>
        <v>#VALUE!</v>
      </c>
      <c r="AD30" s="20" t="e" cm="1">
        <f t="array" ref="AD30">goalsConcededPoints($C30,AB$1)</f>
        <v>#VALUE!</v>
      </c>
      <c r="AE30" s="20" t="e" cm="1">
        <f t="array" ref="AE30">cleanSheet(AD30)</f>
        <v>#VALUE!</v>
      </c>
    </row>
    <row r="31" spans="1:31" s="10" customFormat="1">
      <c r="A31" s="9" t="s">
        <v>44</v>
      </c>
      <c r="B31" s="9" t="s">
        <v>890</v>
      </c>
      <c r="C31" s="9" t="s">
        <v>998</v>
      </c>
      <c r="D31" s="20" t="e" cm="1">
        <f t="array" ref="D31">winDrawLosePoints($C31,D$1)</f>
        <v>#VALUE!</v>
      </c>
      <c r="E31" s="20" t="e" cm="1">
        <f t="array" ref="E31">goalDifferencePoints($C31,D$1)</f>
        <v>#VALUE!</v>
      </c>
      <c r="F31" s="20" t="e" cm="1">
        <f t="array" ref="F31">goalsConcededPoints($C31,D$1)</f>
        <v>#VALUE!</v>
      </c>
      <c r="G31" s="20" t="e" cm="1">
        <f t="array" ref="G31">cleanSheet(F31)</f>
        <v>#VALUE!</v>
      </c>
      <c r="H31" s="21" t="e" cm="1">
        <f t="array" ref="H31">winDrawLosePoints($C31,H$1)</f>
        <v>#VALUE!</v>
      </c>
      <c r="I31" s="21" t="e" cm="1">
        <f t="array" ref="I31">goalDifferencePoints($C31,H$1)</f>
        <v>#VALUE!</v>
      </c>
      <c r="J31" s="21" t="e" cm="1">
        <f t="array" ref="J31">goalsConcededPoints($C31,H$1)</f>
        <v>#VALUE!</v>
      </c>
      <c r="K31" s="21" t="e" cm="1">
        <f t="array" ref="K31">cleanSheet(J31)</f>
        <v>#VALUE!</v>
      </c>
      <c r="L31" s="20" t="e" cm="1">
        <f t="array" ref="L31">winDrawLosePoints($C31,L$1)</f>
        <v>#VALUE!</v>
      </c>
      <c r="M31" s="20" t="e" cm="1">
        <f t="array" ref="M31">goalDifferencePoints($C31,L$1)</f>
        <v>#VALUE!</v>
      </c>
      <c r="N31" s="20" t="e" cm="1">
        <f t="array" ref="N31">goalsConcededPoints($C31,L$1)</f>
        <v>#VALUE!</v>
      </c>
      <c r="O31" s="20" t="e" cm="1">
        <f t="array" ref="O31">cleanSheet(N31)</f>
        <v>#VALUE!</v>
      </c>
      <c r="P31" s="21" t="e" cm="1">
        <f t="array" ref="P31">winDrawLosePoints($C31,P$1)</f>
        <v>#VALUE!</v>
      </c>
      <c r="Q31" s="21" t="e" cm="1">
        <f t="array" ref="Q31">goalDifferencePoints($C31,P$1)</f>
        <v>#VALUE!</v>
      </c>
      <c r="R31" s="21" t="e" cm="1">
        <f t="array" ref="R31">goalsConcededPoints($C31,P$1)</f>
        <v>#VALUE!</v>
      </c>
      <c r="S31" s="21" t="e" cm="1">
        <f t="array" ref="S31">cleanSheet(R31)</f>
        <v>#VALUE!</v>
      </c>
      <c r="T31" s="20" t="e" cm="1">
        <f t="array" ref="T31">winDrawLosePoints($C31,T$1)</f>
        <v>#VALUE!</v>
      </c>
      <c r="U31" s="20" t="e" cm="1">
        <f t="array" ref="U31">goalDifferencePoints($C31,T$1)</f>
        <v>#VALUE!</v>
      </c>
      <c r="V31" s="20" t="e" cm="1">
        <f t="array" ref="V31">goalsConcededPoints($C31,T$1)</f>
        <v>#VALUE!</v>
      </c>
      <c r="W31" s="20" t="e" cm="1">
        <f t="array" ref="W31">cleanSheet(V31)</f>
        <v>#VALUE!</v>
      </c>
      <c r="X31" s="21" t="e" cm="1">
        <f t="array" ref="X31">winDrawLosePoints($C31,X$1)</f>
        <v>#VALUE!</v>
      </c>
      <c r="Y31" s="21" t="e" cm="1">
        <f t="array" ref="Y31">goalDifferencePoints($C31,X$1)</f>
        <v>#VALUE!</v>
      </c>
      <c r="Z31" s="21" t="e" cm="1">
        <f t="array" ref="Z31">goalsConcededPoints($C31,X$1)</f>
        <v>#VALUE!</v>
      </c>
      <c r="AA31" s="21" t="e" cm="1">
        <f t="array" ref="AA31">cleanSheet(Z31)</f>
        <v>#VALUE!</v>
      </c>
      <c r="AB31" s="20" t="e" cm="1">
        <f t="array" ref="AB31">winDrawLosePoints($C31,AB$1)</f>
        <v>#VALUE!</v>
      </c>
      <c r="AC31" s="20" t="e" cm="1">
        <f t="array" ref="AC31">goalDifferencePoints($C31,AB$1)</f>
        <v>#VALUE!</v>
      </c>
      <c r="AD31" s="20" t="e" cm="1">
        <f t="array" ref="AD31">goalsConcededPoints($C31,AB$1)</f>
        <v>#VALUE!</v>
      </c>
      <c r="AE31" s="20" t="e" cm="1">
        <f t="array" ref="AE31">cleanSheet(AD31)</f>
        <v>#VALUE!</v>
      </c>
    </row>
    <row r="32" spans="1:31" s="10" customFormat="1">
      <c r="A32" s="9" t="s">
        <v>985</v>
      </c>
      <c r="B32" s="9" t="s">
        <v>908</v>
      </c>
      <c r="C32" s="9" t="s">
        <v>999</v>
      </c>
      <c r="D32" s="20" t="e" cm="1">
        <f t="array" ref="D32">winDrawLosePoints($C32,D$1)</f>
        <v>#VALUE!</v>
      </c>
      <c r="E32" s="20" t="e" cm="1">
        <f t="array" ref="E32">goalDifferencePoints($C32,D$1)</f>
        <v>#VALUE!</v>
      </c>
      <c r="F32" s="20" t="e" cm="1">
        <f t="array" ref="F32">goalsConcededPoints($C32,D$1)</f>
        <v>#VALUE!</v>
      </c>
      <c r="G32" s="20" t="e" cm="1">
        <f t="array" ref="G32">cleanSheet(F32)</f>
        <v>#VALUE!</v>
      </c>
      <c r="H32" s="21" t="e" cm="1">
        <f t="array" ref="H32">winDrawLosePoints($C32,H$1)</f>
        <v>#VALUE!</v>
      </c>
      <c r="I32" s="21" t="e" cm="1">
        <f t="array" ref="I32">goalDifferencePoints($C32,H$1)</f>
        <v>#VALUE!</v>
      </c>
      <c r="J32" s="21" t="e" cm="1">
        <f t="array" ref="J32">goalsConcededPoints($C32,H$1)</f>
        <v>#VALUE!</v>
      </c>
      <c r="K32" s="21" t="e" cm="1">
        <f t="array" ref="K32">cleanSheet(J32)</f>
        <v>#VALUE!</v>
      </c>
      <c r="L32" s="20" t="e" cm="1">
        <f t="array" ref="L32">winDrawLosePoints($C32,L$1)</f>
        <v>#VALUE!</v>
      </c>
      <c r="M32" s="20" t="e" cm="1">
        <f t="array" ref="M32">goalDifferencePoints($C32,L$1)</f>
        <v>#VALUE!</v>
      </c>
      <c r="N32" s="20" t="e" cm="1">
        <f t="array" ref="N32">goalsConcededPoints($C32,L$1)</f>
        <v>#VALUE!</v>
      </c>
      <c r="O32" s="20" t="e" cm="1">
        <f t="array" ref="O32">cleanSheet(N32)</f>
        <v>#VALUE!</v>
      </c>
      <c r="P32" s="21" t="e" cm="1">
        <f t="array" ref="P32">winDrawLosePoints($C32,P$1)</f>
        <v>#VALUE!</v>
      </c>
      <c r="Q32" s="21" t="e" cm="1">
        <f t="array" ref="Q32">goalDifferencePoints($C32,P$1)</f>
        <v>#VALUE!</v>
      </c>
      <c r="R32" s="21" t="e" cm="1">
        <f t="array" ref="R32">goalsConcededPoints($C32,P$1)</f>
        <v>#VALUE!</v>
      </c>
      <c r="S32" s="21" t="e" cm="1">
        <f t="array" ref="S32">cleanSheet(R32)</f>
        <v>#VALUE!</v>
      </c>
      <c r="T32" s="20" t="e" cm="1">
        <f t="array" ref="T32">winDrawLosePoints($C32,T$1)</f>
        <v>#VALUE!</v>
      </c>
      <c r="U32" s="20" t="e" cm="1">
        <f t="array" ref="U32">goalDifferencePoints($C32,T$1)</f>
        <v>#VALUE!</v>
      </c>
      <c r="V32" s="20" t="e" cm="1">
        <f t="array" ref="V32">goalsConcededPoints($C32,T$1)</f>
        <v>#VALUE!</v>
      </c>
      <c r="W32" s="20" t="e" cm="1">
        <f t="array" ref="W32">cleanSheet(V32)</f>
        <v>#VALUE!</v>
      </c>
      <c r="X32" s="21" t="e" cm="1">
        <f t="array" ref="X32">winDrawLosePoints($C32,X$1)</f>
        <v>#VALUE!</v>
      </c>
      <c r="Y32" s="21" t="e" cm="1">
        <f t="array" ref="Y32">goalDifferencePoints($C32,X$1)</f>
        <v>#VALUE!</v>
      </c>
      <c r="Z32" s="21" t="e" cm="1">
        <f t="array" ref="Z32">goalsConcededPoints($C32,X$1)</f>
        <v>#VALUE!</v>
      </c>
      <c r="AA32" s="21" t="e" cm="1">
        <f t="array" ref="AA32">cleanSheet(Z32)</f>
        <v>#VALUE!</v>
      </c>
      <c r="AB32" s="20" t="e" cm="1">
        <f t="array" ref="AB32">winDrawLosePoints($C32,AB$1)</f>
        <v>#VALUE!</v>
      </c>
      <c r="AC32" s="20" t="e" cm="1">
        <f t="array" ref="AC32">goalDifferencePoints($C32,AB$1)</f>
        <v>#VALUE!</v>
      </c>
      <c r="AD32" s="20" t="e" cm="1">
        <f t="array" ref="AD32">goalsConcededPoints($C32,AB$1)</f>
        <v>#VALUE!</v>
      </c>
      <c r="AE32" s="20" t="e" cm="1">
        <f t="array" ref="AE32">cleanSheet(AD32)</f>
        <v>#VALUE!</v>
      </c>
    </row>
    <row r="33" spans="1:31" s="10" customFormat="1">
      <c r="A33" s="9" t="s">
        <v>985</v>
      </c>
      <c r="B33" s="9" t="s">
        <v>888</v>
      </c>
      <c r="C33" s="9" t="s">
        <v>1002</v>
      </c>
      <c r="D33" s="20" t="e" cm="1">
        <f t="array" ref="D33">winDrawLosePoints($C33,D$1)</f>
        <v>#VALUE!</v>
      </c>
      <c r="E33" s="20" t="e" cm="1">
        <f t="array" ref="E33">goalDifferencePoints($C33,D$1)</f>
        <v>#VALUE!</v>
      </c>
      <c r="F33" s="20" t="e" cm="1">
        <f t="array" ref="F33">goalsConcededPoints($C33,D$1)</f>
        <v>#VALUE!</v>
      </c>
      <c r="G33" s="20" t="e" cm="1">
        <f t="array" ref="G33">cleanSheet(F33)</f>
        <v>#VALUE!</v>
      </c>
      <c r="H33" s="21" t="e" cm="1">
        <f t="array" ref="H33">winDrawLosePoints($C33,H$1)</f>
        <v>#VALUE!</v>
      </c>
      <c r="I33" s="21" t="e" cm="1">
        <f t="array" ref="I33">goalDifferencePoints($C33,H$1)</f>
        <v>#VALUE!</v>
      </c>
      <c r="J33" s="21" t="e" cm="1">
        <f t="array" ref="J33">goalsConcededPoints($C33,H$1)</f>
        <v>#VALUE!</v>
      </c>
      <c r="K33" s="21" t="e" cm="1">
        <f t="array" ref="K33">cleanSheet(J33)</f>
        <v>#VALUE!</v>
      </c>
      <c r="L33" s="20" t="e" cm="1">
        <f t="array" ref="L33">winDrawLosePoints($C33,L$1)</f>
        <v>#VALUE!</v>
      </c>
      <c r="M33" s="20" t="e" cm="1">
        <f t="array" ref="M33">goalDifferencePoints($C33,L$1)</f>
        <v>#VALUE!</v>
      </c>
      <c r="N33" s="20" t="e" cm="1">
        <f t="array" ref="N33">goalsConcededPoints($C33,L$1)</f>
        <v>#VALUE!</v>
      </c>
      <c r="O33" s="20" t="e" cm="1">
        <f t="array" ref="O33">cleanSheet(N33)</f>
        <v>#VALUE!</v>
      </c>
      <c r="P33" s="21" t="e" cm="1">
        <f t="array" ref="P33">winDrawLosePoints($C33,P$1)</f>
        <v>#VALUE!</v>
      </c>
      <c r="Q33" s="21" t="e" cm="1">
        <f t="array" ref="Q33">goalDifferencePoints($C33,P$1)</f>
        <v>#VALUE!</v>
      </c>
      <c r="R33" s="21" t="e" cm="1">
        <f t="array" ref="R33">goalsConcededPoints($C33,P$1)</f>
        <v>#VALUE!</v>
      </c>
      <c r="S33" s="21" t="e" cm="1">
        <f t="array" ref="S33">cleanSheet(R33)</f>
        <v>#VALUE!</v>
      </c>
      <c r="T33" s="20" t="e" cm="1">
        <f t="array" ref="T33">winDrawLosePoints($C33,T$1)</f>
        <v>#VALUE!</v>
      </c>
      <c r="U33" s="20" t="e" cm="1">
        <f t="array" ref="U33">goalDifferencePoints($C33,T$1)</f>
        <v>#VALUE!</v>
      </c>
      <c r="V33" s="20" t="e" cm="1">
        <f t="array" ref="V33">goalsConcededPoints($C33,T$1)</f>
        <v>#VALUE!</v>
      </c>
      <c r="W33" s="20" t="e" cm="1">
        <f t="array" ref="W33">cleanSheet(V33)</f>
        <v>#VALUE!</v>
      </c>
      <c r="X33" s="21" t="e" cm="1">
        <f t="array" ref="X33">winDrawLosePoints($C33,X$1)</f>
        <v>#VALUE!</v>
      </c>
      <c r="Y33" s="21" t="e" cm="1">
        <f t="array" ref="Y33">goalDifferencePoints($C33,X$1)</f>
        <v>#VALUE!</v>
      </c>
      <c r="Z33" s="21" t="e" cm="1">
        <f t="array" ref="Z33">goalsConcededPoints($C33,X$1)</f>
        <v>#VALUE!</v>
      </c>
      <c r="AA33" s="21" t="e" cm="1">
        <f t="array" ref="AA33">cleanSheet(Z33)</f>
        <v>#VALUE!</v>
      </c>
      <c r="AB33" s="20" t="e" cm="1">
        <f t="array" ref="AB33">winDrawLosePoints($C33,AB$1)</f>
        <v>#VALUE!</v>
      </c>
      <c r="AC33" s="20" t="e" cm="1">
        <f t="array" ref="AC33">goalDifferencePoints($C33,AB$1)</f>
        <v>#VALUE!</v>
      </c>
      <c r="AD33" s="20" t="e" cm="1">
        <f t="array" ref="AD33">goalsConcededPoints($C33,AB$1)</f>
        <v>#VALUE!</v>
      </c>
      <c r="AE33" s="20" t="e" cm="1">
        <f t="array" ref="AE33">cleanSheet(AD33)</f>
        <v>#VALUE!</v>
      </c>
    </row>
    <row r="34" spans="1:31" s="10" customFormat="1">
      <c r="A34" s="9" t="s">
        <v>985</v>
      </c>
      <c r="B34" s="9" t="s">
        <v>883</v>
      </c>
      <c r="C34" s="9" t="s">
        <v>1000</v>
      </c>
      <c r="D34" s="20" t="e" cm="1">
        <f t="array" ref="D34">winDrawLosePoints($C34,D$1)</f>
        <v>#VALUE!</v>
      </c>
      <c r="E34" s="20" t="e" cm="1">
        <f t="array" ref="E34">goalDifferencePoints($C34,D$1)</f>
        <v>#VALUE!</v>
      </c>
      <c r="F34" s="20" t="e" cm="1">
        <f t="array" ref="F34">goalsConcededPoints($C34,D$1)</f>
        <v>#VALUE!</v>
      </c>
      <c r="G34" s="20" t="e" cm="1">
        <f t="array" ref="G34">cleanSheet(F34)</f>
        <v>#VALUE!</v>
      </c>
      <c r="H34" s="21" t="e" cm="1">
        <f t="array" ref="H34">winDrawLosePoints($C34,H$1)</f>
        <v>#VALUE!</v>
      </c>
      <c r="I34" s="21" t="e" cm="1">
        <f t="array" ref="I34">goalDifferencePoints($C34,H$1)</f>
        <v>#VALUE!</v>
      </c>
      <c r="J34" s="21" t="e" cm="1">
        <f t="array" ref="J34">goalsConcededPoints($C34,H$1)</f>
        <v>#VALUE!</v>
      </c>
      <c r="K34" s="21" t="e" cm="1">
        <f t="array" ref="K34">cleanSheet(J34)</f>
        <v>#VALUE!</v>
      </c>
      <c r="L34" s="20" t="e" cm="1">
        <f t="array" ref="L34">winDrawLosePoints($C34,L$1)</f>
        <v>#VALUE!</v>
      </c>
      <c r="M34" s="20" t="e" cm="1">
        <f t="array" ref="M34">goalDifferencePoints($C34,L$1)</f>
        <v>#VALUE!</v>
      </c>
      <c r="N34" s="20" t="e" cm="1">
        <f t="array" ref="N34">goalsConcededPoints($C34,L$1)</f>
        <v>#VALUE!</v>
      </c>
      <c r="O34" s="20" t="e" cm="1">
        <f t="array" ref="O34">cleanSheet(N34)</f>
        <v>#VALUE!</v>
      </c>
      <c r="P34" s="21" t="e" cm="1">
        <f t="array" ref="P34">winDrawLosePoints($C34,P$1)</f>
        <v>#VALUE!</v>
      </c>
      <c r="Q34" s="21" t="e" cm="1">
        <f t="array" ref="Q34">goalDifferencePoints($C34,P$1)</f>
        <v>#VALUE!</v>
      </c>
      <c r="R34" s="21" t="e" cm="1">
        <f t="array" ref="R34">goalsConcededPoints($C34,P$1)</f>
        <v>#VALUE!</v>
      </c>
      <c r="S34" s="21" t="e" cm="1">
        <f t="array" ref="S34">cleanSheet(R34)</f>
        <v>#VALUE!</v>
      </c>
      <c r="T34" s="20" t="e" cm="1">
        <f t="array" ref="T34">winDrawLosePoints($C34,T$1)</f>
        <v>#VALUE!</v>
      </c>
      <c r="U34" s="20" t="e" cm="1">
        <f t="array" ref="U34">goalDifferencePoints($C34,T$1)</f>
        <v>#VALUE!</v>
      </c>
      <c r="V34" s="20" t="e" cm="1">
        <f t="array" ref="V34">goalsConcededPoints($C34,T$1)</f>
        <v>#VALUE!</v>
      </c>
      <c r="W34" s="20" t="e" cm="1">
        <f t="array" ref="W34">cleanSheet(V34)</f>
        <v>#VALUE!</v>
      </c>
      <c r="X34" s="21" t="e" cm="1">
        <f t="array" ref="X34">winDrawLosePoints($C34,X$1)</f>
        <v>#VALUE!</v>
      </c>
      <c r="Y34" s="21" t="e" cm="1">
        <f t="array" ref="Y34">goalDifferencePoints($C34,X$1)</f>
        <v>#VALUE!</v>
      </c>
      <c r="Z34" s="21" t="e" cm="1">
        <f t="array" ref="Z34">goalsConcededPoints($C34,X$1)</f>
        <v>#VALUE!</v>
      </c>
      <c r="AA34" s="21" t="e" cm="1">
        <f t="array" ref="AA34">cleanSheet(Z34)</f>
        <v>#VALUE!</v>
      </c>
      <c r="AB34" s="20" t="e" cm="1">
        <f t="array" ref="AB34">winDrawLosePoints($C34,AB$1)</f>
        <v>#VALUE!</v>
      </c>
      <c r="AC34" s="20" t="e" cm="1">
        <f t="array" ref="AC34">goalDifferencePoints($C34,AB$1)</f>
        <v>#VALUE!</v>
      </c>
      <c r="AD34" s="20" t="e" cm="1">
        <f t="array" ref="AD34">goalsConcededPoints($C34,AB$1)</f>
        <v>#VALUE!</v>
      </c>
      <c r="AE34" s="20" t="e" cm="1">
        <f t="array" ref="AE34">cleanSheet(AD34)</f>
        <v>#VALUE!</v>
      </c>
    </row>
    <row r="35" spans="1:31" s="10" customFormat="1">
      <c r="A35" s="9" t="s">
        <v>985</v>
      </c>
      <c r="B35" s="9" t="s">
        <v>893</v>
      </c>
      <c r="C35" s="9" t="s">
        <v>1001</v>
      </c>
      <c r="D35" s="20" t="e" cm="1">
        <f t="array" ref="D35">winDrawLosePoints($C35,D$1)</f>
        <v>#VALUE!</v>
      </c>
      <c r="E35" s="20" t="e" cm="1">
        <f t="array" ref="E35">goalDifferencePoints($C35,D$1)</f>
        <v>#VALUE!</v>
      </c>
      <c r="F35" s="20" t="e" cm="1">
        <f t="array" ref="F35">goalsConcededPoints($C35,D$1)</f>
        <v>#VALUE!</v>
      </c>
      <c r="G35" s="20" t="e" cm="1">
        <f t="array" ref="G35">cleanSheet(F35)</f>
        <v>#VALUE!</v>
      </c>
      <c r="H35" s="21" t="e" cm="1">
        <f t="array" ref="H35">winDrawLosePoints($C35,H$1)</f>
        <v>#VALUE!</v>
      </c>
      <c r="I35" s="21" t="e" cm="1">
        <f t="array" ref="I35">goalDifferencePoints($C35,H$1)</f>
        <v>#VALUE!</v>
      </c>
      <c r="J35" s="21" t="e" cm="1">
        <f t="array" ref="J35">goalsConcededPoints($C35,H$1)</f>
        <v>#VALUE!</v>
      </c>
      <c r="K35" s="21" t="e" cm="1">
        <f t="array" ref="K35">cleanSheet(J35)</f>
        <v>#VALUE!</v>
      </c>
      <c r="L35" s="20" t="e" cm="1">
        <f t="array" ref="L35">winDrawLosePoints($C35,L$1)</f>
        <v>#VALUE!</v>
      </c>
      <c r="M35" s="20" t="e" cm="1">
        <f t="array" ref="M35">goalDifferencePoints($C35,L$1)</f>
        <v>#VALUE!</v>
      </c>
      <c r="N35" s="20" t="e" cm="1">
        <f t="array" ref="N35">goalsConcededPoints($C35,L$1)</f>
        <v>#VALUE!</v>
      </c>
      <c r="O35" s="20" t="e" cm="1">
        <f t="array" ref="O35">cleanSheet(N35)</f>
        <v>#VALUE!</v>
      </c>
      <c r="P35" s="21" t="e" cm="1">
        <f t="array" ref="P35">winDrawLosePoints($C35,P$1)</f>
        <v>#VALUE!</v>
      </c>
      <c r="Q35" s="21" t="e" cm="1">
        <f t="array" ref="Q35">goalDifferencePoints($C35,P$1)</f>
        <v>#VALUE!</v>
      </c>
      <c r="R35" s="21" t="e" cm="1">
        <f t="array" ref="R35">goalsConcededPoints($C35,P$1)</f>
        <v>#VALUE!</v>
      </c>
      <c r="S35" s="21" t="e" cm="1">
        <f t="array" ref="S35">cleanSheet(R35)</f>
        <v>#VALUE!</v>
      </c>
      <c r="T35" s="20" t="e" cm="1">
        <f t="array" ref="T35">winDrawLosePoints($C35,T$1)</f>
        <v>#VALUE!</v>
      </c>
      <c r="U35" s="20" t="e" cm="1">
        <f t="array" ref="U35">goalDifferencePoints($C35,T$1)</f>
        <v>#VALUE!</v>
      </c>
      <c r="V35" s="20" t="e" cm="1">
        <f t="array" ref="V35">goalsConcededPoints($C35,T$1)</f>
        <v>#VALUE!</v>
      </c>
      <c r="W35" s="20" t="e" cm="1">
        <f t="array" ref="W35">cleanSheet(V35)</f>
        <v>#VALUE!</v>
      </c>
      <c r="X35" s="21" t="e" cm="1">
        <f t="array" ref="X35">winDrawLosePoints($C35,X$1)</f>
        <v>#VALUE!</v>
      </c>
      <c r="Y35" s="21" t="e" cm="1">
        <f t="array" ref="Y35">goalDifferencePoints($C35,X$1)</f>
        <v>#VALUE!</v>
      </c>
      <c r="Z35" s="21" t="e" cm="1">
        <f t="array" ref="Z35">goalsConcededPoints($C35,X$1)</f>
        <v>#VALUE!</v>
      </c>
      <c r="AA35" s="21" t="e" cm="1">
        <f t="array" ref="AA35">cleanSheet(Z35)</f>
        <v>#VALUE!</v>
      </c>
      <c r="AB35" s="20" t="e" cm="1">
        <f t="array" ref="AB35">winDrawLosePoints($C35,AB$1)</f>
        <v>#VALUE!</v>
      </c>
      <c r="AC35" s="20" t="e" cm="1">
        <f t="array" ref="AC35">goalDifferencePoints($C35,AB$1)</f>
        <v>#VALUE!</v>
      </c>
      <c r="AD35" s="20" t="e" cm="1">
        <f t="array" ref="AD35">goalsConcededPoints($C35,AB$1)</f>
        <v>#VALUE!</v>
      </c>
      <c r="AE35" s="20" t="e" cm="1">
        <f t="array" ref="AE35">cleanSheet(AD35)</f>
        <v>#VALUE!</v>
      </c>
    </row>
    <row r="39" spans="1:31">
      <c r="A39" s="9" t="s">
        <v>3178</v>
      </c>
      <c r="B39" s="9" t="s">
        <v>3187</v>
      </c>
      <c r="C39" s="9" t="s">
        <v>3180</v>
      </c>
      <c r="D39" s="9" t="s">
        <v>3181</v>
      </c>
      <c r="E39" s="9" t="s">
        <v>3178</v>
      </c>
      <c r="F39" s="9" t="s">
        <v>3184</v>
      </c>
    </row>
    <row r="40" spans="1:31">
      <c r="A40" s="9" t="s">
        <v>3179</v>
      </c>
      <c r="B40" s="9" t="s">
        <v>3187</v>
      </c>
      <c r="C40" s="9" t="s">
        <v>3188</v>
      </c>
      <c r="D40" s="9" t="s">
        <v>3181</v>
      </c>
      <c r="E40" s="9" t="s">
        <v>3179</v>
      </c>
      <c r="F40" s="9" t="s">
        <v>3185</v>
      </c>
    </row>
    <row r="41" spans="1:31">
      <c r="A41" s="9" t="s">
        <v>3182</v>
      </c>
      <c r="B41" s="9" t="s">
        <v>3187</v>
      </c>
      <c r="C41" s="9" t="s">
        <v>3189</v>
      </c>
      <c r="D41" s="9" t="s">
        <v>3181</v>
      </c>
      <c r="E41" s="9" t="s">
        <v>3182</v>
      </c>
      <c r="F41" s="9" t="s">
        <v>3186</v>
      </c>
      <c r="S41" s="9" t="str">
        <f>RIGHT(H1,1)</f>
        <v>2</v>
      </c>
    </row>
    <row r="42" spans="1:31">
      <c r="A42" s="9" t="s">
        <v>3183</v>
      </c>
      <c r="B42" s="9" t="s">
        <v>3187</v>
      </c>
      <c r="D42" s="9" t="s">
        <v>3181</v>
      </c>
      <c r="E42" s="9" t="s">
        <v>3183</v>
      </c>
    </row>
  </sheetData>
  <mergeCells count="7">
    <mergeCell ref="AB1:AE1"/>
    <mergeCell ref="D1:G1"/>
    <mergeCell ref="H1:K1"/>
    <mergeCell ref="L1:O1"/>
    <mergeCell ref="P1:S1"/>
    <mergeCell ref="T1:W1"/>
    <mergeCell ref="X1:AA1"/>
  </mergeCells>
  <dataValidations disablePrompts="1" count="2">
    <dataValidation type="list" allowBlank="1" showInputMessage="1" showErrorMessage="1" sqref="IY4:IY35 SU4:SU35 ACQ4:ACQ35 AMM4:AMM35 AWI4:AWI35 BGE4:BGE35 BQA4:BQA35 BZW4:BZW35 CJS4:CJS35 CTO4:CTO35 DDK4:DDK35 DNG4:DNG35 DXC4:DXC35 EGY4:EGY35 EQU4:EQU35 FAQ4:FAQ35 FKM4:FKM35 FUI4:FUI35 GEE4:GEE35 GOA4:GOA35 GXW4:GXW35 HHS4:HHS35 HRO4:HRO35 IBK4:IBK35 ILG4:ILG35 IVC4:IVC35 JEY4:JEY35 JOU4:JOU35 JYQ4:JYQ35 KIM4:KIM35 KSI4:KSI35 LCE4:LCE35 LMA4:LMA35 LVW4:LVW35 MFS4:MFS35 MPO4:MPO35 MZK4:MZK35 NJG4:NJG35 NTC4:NTC35 OCY4:OCY35 OMU4:OMU35 OWQ4:OWQ35 PGM4:PGM35 PQI4:PQI35 QAE4:QAE35 QKA4:QKA35 QTW4:QTW35 RDS4:RDS35 RNO4:RNO35 RXK4:RXK35 SHG4:SHG35 SRC4:SRC35 TAY4:TAY35 TKU4:TKU35 TUQ4:TUQ35 UEM4:UEM35 UOI4:UOI35 UYE4:UYE35 VIA4:VIA35 VRW4:VRW35 WBS4:WBS35 WLO4:WLO35 WVK4:WVK35 IY65540:IY65571 SU65540:SU65571 ACQ65540:ACQ65571 AMM65540:AMM65571 AWI65540:AWI65571 BGE65540:BGE65571 BQA65540:BQA65571 BZW65540:BZW65571 CJS65540:CJS65571 CTO65540:CTO65571 DDK65540:DDK65571 DNG65540:DNG65571 DXC65540:DXC65571 EGY65540:EGY65571 EQU65540:EQU65571 FAQ65540:FAQ65571 FKM65540:FKM65571 FUI65540:FUI65571 GEE65540:GEE65571 GOA65540:GOA65571 GXW65540:GXW65571 HHS65540:HHS65571 HRO65540:HRO65571 IBK65540:IBK65571 ILG65540:ILG65571 IVC65540:IVC65571 JEY65540:JEY65571 JOU65540:JOU65571 JYQ65540:JYQ65571 KIM65540:KIM65571 KSI65540:KSI65571 LCE65540:LCE65571 LMA65540:LMA65571 LVW65540:LVW65571 MFS65540:MFS65571 MPO65540:MPO65571 MZK65540:MZK65571 NJG65540:NJG65571 NTC65540:NTC65571 OCY65540:OCY65571 OMU65540:OMU65571 OWQ65540:OWQ65571 PGM65540:PGM65571 PQI65540:PQI65571 QAE65540:QAE65571 QKA65540:QKA65571 QTW65540:QTW65571 RDS65540:RDS65571 RNO65540:RNO65571 RXK65540:RXK65571 SHG65540:SHG65571 SRC65540:SRC65571 TAY65540:TAY65571 TKU65540:TKU65571 TUQ65540:TUQ65571 UEM65540:UEM65571 UOI65540:UOI65571 UYE65540:UYE65571 VIA65540:VIA65571 VRW65540:VRW65571 WBS65540:WBS65571 WLO65540:WLO65571 WVK65540:WVK65571 IY131076:IY131107 SU131076:SU131107 ACQ131076:ACQ131107 AMM131076:AMM131107 AWI131076:AWI131107 BGE131076:BGE131107 BQA131076:BQA131107 BZW131076:BZW131107 CJS131076:CJS131107 CTO131076:CTO131107 DDK131076:DDK131107 DNG131076:DNG131107 DXC131076:DXC131107 EGY131076:EGY131107 EQU131076:EQU131107 FAQ131076:FAQ131107 FKM131076:FKM131107 FUI131076:FUI131107 GEE131076:GEE131107 GOA131076:GOA131107 GXW131076:GXW131107 HHS131076:HHS131107 HRO131076:HRO131107 IBK131076:IBK131107 ILG131076:ILG131107 IVC131076:IVC131107 JEY131076:JEY131107 JOU131076:JOU131107 JYQ131076:JYQ131107 KIM131076:KIM131107 KSI131076:KSI131107 LCE131076:LCE131107 LMA131076:LMA131107 LVW131076:LVW131107 MFS131076:MFS131107 MPO131076:MPO131107 MZK131076:MZK131107 NJG131076:NJG131107 NTC131076:NTC131107 OCY131076:OCY131107 OMU131076:OMU131107 OWQ131076:OWQ131107 PGM131076:PGM131107 PQI131076:PQI131107 QAE131076:QAE131107 QKA131076:QKA131107 QTW131076:QTW131107 RDS131076:RDS131107 RNO131076:RNO131107 RXK131076:RXK131107 SHG131076:SHG131107 SRC131076:SRC131107 TAY131076:TAY131107 TKU131076:TKU131107 TUQ131076:TUQ131107 UEM131076:UEM131107 UOI131076:UOI131107 UYE131076:UYE131107 VIA131076:VIA131107 VRW131076:VRW131107 WBS131076:WBS131107 WLO131076:WLO131107 WVK131076:WVK131107 IY196612:IY196643 SU196612:SU196643 ACQ196612:ACQ196643 AMM196612:AMM196643 AWI196612:AWI196643 BGE196612:BGE196643 BQA196612:BQA196643 BZW196612:BZW196643 CJS196612:CJS196643 CTO196612:CTO196643 DDK196612:DDK196643 DNG196612:DNG196643 DXC196612:DXC196643 EGY196612:EGY196643 EQU196612:EQU196643 FAQ196612:FAQ196643 FKM196612:FKM196643 FUI196612:FUI196643 GEE196612:GEE196643 GOA196612:GOA196643 GXW196612:GXW196643 HHS196612:HHS196643 HRO196612:HRO196643 IBK196612:IBK196643 ILG196612:ILG196643 IVC196612:IVC196643 JEY196612:JEY196643 JOU196612:JOU196643 JYQ196612:JYQ196643 KIM196612:KIM196643 KSI196612:KSI196643 LCE196612:LCE196643 LMA196612:LMA196643 LVW196612:LVW196643 MFS196612:MFS196643 MPO196612:MPO196643 MZK196612:MZK196643 NJG196612:NJG196643 NTC196612:NTC196643 OCY196612:OCY196643 OMU196612:OMU196643 OWQ196612:OWQ196643 PGM196612:PGM196643 PQI196612:PQI196643 QAE196612:QAE196643 QKA196612:QKA196643 QTW196612:QTW196643 RDS196612:RDS196643 RNO196612:RNO196643 RXK196612:RXK196643 SHG196612:SHG196643 SRC196612:SRC196643 TAY196612:TAY196643 TKU196612:TKU196643 TUQ196612:TUQ196643 UEM196612:UEM196643 UOI196612:UOI196643 UYE196612:UYE196643 VIA196612:VIA196643 VRW196612:VRW196643 WBS196612:WBS196643 WLO196612:WLO196643 WVK196612:WVK196643 IY262148:IY262179 SU262148:SU262179 ACQ262148:ACQ262179 AMM262148:AMM262179 AWI262148:AWI262179 BGE262148:BGE262179 BQA262148:BQA262179 BZW262148:BZW262179 CJS262148:CJS262179 CTO262148:CTO262179 DDK262148:DDK262179 DNG262148:DNG262179 DXC262148:DXC262179 EGY262148:EGY262179 EQU262148:EQU262179 FAQ262148:FAQ262179 FKM262148:FKM262179 FUI262148:FUI262179 GEE262148:GEE262179 GOA262148:GOA262179 GXW262148:GXW262179 HHS262148:HHS262179 HRO262148:HRO262179 IBK262148:IBK262179 ILG262148:ILG262179 IVC262148:IVC262179 JEY262148:JEY262179 JOU262148:JOU262179 JYQ262148:JYQ262179 KIM262148:KIM262179 KSI262148:KSI262179 LCE262148:LCE262179 LMA262148:LMA262179 LVW262148:LVW262179 MFS262148:MFS262179 MPO262148:MPO262179 MZK262148:MZK262179 NJG262148:NJG262179 NTC262148:NTC262179 OCY262148:OCY262179 OMU262148:OMU262179 OWQ262148:OWQ262179 PGM262148:PGM262179 PQI262148:PQI262179 QAE262148:QAE262179 QKA262148:QKA262179 QTW262148:QTW262179 RDS262148:RDS262179 RNO262148:RNO262179 RXK262148:RXK262179 SHG262148:SHG262179 SRC262148:SRC262179 TAY262148:TAY262179 TKU262148:TKU262179 TUQ262148:TUQ262179 UEM262148:UEM262179 UOI262148:UOI262179 UYE262148:UYE262179 VIA262148:VIA262179 VRW262148:VRW262179 WBS262148:WBS262179 WLO262148:WLO262179 WVK262148:WVK262179 IY327684:IY327715 SU327684:SU327715 ACQ327684:ACQ327715 AMM327684:AMM327715 AWI327684:AWI327715 BGE327684:BGE327715 BQA327684:BQA327715 BZW327684:BZW327715 CJS327684:CJS327715 CTO327684:CTO327715 DDK327684:DDK327715 DNG327684:DNG327715 DXC327684:DXC327715 EGY327684:EGY327715 EQU327684:EQU327715 FAQ327684:FAQ327715 FKM327684:FKM327715 FUI327684:FUI327715 GEE327684:GEE327715 GOA327684:GOA327715 GXW327684:GXW327715 HHS327684:HHS327715 HRO327684:HRO327715 IBK327684:IBK327715 ILG327684:ILG327715 IVC327684:IVC327715 JEY327684:JEY327715 JOU327684:JOU327715 JYQ327684:JYQ327715 KIM327684:KIM327715 KSI327684:KSI327715 LCE327684:LCE327715 LMA327684:LMA327715 LVW327684:LVW327715 MFS327684:MFS327715 MPO327684:MPO327715 MZK327684:MZK327715 NJG327684:NJG327715 NTC327684:NTC327715 OCY327684:OCY327715 OMU327684:OMU327715 OWQ327684:OWQ327715 PGM327684:PGM327715 PQI327684:PQI327715 QAE327684:QAE327715 QKA327684:QKA327715 QTW327684:QTW327715 RDS327684:RDS327715 RNO327684:RNO327715 RXK327684:RXK327715 SHG327684:SHG327715 SRC327684:SRC327715 TAY327684:TAY327715 TKU327684:TKU327715 TUQ327684:TUQ327715 UEM327684:UEM327715 UOI327684:UOI327715 UYE327684:UYE327715 VIA327684:VIA327715 VRW327684:VRW327715 WBS327684:WBS327715 WLO327684:WLO327715 WVK327684:WVK327715 IY393220:IY393251 SU393220:SU393251 ACQ393220:ACQ393251 AMM393220:AMM393251 AWI393220:AWI393251 BGE393220:BGE393251 BQA393220:BQA393251 BZW393220:BZW393251 CJS393220:CJS393251 CTO393220:CTO393251 DDK393220:DDK393251 DNG393220:DNG393251 DXC393220:DXC393251 EGY393220:EGY393251 EQU393220:EQU393251 FAQ393220:FAQ393251 FKM393220:FKM393251 FUI393220:FUI393251 GEE393220:GEE393251 GOA393220:GOA393251 GXW393220:GXW393251 HHS393220:HHS393251 HRO393220:HRO393251 IBK393220:IBK393251 ILG393220:ILG393251 IVC393220:IVC393251 JEY393220:JEY393251 JOU393220:JOU393251 JYQ393220:JYQ393251 KIM393220:KIM393251 KSI393220:KSI393251 LCE393220:LCE393251 LMA393220:LMA393251 LVW393220:LVW393251 MFS393220:MFS393251 MPO393220:MPO393251 MZK393220:MZK393251 NJG393220:NJG393251 NTC393220:NTC393251 OCY393220:OCY393251 OMU393220:OMU393251 OWQ393220:OWQ393251 PGM393220:PGM393251 PQI393220:PQI393251 QAE393220:QAE393251 QKA393220:QKA393251 QTW393220:QTW393251 RDS393220:RDS393251 RNO393220:RNO393251 RXK393220:RXK393251 SHG393220:SHG393251 SRC393220:SRC393251 TAY393220:TAY393251 TKU393220:TKU393251 TUQ393220:TUQ393251 UEM393220:UEM393251 UOI393220:UOI393251 UYE393220:UYE393251 VIA393220:VIA393251 VRW393220:VRW393251 WBS393220:WBS393251 WLO393220:WLO393251 WVK393220:WVK393251 IY458756:IY458787 SU458756:SU458787 ACQ458756:ACQ458787 AMM458756:AMM458787 AWI458756:AWI458787 BGE458756:BGE458787 BQA458756:BQA458787 BZW458756:BZW458787 CJS458756:CJS458787 CTO458756:CTO458787 DDK458756:DDK458787 DNG458756:DNG458787 DXC458756:DXC458787 EGY458756:EGY458787 EQU458756:EQU458787 FAQ458756:FAQ458787 FKM458756:FKM458787 FUI458756:FUI458787 GEE458756:GEE458787 GOA458756:GOA458787 GXW458756:GXW458787 HHS458756:HHS458787 HRO458756:HRO458787 IBK458756:IBK458787 ILG458756:ILG458787 IVC458756:IVC458787 JEY458756:JEY458787 JOU458756:JOU458787 JYQ458756:JYQ458787 KIM458756:KIM458787 KSI458756:KSI458787 LCE458756:LCE458787 LMA458756:LMA458787 LVW458756:LVW458787 MFS458756:MFS458787 MPO458756:MPO458787 MZK458756:MZK458787 NJG458756:NJG458787 NTC458756:NTC458787 OCY458756:OCY458787 OMU458756:OMU458787 OWQ458756:OWQ458787 PGM458756:PGM458787 PQI458756:PQI458787 QAE458756:QAE458787 QKA458756:QKA458787 QTW458756:QTW458787 RDS458756:RDS458787 RNO458756:RNO458787 RXK458756:RXK458787 SHG458756:SHG458787 SRC458756:SRC458787 TAY458756:TAY458787 TKU458756:TKU458787 TUQ458756:TUQ458787 UEM458756:UEM458787 UOI458756:UOI458787 UYE458756:UYE458787 VIA458756:VIA458787 VRW458756:VRW458787 WBS458756:WBS458787 WLO458756:WLO458787 WVK458756:WVK458787 IY524292:IY524323 SU524292:SU524323 ACQ524292:ACQ524323 AMM524292:AMM524323 AWI524292:AWI524323 BGE524292:BGE524323 BQA524292:BQA524323 BZW524292:BZW524323 CJS524292:CJS524323 CTO524292:CTO524323 DDK524292:DDK524323 DNG524292:DNG524323 DXC524292:DXC524323 EGY524292:EGY524323 EQU524292:EQU524323 FAQ524292:FAQ524323 FKM524292:FKM524323 FUI524292:FUI524323 GEE524292:GEE524323 GOA524292:GOA524323 GXW524292:GXW524323 HHS524292:HHS524323 HRO524292:HRO524323 IBK524292:IBK524323 ILG524292:ILG524323 IVC524292:IVC524323 JEY524292:JEY524323 JOU524292:JOU524323 JYQ524292:JYQ524323 KIM524292:KIM524323 KSI524292:KSI524323 LCE524292:LCE524323 LMA524292:LMA524323 LVW524292:LVW524323 MFS524292:MFS524323 MPO524292:MPO524323 MZK524292:MZK524323 NJG524292:NJG524323 NTC524292:NTC524323 OCY524292:OCY524323 OMU524292:OMU524323 OWQ524292:OWQ524323 PGM524292:PGM524323 PQI524292:PQI524323 QAE524292:QAE524323 QKA524292:QKA524323 QTW524292:QTW524323 RDS524292:RDS524323 RNO524292:RNO524323 RXK524292:RXK524323 SHG524292:SHG524323 SRC524292:SRC524323 TAY524292:TAY524323 TKU524292:TKU524323 TUQ524292:TUQ524323 UEM524292:UEM524323 UOI524292:UOI524323 UYE524292:UYE524323 VIA524292:VIA524323 VRW524292:VRW524323 WBS524292:WBS524323 WLO524292:WLO524323 WVK524292:WVK524323 IY589828:IY589859 SU589828:SU589859 ACQ589828:ACQ589859 AMM589828:AMM589859 AWI589828:AWI589859 BGE589828:BGE589859 BQA589828:BQA589859 BZW589828:BZW589859 CJS589828:CJS589859 CTO589828:CTO589859 DDK589828:DDK589859 DNG589828:DNG589859 DXC589828:DXC589859 EGY589828:EGY589859 EQU589828:EQU589859 FAQ589828:FAQ589859 FKM589828:FKM589859 FUI589828:FUI589859 GEE589828:GEE589859 GOA589828:GOA589859 GXW589828:GXW589859 HHS589828:HHS589859 HRO589828:HRO589859 IBK589828:IBK589859 ILG589828:ILG589859 IVC589828:IVC589859 JEY589828:JEY589859 JOU589828:JOU589859 JYQ589828:JYQ589859 KIM589828:KIM589859 KSI589828:KSI589859 LCE589828:LCE589859 LMA589828:LMA589859 LVW589828:LVW589859 MFS589828:MFS589859 MPO589828:MPO589859 MZK589828:MZK589859 NJG589828:NJG589859 NTC589828:NTC589859 OCY589828:OCY589859 OMU589828:OMU589859 OWQ589828:OWQ589859 PGM589828:PGM589859 PQI589828:PQI589859 QAE589828:QAE589859 QKA589828:QKA589859 QTW589828:QTW589859 RDS589828:RDS589859 RNO589828:RNO589859 RXK589828:RXK589859 SHG589828:SHG589859 SRC589828:SRC589859 TAY589828:TAY589859 TKU589828:TKU589859 TUQ589828:TUQ589859 UEM589828:UEM589859 UOI589828:UOI589859 UYE589828:UYE589859 VIA589828:VIA589859 VRW589828:VRW589859 WBS589828:WBS589859 WLO589828:WLO589859 WVK589828:WVK589859 IY655364:IY655395 SU655364:SU655395 ACQ655364:ACQ655395 AMM655364:AMM655395 AWI655364:AWI655395 BGE655364:BGE655395 BQA655364:BQA655395 BZW655364:BZW655395 CJS655364:CJS655395 CTO655364:CTO655395 DDK655364:DDK655395 DNG655364:DNG655395 DXC655364:DXC655395 EGY655364:EGY655395 EQU655364:EQU655395 FAQ655364:FAQ655395 FKM655364:FKM655395 FUI655364:FUI655395 GEE655364:GEE655395 GOA655364:GOA655395 GXW655364:GXW655395 HHS655364:HHS655395 HRO655364:HRO655395 IBK655364:IBK655395 ILG655364:ILG655395 IVC655364:IVC655395 JEY655364:JEY655395 JOU655364:JOU655395 JYQ655364:JYQ655395 KIM655364:KIM655395 KSI655364:KSI655395 LCE655364:LCE655395 LMA655364:LMA655395 LVW655364:LVW655395 MFS655364:MFS655395 MPO655364:MPO655395 MZK655364:MZK655395 NJG655364:NJG655395 NTC655364:NTC655395 OCY655364:OCY655395 OMU655364:OMU655395 OWQ655364:OWQ655395 PGM655364:PGM655395 PQI655364:PQI655395 QAE655364:QAE655395 QKA655364:QKA655395 QTW655364:QTW655395 RDS655364:RDS655395 RNO655364:RNO655395 RXK655364:RXK655395 SHG655364:SHG655395 SRC655364:SRC655395 TAY655364:TAY655395 TKU655364:TKU655395 TUQ655364:TUQ655395 UEM655364:UEM655395 UOI655364:UOI655395 UYE655364:UYE655395 VIA655364:VIA655395 VRW655364:VRW655395 WBS655364:WBS655395 WLO655364:WLO655395 WVK655364:WVK655395 IY720900:IY720931 SU720900:SU720931 ACQ720900:ACQ720931 AMM720900:AMM720931 AWI720900:AWI720931 BGE720900:BGE720931 BQA720900:BQA720931 BZW720900:BZW720931 CJS720900:CJS720931 CTO720900:CTO720931 DDK720900:DDK720931 DNG720900:DNG720931 DXC720900:DXC720931 EGY720900:EGY720931 EQU720900:EQU720931 FAQ720900:FAQ720931 FKM720900:FKM720931 FUI720900:FUI720931 GEE720900:GEE720931 GOA720900:GOA720931 GXW720900:GXW720931 HHS720900:HHS720931 HRO720900:HRO720931 IBK720900:IBK720931 ILG720900:ILG720931 IVC720900:IVC720931 JEY720900:JEY720931 JOU720900:JOU720931 JYQ720900:JYQ720931 KIM720900:KIM720931 KSI720900:KSI720931 LCE720900:LCE720931 LMA720900:LMA720931 LVW720900:LVW720931 MFS720900:MFS720931 MPO720900:MPO720931 MZK720900:MZK720931 NJG720900:NJG720931 NTC720900:NTC720931 OCY720900:OCY720931 OMU720900:OMU720931 OWQ720900:OWQ720931 PGM720900:PGM720931 PQI720900:PQI720931 QAE720900:QAE720931 QKA720900:QKA720931 QTW720900:QTW720931 RDS720900:RDS720931 RNO720900:RNO720931 RXK720900:RXK720931 SHG720900:SHG720931 SRC720900:SRC720931 TAY720900:TAY720931 TKU720900:TKU720931 TUQ720900:TUQ720931 UEM720900:UEM720931 UOI720900:UOI720931 UYE720900:UYE720931 VIA720900:VIA720931 VRW720900:VRW720931 WBS720900:WBS720931 WLO720900:WLO720931 WVK720900:WVK720931 IY786436:IY786467 SU786436:SU786467 ACQ786436:ACQ786467 AMM786436:AMM786467 AWI786436:AWI786467 BGE786436:BGE786467 BQA786436:BQA786467 BZW786436:BZW786467 CJS786436:CJS786467 CTO786436:CTO786467 DDK786436:DDK786467 DNG786436:DNG786467 DXC786436:DXC786467 EGY786436:EGY786467 EQU786436:EQU786467 FAQ786436:FAQ786467 FKM786436:FKM786467 FUI786436:FUI786467 GEE786436:GEE786467 GOA786436:GOA786467 GXW786436:GXW786467 HHS786436:HHS786467 HRO786436:HRO786467 IBK786436:IBK786467 ILG786436:ILG786467 IVC786436:IVC786467 JEY786436:JEY786467 JOU786436:JOU786467 JYQ786436:JYQ786467 KIM786436:KIM786467 KSI786436:KSI786467 LCE786436:LCE786467 LMA786436:LMA786467 LVW786436:LVW786467 MFS786436:MFS786467 MPO786436:MPO786467 MZK786436:MZK786467 NJG786436:NJG786467 NTC786436:NTC786467 OCY786436:OCY786467 OMU786436:OMU786467 OWQ786436:OWQ786467 PGM786436:PGM786467 PQI786436:PQI786467 QAE786436:QAE786467 QKA786436:QKA786467 QTW786436:QTW786467 RDS786436:RDS786467 RNO786436:RNO786467 RXK786436:RXK786467 SHG786436:SHG786467 SRC786436:SRC786467 TAY786436:TAY786467 TKU786436:TKU786467 TUQ786436:TUQ786467 UEM786436:UEM786467 UOI786436:UOI786467 UYE786436:UYE786467 VIA786436:VIA786467 VRW786436:VRW786467 WBS786436:WBS786467 WLO786436:WLO786467 WVK786436:WVK786467 IY851972:IY852003 SU851972:SU852003 ACQ851972:ACQ852003 AMM851972:AMM852003 AWI851972:AWI852003 BGE851972:BGE852003 BQA851972:BQA852003 BZW851972:BZW852003 CJS851972:CJS852003 CTO851972:CTO852003 DDK851972:DDK852003 DNG851972:DNG852003 DXC851972:DXC852003 EGY851972:EGY852003 EQU851972:EQU852003 FAQ851972:FAQ852003 FKM851972:FKM852003 FUI851972:FUI852003 GEE851972:GEE852003 GOA851972:GOA852003 GXW851972:GXW852003 HHS851972:HHS852003 HRO851972:HRO852003 IBK851972:IBK852003 ILG851972:ILG852003 IVC851972:IVC852003 JEY851972:JEY852003 JOU851972:JOU852003 JYQ851972:JYQ852003 KIM851972:KIM852003 KSI851972:KSI852003 LCE851972:LCE852003 LMA851972:LMA852003 LVW851972:LVW852003 MFS851972:MFS852003 MPO851972:MPO852003 MZK851972:MZK852003 NJG851972:NJG852003 NTC851972:NTC852003 OCY851972:OCY852003 OMU851972:OMU852003 OWQ851972:OWQ852003 PGM851972:PGM852003 PQI851972:PQI852003 QAE851972:QAE852003 QKA851972:QKA852003 QTW851972:QTW852003 RDS851972:RDS852003 RNO851972:RNO852003 RXK851972:RXK852003 SHG851972:SHG852003 SRC851972:SRC852003 TAY851972:TAY852003 TKU851972:TKU852003 TUQ851972:TUQ852003 UEM851972:UEM852003 UOI851972:UOI852003 UYE851972:UYE852003 VIA851972:VIA852003 VRW851972:VRW852003 WBS851972:WBS852003 WLO851972:WLO852003 WVK851972:WVK852003 IY917508:IY917539 SU917508:SU917539 ACQ917508:ACQ917539 AMM917508:AMM917539 AWI917508:AWI917539 BGE917508:BGE917539 BQA917508:BQA917539 BZW917508:BZW917539 CJS917508:CJS917539 CTO917508:CTO917539 DDK917508:DDK917539 DNG917508:DNG917539 DXC917508:DXC917539 EGY917508:EGY917539 EQU917508:EQU917539 FAQ917508:FAQ917539 FKM917508:FKM917539 FUI917508:FUI917539 GEE917508:GEE917539 GOA917508:GOA917539 GXW917508:GXW917539 HHS917508:HHS917539 HRO917508:HRO917539 IBK917508:IBK917539 ILG917508:ILG917539 IVC917508:IVC917539 JEY917508:JEY917539 JOU917508:JOU917539 JYQ917508:JYQ917539 KIM917508:KIM917539 KSI917508:KSI917539 LCE917508:LCE917539 LMA917508:LMA917539 LVW917508:LVW917539 MFS917508:MFS917539 MPO917508:MPO917539 MZK917508:MZK917539 NJG917508:NJG917539 NTC917508:NTC917539 OCY917508:OCY917539 OMU917508:OMU917539 OWQ917508:OWQ917539 PGM917508:PGM917539 PQI917508:PQI917539 QAE917508:QAE917539 QKA917508:QKA917539 QTW917508:QTW917539 RDS917508:RDS917539 RNO917508:RNO917539 RXK917508:RXK917539 SHG917508:SHG917539 SRC917508:SRC917539 TAY917508:TAY917539 TKU917508:TKU917539 TUQ917508:TUQ917539 UEM917508:UEM917539 UOI917508:UOI917539 UYE917508:UYE917539 VIA917508:VIA917539 VRW917508:VRW917539 WBS917508:WBS917539 WLO917508:WLO917539 WVK917508:WVK917539 IY983044:IY983075 SU983044:SU983075 ACQ983044:ACQ983075 AMM983044:AMM983075 AWI983044:AWI983075 BGE983044:BGE983075 BQA983044:BQA983075 BZW983044:BZW983075 CJS983044:CJS983075 CTO983044:CTO983075 DDK983044:DDK983075 DNG983044:DNG983075 DXC983044:DXC983075 EGY983044:EGY983075 EQU983044:EQU983075 FAQ983044:FAQ983075 FKM983044:FKM983075 FUI983044:FUI983075 GEE983044:GEE983075 GOA983044:GOA983075 GXW983044:GXW983075 HHS983044:HHS983075 HRO983044:HRO983075 IBK983044:IBK983075 ILG983044:ILG983075 IVC983044:IVC983075 JEY983044:JEY983075 JOU983044:JOU983075 JYQ983044:JYQ983075 KIM983044:KIM983075 KSI983044:KSI983075 LCE983044:LCE983075 LMA983044:LMA983075 LVW983044:LVW983075 MFS983044:MFS983075 MPO983044:MPO983075 MZK983044:MZK983075 NJG983044:NJG983075 NTC983044:NTC983075 OCY983044:OCY983075 OMU983044:OMU983075 OWQ983044:OWQ983075 PGM983044:PGM983075 PQI983044:PQI983075 QAE983044:QAE983075 QKA983044:QKA983075 QTW983044:QTW983075 RDS983044:RDS983075 RNO983044:RNO983075 RXK983044:RXK983075 SHG983044:SHG983075 SRC983044:SRC983075 TAY983044:TAY983075 TKU983044:TKU983075 TUQ983044:TUQ983075 UEM983044:UEM983075 UOI983044:UOI983075 UYE983044:UYE983075 VIA983044:VIA983075 VRW983044:VRW983075 WBS983044:WBS983075 WLO983044:WLO983075 WVK983044:WVK983075 WLG983044:WLG983075 HK4:HK35 RG4:RG35 ABC4:ABC35 AKY4:AKY35 AUU4:AUU35 BEQ4:BEQ35 BOM4:BOM35 BYI4:BYI35 CIE4:CIE35 CSA4:CSA35 DBW4:DBW35 DLS4:DLS35 DVO4:DVO35 EFK4:EFK35 EPG4:EPG35 EZC4:EZC35 FIY4:FIY35 FSU4:FSU35 GCQ4:GCQ35 GMM4:GMM35 GWI4:GWI35 HGE4:HGE35 HQA4:HQA35 HZW4:HZW35 IJS4:IJS35 ITO4:ITO35 JDK4:JDK35 JNG4:JNG35 JXC4:JXC35 KGY4:KGY35 KQU4:KQU35 LAQ4:LAQ35 LKM4:LKM35 LUI4:LUI35 MEE4:MEE35 MOA4:MOA35 MXW4:MXW35 NHS4:NHS35 NRO4:NRO35 OBK4:OBK35 OLG4:OLG35 OVC4:OVC35 PEY4:PEY35 POU4:POU35 PYQ4:PYQ35 QIM4:QIM35 QSI4:QSI35 RCE4:RCE35 RMA4:RMA35 RVW4:RVW35 SFS4:SFS35 SPO4:SPO35 SZK4:SZK35 TJG4:TJG35 TTC4:TTC35 UCY4:UCY35 UMU4:UMU35 UWQ4:UWQ35 VGM4:VGM35 VQI4:VQI35 WAE4:WAE35 WKA4:WKA35 WTW4:WTW35 G65540:G65571 HK65540:HK65571 RG65540:RG65571 ABC65540:ABC65571 AKY65540:AKY65571 AUU65540:AUU65571 BEQ65540:BEQ65571 BOM65540:BOM65571 BYI65540:BYI65571 CIE65540:CIE65571 CSA65540:CSA65571 DBW65540:DBW65571 DLS65540:DLS65571 DVO65540:DVO65571 EFK65540:EFK65571 EPG65540:EPG65571 EZC65540:EZC65571 FIY65540:FIY65571 FSU65540:FSU65571 GCQ65540:GCQ65571 GMM65540:GMM65571 GWI65540:GWI65571 HGE65540:HGE65571 HQA65540:HQA65571 HZW65540:HZW65571 IJS65540:IJS65571 ITO65540:ITO65571 JDK65540:JDK65571 JNG65540:JNG65571 JXC65540:JXC65571 KGY65540:KGY65571 KQU65540:KQU65571 LAQ65540:LAQ65571 LKM65540:LKM65571 LUI65540:LUI65571 MEE65540:MEE65571 MOA65540:MOA65571 MXW65540:MXW65571 NHS65540:NHS65571 NRO65540:NRO65571 OBK65540:OBK65571 OLG65540:OLG65571 OVC65540:OVC65571 PEY65540:PEY65571 POU65540:POU65571 PYQ65540:PYQ65571 QIM65540:QIM65571 QSI65540:QSI65571 RCE65540:RCE65571 RMA65540:RMA65571 RVW65540:RVW65571 SFS65540:SFS65571 SPO65540:SPO65571 SZK65540:SZK65571 TJG65540:TJG65571 TTC65540:TTC65571 UCY65540:UCY65571 UMU65540:UMU65571 UWQ65540:UWQ65571 VGM65540:VGM65571 VQI65540:VQI65571 WAE65540:WAE65571 WKA65540:WKA65571 WTW65540:WTW65571 G131076:G131107 HK131076:HK131107 RG131076:RG131107 ABC131076:ABC131107 AKY131076:AKY131107 AUU131076:AUU131107 BEQ131076:BEQ131107 BOM131076:BOM131107 BYI131076:BYI131107 CIE131076:CIE131107 CSA131076:CSA131107 DBW131076:DBW131107 DLS131076:DLS131107 DVO131076:DVO131107 EFK131076:EFK131107 EPG131076:EPG131107 EZC131076:EZC131107 FIY131076:FIY131107 FSU131076:FSU131107 GCQ131076:GCQ131107 GMM131076:GMM131107 GWI131076:GWI131107 HGE131076:HGE131107 HQA131076:HQA131107 HZW131076:HZW131107 IJS131076:IJS131107 ITO131076:ITO131107 JDK131076:JDK131107 JNG131076:JNG131107 JXC131076:JXC131107 KGY131076:KGY131107 KQU131076:KQU131107 LAQ131076:LAQ131107 LKM131076:LKM131107 LUI131076:LUI131107 MEE131076:MEE131107 MOA131076:MOA131107 MXW131076:MXW131107 NHS131076:NHS131107 NRO131076:NRO131107 OBK131076:OBK131107 OLG131076:OLG131107 OVC131076:OVC131107 PEY131076:PEY131107 POU131076:POU131107 PYQ131076:PYQ131107 QIM131076:QIM131107 QSI131076:QSI131107 RCE131076:RCE131107 RMA131076:RMA131107 RVW131076:RVW131107 SFS131076:SFS131107 SPO131076:SPO131107 SZK131076:SZK131107 TJG131076:TJG131107 TTC131076:TTC131107 UCY131076:UCY131107 UMU131076:UMU131107 UWQ131076:UWQ131107 VGM131076:VGM131107 VQI131076:VQI131107 WAE131076:WAE131107 WKA131076:WKA131107 WTW131076:WTW131107 G196612:G196643 HK196612:HK196643 RG196612:RG196643 ABC196612:ABC196643 AKY196612:AKY196643 AUU196612:AUU196643 BEQ196612:BEQ196643 BOM196612:BOM196643 BYI196612:BYI196643 CIE196612:CIE196643 CSA196612:CSA196643 DBW196612:DBW196643 DLS196612:DLS196643 DVO196612:DVO196643 EFK196612:EFK196643 EPG196612:EPG196643 EZC196612:EZC196643 FIY196612:FIY196643 FSU196612:FSU196643 GCQ196612:GCQ196643 GMM196612:GMM196643 GWI196612:GWI196643 HGE196612:HGE196643 HQA196612:HQA196643 HZW196612:HZW196643 IJS196612:IJS196643 ITO196612:ITO196643 JDK196612:JDK196643 JNG196612:JNG196643 JXC196612:JXC196643 KGY196612:KGY196643 KQU196612:KQU196643 LAQ196612:LAQ196643 LKM196612:LKM196643 LUI196612:LUI196643 MEE196612:MEE196643 MOA196612:MOA196643 MXW196612:MXW196643 NHS196612:NHS196643 NRO196612:NRO196643 OBK196612:OBK196643 OLG196612:OLG196643 OVC196612:OVC196643 PEY196612:PEY196643 POU196612:POU196643 PYQ196612:PYQ196643 QIM196612:QIM196643 QSI196612:QSI196643 RCE196612:RCE196643 RMA196612:RMA196643 RVW196612:RVW196643 SFS196612:SFS196643 SPO196612:SPO196643 SZK196612:SZK196643 TJG196612:TJG196643 TTC196612:TTC196643 UCY196612:UCY196643 UMU196612:UMU196643 UWQ196612:UWQ196643 VGM196612:VGM196643 VQI196612:VQI196643 WAE196612:WAE196643 WKA196612:WKA196643 WTW196612:WTW196643 G262148:G262179 HK262148:HK262179 RG262148:RG262179 ABC262148:ABC262179 AKY262148:AKY262179 AUU262148:AUU262179 BEQ262148:BEQ262179 BOM262148:BOM262179 BYI262148:BYI262179 CIE262148:CIE262179 CSA262148:CSA262179 DBW262148:DBW262179 DLS262148:DLS262179 DVO262148:DVO262179 EFK262148:EFK262179 EPG262148:EPG262179 EZC262148:EZC262179 FIY262148:FIY262179 FSU262148:FSU262179 GCQ262148:GCQ262179 GMM262148:GMM262179 GWI262148:GWI262179 HGE262148:HGE262179 HQA262148:HQA262179 HZW262148:HZW262179 IJS262148:IJS262179 ITO262148:ITO262179 JDK262148:JDK262179 JNG262148:JNG262179 JXC262148:JXC262179 KGY262148:KGY262179 KQU262148:KQU262179 LAQ262148:LAQ262179 LKM262148:LKM262179 LUI262148:LUI262179 MEE262148:MEE262179 MOA262148:MOA262179 MXW262148:MXW262179 NHS262148:NHS262179 NRO262148:NRO262179 OBK262148:OBK262179 OLG262148:OLG262179 OVC262148:OVC262179 PEY262148:PEY262179 POU262148:POU262179 PYQ262148:PYQ262179 QIM262148:QIM262179 QSI262148:QSI262179 RCE262148:RCE262179 RMA262148:RMA262179 RVW262148:RVW262179 SFS262148:SFS262179 SPO262148:SPO262179 SZK262148:SZK262179 TJG262148:TJG262179 TTC262148:TTC262179 UCY262148:UCY262179 UMU262148:UMU262179 UWQ262148:UWQ262179 VGM262148:VGM262179 VQI262148:VQI262179 WAE262148:WAE262179 WKA262148:WKA262179 WTW262148:WTW262179 G327684:G327715 HK327684:HK327715 RG327684:RG327715 ABC327684:ABC327715 AKY327684:AKY327715 AUU327684:AUU327715 BEQ327684:BEQ327715 BOM327684:BOM327715 BYI327684:BYI327715 CIE327684:CIE327715 CSA327684:CSA327715 DBW327684:DBW327715 DLS327684:DLS327715 DVO327684:DVO327715 EFK327684:EFK327715 EPG327684:EPG327715 EZC327684:EZC327715 FIY327684:FIY327715 FSU327684:FSU327715 GCQ327684:GCQ327715 GMM327684:GMM327715 GWI327684:GWI327715 HGE327684:HGE327715 HQA327684:HQA327715 HZW327684:HZW327715 IJS327684:IJS327715 ITO327684:ITO327715 JDK327684:JDK327715 JNG327684:JNG327715 JXC327684:JXC327715 KGY327684:KGY327715 KQU327684:KQU327715 LAQ327684:LAQ327715 LKM327684:LKM327715 LUI327684:LUI327715 MEE327684:MEE327715 MOA327684:MOA327715 MXW327684:MXW327715 NHS327684:NHS327715 NRO327684:NRO327715 OBK327684:OBK327715 OLG327684:OLG327715 OVC327684:OVC327715 PEY327684:PEY327715 POU327684:POU327715 PYQ327684:PYQ327715 QIM327684:QIM327715 QSI327684:QSI327715 RCE327684:RCE327715 RMA327684:RMA327715 RVW327684:RVW327715 SFS327684:SFS327715 SPO327684:SPO327715 SZK327684:SZK327715 TJG327684:TJG327715 TTC327684:TTC327715 UCY327684:UCY327715 UMU327684:UMU327715 UWQ327684:UWQ327715 VGM327684:VGM327715 VQI327684:VQI327715 WAE327684:WAE327715 WKA327684:WKA327715 WTW327684:WTW327715 G393220:G393251 HK393220:HK393251 RG393220:RG393251 ABC393220:ABC393251 AKY393220:AKY393251 AUU393220:AUU393251 BEQ393220:BEQ393251 BOM393220:BOM393251 BYI393220:BYI393251 CIE393220:CIE393251 CSA393220:CSA393251 DBW393220:DBW393251 DLS393220:DLS393251 DVO393220:DVO393251 EFK393220:EFK393251 EPG393220:EPG393251 EZC393220:EZC393251 FIY393220:FIY393251 FSU393220:FSU393251 GCQ393220:GCQ393251 GMM393220:GMM393251 GWI393220:GWI393251 HGE393220:HGE393251 HQA393220:HQA393251 HZW393220:HZW393251 IJS393220:IJS393251 ITO393220:ITO393251 JDK393220:JDK393251 JNG393220:JNG393251 JXC393220:JXC393251 KGY393220:KGY393251 KQU393220:KQU393251 LAQ393220:LAQ393251 LKM393220:LKM393251 LUI393220:LUI393251 MEE393220:MEE393251 MOA393220:MOA393251 MXW393220:MXW393251 NHS393220:NHS393251 NRO393220:NRO393251 OBK393220:OBK393251 OLG393220:OLG393251 OVC393220:OVC393251 PEY393220:PEY393251 POU393220:POU393251 PYQ393220:PYQ393251 QIM393220:QIM393251 QSI393220:QSI393251 RCE393220:RCE393251 RMA393220:RMA393251 RVW393220:RVW393251 SFS393220:SFS393251 SPO393220:SPO393251 SZK393220:SZK393251 TJG393220:TJG393251 TTC393220:TTC393251 UCY393220:UCY393251 UMU393220:UMU393251 UWQ393220:UWQ393251 VGM393220:VGM393251 VQI393220:VQI393251 WAE393220:WAE393251 WKA393220:WKA393251 WTW393220:WTW393251 G458756:G458787 HK458756:HK458787 RG458756:RG458787 ABC458756:ABC458787 AKY458756:AKY458787 AUU458756:AUU458787 BEQ458756:BEQ458787 BOM458756:BOM458787 BYI458756:BYI458787 CIE458756:CIE458787 CSA458756:CSA458787 DBW458756:DBW458787 DLS458756:DLS458787 DVO458756:DVO458787 EFK458756:EFK458787 EPG458756:EPG458787 EZC458756:EZC458787 FIY458756:FIY458787 FSU458756:FSU458787 GCQ458756:GCQ458787 GMM458756:GMM458787 GWI458756:GWI458787 HGE458756:HGE458787 HQA458756:HQA458787 HZW458756:HZW458787 IJS458756:IJS458787 ITO458756:ITO458787 JDK458756:JDK458787 JNG458756:JNG458787 JXC458756:JXC458787 KGY458756:KGY458787 KQU458756:KQU458787 LAQ458756:LAQ458787 LKM458756:LKM458787 LUI458756:LUI458787 MEE458756:MEE458787 MOA458756:MOA458787 MXW458756:MXW458787 NHS458756:NHS458787 NRO458756:NRO458787 OBK458756:OBK458787 OLG458756:OLG458787 OVC458756:OVC458787 PEY458756:PEY458787 POU458756:POU458787 PYQ458756:PYQ458787 QIM458756:QIM458787 QSI458756:QSI458787 RCE458756:RCE458787 RMA458756:RMA458787 RVW458756:RVW458787 SFS458756:SFS458787 SPO458756:SPO458787 SZK458756:SZK458787 TJG458756:TJG458787 TTC458756:TTC458787 UCY458756:UCY458787 UMU458756:UMU458787 UWQ458756:UWQ458787 VGM458756:VGM458787 VQI458756:VQI458787 WAE458756:WAE458787 WKA458756:WKA458787 WTW458756:WTW458787 G524292:G524323 HK524292:HK524323 RG524292:RG524323 ABC524292:ABC524323 AKY524292:AKY524323 AUU524292:AUU524323 BEQ524292:BEQ524323 BOM524292:BOM524323 BYI524292:BYI524323 CIE524292:CIE524323 CSA524292:CSA524323 DBW524292:DBW524323 DLS524292:DLS524323 DVO524292:DVO524323 EFK524292:EFK524323 EPG524292:EPG524323 EZC524292:EZC524323 FIY524292:FIY524323 FSU524292:FSU524323 GCQ524292:GCQ524323 GMM524292:GMM524323 GWI524292:GWI524323 HGE524292:HGE524323 HQA524292:HQA524323 HZW524292:HZW524323 IJS524292:IJS524323 ITO524292:ITO524323 JDK524292:JDK524323 JNG524292:JNG524323 JXC524292:JXC524323 KGY524292:KGY524323 KQU524292:KQU524323 LAQ524292:LAQ524323 LKM524292:LKM524323 LUI524292:LUI524323 MEE524292:MEE524323 MOA524292:MOA524323 MXW524292:MXW524323 NHS524292:NHS524323 NRO524292:NRO524323 OBK524292:OBK524323 OLG524292:OLG524323 OVC524292:OVC524323 PEY524292:PEY524323 POU524292:POU524323 PYQ524292:PYQ524323 QIM524292:QIM524323 QSI524292:QSI524323 RCE524292:RCE524323 RMA524292:RMA524323 RVW524292:RVW524323 SFS524292:SFS524323 SPO524292:SPO524323 SZK524292:SZK524323 TJG524292:TJG524323 TTC524292:TTC524323 UCY524292:UCY524323 UMU524292:UMU524323 UWQ524292:UWQ524323 VGM524292:VGM524323 VQI524292:VQI524323 WAE524292:WAE524323 WKA524292:WKA524323 WTW524292:WTW524323 G589828:G589859 HK589828:HK589859 RG589828:RG589859 ABC589828:ABC589859 AKY589828:AKY589859 AUU589828:AUU589859 BEQ589828:BEQ589859 BOM589828:BOM589859 BYI589828:BYI589859 CIE589828:CIE589859 CSA589828:CSA589859 DBW589828:DBW589859 DLS589828:DLS589859 DVO589828:DVO589859 EFK589828:EFK589859 EPG589828:EPG589859 EZC589828:EZC589859 FIY589828:FIY589859 FSU589828:FSU589859 GCQ589828:GCQ589859 GMM589828:GMM589859 GWI589828:GWI589859 HGE589828:HGE589859 HQA589828:HQA589859 HZW589828:HZW589859 IJS589828:IJS589859 ITO589828:ITO589859 JDK589828:JDK589859 JNG589828:JNG589859 JXC589828:JXC589859 KGY589828:KGY589859 KQU589828:KQU589859 LAQ589828:LAQ589859 LKM589828:LKM589859 LUI589828:LUI589859 MEE589828:MEE589859 MOA589828:MOA589859 MXW589828:MXW589859 NHS589828:NHS589859 NRO589828:NRO589859 OBK589828:OBK589859 OLG589828:OLG589859 OVC589828:OVC589859 PEY589828:PEY589859 POU589828:POU589859 PYQ589828:PYQ589859 QIM589828:QIM589859 QSI589828:QSI589859 RCE589828:RCE589859 RMA589828:RMA589859 RVW589828:RVW589859 SFS589828:SFS589859 SPO589828:SPO589859 SZK589828:SZK589859 TJG589828:TJG589859 TTC589828:TTC589859 UCY589828:UCY589859 UMU589828:UMU589859 UWQ589828:UWQ589859 VGM589828:VGM589859 VQI589828:VQI589859 WAE589828:WAE589859 WKA589828:WKA589859 WTW589828:WTW589859 G655364:G655395 HK655364:HK655395 RG655364:RG655395 ABC655364:ABC655395 AKY655364:AKY655395 AUU655364:AUU655395 BEQ655364:BEQ655395 BOM655364:BOM655395 BYI655364:BYI655395 CIE655364:CIE655395 CSA655364:CSA655395 DBW655364:DBW655395 DLS655364:DLS655395 DVO655364:DVO655395 EFK655364:EFK655395 EPG655364:EPG655395 EZC655364:EZC655395 FIY655364:FIY655395 FSU655364:FSU655395 GCQ655364:GCQ655395 GMM655364:GMM655395 GWI655364:GWI655395 HGE655364:HGE655395 HQA655364:HQA655395 HZW655364:HZW655395 IJS655364:IJS655395 ITO655364:ITO655395 JDK655364:JDK655395 JNG655364:JNG655395 JXC655364:JXC655395 KGY655364:KGY655395 KQU655364:KQU655395 LAQ655364:LAQ655395 LKM655364:LKM655395 LUI655364:LUI655395 MEE655364:MEE655395 MOA655364:MOA655395 MXW655364:MXW655395 NHS655364:NHS655395 NRO655364:NRO655395 OBK655364:OBK655395 OLG655364:OLG655395 OVC655364:OVC655395 PEY655364:PEY655395 POU655364:POU655395 PYQ655364:PYQ655395 QIM655364:QIM655395 QSI655364:QSI655395 RCE655364:RCE655395 RMA655364:RMA655395 RVW655364:RVW655395 SFS655364:SFS655395 SPO655364:SPO655395 SZK655364:SZK655395 TJG655364:TJG655395 TTC655364:TTC655395 UCY655364:UCY655395 UMU655364:UMU655395 UWQ655364:UWQ655395 VGM655364:VGM655395 VQI655364:VQI655395 WAE655364:WAE655395 WKA655364:WKA655395 WTW655364:WTW655395 G720900:G720931 HK720900:HK720931 RG720900:RG720931 ABC720900:ABC720931 AKY720900:AKY720931 AUU720900:AUU720931 BEQ720900:BEQ720931 BOM720900:BOM720931 BYI720900:BYI720931 CIE720900:CIE720931 CSA720900:CSA720931 DBW720900:DBW720931 DLS720900:DLS720931 DVO720900:DVO720931 EFK720900:EFK720931 EPG720900:EPG720931 EZC720900:EZC720931 FIY720900:FIY720931 FSU720900:FSU720931 GCQ720900:GCQ720931 GMM720900:GMM720931 GWI720900:GWI720931 HGE720900:HGE720931 HQA720900:HQA720931 HZW720900:HZW720931 IJS720900:IJS720931 ITO720900:ITO720931 JDK720900:JDK720931 JNG720900:JNG720931 JXC720900:JXC720931 KGY720900:KGY720931 KQU720900:KQU720931 LAQ720900:LAQ720931 LKM720900:LKM720931 LUI720900:LUI720931 MEE720900:MEE720931 MOA720900:MOA720931 MXW720900:MXW720931 NHS720900:NHS720931 NRO720900:NRO720931 OBK720900:OBK720931 OLG720900:OLG720931 OVC720900:OVC720931 PEY720900:PEY720931 POU720900:POU720931 PYQ720900:PYQ720931 QIM720900:QIM720931 QSI720900:QSI720931 RCE720900:RCE720931 RMA720900:RMA720931 RVW720900:RVW720931 SFS720900:SFS720931 SPO720900:SPO720931 SZK720900:SZK720931 TJG720900:TJG720931 TTC720900:TTC720931 UCY720900:UCY720931 UMU720900:UMU720931 UWQ720900:UWQ720931 VGM720900:VGM720931 VQI720900:VQI720931 WAE720900:WAE720931 WKA720900:WKA720931 WTW720900:WTW720931 G786436:G786467 HK786436:HK786467 RG786436:RG786467 ABC786436:ABC786467 AKY786436:AKY786467 AUU786436:AUU786467 BEQ786436:BEQ786467 BOM786436:BOM786467 BYI786436:BYI786467 CIE786436:CIE786467 CSA786436:CSA786467 DBW786436:DBW786467 DLS786436:DLS786467 DVO786436:DVO786467 EFK786436:EFK786467 EPG786436:EPG786467 EZC786436:EZC786467 FIY786436:FIY786467 FSU786436:FSU786467 GCQ786436:GCQ786467 GMM786436:GMM786467 GWI786436:GWI786467 HGE786436:HGE786467 HQA786436:HQA786467 HZW786436:HZW786467 IJS786436:IJS786467 ITO786436:ITO786467 JDK786436:JDK786467 JNG786436:JNG786467 JXC786436:JXC786467 KGY786436:KGY786467 KQU786436:KQU786467 LAQ786436:LAQ786467 LKM786436:LKM786467 LUI786436:LUI786467 MEE786436:MEE786467 MOA786436:MOA786467 MXW786436:MXW786467 NHS786436:NHS786467 NRO786436:NRO786467 OBK786436:OBK786467 OLG786436:OLG786467 OVC786436:OVC786467 PEY786436:PEY786467 POU786436:POU786467 PYQ786436:PYQ786467 QIM786436:QIM786467 QSI786436:QSI786467 RCE786436:RCE786467 RMA786436:RMA786467 RVW786436:RVW786467 SFS786436:SFS786467 SPO786436:SPO786467 SZK786436:SZK786467 TJG786436:TJG786467 TTC786436:TTC786467 UCY786436:UCY786467 UMU786436:UMU786467 UWQ786436:UWQ786467 VGM786436:VGM786467 VQI786436:VQI786467 WAE786436:WAE786467 WKA786436:WKA786467 WTW786436:WTW786467 G851972:G852003 HK851972:HK852003 RG851972:RG852003 ABC851972:ABC852003 AKY851972:AKY852003 AUU851972:AUU852003 BEQ851972:BEQ852003 BOM851972:BOM852003 BYI851972:BYI852003 CIE851972:CIE852003 CSA851972:CSA852003 DBW851972:DBW852003 DLS851972:DLS852003 DVO851972:DVO852003 EFK851972:EFK852003 EPG851972:EPG852003 EZC851972:EZC852003 FIY851972:FIY852003 FSU851972:FSU852003 GCQ851972:GCQ852003 GMM851972:GMM852003 GWI851972:GWI852003 HGE851972:HGE852003 HQA851972:HQA852003 HZW851972:HZW852003 IJS851972:IJS852003 ITO851972:ITO852003 JDK851972:JDK852003 JNG851972:JNG852003 JXC851972:JXC852003 KGY851972:KGY852003 KQU851972:KQU852003 LAQ851972:LAQ852003 LKM851972:LKM852003 LUI851972:LUI852003 MEE851972:MEE852003 MOA851972:MOA852003 MXW851972:MXW852003 NHS851972:NHS852003 NRO851972:NRO852003 OBK851972:OBK852003 OLG851972:OLG852003 OVC851972:OVC852003 PEY851972:PEY852003 POU851972:POU852003 PYQ851972:PYQ852003 QIM851972:QIM852003 QSI851972:QSI852003 RCE851972:RCE852003 RMA851972:RMA852003 RVW851972:RVW852003 SFS851972:SFS852003 SPO851972:SPO852003 SZK851972:SZK852003 TJG851972:TJG852003 TTC851972:TTC852003 UCY851972:UCY852003 UMU851972:UMU852003 UWQ851972:UWQ852003 VGM851972:VGM852003 VQI851972:VQI852003 WAE851972:WAE852003 WKA851972:WKA852003 WTW851972:WTW852003 G917508:G917539 HK917508:HK917539 RG917508:RG917539 ABC917508:ABC917539 AKY917508:AKY917539 AUU917508:AUU917539 BEQ917508:BEQ917539 BOM917508:BOM917539 BYI917508:BYI917539 CIE917508:CIE917539 CSA917508:CSA917539 DBW917508:DBW917539 DLS917508:DLS917539 DVO917508:DVO917539 EFK917508:EFK917539 EPG917508:EPG917539 EZC917508:EZC917539 FIY917508:FIY917539 FSU917508:FSU917539 GCQ917508:GCQ917539 GMM917508:GMM917539 GWI917508:GWI917539 HGE917508:HGE917539 HQA917508:HQA917539 HZW917508:HZW917539 IJS917508:IJS917539 ITO917508:ITO917539 JDK917508:JDK917539 JNG917508:JNG917539 JXC917508:JXC917539 KGY917508:KGY917539 KQU917508:KQU917539 LAQ917508:LAQ917539 LKM917508:LKM917539 LUI917508:LUI917539 MEE917508:MEE917539 MOA917508:MOA917539 MXW917508:MXW917539 NHS917508:NHS917539 NRO917508:NRO917539 OBK917508:OBK917539 OLG917508:OLG917539 OVC917508:OVC917539 PEY917508:PEY917539 POU917508:POU917539 PYQ917508:PYQ917539 QIM917508:QIM917539 QSI917508:QSI917539 RCE917508:RCE917539 RMA917508:RMA917539 RVW917508:RVW917539 SFS917508:SFS917539 SPO917508:SPO917539 SZK917508:SZK917539 TJG917508:TJG917539 TTC917508:TTC917539 UCY917508:UCY917539 UMU917508:UMU917539 UWQ917508:UWQ917539 VGM917508:VGM917539 VQI917508:VQI917539 WAE917508:WAE917539 WKA917508:WKA917539 WTW917508:WTW917539 G983044:G983075 HK983044:HK983075 RG983044:RG983075 ABC983044:ABC983075 AKY983044:AKY983075 AUU983044:AUU983075 BEQ983044:BEQ983075 BOM983044:BOM983075 BYI983044:BYI983075 CIE983044:CIE983075 CSA983044:CSA983075 DBW983044:DBW983075 DLS983044:DLS983075 DVO983044:DVO983075 EFK983044:EFK983075 EPG983044:EPG983075 EZC983044:EZC983075 FIY983044:FIY983075 FSU983044:FSU983075 GCQ983044:GCQ983075 GMM983044:GMM983075 GWI983044:GWI983075 HGE983044:HGE983075 HQA983044:HQA983075 HZW983044:HZW983075 IJS983044:IJS983075 ITO983044:ITO983075 JDK983044:JDK983075 JNG983044:JNG983075 JXC983044:JXC983075 KGY983044:KGY983075 KQU983044:KQU983075 LAQ983044:LAQ983075 LKM983044:LKM983075 LUI983044:LUI983075 MEE983044:MEE983075 MOA983044:MOA983075 MXW983044:MXW983075 NHS983044:NHS983075 NRO983044:NRO983075 OBK983044:OBK983075 OLG983044:OLG983075 OVC983044:OVC983075 PEY983044:PEY983075 POU983044:POU983075 PYQ983044:PYQ983075 QIM983044:QIM983075 QSI983044:QSI983075 RCE983044:RCE983075 RMA983044:RMA983075 RVW983044:RVW983075 SFS983044:SFS983075 SPO983044:SPO983075 SZK983044:SZK983075 TJG983044:TJG983075 TTC983044:TTC983075 UCY983044:UCY983075 UMU983044:UMU983075 UWQ983044:UWQ983075 VGM983044:VGM983075 VQI983044:VQI983075 WAE983044:WAE983075 WKA983044:WKA983075 WTW983044:WTW983075 WVC983044:WVC983075 HS4:HS35 RO4:RO35 ABK4:ABK35 ALG4:ALG35 AVC4:AVC35 BEY4:BEY35 BOU4:BOU35 BYQ4:BYQ35 CIM4:CIM35 CSI4:CSI35 DCE4:DCE35 DMA4:DMA35 DVW4:DVW35 EFS4:EFS35 EPO4:EPO35 EZK4:EZK35 FJG4:FJG35 FTC4:FTC35 GCY4:GCY35 GMU4:GMU35 GWQ4:GWQ35 HGM4:HGM35 HQI4:HQI35 IAE4:IAE35 IKA4:IKA35 ITW4:ITW35 JDS4:JDS35 JNO4:JNO35 JXK4:JXK35 KHG4:KHG35 KRC4:KRC35 LAY4:LAY35 LKU4:LKU35 LUQ4:LUQ35 MEM4:MEM35 MOI4:MOI35 MYE4:MYE35 NIA4:NIA35 NRW4:NRW35 OBS4:OBS35 OLO4:OLO35 OVK4:OVK35 PFG4:PFG35 PPC4:PPC35 PYY4:PYY35 QIU4:QIU35 QSQ4:QSQ35 RCM4:RCM35 RMI4:RMI35 RWE4:RWE35 SGA4:SGA35 SPW4:SPW35 SZS4:SZS35 TJO4:TJO35 TTK4:TTK35 UDG4:UDG35 UNC4:UNC35 UWY4:UWY35 VGU4:VGU35 VQQ4:VQQ35 WAM4:WAM35 WKI4:WKI35 WUE4:WUE35 I65540:I65571 HS65540:HS65571 RO65540:RO65571 ABK65540:ABK65571 ALG65540:ALG65571 AVC65540:AVC65571 BEY65540:BEY65571 BOU65540:BOU65571 BYQ65540:BYQ65571 CIM65540:CIM65571 CSI65540:CSI65571 DCE65540:DCE65571 DMA65540:DMA65571 DVW65540:DVW65571 EFS65540:EFS65571 EPO65540:EPO65571 EZK65540:EZK65571 FJG65540:FJG65571 FTC65540:FTC65571 GCY65540:GCY65571 GMU65540:GMU65571 GWQ65540:GWQ65571 HGM65540:HGM65571 HQI65540:HQI65571 IAE65540:IAE65571 IKA65540:IKA65571 ITW65540:ITW65571 JDS65540:JDS65571 JNO65540:JNO65571 JXK65540:JXK65571 KHG65540:KHG65571 KRC65540:KRC65571 LAY65540:LAY65571 LKU65540:LKU65571 LUQ65540:LUQ65571 MEM65540:MEM65571 MOI65540:MOI65571 MYE65540:MYE65571 NIA65540:NIA65571 NRW65540:NRW65571 OBS65540:OBS65571 OLO65540:OLO65571 OVK65540:OVK65571 PFG65540:PFG65571 PPC65540:PPC65571 PYY65540:PYY65571 QIU65540:QIU65571 QSQ65540:QSQ65571 RCM65540:RCM65571 RMI65540:RMI65571 RWE65540:RWE65571 SGA65540:SGA65571 SPW65540:SPW65571 SZS65540:SZS65571 TJO65540:TJO65571 TTK65540:TTK65571 UDG65540:UDG65571 UNC65540:UNC65571 UWY65540:UWY65571 VGU65540:VGU65571 VQQ65540:VQQ65571 WAM65540:WAM65571 WKI65540:WKI65571 WUE65540:WUE65571 I131076:I131107 HS131076:HS131107 RO131076:RO131107 ABK131076:ABK131107 ALG131076:ALG131107 AVC131076:AVC131107 BEY131076:BEY131107 BOU131076:BOU131107 BYQ131076:BYQ131107 CIM131076:CIM131107 CSI131076:CSI131107 DCE131076:DCE131107 DMA131076:DMA131107 DVW131076:DVW131107 EFS131076:EFS131107 EPO131076:EPO131107 EZK131076:EZK131107 FJG131076:FJG131107 FTC131076:FTC131107 GCY131076:GCY131107 GMU131076:GMU131107 GWQ131076:GWQ131107 HGM131076:HGM131107 HQI131076:HQI131107 IAE131076:IAE131107 IKA131076:IKA131107 ITW131076:ITW131107 JDS131076:JDS131107 JNO131076:JNO131107 JXK131076:JXK131107 KHG131076:KHG131107 KRC131076:KRC131107 LAY131076:LAY131107 LKU131076:LKU131107 LUQ131076:LUQ131107 MEM131076:MEM131107 MOI131076:MOI131107 MYE131076:MYE131107 NIA131076:NIA131107 NRW131076:NRW131107 OBS131076:OBS131107 OLO131076:OLO131107 OVK131076:OVK131107 PFG131076:PFG131107 PPC131076:PPC131107 PYY131076:PYY131107 QIU131076:QIU131107 QSQ131076:QSQ131107 RCM131076:RCM131107 RMI131076:RMI131107 RWE131076:RWE131107 SGA131076:SGA131107 SPW131076:SPW131107 SZS131076:SZS131107 TJO131076:TJO131107 TTK131076:TTK131107 UDG131076:UDG131107 UNC131076:UNC131107 UWY131076:UWY131107 VGU131076:VGU131107 VQQ131076:VQQ131107 WAM131076:WAM131107 WKI131076:WKI131107 WUE131076:WUE131107 I196612:I196643 HS196612:HS196643 RO196612:RO196643 ABK196612:ABK196643 ALG196612:ALG196643 AVC196612:AVC196643 BEY196612:BEY196643 BOU196612:BOU196643 BYQ196612:BYQ196643 CIM196612:CIM196643 CSI196612:CSI196643 DCE196612:DCE196643 DMA196612:DMA196643 DVW196612:DVW196643 EFS196612:EFS196643 EPO196612:EPO196643 EZK196612:EZK196643 FJG196612:FJG196643 FTC196612:FTC196643 GCY196612:GCY196643 GMU196612:GMU196643 GWQ196612:GWQ196643 HGM196612:HGM196643 HQI196612:HQI196643 IAE196612:IAE196643 IKA196612:IKA196643 ITW196612:ITW196643 JDS196612:JDS196643 JNO196612:JNO196643 JXK196612:JXK196643 KHG196612:KHG196643 KRC196612:KRC196643 LAY196612:LAY196643 LKU196612:LKU196643 LUQ196612:LUQ196643 MEM196612:MEM196643 MOI196612:MOI196643 MYE196612:MYE196643 NIA196612:NIA196643 NRW196612:NRW196643 OBS196612:OBS196643 OLO196612:OLO196643 OVK196612:OVK196643 PFG196612:PFG196643 PPC196612:PPC196643 PYY196612:PYY196643 QIU196612:QIU196643 QSQ196612:QSQ196643 RCM196612:RCM196643 RMI196612:RMI196643 RWE196612:RWE196643 SGA196612:SGA196643 SPW196612:SPW196643 SZS196612:SZS196643 TJO196612:TJO196643 TTK196612:TTK196643 UDG196612:UDG196643 UNC196612:UNC196643 UWY196612:UWY196643 VGU196612:VGU196643 VQQ196612:VQQ196643 WAM196612:WAM196643 WKI196612:WKI196643 WUE196612:WUE196643 I262148:I262179 HS262148:HS262179 RO262148:RO262179 ABK262148:ABK262179 ALG262148:ALG262179 AVC262148:AVC262179 BEY262148:BEY262179 BOU262148:BOU262179 BYQ262148:BYQ262179 CIM262148:CIM262179 CSI262148:CSI262179 DCE262148:DCE262179 DMA262148:DMA262179 DVW262148:DVW262179 EFS262148:EFS262179 EPO262148:EPO262179 EZK262148:EZK262179 FJG262148:FJG262179 FTC262148:FTC262179 GCY262148:GCY262179 GMU262148:GMU262179 GWQ262148:GWQ262179 HGM262148:HGM262179 HQI262148:HQI262179 IAE262148:IAE262179 IKA262148:IKA262179 ITW262148:ITW262179 JDS262148:JDS262179 JNO262148:JNO262179 JXK262148:JXK262179 KHG262148:KHG262179 KRC262148:KRC262179 LAY262148:LAY262179 LKU262148:LKU262179 LUQ262148:LUQ262179 MEM262148:MEM262179 MOI262148:MOI262179 MYE262148:MYE262179 NIA262148:NIA262179 NRW262148:NRW262179 OBS262148:OBS262179 OLO262148:OLO262179 OVK262148:OVK262179 PFG262148:PFG262179 PPC262148:PPC262179 PYY262148:PYY262179 QIU262148:QIU262179 QSQ262148:QSQ262179 RCM262148:RCM262179 RMI262148:RMI262179 RWE262148:RWE262179 SGA262148:SGA262179 SPW262148:SPW262179 SZS262148:SZS262179 TJO262148:TJO262179 TTK262148:TTK262179 UDG262148:UDG262179 UNC262148:UNC262179 UWY262148:UWY262179 VGU262148:VGU262179 VQQ262148:VQQ262179 WAM262148:WAM262179 WKI262148:WKI262179 WUE262148:WUE262179 I327684:I327715 HS327684:HS327715 RO327684:RO327715 ABK327684:ABK327715 ALG327684:ALG327715 AVC327684:AVC327715 BEY327684:BEY327715 BOU327684:BOU327715 BYQ327684:BYQ327715 CIM327684:CIM327715 CSI327684:CSI327715 DCE327684:DCE327715 DMA327684:DMA327715 DVW327684:DVW327715 EFS327684:EFS327715 EPO327684:EPO327715 EZK327684:EZK327715 FJG327684:FJG327715 FTC327684:FTC327715 GCY327684:GCY327715 GMU327684:GMU327715 GWQ327684:GWQ327715 HGM327684:HGM327715 HQI327684:HQI327715 IAE327684:IAE327715 IKA327684:IKA327715 ITW327684:ITW327715 JDS327684:JDS327715 JNO327684:JNO327715 JXK327684:JXK327715 KHG327684:KHG327715 KRC327684:KRC327715 LAY327684:LAY327715 LKU327684:LKU327715 LUQ327684:LUQ327715 MEM327684:MEM327715 MOI327684:MOI327715 MYE327684:MYE327715 NIA327684:NIA327715 NRW327684:NRW327715 OBS327684:OBS327715 OLO327684:OLO327715 OVK327684:OVK327715 PFG327684:PFG327715 PPC327684:PPC327715 PYY327684:PYY327715 QIU327684:QIU327715 QSQ327684:QSQ327715 RCM327684:RCM327715 RMI327684:RMI327715 RWE327684:RWE327715 SGA327684:SGA327715 SPW327684:SPW327715 SZS327684:SZS327715 TJO327684:TJO327715 TTK327684:TTK327715 UDG327684:UDG327715 UNC327684:UNC327715 UWY327684:UWY327715 VGU327684:VGU327715 VQQ327684:VQQ327715 WAM327684:WAM327715 WKI327684:WKI327715 WUE327684:WUE327715 I393220:I393251 HS393220:HS393251 RO393220:RO393251 ABK393220:ABK393251 ALG393220:ALG393251 AVC393220:AVC393251 BEY393220:BEY393251 BOU393220:BOU393251 BYQ393220:BYQ393251 CIM393220:CIM393251 CSI393220:CSI393251 DCE393220:DCE393251 DMA393220:DMA393251 DVW393220:DVW393251 EFS393220:EFS393251 EPO393220:EPO393251 EZK393220:EZK393251 FJG393220:FJG393251 FTC393220:FTC393251 GCY393220:GCY393251 GMU393220:GMU393251 GWQ393220:GWQ393251 HGM393220:HGM393251 HQI393220:HQI393251 IAE393220:IAE393251 IKA393220:IKA393251 ITW393220:ITW393251 JDS393220:JDS393251 JNO393220:JNO393251 JXK393220:JXK393251 KHG393220:KHG393251 KRC393220:KRC393251 LAY393220:LAY393251 LKU393220:LKU393251 LUQ393220:LUQ393251 MEM393220:MEM393251 MOI393220:MOI393251 MYE393220:MYE393251 NIA393220:NIA393251 NRW393220:NRW393251 OBS393220:OBS393251 OLO393220:OLO393251 OVK393220:OVK393251 PFG393220:PFG393251 PPC393220:PPC393251 PYY393220:PYY393251 QIU393220:QIU393251 QSQ393220:QSQ393251 RCM393220:RCM393251 RMI393220:RMI393251 RWE393220:RWE393251 SGA393220:SGA393251 SPW393220:SPW393251 SZS393220:SZS393251 TJO393220:TJO393251 TTK393220:TTK393251 UDG393220:UDG393251 UNC393220:UNC393251 UWY393220:UWY393251 VGU393220:VGU393251 VQQ393220:VQQ393251 WAM393220:WAM393251 WKI393220:WKI393251 WUE393220:WUE393251 I458756:I458787 HS458756:HS458787 RO458756:RO458787 ABK458756:ABK458787 ALG458756:ALG458787 AVC458756:AVC458787 BEY458756:BEY458787 BOU458756:BOU458787 BYQ458756:BYQ458787 CIM458756:CIM458787 CSI458756:CSI458787 DCE458756:DCE458787 DMA458756:DMA458787 DVW458756:DVW458787 EFS458756:EFS458787 EPO458756:EPO458787 EZK458756:EZK458787 FJG458756:FJG458787 FTC458756:FTC458787 GCY458756:GCY458787 GMU458756:GMU458787 GWQ458756:GWQ458787 HGM458756:HGM458787 HQI458756:HQI458787 IAE458756:IAE458787 IKA458756:IKA458787 ITW458756:ITW458787 JDS458756:JDS458787 JNO458756:JNO458787 JXK458756:JXK458787 KHG458756:KHG458787 KRC458756:KRC458787 LAY458756:LAY458787 LKU458756:LKU458787 LUQ458756:LUQ458787 MEM458756:MEM458787 MOI458756:MOI458787 MYE458756:MYE458787 NIA458756:NIA458787 NRW458756:NRW458787 OBS458756:OBS458787 OLO458756:OLO458787 OVK458756:OVK458787 PFG458756:PFG458787 PPC458756:PPC458787 PYY458756:PYY458787 QIU458756:QIU458787 QSQ458756:QSQ458787 RCM458756:RCM458787 RMI458756:RMI458787 RWE458756:RWE458787 SGA458756:SGA458787 SPW458756:SPW458787 SZS458756:SZS458787 TJO458756:TJO458787 TTK458756:TTK458787 UDG458756:UDG458787 UNC458756:UNC458787 UWY458756:UWY458787 VGU458756:VGU458787 VQQ458756:VQQ458787 WAM458756:WAM458787 WKI458756:WKI458787 WUE458756:WUE458787 I524292:I524323 HS524292:HS524323 RO524292:RO524323 ABK524292:ABK524323 ALG524292:ALG524323 AVC524292:AVC524323 BEY524292:BEY524323 BOU524292:BOU524323 BYQ524292:BYQ524323 CIM524292:CIM524323 CSI524292:CSI524323 DCE524292:DCE524323 DMA524292:DMA524323 DVW524292:DVW524323 EFS524292:EFS524323 EPO524292:EPO524323 EZK524292:EZK524323 FJG524292:FJG524323 FTC524292:FTC524323 GCY524292:GCY524323 GMU524292:GMU524323 GWQ524292:GWQ524323 HGM524292:HGM524323 HQI524292:HQI524323 IAE524292:IAE524323 IKA524292:IKA524323 ITW524292:ITW524323 JDS524292:JDS524323 JNO524292:JNO524323 JXK524292:JXK524323 KHG524292:KHG524323 KRC524292:KRC524323 LAY524292:LAY524323 LKU524292:LKU524323 LUQ524292:LUQ524323 MEM524292:MEM524323 MOI524292:MOI524323 MYE524292:MYE524323 NIA524292:NIA524323 NRW524292:NRW524323 OBS524292:OBS524323 OLO524292:OLO524323 OVK524292:OVK524323 PFG524292:PFG524323 PPC524292:PPC524323 PYY524292:PYY524323 QIU524292:QIU524323 QSQ524292:QSQ524323 RCM524292:RCM524323 RMI524292:RMI524323 RWE524292:RWE524323 SGA524292:SGA524323 SPW524292:SPW524323 SZS524292:SZS524323 TJO524292:TJO524323 TTK524292:TTK524323 UDG524292:UDG524323 UNC524292:UNC524323 UWY524292:UWY524323 VGU524292:VGU524323 VQQ524292:VQQ524323 WAM524292:WAM524323 WKI524292:WKI524323 WUE524292:WUE524323 I589828:I589859 HS589828:HS589859 RO589828:RO589859 ABK589828:ABK589859 ALG589828:ALG589859 AVC589828:AVC589859 BEY589828:BEY589859 BOU589828:BOU589859 BYQ589828:BYQ589859 CIM589828:CIM589859 CSI589828:CSI589859 DCE589828:DCE589859 DMA589828:DMA589859 DVW589828:DVW589859 EFS589828:EFS589859 EPO589828:EPO589859 EZK589828:EZK589859 FJG589828:FJG589859 FTC589828:FTC589859 GCY589828:GCY589859 GMU589828:GMU589859 GWQ589828:GWQ589859 HGM589828:HGM589859 HQI589828:HQI589859 IAE589828:IAE589859 IKA589828:IKA589859 ITW589828:ITW589859 JDS589828:JDS589859 JNO589828:JNO589859 JXK589828:JXK589859 KHG589828:KHG589859 KRC589828:KRC589859 LAY589828:LAY589859 LKU589828:LKU589859 LUQ589828:LUQ589859 MEM589828:MEM589859 MOI589828:MOI589859 MYE589828:MYE589859 NIA589828:NIA589859 NRW589828:NRW589859 OBS589828:OBS589859 OLO589828:OLO589859 OVK589828:OVK589859 PFG589828:PFG589859 PPC589828:PPC589859 PYY589828:PYY589859 QIU589828:QIU589859 QSQ589828:QSQ589859 RCM589828:RCM589859 RMI589828:RMI589859 RWE589828:RWE589859 SGA589828:SGA589859 SPW589828:SPW589859 SZS589828:SZS589859 TJO589828:TJO589859 TTK589828:TTK589859 UDG589828:UDG589859 UNC589828:UNC589859 UWY589828:UWY589859 VGU589828:VGU589859 VQQ589828:VQQ589859 WAM589828:WAM589859 WKI589828:WKI589859 WUE589828:WUE589859 I655364:I655395 HS655364:HS655395 RO655364:RO655395 ABK655364:ABK655395 ALG655364:ALG655395 AVC655364:AVC655395 BEY655364:BEY655395 BOU655364:BOU655395 BYQ655364:BYQ655395 CIM655364:CIM655395 CSI655364:CSI655395 DCE655364:DCE655395 DMA655364:DMA655395 DVW655364:DVW655395 EFS655364:EFS655395 EPO655364:EPO655395 EZK655364:EZK655395 FJG655364:FJG655395 FTC655364:FTC655395 GCY655364:GCY655395 GMU655364:GMU655395 GWQ655364:GWQ655395 HGM655364:HGM655395 HQI655364:HQI655395 IAE655364:IAE655395 IKA655364:IKA655395 ITW655364:ITW655395 JDS655364:JDS655395 JNO655364:JNO655395 JXK655364:JXK655395 KHG655364:KHG655395 KRC655364:KRC655395 LAY655364:LAY655395 LKU655364:LKU655395 LUQ655364:LUQ655395 MEM655364:MEM655395 MOI655364:MOI655395 MYE655364:MYE655395 NIA655364:NIA655395 NRW655364:NRW655395 OBS655364:OBS655395 OLO655364:OLO655395 OVK655364:OVK655395 PFG655364:PFG655395 PPC655364:PPC655395 PYY655364:PYY655395 QIU655364:QIU655395 QSQ655364:QSQ655395 RCM655364:RCM655395 RMI655364:RMI655395 RWE655364:RWE655395 SGA655364:SGA655395 SPW655364:SPW655395 SZS655364:SZS655395 TJO655364:TJO655395 TTK655364:TTK655395 UDG655364:UDG655395 UNC655364:UNC655395 UWY655364:UWY655395 VGU655364:VGU655395 VQQ655364:VQQ655395 WAM655364:WAM655395 WKI655364:WKI655395 WUE655364:WUE655395 I720900:I720931 HS720900:HS720931 RO720900:RO720931 ABK720900:ABK720931 ALG720900:ALG720931 AVC720900:AVC720931 BEY720900:BEY720931 BOU720900:BOU720931 BYQ720900:BYQ720931 CIM720900:CIM720931 CSI720900:CSI720931 DCE720900:DCE720931 DMA720900:DMA720931 DVW720900:DVW720931 EFS720900:EFS720931 EPO720900:EPO720931 EZK720900:EZK720931 FJG720900:FJG720931 FTC720900:FTC720931 GCY720900:GCY720931 GMU720900:GMU720931 GWQ720900:GWQ720931 HGM720900:HGM720931 HQI720900:HQI720931 IAE720900:IAE720931 IKA720900:IKA720931 ITW720900:ITW720931 JDS720900:JDS720931 JNO720900:JNO720931 JXK720900:JXK720931 KHG720900:KHG720931 KRC720900:KRC720931 LAY720900:LAY720931 LKU720900:LKU720931 LUQ720900:LUQ720931 MEM720900:MEM720931 MOI720900:MOI720931 MYE720900:MYE720931 NIA720900:NIA720931 NRW720900:NRW720931 OBS720900:OBS720931 OLO720900:OLO720931 OVK720900:OVK720931 PFG720900:PFG720931 PPC720900:PPC720931 PYY720900:PYY720931 QIU720900:QIU720931 QSQ720900:QSQ720931 RCM720900:RCM720931 RMI720900:RMI720931 RWE720900:RWE720931 SGA720900:SGA720931 SPW720900:SPW720931 SZS720900:SZS720931 TJO720900:TJO720931 TTK720900:TTK720931 UDG720900:UDG720931 UNC720900:UNC720931 UWY720900:UWY720931 VGU720900:VGU720931 VQQ720900:VQQ720931 WAM720900:WAM720931 WKI720900:WKI720931 WUE720900:WUE720931 I786436:I786467 HS786436:HS786467 RO786436:RO786467 ABK786436:ABK786467 ALG786436:ALG786467 AVC786436:AVC786467 BEY786436:BEY786467 BOU786436:BOU786467 BYQ786436:BYQ786467 CIM786436:CIM786467 CSI786436:CSI786467 DCE786436:DCE786467 DMA786436:DMA786467 DVW786436:DVW786467 EFS786436:EFS786467 EPO786436:EPO786467 EZK786436:EZK786467 FJG786436:FJG786467 FTC786436:FTC786467 GCY786436:GCY786467 GMU786436:GMU786467 GWQ786436:GWQ786467 HGM786436:HGM786467 HQI786436:HQI786467 IAE786436:IAE786467 IKA786436:IKA786467 ITW786436:ITW786467 JDS786436:JDS786467 JNO786436:JNO786467 JXK786436:JXK786467 KHG786436:KHG786467 KRC786436:KRC786467 LAY786436:LAY786467 LKU786436:LKU786467 LUQ786436:LUQ786467 MEM786436:MEM786467 MOI786436:MOI786467 MYE786436:MYE786467 NIA786436:NIA786467 NRW786436:NRW786467 OBS786436:OBS786467 OLO786436:OLO786467 OVK786436:OVK786467 PFG786436:PFG786467 PPC786436:PPC786467 PYY786436:PYY786467 QIU786436:QIU786467 QSQ786436:QSQ786467 RCM786436:RCM786467 RMI786436:RMI786467 RWE786436:RWE786467 SGA786436:SGA786467 SPW786436:SPW786467 SZS786436:SZS786467 TJO786436:TJO786467 TTK786436:TTK786467 UDG786436:UDG786467 UNC786436:UNC786467 UWY786436:UWY786467 VGU786436:VGU786467 VQQ786436:VQQ786467 WAM786436:WAM786467 WKI786436:WKI786467 WUE786436:WUE786467 I851972:I852003 HS851972:HS852003 RO851972:RO852003 ABK851972:ABK852003 ALG851972:ALG852003 AVC851972:AVC852003 BEY851972:BEY852003 BOU851972:BOU852003 BYQ851972:BYQ852003 CIM851972:CIM852003 CSI851972:CSI852003 DCE851972:DCE852003 DMA851972:DMA852003 DVW851972:DVW852003 EFS851972:EFS852003 EPO851972:EPO852003 EZK851972:EZK852003 FJG851972:FJG852003 FTC851972:FTC852003 GCY851972:GCY852003 GMU851972:GMU852003 GWQ851972:GWQ852003 HGM851972:HGM852003 HQI851972:HQI852003 IAE851972:IAE852003 IKA851972:IKA852003 ITW851972:ITW852003 JDS851972:JDS852003 JNO851972:JNO852003 JXK851972:JXK852003 KHG851972:KHG852003 KRC851972:KRC852003 LAY851972:LAY852003 LKU851972:LKU852003 LUQ851972:LUQ852003 MEM851972:MEM852003 MOI851972:MOI852003 MYE851972:MYE852003 NIA851972:NIA852003 NRW851972:NRW852003 OBS851972:OBS852003 OLO851972:OLO852003 OVK851972:OVK852003 PFG851972:PFG852003 PPC851972:PPC852003 PYY851972:PYY852003 QIU851972:QIU852003 QSQ851972:QSQ852003 RCM851972:RCM852003 RMI851972:RMI852003 RWE851972:RWE852003 SGA851972:SGA852003 SPW851972:SPW852003 SZS851972:SZS852003 TJO851972:TJO852003 TTK851972:TTK852003 UDG851972:UDG852003 UNC851972:UNC852003 UWY851972:UWY852003 VGU851972:VGU852003 VQQ851972:VQQ852003 WAM851972:WAM852003 WKI851972:WKI852003 WUE851972:WUE852003 I917508:I917539 HS917508:HS917539 RO917508:RO917539 ABK917508:ABK917539 ALG917508:ALG917539 AVC917508:AVC917539 BEY917508:BEY917539 BOU917508:BOU917539 BYQ917508:BYQ917539 CIM917508:CIM917539 CSI917508:CSI917539 DCE917508:DCE917539 DMA917508:DMA917539 DVW917508:DVW917539 EFS917508:EFS917539 EPO917508:EPO917539 EZK917508:EZK917539 FJG917508:FJG917539 FTC917508:FTC917539 GCY917508:GCY917539 GMU917508:GMU917539 GWQ917508:GWQ917539 HGM917508:HGM917539 HQI917508:HQI917539 IAE917508:IAE917539 IKA917508:IKA917539 ITW917508:ITW917539 JDS917508:JDS917539 JNO917508:JNO917539 JXK917508:JXK917539 KHG917508:KHG917539 KRC917508:KRC917539 LAY917508:LAY917539 LKU917508:LKU917539 LUQ917508:LUQ917539 MEM917508:MEM917539 MOI917508:MOI917539 MYE917508:MYE917539 NIA917508:NIA917539 NRW917508:NRW917539 OBS917508:OBS917539 OLO917508:OLO917539 OVK917508:OVK917539 PFG917508:PFG917539 PPC917508:PPC917539 PYY917508:PYY917539 QIU917508:QIU917539 QSQ917508:QSQ917539 RCM917508:RCM917539 RMI917508:RMI917539 RWE917508:RWE917539 SGA917508:SGA917539 SPW917508:SPW917539 SZS917508:SZS917539 TJO917508:TJO917539 TTK917508:TTK917539 UDG917508:UDG917539 UNC917508:UNC917539 UWY917508:UWY917539 VGU917508:VGU917539 VQQ917508:VQQ917539 WAM917508:WAM917539 WKI917508:WKI917539 WUE917508:WUE917539 I983044:I983075 HS983044:HS983075 RO983044:RO983075 ABK983044:ABK983075 ALG983044:ALG983075 AVC983044:AVC983075 BEY983044:BEY983075 BOU983044:BOU983075 BYQ983044:BYQ983075 CIM983044:CIM983075 CSI983044:CSI983075 DCE983044:DCE983075 DMA983044:DMA983075 DVW983044:DVW983075 EFS983044:EFS983075 EPO983044:EPO983075 EZK983044:EZK983075 FJG983044:FJG983075 FTC983044:FTC983075 GCY983044:GCY983075 GMU983044:GMU983075 GWQ983044:GWQ983075 HGM983044:HGM983075 HQI983044:HQI983075 IAE983044:IAE983075 IKA983044:IKA983075 ITW983044:ITW983075 JDS983044:JDS983075 JNO983044:JNO983075 JXK983044:JXK983075 KHG983044:KHG983075 KRC983044:KRC983075 LAY983044:LAY983075 LKU983044:LKU983075 LUQ983044:LUQ983075 MEM983044:MEM983075 MOI983044:MOI983075 MYE983044:MYE983075 NIA983044:NIA983075 NRW983044:NRW983075 OBS983044:OBS983075 OLO983044:OLO983075 OVK983044:OVK983075 PFG983044:PFG983075 PPC983044:PPC983075 PYY983044:PYY983075 QIU983044:QIU983075 QSQ983044:QSQ983075 RCM983044:RCM983075 RMI983044:RMI983075 RWE983044:RWE983075 SGA983044:SGA983075 SPW983044:SPW983075 SZS983044:SZS983075 TJO983044:TJO983075 TTK983044:TTK983075 UDG983044:UDG983075 UNC983044:UNC983075 UWY983044:UWY983075 VGU983044:VGU983075 VQQ983044:VQQ983075 WAM983044:WAM983075 WKI983044:WKI983075 WUE983044:WUE983075 IA4:IA35 RW4:RW35 ABS4:ABS35 ALO4:ALO35 AVK4:AVK35 BFG4:BFG35 BPC4:BPC35 BYY4:BYY35 CIU4:CIU35 CSQ4:CSQ35 DCM4:DCM35 DMI4:DMI35 DWE4:DWE35 EGA4:EGA35 EPW4:EPW35 EZS4:EZS35 FJO4:FJO35 FTK4:FTK35 GDG4:GDG35 GNC4:GNC35 GWY4:GWY35 HGU4:HGU35 HQQ4:HQQ35 IAM4:IAM35 IKI4:IKI35 IUE4:IUE35 JEA4:JEA35 JNW4:JNW35 JXS4:JXS35 KHO4:KHO35 KRK4:KRK35 LBG4:LBG35 LLC4:LLC35 LUY4:LUY35 MEU4:MEU35 MOQ4:MOQ35 MYM4:MYM35 NII4:NII35 NSE4:NSE35 OCA4:OCA35 OLW4:OLW35 OVS4:OVS35 PFO4:PFO35 PPK4:PPK35 PZG4:PZG35 QJC4:QJC35 QSY4:QSY35 RCU4:RCU35 RMQ4:RMQ35 RWM4:RWM35 SGI4:SGI35 SQE4:SQE35 TAA4:TAA35 TJW4:TJW35 TTS4:TTS35 UDO4:UDO35 UNK4:UNK35 UXG4:UXG35 VHC4:VHC35 VQY4:VQY35 WAU4:WAU35 WKQ4:WKQ35 WUM4:WUM35 IA65540:IA65571 RW65540:RW65571 ABS65540:ABS65571 ALO65540:ALO65571 AVK65540:AVK65571 BFG65540:BFG65571 BPC65540:BPC65571 BYY65540:BYY65571 CIU65540:CIU65571 CSQ65540:CSQ65571 DCM65540:DCM65571 DMI65540:DMI65571 DWE65540:DWE65571 EGA65540:EGA65571 EPW65540:EPW65571 EZS65540:EZS65571 FJO65540:FJO65571 FTK65540:FTK65571 GDG65540:GDG65571 GNC65540:GNC65571 GWY65540:GWY65571 HGU65540:HGU65571 HQQ65540:HQQ65571 IAM65540:IAM65571 IKI65540:IKI65571 IUE65540:IUE65571 JEA65540:JEA65571 JNW65540:JNW65571 JXS65540:JXS65571 KHO65540:KHO65571 KRK65540:KRK65571 LBG65540:LBG65571 LLC65540:LLC65571 LUY65540:LUY65571 MEU65540:MEU65571 MOQ65540:MOQ65571 MYM65540:MYM65571 NII65540:NII65571 NSE65540:NSE65571 OCA65540:OCA65571 OLW65540:OLW65571 OVS65540:OVS65571 PFO65540:PFO65571 PPK65540:PPK65571 PZG65540:PZG65571 QJC65540:QJC65571 QSY65540:QSY65571 RCU65540:RCU65571 RMQ65540:RMQ65571 RWM65540:RWM65571 SGI65540:SGI65571 SQE65540:SQE65571 TAA65540:TAA65571 TJW65540:TJW65571 TTS65540:TTS65571 UDO65540:UDO65571 UNK65540:UNK65571 UXG65540:UXG65571 VHC65540:VHC65571 VQY65540:VQY65571 WAU65540:WAU65571 WKQ65540:WKQ65571 WUM65540:WUM65571 IA131076:IA131107 RW131076:RW131107 ABS131076:ABS131107 ALO131076:ALO131107 AVK131076:AVK131107 BFG131076:BFG131107 BPC131076:BPC131107 BYY131076:BYY131107 CIU131076:CIU131107 CSQ131076:CSQ131107 DCM131076:DCM131107 DMI131076:DMI131107 DWE131076:DWE131107 EGA131076:EGA131107 EPW131076:EPW131107 EZS131076:EZS131107 FJO131076:FJO131107 FTK131076:FTK131107 GDG131076:GDG131107 GNC131076:GNC131107 GWY131076:GWY131107 HGU131076:HGU131107 HQQ131076:HQQ131107 IAM131076:IAM131107 IKI131076:IKI131107 IUE131076:IUE131107 JEA131076:JEA131107 JNW131076:JNW131107 JXS131076:JXS131107 KHO131076:KHO131107 KRK131076:KRK131107 LBG131076:LBG131107 LLC131076:LLC131107 LUY131076:LUY131107 MEU131076:MEU131107 MOQ131076:MOQ131107 MYM131076:MYM131107 NII131076:NII131107 NSE131076:NSE131107 OCA131076:OCA131107 OLW131076:OLW131107 OVS131076:OVS131107 PFO131076:PFO131107 PPK131076:PPK131107 PZG131076:PZG131107 QJC131076:QJC131107 QSY131076:QSY131107 RCU131076:RCU131107 RMQ131076:RMQ131107 RWM131076:RWM131107 SGI131076:SGI131107 SQE131076:SQE131107 TAA131076:TAA131107 TJW131076:TJW131107 TTS131076:TTS131107 UDO131076:UDO131107 UNK131076:UNK131107 UXG131076:UXG131107 VHC131076:VHC131107 VQY131076:VQY131107 WAU131076:WAU131107 WKQ131076:WKQ131107 WUM131076:WUM131107 IA196612:IA196643 RW196612:RW196643 ABS196612:ABS196643 ALO196612:ALO196643 AVK196612:AVK196643 BFG196612:BFG196643 BPC196612:BPC196643 BYY196612:BYY196643 CIU196612:CIU196643 CSQ196612:CSQ196643 DCM196612:DCM196643 DMI196612:DMI196643 DWE196612:DWE196643 EGA196612:EGA196643 EPW196612:EPW196643 EZS196612:EZS196643 FJO196612:FJO196643 FTK196612:FTK196643 GDG196612:GDG196643 GNC196612:GNC196643 GWY196612:GWY196643 HGU196612:HGU196643 HQQ196612:HQQ196643 IAM196612:IAM196643 IKI196612:IKI196643 IUE196612:IUE196643 JEA196612:JEA196643 JNW196612:JNW196643 JXS196612:JXS196643 KHO196612:KHO196643 KRK196612:KRK196643 LBG196612:LBG196643 LLC196612:LLC196643 LUY196612:LUY196643 MEU196612:MEU196643 MOQ196612:MOQ196643 MYM196612:MYM196643 NII196612:NII196643 NSE196612:NSE196643 OCA196612:OCA196643 OLW196612:OLW196643 OVS196612:OVS196643 PFO196612:PFO196643 PPK196612:PPK196643 PZG196612:PZG196643 QJC196612:QJC196643 QSY196612:QSY196643 RCU196612:RCU196643 RMQ196612:RMQ196643 RWM196612:RWM196643 SGI196612:SGI196643 SQE196612:SQE196643 TAA196612:TAA196643 TJW196612:TJW196643 TTS196612:TTS196643 UDO196612:UDO196643 UNK196612:UNK196643 UXG196612:UXG196643 VHC196612:VHC196643 VQY196612:VQY196643 WAU196612:WAU196643 WKQ196612:WKQ196643 WUM196612:WUM196643 IA262148:IA262179 RW262148:RW262179 ABS262148:ABS262179 ALO262148:ALO262179 AVK262148:AVK262179 BFG262148:BFG262179 BPC262148:BPC262179 BYY262148:BYY262179 CIU262148:CIU262179 CSQ262148:CSQ262179 DCM262148:DCM262179 DMI262148:DMI262179 DWE262148:DWE262179 EGA262148:EGA262179 EPW262148:EPW262179 EZS262148:EZS262179 FJO262148:FJO262179 FTK262148:FTK262179 GDG262148:GDG262179 GNC262148:GNC262179 GWY262148:GWY262179 HGU262148:HGU262179 HQQ262148:HQQ262179 IAM262148:IAM262179 IKI262148:IKI262179 IUE262148:IUE262179 JEA262148:JEA262179 JNW262148:JNW262179 JXS262148:JXS262179 KHO262148:KHO262179 KRK262148:KRK262179 LBG262148:LBG262179 LLC262148:LLC262179 LUY262148:LUY262179 MEU262148:MEU262179 MOQ262148:MOQ262179 MYM262148:MYM262179 NII262148:NII262179 NSE262148:NSE262179 OCA262148:OCA262179 OLW262148:OLW262179 OVS262148:OVS262179 PFO262148:PFO262179 PPK262148:PPK262179 PZG262148:PZG262179 QJC262148:QJC262179 QSY262148:QSY262179 RCU262148:RCU262179 RMQ262148:RMQ262179 RWM262148:RWM262179 SGI262148:SGI262179 SQE262148:SQE262179 TAA262148:TAA262179 TJW262148:TJW262179 TTS262148:TTS262179 UDO262148:UDO262179 UNK262148:UNK262179 UXG262148:UXG262179 VHC262148:VHC262179 VQY262148:VQY262179 WAU262148:WAU262179 WKQ262148:WKQ262179 WUM262148:WUM262179 IA327684:IA327715 RW327684:RW327715 ABS327684:ABS327715 ALO327684:ALO327715 AVK327684:AVK327715 BFG327684:BFG327715 BPC327684:BPC327715 BYY327684:BYY327715 CIU327684:CIU327715 CSQ327684:CSQ327715 DCM327684:DCM327715 DMI327684:DMI327715 DWE327684:DWE327715 EGA327684:EGA327715 EPW327684:EPW327715 EZS327684:EZS327715 FJO327684:FJO327715 FTK327684:FTK327715 GDG327684:GDG327715 GNC327684:GNC327715 GWY327684:GWY327715 HGU327684:HGU327715 HQQ327684:HQQ327715 IAM327684:IAM327715 IKI327684:IKI327715 IUE327684:IUE327715 JEA327684:JEA327715 JNW327684:JNW327715 JXS327684:JXS327715 KHO327684:KHO327715 KRK327684:KRK327715 LBG327684:LBG327715 LLC327684:LLC327715 LUY327684:LUY327715 MEU327684:MEU327715 MOQ327684:MOQ327715 MYM327684:MYM327715 NII327684:NII327715 NSE327684:NSE327715 OCA327684:OCA327715 OLW327684:OLW327715 OVS327684:OVS327715 PFO327684:PFO327715 PPK327684:PPK327715 PZG327684:PZG327715 QJC327684:QJC327715 QSY327684:QSY327715 RCU327684:RCU327715 RMQ327684:RMQ327715 RWM327684:RWM327715 SGI327684:SGI327715 SQE327684:SQE327715 TAA327684:TAA327715 TJW327684:TJW327715 TTS327684:TTS327715 UDO327684:UDO327715 UNK327684:UNK327715 UXG327684:UXG327715 VHC327684:VHC327715 VQY327684:VQY327715 WAU327684:WAU327715 WKQ327684:WKQ327715 WUM327684:WUM327715 IA393220:IA393251 RW393220:RW393251 ABS393220:ABS393251 ALO393220:ALO393251 AVK393220:AVK393251 BFG393220:BFG393251 BPC393220:BPC393251 BYY393220:BYY393251 CIU393220:CIU393251 CSQ393220:CSQ393251 DCM393220:DCM393251 DMI393220:DMI393251 DWE393220:DWE393251 EGA393220:EGA393251 EPW393220:EPW393251 EZS393220:EZS393251 FJO393220:FJO393251 FTK393220:FTK393251 GDG393220:GDG393251 GNC393220:GNC393251 GWY393220:GWY393251 HGU393220:HGU393251 HQQ393220:HQQ393251 IAM393220:IAM393251 IKI393220:IKI393251 IUE393220:IUE393251 JEA393220:JEA393251 JNW393220:JNW393251 JXS393220:JXS393251 KHO393220:KHO393251 KRK393220:KRK393251 LBG393220:LBG393251 LLC393220:LLC393251 LUY393220:LUY393251 MEU393220:MEU393251 MOQ393220:MOQ393251 MYM393220:MYM393251 NII393220:NII393251 NSE393220:NSE393251 OCA393220:OCA393251 OLW393220:OLW393251 OVS393220:OVS393251 PFO393220:PFO393251 PPK393220:PPK393251 PZG393220:PZG393251 QJC393220:QJC393251 QSY393220:QSY393251 RCU393220:RCU393251 RMQ393220:RMQ393251 RWM393220:RWM393251 SGI393220:SGI393251 SQE393220:SQE393251 TAA393220:TAA393251 TJW393220:TJW393251 TTS393220:TTS393251 UDO393220:UDO393251 UNK393220:UNK393251 UXG393220:UXG393251 VHC393220:VHC393251 VQY393220:VQY393251 WAU393220:WAU393251 WKQ393220:WKQ393251 WUM393220:WUM393251 IA458756:IA458787 RW458756:RW458787 ABS458756:ABS458787 ALO458756:ALO458787 AVK458756:AVK458787 BFG458756:BFG458787 BPC458756:BPC458787 BYY458756:BYY458787 CIU458756:CIU458787 CSQ458756:CSQ458787 DCM458756:DCM458787 DMI458756:DMI458787 DWE458756:DWE458787 EGA458756:EGA458787 EPW458756:EPW458787 EZS458756:EZS458787 FJO458756:FJO458787 FTK458756:FTK458787 GDG458756:GDG458787 GNC458756:GNC458787 GWY458756:GWY458787 HGU458756:HGU458787 HQQ458756:HQQ458787 IAM458756:IAM458787 IKI458756:IKI458787 IUE458756:IUE458787 JEA458756:JEA458787 JNW458756:JNW458787 JXS458756:JXS458787 KHO458756:KHO458787 KRK458756:KRK458787 LBG458756:LBG458787 LLC458756:LLC458787 LUY458756:LUY458787 MEU458756:MEU458787 MOQ458756:MOQ458787 MYM458756:MYM458787 NII458756:NII458787 NSE458756:NSE458787 OCA458756:OCA458787 OLW458756:OLW458787 OVS458756:OVS458787 PFO458756:PFO458787 PPK458756:PPK458787 PZG458756:PZG458787 QJC458756:QJC458787 QSY458756:QSY458787 RCU458756:RCU458787 RMQ458756:RMQ458787 RWM458756:RWM458787 SGI458756:SGI458787 SQE458756:SQE458787 TAA458756:TAA458787 TJW458756:TJW458787 TTS458756:TTS458787 UDO458756:UDO458787 UNK458756:UNK458787 UXG458756:UXG458787 VHC458756:VHC458787 VQY458756:VQY458787 WAU458756:WAU458787 WKQ458756:WKQ458787 WUM458756:WUM458787 IA524292:IA524323 RW524292:RW524323 ABS524292:ABS524323 ALO524292:ALO524323 AVK524292:AVK524323 BFG524292:BFG524323 BPC524292:BPC524323 BYY524292:BYY524323 CIU524292:CIU524323 CSQ524292:CSQ524323 DCM524292:DCM524323 DMI524292:DMI524323 DWE524292:DWE524323 EGA524292:EGA524323 EPW524292:EPW524323 EZS524292:EZS524323 FJO524292:FJO524323 FTK524292:FTK524323 GDG524292:GDG524323 GNC524292:GNC524323 GWY524292:GWY524323 HGU524292:HGU524323 HQQ524292:HQQ524323 IAM524292:IAM524323 IKI524292:IKI524323 IUE524292:IUE524323 JEA524292:JEA524323 JNW524292:JNW524323 JXS524292:JXS524323 KHO524292:KHO524323 KRK524292:KRK524323 LBG524292:LBG524323 LLC524292:LLC524323 LUY524292:LUY524323 MEU524292:MEU524323 MOQ524292:MOQ524323 MYM524292:MYM524323 NII524292:NII524323 NSE524292:NSE524323 OCA524292:OCA524323 OLW524292:OLW524323 OVS524292:OVS524323 PFO524292:PFO524323 PPK524292:PPK524323 PZG524292:PZG524323 QJC524292:QJC524323 QSY524292:QSY524323 RCU524292:RCU524323 RMQ524292:RMQ524323 RWM524292:RWM524323 SGI524292:SGI524323 SQE524292:SQE524323 TAA524292:TAA524323 TJW524292:TJW524323 TTS524292:TTS524323 UDO524292:UDO524323 UNK524292:UNK524323 UXG524292:UXG524323 VHC524292:VHC524323 VQY524292:VQY524323 WAU524292:WAU524323 WKQ524292:WKQ524323 WUM524292:WUM524323 IA589828:IA589859 RW589828:RW589859 ABS589828:ABS589859 ALO589828:ALO589859 AVK589828:AVK589859 BFG589828:BFG589859 BPC589828:BPC589859 BYY589828:BYY589859 CIU589828:CIU589859 CSQ589828:CSQ589859 DCM589828:DCM589859 DMI589828:DMI589859 DWE589828:DWE589859 EGA589828:EGA589859 EPW589828:EPW589859 EZS589828:EZS589859 FJO589828:FJO589859 FTK589828:FTK589859 GDG589828:GDG589859 GNC589828:GNC589859 GWY589828:GWY589859 HGU589828:HGU589859 HQQ589828:HQQ589859 IAM589828:IAM589859 IKI589828:IKI589859 IUE589828:IUE589859 JEA589828:JEA589859 JNW589828:JNW589859 JXS589828:JXS589859 KHO589828:KHO589859 KRK589828:KRK589859 LBG589828:LBG589859 LLC589828:LLC589859 LUY589828:LUY589859 MEU589828:MEU589859 MOQ589828:MOQ589859 MYM589828:MYM589859 NII589828:NII589859 NSE589828:NSE589859 OCA589828:OCA589859 OLW589828:OLW589859 OVS589828:OVS589859 PFO589828:PFO589859 PPK589828:PPK589859 PZG589828:PZG589859 QJC589828:QJC589859 QSY589828:QSY589859 RCU589828:RCU589859 RMQ589828:RMQ589859 RWM589828:RWM589859 SGI589828:SGI589859 SQE589828:SQE589859 TAA589828:TAA589859 TJW589828:TJW589859 TTS589828:TTS589859 UDO589828:UDO589859 UNK589828:UNK589859 UXG589828:UXG589859 VHC589828:VHC589859 VQY589828:VQY589859 WAU589828:WAU589859 WKQ589828:WKQ589859 WUM589828:WUM589859 IA655364:IA655395 RW655364:RW655395 ABS655364:ABS655395 ALO655364:ALO655395 AVK655364:AVK655395 BFG655364:BFG655395 BPC655364:BPC655395 BYY655364:BYY655395 CIU655364:CIU655395 CSQ655364:CSQ655395 DCM655364:DCM655395 DMI655364:DMI655395 DWE655364:DWE655395 EGA655364:EGA655395 EPW655364:EPW655395 EZS655364:EZS655395 FJO655364:FJO655395 FTK655364:FTK655395 GDG655364:GDG655395 GNC655364:GNC655395 GWY655364:GWY655395 HGU655364:HGU655395 HQQ655364:HQQ655395 IAM655364:IAM655395 IKI655364:IKI655395 IUE655364:IUE655395 JEA655364:JEA655395 JNW655364:JNW655395 JXS655364:JXS655395 KHO655364:KHO655395 KRK655364:KRK655395 LBG655364:LBG655395 LLC655364:LLC655395 LUY655364:LUY655395 MEU655364:MEU655395 MOQ655364:MOQ655395 MYM655364:MYM655395 NII655364:NII655395 NSE655364:NSE655395 OCA655364:OCA655395 OLW655364:OLW655395 OVS655364:OVS655395 PFO655364:PFO655395 PPK655364:PPK655395 PZG655364:PZG655395 QJC655364:QJC655395 QSY655364:QSY655395 RCU655364:RCU655395 RMQ655364:RMQ655395 RWM655364:RWM655395 SGI655364:SGI655395 SQE655364:SQE655395 TAA655364:TAA655395 TJW655364:TJW655395 TTS655364:TTS655395 UDO655364:UDO655395 UNK655364:UNK655395 UXG655364:UXG655395 VHC655364:VHC655395 VQY655364:VQY655395 WAU655364:WAU655395 WKQ655364:WKQ655395 WUM655364:WUM655395 IA720900:IA720931 RW720900:RW720931 ABS720900:ABS720931 ALO720900:ALO720931 AVK720900:AVK720931 BFG720900:BFG720931 BPC720900:BPC720931 BYY720900:BYY720931 CIU720900:CIU720931 CSQ720900:CSQ720931 DCM720900:DCM720931 DMI720900:DMI720931 DWE720900:DWE720931 EGA720900:EGA720931 EPW720900:EPW720931 EZS720900:EZS720931 FJO720900:FJO720931 FTK720900:FTK720931 GDG720900:GDG720931 GNC720900:GNC720931 GWY720900:GWY720931 HGU720900:HGU720931 HQQ720900:HQQ720931 IAM720900:IAM720931 IKI720900:IKI720931 IUE720900:IUE720931 JEA720900:JEA720931 JNW720900:JNW720931 JXS720900:JXS720931 KHO720900:KHO720931 KRK720900:KRK720931 LBG720900:LBG720931 LLC720900:LLC720931 LUY720900:LUY720931 MEU720900:MEU720931 MOQ720900:MOQ720931 MYM720900:MYM720931 NII720900:NII720931 NSE720900:NSE720931 OCA720900:OCA720931 OLW720900:OLW720931 OVS720900:OVS720931 PFO720900:PFO720931 PPK720900:PPK720931 PZG720900:PZG720931 QJC720900:QJC720931 QSY720900:QSY720931 RCU720900:RCU720931 RMQ720900:RMQ720931 RWM720900:RWM720931 SGI720900:SGI720931 SQE720900:SQE720931 TAA720900:TAA720931 TJW720900:TJW720931 TTS720900:TTS720931 UDO720900:UDO720931 UNK720900:UNK720931 UXG720900:UXG720931 VHC720900:VHC720931 VQY720900:VQY720931 WAU720900:WAU720931 WKQ720900:WKQ720931 WUM720900:WUM720931 IA786436:IA786467 RW786436:RW786467 ABS786436:ABS786467 ALO786436:ALO786467 AVK786436:AVK786467 BFG786436:BFG786467 BPC786436:BPC786467 BYY786436:BYY786467 CIU786436:CIU786467 CSQ786436:CSQ786467 DCM786436:DCM786467 DMI786436:DMI786467 DWE786436:DWE786467 EGA786436:EGA786467 EPW786436:EPW786467 EZS786436:EZS786467 FJO786436:FJO786467 FTK786436:FTK786467 GDG786436:GDG786467 GNC786436:GNC786467 GWY786436:GWY786467 HGU786436:HGU786467 HQQ786436:HQQ786467 IAM786436:IAM786467 IKI786436:IKI786467 IUE786436:IUE786467 JEA786436:JEA786467 JNW786436:JNW786467 JXS786436:JXS786467 KHO786436:KHO786467 KRK786436:KRK786467 LBG786436:LBG786467 LLC786436:LLC786467 LUY786436:LUY786467 MEU786436:MEU786467 MOQ786436:MOQ786467 MYM786436:MYM786467 NII786436:NII786467 NSE786436:NSE786467 OCA786436:OCA786467 OLW786436:OLW786467 OVS786436:OVS786467 PFO786436:PFO786467 PPK786436:PPK786467 PZG786436:PZG786467 QJC786436:QJC786467 QSY786436:QSY786467 RCU786436:RCU786467 RMQ786436:RMQ786467 RWM786436:RWM786467 SGI786436:SGI786467 SQE786436:SQE786467 TAA786436:TAA786467 TJW786436:TJW786467 TTS786436:TTS786467 UDO786436:UDO786467 UNK786436:UNK786467 UXG786436:UXG786467 VHC786436:VHC786467 VQY786436:VQY786467 WAU786436:WAU786467 WKQ786436:WKQ786467 WUM786436:WUM786467 IA851972:IA852003 RW851972:RW852003 ABS851972:ABS852003 ALO851972:ALO852003 AVK851972:AVK852003 BFG851972:BFG852003 BPC851972:BPC852003 BYY851972:BYY852003 CIU851972:CIU852003 CSQ851972:CSQ852003 DCM851972:DCM852003 DMI851972:DMI852003 DWE851972:DWE852003 EGA851972:EGA852003 EPW851972:EPW852003 EZS851972:EZS852003 FJO851972:FJO852003 FTK851972:FTK852003 GDG851972:GDG852003 GNC851972:GNC852003 GWY851972:GWY852003 HGU851972:HGU852003 HQQ851972:HQQ852003 IAM851972:IAM852003 IKI851972:IKI852003 IUE851972:IUE852003 JEA851972:JEA852003 JNW851972:JNW852003 JXS851972:JXS852003 KHO851972:KHO852003 KRK851972:KRK852003 LBG851972:LBG852003 LLC851972:LLC852003 LUY851972:LUY852003 MEU851972:MEU852003 MOQ851972:MOQ852003 MYM851972:MYM852003 NII851972:NII852003 NSE851972:NSE852003 OCA851972:OCA852003 OLW851972:OLW852003 OVS851972:OVS852003 PFO851972:PFO852003 PPK851972:PPK852003 PZG851972:PZG852003 QJC851972:QJC852003 QSY851972:QSY852003 RCU851972:RCU852003 RMQ851972:RMQ852003 RWM851972:RWM852003 SGI851972:SGI852003 SQE851972:SQE852003 TAA851972:TAA852003 TJW851972:TJW852003 TTS851972:TTS852003 UDO851972:UDO852003 UNK851972:UNK852003 UXG851972:UXG852003 VHC851972:VHC852003 VQY851972:VQY852003 WAU851972:WAU852003 WKQ851972:WKQ852003 WUM851972:WUM852003 IA917508:IA917539 RW917508:RW917539 ABS917508:ABS917539 ALO917508:ALO917539 AVK917508:AVK917539 BFG917508:BFG917539 BPC917508:BPC917539 BYY917508:BYY917539 CIU917508:CIU917539 CSQ917508:CSQ917539 DCM917508:DCM917539 DMI917508:DMI917539 DWE917508:DWE917539 EGA917508:EGA917539 EPW917508:EPW917539 EZS917508:EZS917539 FJO917508:FJO917539 FTK917508:FTK917539 GDG917508:GDG917539 GNC917508:GNC917539 GWY917508:GWY917539 HGU917508:HGU917539 HQQ917508:HQQ917539 IAM917508:IAM917539 IKI917508:IKI917539 IUE917508:IUE917539 JEA917508:JEA917539 JNW917508:JNW917539 JXS917508:JXS917539 KHO917508:KHO917539 KRK917508:KRK917539 LBG917508:LBG917539 LLC917508:LLC917539 LUY917508:LUY917539 MEU917508:MEU917539 MOQ917508:MOQ917539 MYM917508:MYM917539 NII917508:NII917539 NSE917508:NSE917539 OCA917508:OCA917539 OLW917508:OLW917539 OVS917508:OVS917539 PFO917508:PFO917539 PPK917508:PPK917539 PZG917508:PZG917539 QJC917508:QJC917539 QSY917508:QSY917539 RCU917508:RCU917539 RMQ917508:RMQ917539 RWM917508:RWM917539 SGI917508:SGI917539 SQE917508:SQE917539 TAA917508:TAA917539 TJW917508:TJW917539 TTS917508:TTS917539 UDO917508:UDO917539 UNK917508:UNK917539 UXG917508:UXG917539 VHC917508:VHC917539 VQY917508:VQY917539 WAU917508:WAU917539 WKQ917508:WKQ917539 WUM917508:WUM917539 IA983044:IA983075 RW983044:RW983075 ABS983044:ABS983075 ALO983044:ALO983075 AVK983044:AVK983075 BFG983044:BFG983075 BPC983044:BPC983075 BYY983044:BYY983075 CIU983044:CIU983075 CSQ983044:CSQ983075 DCM983044:DCM983075 DMI983044:DMI983075 DWE983044:DWE983075 EGA983044:EGA983075 EPW983044:EPW983075 EZS983044:EZS983075 FJO983044:FJO983075 FTK983044:FTK983075 GDG983044:GDG983075 GNC983044:GNC983075 GWY983044:GWY983075 HGU983044:HGU983075 HQQ983044:HQQ983075 IAM983044:IAM983075 IKI983044:IKI983075 IUE983044:IUE983075 JEA983044:JEA983075 JNW983044:JNW983075 JXS983044:JXS983075 KHO983044:KHO983075 KRK983044:KRK983075 LBG983044:LBG983075 LLC983044:LLC983075 LUY983044:LUY983075 MEU983044:MEU983075 MOQ983044:MOQ983075 MYM983044:MYM983075 NII983044:NII983075 NSE983044:NSE983075 OCA983044:OCA983075 OLW983044:OLW983075 OVS983044:OVS983075 PFO983044:PFO983075 PPK983044:PPK983075 PZG983044:PZG983075 QJC983044:QJC983075 QSY983044:QSY983075 RCU983044:RCU983075 RMQ983044:RMQ983075 RWM983044:RWM983075 SGI983044:SGI983075 SQE983044:SQE983075 TAA983044:TAA983075 TJW983044:TJW983075 TTS983044:TTS983075 UDO983044:UDO983075 UNK983044:UNK983075 UXG983044:UXG983075 VHC983044:VHC983075 VQY983044:VQY983075 WAU983044:WAU983075 WKQ983044:WKQ983075 WUM983044:WUM983075 II4:II35 SE4:SE35 ACA4:ACA35 ALW4:ALW35 AVS4:AVS35 BFO4:BFO35 BPK4:BPK35 BZG4:BZG35 CJC4:CJC35 CSY4:CSY35 DCU4:DCU35 DMQ4:DMQ35 DWM4:DWM35 EGI4:EGI35 EQE4:EQE35 FAA4:FAA35 FJW4:FJW35 FTS4:FTS35 GDO4:GDO35 GNK4:GNK35 GXG4:GXG35 HHC4:HHC35 HQY4:HQY35 IAU4:IAU35 IKQ4:IKQ35 IUM4:IUM35 JEI4:JEI35 JOE4:JOE35 JYA4:JYA35 KHW4:KHW35 KRS4:KRS35 LBO4:LBO35 LLK4:LLK35 LVG4:LVG35 MFC4:MFC35 MOY4:MOY35 MYU4:MYU35 NIQ4:NIQ35 NSM4:NSM35 OCI4:OCI35 OME4:OME35 OWA4:OWA35 PFW4:PFW35 PPS4:PPS35 PZO4:PZO35 QJK4:QJK35 QTG4:QTG35 RDC4:RDC35 RMY4:RMY35 RWU4:RWU35 SGQ4:SGQ35 SQM4:SQM35 TAI4:TAI35 TKE4:TKE35 TUA4:TUA35 UDW4:UDW35 UNS4:UNS35 UXO4:UXO35 VHK4:VHK35 VRG4:VRG35 WBC4:WBC35 WKY4:WKY35 WUU4:WUU35 II65540:II65571 SE65540:SE65571 ACA65540:ACA65571 ALW65540:ALW65571 AVS65540:AVS65571 BFO65540:BFO65571 BPK65540:BPK65571 BZG65540:BZG65571 CJC65540:CJC65571 CSY65540:CSY65571 DCU65540:DCU65571 DMQ65540:DMQ65571 DWM65540:DWM65571 EGI65540:EGI65571 EQE65540:EQE65571 FAA65540:FAA65571 FJW65540:FJW65571 FTS65540:FTS65571 GDO65540:GDO65571 GNK65540:GNK65571 GXG65540:GXG65571 HHC65540:HHC65571 HQY65540:HQY65571 IAU65540:IAU65571 IKQ65540:IKQ65571 IUM65540:IUM65571 JEI65540:JEI65571 JOE65540:JOE65571 JYA65540:JYA65571 KHW65540:KHW65571 KRS65540:KRS65571 LBO65540:LBO65571 LLK65540:LLK65571 LVG65540:LVG65571 MFC65540:MFC65571 MOY65540:MOY65571 MYU65540:MYU65571 NIQ65540:NIQ65571 NSM65540:NSM65571 OCI65540:OCI65571 OME65540:OME65571 OWA65540:OWA65571 PFW65540:PFW65571 PPS65540:PPS65571 PZO65540:PZO65571 QJK65540:QJK65571 QTG65540:QTG65571 RDC65540:RDC65571 RMY65540:RMY65571 RWU65540:RWU65571 SGQ65540:SGQ65571 SQM65540:SQM65571 TAI65540:TAI65571 TKE65540:TKE65571 TUA65540:TUA65571 UDW65540:UDW65571 UNS65540:UNS65571 UXO65540:UXO65571 VHK65540:VHK65571 VRG65540:VRG65571 WBC65540:WBC65571 WKY65540:WKY65571 WUU65540:WUU65571 II131076:II131107 SE131076:SE131107 ACA131076:ACA131107 ALW131076:ALW131107 AVS131076:AVS131107 BFO131076:BFO131107 BPK131076:BPK131107 BZG131076:BZG131107 CJC131076:CJC131107 CSY131076:CSY131107 DCU131076:DCU131107 DMQ131076:DMQ131107 DWM131076:DWM131107 EGI131076:EGI131107 EQE131076:EQE131107 FAA131076:FAA131107 FJW131076:FJW131107 FTS131076:FTS131107 GDO131076:GDO131107 GNK131076:GNK131107 GXG131076:GXG131107 HHC131076:HHC131107 HQY131076:HQY131107 IAU131076:IAU131107 IKQ131076:IKQ131107 IUM131076:IUM131107 JEI131076:JEI131107 JOE131076:JOE131107 JYA131076:JYA131107 KHW131076:KHW131107 KRS131076:KRS131107 LBO131076:LBO131107 LLK131076:LLK131107 LVG131076:LVG131107 MFC131076:MFC131107 MOY131076:MOY131107 MYU131076:MYU131107 NIQ131076:NIQ131107 NSM131076:NSM131107 OCI131076:OCI131107 OME131076:OME131107 OWA131076:OWA131107 PFW131076:PFW131107 PPS131076:PPS131107 PZO131076:PZO131107 QJK131076:QJK131107 QTG131076:QTG131107 RDC131076:RDC131107 RMY131076:RMY131107 RWU131076:RWU131107 SGQ131076:SGQ131107 SQM131076:SQM131107 TAI131076:TAI131107 TKE131076:TKE131107 TUA131076:TUA131107 UDW131076:UDW131107 UNS131076:UNS131107 UXO131076:UXO131107 VHK131076:VHK131107 VRG131076:VRG131107 WBC131076:WBC131107 WKY131076:WKY131107 WUU131076:WUU131107 II196612:II196643 SE196612:SE196643 ACA196612:ACA196643 ALW196612:ALW196643 AVS196612:AVS196643 BFO196612:BFO196643 BPK196612:BPK196643 BZG196612:BZG196643 CJC196612:CJC196643 CSY196612:CSY196643 DCU196612:DCU196643 DMQ196612:DMQ196643 DWM196612:DWM196643 EGI196612:EGI196643 EQE196612:EQE196643 FAA196612:FAA196643 FJW196612:FJW196643 FTS196612:FTS196643 GDO196612:GDO196643 GNK196612:GNK196643 GXG196612:GXG196643 HHC196612:HHC196643 HQY196612:HQY196643 IAU196612:IAU196643 IKQ196612:IKQ196643 IUM196612:IUM196643 JEI196612:JEI196643 JOE196612:JOE196643 JYA196612:JYA196643 KHW196612:KHW196643 KRS196612:KRS196643 LBO196612:LBO196643 LLK196612:LLK196643 LVG196612:LVG196643 MFC196612:MFC196643 MOY196612:MOY196643 MYU196612:MYU196643 NIQ196612:NIQ196643 NSM196612:NSM196643 OCI196612:OCI196643 OME196612:OME196643 OWA196612:OWA196643 PFW196612:PFW196643 PPS196612:PPS196643 PZO196612:PZO196643 QJK196612:QJK196643 QTG196612:QTG196643 RDC196612:RDC196643 RMY196612:RMY196643 RWU196612:RWU196643 SGQ196612:SGQ196643 SQM196612:SQM196643 TAI196612:TAI196643 TKE196612:TKE196643 TUA196612:TUA196643 UDW196612:UDW196643 UNS196612:UNS196643 UXO196612:UXO196643 VHK196612:VHK196643 VRG196612:VRG196643 WBC196612:WBC196643 WKY196612:WKY196643 WUU196612:WUU196643 II262148:II262179 SE262148:SE262179 ACA262148:ACA262179 ALW262148:ALW262179 AVS262148:AVS262179 BFO262148:BFO262179 BPK262148:BPK262179 BZG262148:BZG262179 CJC262148:CJC262179 CSY262148:CSY262179 DCU262148:DCU262179 DMQ262148:DMQ262179 DWM262148:DWM262179 EGI262148:EGI262179 EQE262148:EQE262179 FAA262148:FAA262179 FJW262148:FJW262179 FTS262148:FTS262179 GDO262148:GDO262179 GNK262148:GNK262179 GXG262148:GXG262179 HHC262148:HHC262179 HQY262148:HQY262179 IAU262148:IAU262179 IKQ262148:IKQ262179 IUM262148:IUM262179 JEI262148:JEI262179 JOE262148:JOE262179 JYA262148:JYA262179 KHW262148:KHW262179 KRS262148:KRS262179 LBO262148:LBO262179 LLK262148:LLK262179 LVG262148:LVG262179 MFC262148:MFC262179 MOY262148:MOY262179 MYU262148:MYU262179 NIQ262148:NIQ262179 NSM262148:NSM262179 OCI262148:OCI262179 OME262148:OME262179 OWA262148:OWA262179 PFW262148:PFW262179 PPS262148:PPS262179 PZO262148:PZO262179 QJK262148:QJK262179 QTG262148:QTG262179 RDC262148:RDC262179 RMY262148:RMY262179 RWU262148:RWU262179 SGQ262148:SGQ262179 SQM262148:SQM262179 TAI262148:TAI262179 TKE262148:TKE262179 TUA262148:TUA262179 UDW262148:UDW262179 UNS262148:UNS262179 UXO262148:UXO262179 VHK262148:VHK262179 VRG262148:VRG262179 WBC262148:WBC262179 WKY262148:WKY262179 WUU262148:WUU262179 II327684:II327715 SE327684:SE327715 ACA327684:ACA327715 ALW327684:ALW327715 AVS327684:AVS327715 BFO327684:BFO327715 BPK327684:BPK327715 BZG327684:BZG327715 CJC327684:CJC327715 CSY327684:CSY327715 DCU327684:DCU327715 DMQ327684:DMQ327715 DWM327684:DWM327715 EGI327684:EGI327715 EQE327684:EQE327715 FAA327684:FAA327715 FJW327684:FJW327715 FTS327684:FTS327715 GDO327684:GDO327715 GNK327684:GNK327715 GXG327684:GXG327715 HHC327684:HHC327715 HQY327684:HQY327715 IAU327684:IAU327715 IKQ327684:IKQ327715 IUM327684:IUM327715 JEI327684:JEI327715 JOE327684:JOE327715 JYA327684:JYA327715 KHW327684:KHW327715 KRS327684:KRS327715 LBO327684:LBO327715 LLK327684:LLK327715 LVG327684:LVG327715 MFC327684:MFC327715 MOY327684:MOY327715 MYU327684:MYU327715 NIQ327684:NIQ327715 NSM327684:NSM327715 OCI327684:OCI327715 OME327684:OME327715 OWA327684:OWA327715 PFW327684:PFW327715 PPS327684:PPS327715 PZO327684:PZO327715 QJK327684:QJK327715 QTG327684:QTG327715 RDC327684:RDC327715 RMY327684:RMY327715 RWU327684:RWU327715 SGQ327684:SGQ327715 SQM327684:SQM327715 TAI327684:TAI327715 TKE327684:TKE327715 TUA327684:TUA327715 UDW327684:UDW327715 UNS327684:UNS327715 UXO327684:UXO327715 VHK327684:VHK327715 VRG327684:VRG327715 WBC327684:WBC327715 WKY327684:WKY327715 WUU327684:WUU327715 II393220:II393251 SE393220:SE393251 ACA393220:ACA393251 ALW393220:ALW393251 AVS393220:AVS393251 BFO393220:BFO393251 BPK393220:BPK393251 BZG393220:BZG393251 CJC393220:CJC393251 CSY393220:CSY393251 DCU393220:DCU393251 DMQ393220:DMQ393251 DWM393220:DWM393251 EGI393220:EGI393251 EQE393220:EQE393251 FAA393220:FAA393251 FJW393220:FJW393251 FTS393220:FTS393251 GDO393220:GDO393251 GNK393220:GNK393251 GXG393220:GXG393251 HHC393220:HHC393251 HQY393220:HQY393251 IAU393220:IAU393251 IKQ393220:IKQ393251 IUM393220:IUM393251 JEI393220:JEI393251 JOE393220:JOE393251 JYA393220:JYA393251 KHW393220:KHW393251 KRS393220:KRS393251 LBO393220:LBO393251 LLK393220:LLK393251 LVG393220:LVG393251 MFC393220:MFC393251 MOY393220:MOY393251 MYU393220:MYU393251 NIQ393220:NIQ393251 NSM393220:NSM393251 OCI393220:OCI393251 OME393220:OME393251 OWA393220:OWA393251 PFW393220:PFW393251 PPS393220:PPS393251 PZO393220:PZO393251 QJK393220:QJK393251 QTG393220:QTG393251 RDC393220:RDC393251 RMY393220:RMY393251 RWU393220:RWU393251 SGQ393220:SGQ393251 SQM393220:SQM393251 TAI393220:TAI393251 TKE393220:TKE393251 TUA393220:TUA393251 UDW393220:UDW393251 UNS393220:UNS393251 UXO393220:UXO393251 VHK393220:VHK393251 VRG393220:VRG393251 WBC393220:WBC393251 WKY393220:WKY393251 WUU393220:WUU393251 II458756:II458787 SE458756:SE458787 ACA458756:ACA458787 ALW458756:ALW458787 AVS458756:AVS458787 BFO458756:BFO458787 BPK458756:BPK458787 BZG458756:BZG458787 CJC458756:CJC458787 CSY458756:CSY458787 DCU458756:DCU458787 DMQ458756:DMQ458787 DWM458756:DWM458787 EGI458756:EGI458787 EQE458756:EQE458787 FAA458756:FAA458787 FJW458756:FJW458787 FTS458756:FTS458787 GDO458756:GDO458787 GNK458756:GNK458787 GXG458756:GXG458787 HHC458756:HHC458787 HQY458756:HQY458787 IAU458756:IAU458787 IKQ458756:IKQ458787 IUM458756:IUM458787 JEI458756:JEI458787 JOE458756:JOE458787 JYA458756:JYA458787 KHW458756:KHW458787 KRS458756:KRS458787 LBO458756:LBO458787 LLK458756:LLK458787 LVG458756:LVG458787 MFC458756:MFC458787 MOY458756:MOY458787 MYU458756:MYU458787 NIQ458756:NIQ458787 NSM458756:NSM458787 OCI458756:OCI458787 OME458756:OME458787 OWA458756:OWA458787 PFW458756:PFW458787 PPS458756:PPS458787 PZO458756:PZO458787 QJK458756:QJK458787 QTG458756:QTG458787 RDC458756:RDC458787 RMY458756:RMY458787 RWU458756:RWU458787 SGQ458756:SGQ458787 SQM458756:SQM458787 TAI458756:TAI458787 TKE458756:TKE458787 TUA458756:TUA458787 UDW458756:UDW458787 UNS458756:UNS458787 UXO458756:UXO458787 VHK458756:VHK458787 VRG458756:VRG458787 WBC458756:WBC458787 WKY458756:WKY458787 WUU458756:WUU458787 II524292:II524323 SE524292:SE524323 ACA524292:ACA524323 ALW524292:ALW524323 AVS524292:AVS524323 BFO524292:BFO524323 BPK524292:BPK524323 BZG524292:BZG524323 CJC524292:CJC524323 CSY524292:CSY524323 DCU524292:DCU524323 DMQ524292:DMQ524323 DWM524292:DWM524323 EGI524292:EGI524323 EQE524292:EQE524323 FAA524292:FAA524323 FJW524292:FJW524323 FTS524292:FTS524323 GDO524292:GDO524323 GNK524292:GNK524323 GXG524292:GXG524323 HHC524292:HHC524323 HQY524292:HQY524323 IAU524292:IAU524323 IKQ524292:IKQ524323 IUM524292:IUM524323 JEI524292:JEI524323 JOE524292:JOE524323 JYA524292:JYA524323 KHW524292:KHW524323 KRS524292:KRS524323 LBO524292:LBO524323 LLK524292:LLK524323 LVG524292:LVG524323 MFC524292:MFC524323 MOY524292:MOY524323 MYU524292:MYU524323 NIQ524292:NIQ524323 NSM524292:NSM524323 OCI524292:OCI524323 OME524292:OME524323 OWA524292:OWA524323 PFW524292:PFW524323 PPS524292:PPS524323 PZO524292:PZO524323 QJK524292:QJK524323 QTG524292:QTG524323 RDC524292:RDC524323 RMY524292:RMY524323 RWU524292:RWU524323 SGQ524292:SGQ524323 SQM524292:SQM524323 TAI524292:TAI524323 TKE524292:TKE524323 TUA524292:TUA524323 UDW524292:UDW524323 UNS524292:UNS524323 UXO524292:UXO524323 VHK524292:VHK524323 VRG524292:VRG524323 WBC524292:WBC524323 WKY524292:WKY524323 WUU524292:WUU524323 II589828:II589859 SE589828:SE589859 ACA589828:ACA589859 ALW589828:ALW589859 AVS589828:AVS589859 BFO589828:BFO589859 BPK589828:BPK589859 BZG589828:BZG589859 CJC589828:CJC589859 CSY589828:CSY589859 DCU589828:DCU589859 DMQ589828:DMQ589859 DWM589828:DWM589859 EGI589828:EGI589859 EQE589828:EQE589859 FAA589828:FAA589859 FJW589828:FJW589859 FTS589828:FTS589859 GDO589828:GDO589859 GNK589828:GNK589859 GXG589828:GXG589859 HHC589828:HHC589859 HQY589828:HQY589859 IAU589828:IAU589859 IKQ589828:IKQ589859 IUM589828:IUM589859 JEI589828:JEI589859 JOE589828:JOE589859 JYA589828:JYA589859 KHW589828:KHW589859 KRS589828:KRS589859 LBO589828:LBO589859 LLK589828:LLK589859 LVG589828:LVG589859 MFC589828:MFC589859 MOY589828:MOY589859 MYU589828:MYU589859 NIQ589828:NIQ589859 NSM589828:NSM589859 OCI589828:OCI589859 OME589828:OME589859 OWA589828:OWA589859 PFW589828:PFW589859 PPS589828:PPS589859 PZO589828:PZO589859 QJK589828:QJK589859 QTG589828:QTG589859 RDC589828:RDC589859 RMY589828:RMY589859 RWU589828:RWU589859 SGQ589828:SGQ589859 SQM589828:SQM589859 TAI589828:TAI589859 TKE589828:TKE589859 TUA589828:TUA589859 UDW589828:UDW589859 UNS589828:UNS589859 UXO589828:UXO589859 VHK589828:VHK589859 VRG589828:VRG589859 WBC589828:WBC589859 WKY589828:WKY589859 WUU589828:WUU589859 II655364:II655395 SE655364:SE655395 ACA655364:ACA655395 ALW655364:ALW655395 AVS655364:AVS655395 BFO655364:BFO655395 BPK655364:BPK655395 BZG655364:BZG655395 CJC655364:CJC655395 CSY655364:CSY655395 DCU655364:DCU655395 DMQ655364:DMQ655395 DWM655364:DWM655395 EGI655364:EGI655395 EQE655364:EQE655395 FAA655364:FAA655395 FJW655364:FJW655395 FTS655364:FTS655395 GDO655364:GDO655395 GNK655364:GNK655395 GXG655364:GXG655395 HHC655364:HHC655395 HQY655364:HQY655395 IAU655364:IAU655395 IKQ655364:IKQ655395 IUM655364:IUM655395 JEI655364:JEI655395 JOE655364:JOE655395 JYA655364:JYA655395 KHW655364:KHW655395 KRS655364:KRS655395 LBO655364:LBO655395 LLK655364:LLK655395 LVG655364:LVG655395 MFC655364:MFC655395 MOY655364:MOY655395 MYU655364:MYU655395 NIQ655364:NIQ655395 NSM655364:NSM655395 OCI655364:OCI655395 OME655364:OME655395 OWA655364:OWA655395 PFW655364:PFW655395 PPS655364:PPS655395 PZO655364:PZO655395 QJK655364:QJK655395 QTG655364:QTG655395 RDC655364:RDC655395 RMY655364:RMY655395 RWU655364:RWU655395 SGQ655364:SGQ655395 SQM655364:SQM655395 TAI655364:TAI655395 TKE655364:TKE655395 TUA655364:TUA655395 UDW655364:UDW655395 UNS655364:UNS655395 UXO655364:UXO655395 VHK655364:VHK655395 VRG655364:VRG655395 WBC655364:WBC655395 WKY655364:WKY655395 WUU655364:WUU655395 II720900:II720931 SE720900:SE720931 ACA720900:ACA720931 ALW720900:ALW720931 AVS720900:AVS720931 BFO720900:BFO720931 BPK720900:BPK720931 BZG720900:BZG720931 CJC720900:CJC720931 CSY720900:CSY720931 DCU720900:DCU720931 DMQ720900:DMQ720931 DWM720900:DWM720931 EGI720900:EGI720931 EQE720900:EQE720931 FAA720900:FAA720931 FJW720900:FJW720931 FTS720900:FTS720931 GDO720900:GDO720931 GNK720900:GNK720931 GXG720900:GXG720931 HHC720900:HHC720931 HQY720900:HQY720931 IAU720900:IAU720931 IKQ720900:IKQ720931 IUM720900:IUM720931 JEI720900:JEI720931 JOE720900:JOE720931 JYA720900:JYA720931 KHW720900:KHW720931 KRS720900:KRS720931 LBO720900:LBO720931 LLK720900:LLK720931 LVG720900:LVG720931 MFC720900:MFC720931 MOY720900:MOY720931 MYU720900:MYU720931 NIQ720900:NIQ720931 NSM720900:NSM720931 OCI720900:OCI720931 OME720900:OME720931 OWA720900:OWA720931 PFW720900:PFW720931 PPS720900:PPS720931 PZO720900:PZO720931 QJK720900:QJK720931 QTG720900:QTG720931 RDC720900:RDC720931 RMY720900:RMY720931 RWU720900:RWU720931 SGQ720900:SGQ720931 SQM720900:SQM720931 TAI720900:TAI720931 TKE720900:TKE720931 TUA720900:TUA720931 UDW720900:UDW720931 UNS720900:UNS720931 UXO720900:UXO720931 VHK720900:VHK720931 VRG720900:VRG720931 WBC720900:WBC720931 WKY720900:WKY720931 WUU720900:WUU720931 II786436:II786467 SE786436:SE786467 ACA786436:ACA786467 ALW786436:ALW786467 AVS786436:AVS786467 BFO786436:BFO786467 BPK786436:BPK786467 BZG786436:BZG786467 CJC786436:CJC786467 CSY786436:CSY786467 DCU786436:DCU786467 DMQ786436:DMQ786467 DWM786436:DWM786467 EGI786436:EGI786467 EQE786436:EQE786467 FAA786436:FAA786467 FJW786436:FJW786467 FTS786436:FTS786467 GDO786436:GDO786467 GNK786436:GNK786467 GXG786436:GXG786467 HHC786436:HHC786467 HQY786436:HQY786467 IAU786436:IAU786467 IKQ786436:IKQ786467 IUM786436:IUM786467 JEI786436:JEI786467 JOE786436:JOE786467 JYA786436:JYA786467 KHW786436:KHW786467 KRS786436:KRS786467 LBO786436:LBO786467 LLK786436:LLK786467 LVG786436:LVG786467 MFC786436:MFC786467 MOY786436:MOY786467 MYU786436:MYU786467 NIQ786436:NIQ786467 NSM786436:NSM786467 OCI786436:OCI786467 OME786436:OME786467 OWA786436:OWA786467 PFW786436:PFW786467 PPS786436:PPS786467 PZO786436:PZO786467 QJK786436:QJK786467 QTG786436:QTG786467 RDC786436:RDC786467 RMY786436:RMY786467 RWU786436:RWU786467 SGQ786436:SGQ786467 SQM786436:SQM786467 TAI786436:TAI786467 TKE786436:TKE786467 TUA786436:TUA786467 UDW786436:UDW786467 UNS786436:UNS786467 UXO786436:UXO786467 VHK786436:VHK786467 VRG786436:VRG786467 WBC786436:WBC786467 WKY786436:WKY786467 WUU786436:WUU786467 II851972:II852003 SE851972:SE852003 ACA851972:ACA852003 ALW851972:ALW852003 AVS851972:AVS852003 BFO851972:BFO852003 BPK851972:BPK852003 BZG851972:BZG852003 CJC851972:CJC852003 CSY851972:CSY852003 DCU851972:DCU852003 DMQ851972:DMQ852003 DWM851972:DWM852003 EGI851972:EGI852003 EQE851972:EQE852003 FAA851972:FAA852003 FJW851972:FJW852003 FTS851972:FTS852003 GDO851972:GDO852003 GNK851972:GNK852003 GXG851972:GXG852003 HHC851972:HHC852003 HQY851972:HQY852003 IAU851972:IAU852003 IKQ851972:IKQ852003 IUM851972:IUM852003 JEI851972:JEI852003 JOE851972:JOE852003 JYA851972:JYA852003 KHW851972:KHW852003 KRS851972:KRS852003 LBO851972:LBO852003 LLK851972:LLK852003 LVG851972:LVG852003 MFC851972:MFC852003 MOY851972:MOY852003 MYU851972:MYU852003 NIQ851972:NIQ852003 NSM851972:NSM852003 OCI851972:OCI852003 OME851972:OME852003 OWA851972:OWA852003 PFW851972:PFW852003 PPS851972:PPS852003 PZO851972:PZO852003 QJK851972:QJK852003 QTG851972:QTG852003 RDC851972:RDC852003 RMY851972:RMY852003 RWU851972:RWU852003 SGQ851972:SGQ852003 SQM851972:SQM852003 TAI851972:TAI852003 TKE851972:TKE852003 TUA851972:TUA852003 UDW851972:UDW852003 UNS851972:UNS852003 UXO851972:UXO852003 VHK851972:VHK852003 VRG851972:VRG852003 WBC851972:WBC852003 WKY851972:WKY852003 WUU851972:WUU852003 II917508:II917539 SE917508:SE917539 ACA917508:ACA917539 ALW917508:ALW917539 AVS917508:AVS917539 BFO917508:BFO917539 BPK917508:BPK917539 BZG917508:BZG917539 CJC917508:CJC917539 CSY917508:CSY917539 DCU917508:DCU917539 DMQ917508:DMQ917539 DWM917508:DWM917539 EGI917508:EGI917539 EQE917508:EQE917539 FAA917508:FAA917539 FJW917508:FJW917539 FTS917508:FTS917539 GDO917508:GDO917539 GNK917508:GNK917539 GXG917508:GXG917539 HHC917508:HHC917539 HQY917508:HQY917539 IAU917508:IAU917539 IKQ917508:IKQ917539 IUM917508:IUM917539 JEI917508:JEI917539 JOE917508:JOE917539 JYA917508:JYA917539 KHW917508:KHW917539 KRS917508:KRS917539 LBO917508:LBO917539 LLK917508:LLK917539 LVG917508:LVG917539 MFC917508:MFC917539 MOY917508:MOY917539 MYU917508:MYU917539 NIQ917508:NIQ917539 NSM917508:NSM917539 OCI917508:OCI917539 OME917508:OME917539 OWA917508:OWA917539 PFW917508:PFW917539 PPS917508:PPS917539 PZO917508:PZO917539 QJK917508:QJK917539 QTG917508:QTG917539 RDC917508:RDC917539 RMY917508:RMY917539 RWU917508:RWU917539 SGQ917508:SGQ917539 SQM917508:SQM917539 TAI917508:TAI917539 TKE917508:TKE917539 TUA917508:TUA917539 UDW917508:UDW917539 UNS917508:UNS917539 UXO917508:UXO917539 VHK917508:VHK917539 VRG917508:VRG917539 WBC917508:WBC917539 WKY917508:WKY917539 WUU917508:WUU917539 II983044:II983075 SE983044:SE983075 ACA983044:ACA983075 ALW983044:ALW983075 AVS983044:AVS983075 BFO983044:BFO983075 BPK983044:BPK983075 BZG983044:BZG983075 CJC983044:CJC983075 CSY983044:CSY983075 DCU983044:DCU983075 DMQ983044:DMQ983075 DWM983044:DWM983075 EGI983044:EGI983075 EQE983044:EQE983075 FAA983044:FAA983075 FJW983044:FJW983075 FTS983044:FTS983075 GDO983044:GDO983075 GNK983044:GNK983075 GXG983044:GXG983075 HHC983044:HHC983075 HQY983044:HQY983075 IAU983044:IAU983075 IKQ983044:IKQ983075 IUM983044:IUM983075 JEI983044:JEI983075 JOE983044:JOE983075 JYA983044:JYA983075 KHW983044:KHW983075 KRS983044:KRS983075 LBO983044:LBO983075 LLK983044:LLK983075 LVG983044:LVG983075 MFC983044:MFC983075 MOY983044:MOY983075 MYU983044:MYU983075 NIQ983044:NIQ983075 NSM983044:NSM983075 OCI983044:OCI983075 OME983044:OME983075 OWA983044:OWA983075 PFW983044:PFW983075 PPS983044:PPS983075 PZO983044:PZO983075 QJK983044:QJK983075 QTG983044:QTG983075 RDC983044:RDC983075 RMY983044:RMY983075 RWU983044:RWU983075 SGQ983044:SGQ983075 SQM983044:SQM983075 TAI983044:TAI983075 TKE983044:TKE983075 TUA983044:TUA983075 UDW983044:UDW983075 UNS983044:UNS983075 UXO983044:UXO983075 VHK983044:VHK983075 VRG983044:VRG983075 WBC983044:WBC983075 WKY983044:WKY983075 WUU983044:WUU983075 IQ4:IQ35 SM4:SM35 ACI4:ACI35 AME4:AME35 AWA4:AWA35 BFW4:BFW35 BPS4:BPS35 BZO4:BZO35 CJK4:CJK35 CTG4:CTG35 DDC4:DDC35 DMY4:DMY35 DWU4:DWU35 EGQ4:EGQ35 EQM4:EQM35 FAI4:FAI35 FKE4:FKE35 FUA4:FUA35 GDW4:GDW35 GNS4:GNS35 GXO4:GXO35 HHK4:HHK35 HRG4:HRG35 IBC4:IBC35 IKY4:IKY35 IUU4:IUU35 JEQ4:JEQ35 JOM4:JOM35 JYI4:JYI35 KIE4:KIE35 KSA4:KSA35 LBW4:LBW35 LLS4:LLS35 LVO4:LVO35 MFK4:MFK35 MPG4:MPG35 MZC4:MZC35 NIY4:NIY35 NSU4:NSU35 OCQ4:OCQ35 OMM4:OMM35 OWI4:OWI35 PGE4:PGE35 PQA4:PQA35 PZW4:PZW35 QJS4:QJS35 QTO4:QTO35 RDK4:RDK35 RNG4:RNG35 RXC4:RXC35 SGY4:SGY35 SQU4:SQU35 TAQ4:TAQ35 TKM4:TKM35 TUI4:TUI35 UEE4:UEE35 UOA4:UOA35 UXW4:UXW35 VHS4:VHS35 VRO4:VRO35 WBK4:WBK35 WLG4:WLG35 WVC4:WVC35 IQ65540:IQ65571 SM65540:SM65571 ACI65540:ACI65571 AME65540:AME65571 AWA65540:AWA65571 BFW65540:BFW65571 BPS65540:BPS65571 BZO65540:BZO65571 CJK65540:CJK65571 CTG65540:CTG65571 DDC65540:DDC65571 DMY65540:DMY65571 DWU65540:DWU65571 EGQ65540:EGQ65571 EQM65540:EQM65571 FAI65540:FAI65571 FKE65540:FKE65571 FUA65540:FUA65571 GDW65540:GDW65571 GNS65540:GNS65571 GXO65540:GXO65571 HHK65540:HHK65571 HRG65540:HRG65571 IBC65540:IBC65571 IKY65540:IKY65571 IUU65540:IUU65571 JEQ65540:JEQ65571 JOM65540:JOM65571 JYI65540:JYI65571 KIE65540:KIE65571 KSA65540:KSA65571 LBW65540:LBW65571 LLS65540:LLS65571 LVO65540:LVO65571 MFK65540:MFK65571 MPG65540:MPG65571 MZC65540:MZC65571 NIY65540:NIY65571 NSU65540:NSU65571 OCQ65540:OCQ65571 OMM65540:OMM65571 OWI65540:OWI65571 PGE65540:PGE65571 PQA65540:PQA65571 PZW65540:PZW65571 QJS65540:QJS65571 QTO65540:QTO65571 RDK65540:RDK65571 RNG65540:RNG65571 RXC65540:RXC65571 SGY65540:SGY65571 SQU65540:SQU65571 TAQ65540:TAQ65571 TKM65540:TKM65571 TUI65540:TUI65571 UEE65540:UEE65571 UOA65540:UOA65571 UXW65540:UXW65571 VHS65540:VHS65571 VRO65540:VRO65571 WBK65540:WBK65571 WLG65540:WLG65571 WVC65540:WVC65571 IQ131076:IQ131107 SM131076:SM131107 ACI131076:ACI131107 AME131076:AME131107 AWA131076:AWA131107 BFW131076:BFW131107 BPS131076:BPS131107 BZO131076:BZO131107 CJK131076:CJK131107 CTG131076:CTG131107 DDC131076:DDC131107 DMY131076:DMY131107 DWU131076:DWU131107 EGQ131076:EGQ131107 EQM131076:EQM131107 FAI131076:FAI131107 FKE131076:FKE131107 FUA131076:FUA131107 GDW131076:GDW131107 GNS131076:GNS131107 GXO131076:GXO131107 HHK131076:HHK131107 HRG131076:HRG131107 IBC131076:IBC131107 IKY131076:IKY131107 IUU131076:IUU131107 JEQ131076:JEQ131107 JOM131076:JOM131107 JYI131076:JYI131107 KIE131076:KIE131107 KSA131076:KSA131107 LBW131076:LBW131107 LLS131076:LLS131107 LVO131076:LVO131107 MFK131076:MFK131107 MPG131076:MPG131107 MZC131076:MZC131107 NIY131076:NIY131107 NSU131076:NSU131107 OCQ131076:OCQ131107 OMM131076:OMM131107 OWI131076:OWI131107 PGE131076:PGE131107 PQA131076:PQA131107 PZW131076:PZW131107 QJS131076:QJS131107 QTO131076:QTO131107 RDK131076:RDK131107 RNG131076:RNG131107 RXC131076:RXC131107 SGY131076:SGY131107 SQU131076:SQU131107 TAQ131076:TAQ131107 TKM131076:TKM131107 TUI131076:TUI131107 UEE131076:UEE131107 UOA131076:UOA131107 UXW131076:UXW131107 VHS131076:VHS131107 VRO131076:VRO131107 WBK131076:WBK131107 WLG131076:WLG131107 WVC131076:WVC131107 IQ196612:IQ196643 SM196612:SM196643 ACI196612:ACI196643 AME196612:AME196643 AWA196612:AWA196643 BFW196612:BFW196643 BPS196612:BPS196643 BZO196612:BZO196643 CJK196612:CJK196643 CTG196612:CTG196643 DDC196612:DDC196643 DMY196612:DMY196643 DWU196612:DWU196643 EGQ196612:EGQ196643 EQM196612:EQM196643 FAI196612:FAI196643 FKE196612:FKE196643 FUA196612:FUA196643 GDW196612:GDW196643 GNS196612:GNS196643 GXO196612:GXO196643 HHK196612:HHK196643 HRG196612:HRG196643 IBC196612:IBC196643 IKY196612:IKY196643 IUU196612:IUU196643 JEQ196612:JEQ196643 JOM196612:JOM196643 JYI196612:JYI196643 KIE196612:KIE196643 KSA196612:KSA196643 LBW196612:LBW196643 LLS196612:LLS196643 LVO196612:LVO196643 MFK196612:MFK196643 MPG196612:MPG196643 MZC196612:MZC196643 NIY196612:NIY196643 NSU196612:NSU196643 OCQ196612:OCQ196643 OMM196612:OMM196643 OWI196612:OWI196643 PGE196612:PGE196643 PQA196612:PQA196643 PZW196612:PZW196643 QJS196612:QJS196643 QTO196612:QTO196643 RDK196612:RDK196643 RNG196612:RNG196643 RXC196612:RXC196643 SGY196612:SGY196643 SQU196612:SQU196643 TAQ196612:TAQ196643 TKM196612:TKM196643 TUI196612:TUI196643 UEE196612:UEE196643 UOA196612:UOA196643 UXW196612:UXW196643 VHS196612:VHS196643 VRO196612:VRO196643 WBK196612:WBK196643 WLG196612:WLG196643 WVC196612:WVC196643 IQ262148:IQ262179 SM262148:SM262179 ACI262148:ACI262179 AME262148:AME262179 AWA262148:AWA262179 BFW262148:BFW262179 BPS262148:BPS262179 BZO262148:BZO262179 CJK262148:CJK262179 CTG262148:CTG262179 DDC262148:DDC262179 DMY262148:DMY262179 DWU262148:DWU262179 EGQ262148:EGQ262179 EQM262148:EQM262179 FAI262148:FAI262179 FKE262148:FKE262179 FUA262148:FUA262179 GDW262148:GDW262179 GNS262148:GNS262179 GXO262148:GXO262179 HHK262148:HHK262179 HRG262148:HRG262179 IBC262148:IBC262179 IKY262148:IKY262179 IUU262148:IUU262179 JEQ262148:JEQ262179 JOM262148:JOM262179 JYI262148:JYI262179 KIE262148:KIE262179 KSA262148:KSA262179 LBW262148:LBW262179 LLS262148:LLS262179 LVO262148:LVO262179 MFK262148:MFK262179 MPG262148:MPG262179 MZC262148:MZC262179 NIY262148:NIY262179 NSU262148:NSU262179 OCQ262148:OCQ262179 OMM262148:OMM262179 OWI262148:OWI262179 PGE262148:PGE262179 PQA262148:PQA262179 PZW262148:PZW262179 QJS262148:QJS262179 QTO262148:QTO262179 RDK262148:RDK262179 RNG262148:RNG262179 RXC262148:RXC262179 SGY262148:SGY262179 SQU262148:SQU262179 TAQ262148:TAQ262179 TKM262148:TKM262179 TUI262148:TUI262179 UEE262148:UEE262179 UOA262148:UOA262179 UXW262148:UXW262179 VHS262148:VHS262179 VRO262148:VRO262179 WBK262148:WBK262179 WLG262148:WLG262179 WVC262148:WVC262179 IQ327684:IQ327715 SM327684:SM327715 ACI327684:ACI327715 AME327684:AME327715 AWA327684:AWA327715 BFW327684:BFW327715 BPS327684:BPS327715 BZO327684:BZO327715 CJK327684:CJK327715 CTG327684:CTG327715 DDC327684:DDC327715 DMY327684:DMY327715 DWU327684:DWU327715 EGQ327684:EGQ327715 EQM327684:EQM327715 FAI327684:FAI327715 FKE327684:FKE327715 FUA327684:FUA327715 GDW327684:GDW327715 GNS327684:GNS327715 GXO327684:GXO327715 HHK327684:HHK327715 HRG327684:HRG327715 IBC327684:IBC327715 IKY327684:IKY327715 IUU327684:IUU327715 JEQ327684:JEQ327715 JOM327684:JOM327715 JYI327684:JYI327715 KIE327684:KIE327715 KSA327684:KSA327715 LBW327684:LBW327715 LLS327684:LLS327715 LVO327684:LVO327715 MFK327684:MFK327715 MPG327684:MPG327715 MZC327684:MZC327715 NIY327684:NIY327715 NSU327684:NSU327715 OCQ327684:OCQ327715 OMM327684:OMM327715 OWI327684:OWI327715 PGE327684:PGE327715 PQA327684:PQA327715 PZW327684:PZW327715 QJS327684:QJS327715 QTO327684:QTO327715 RDK327684:RDK327715 RNG327684:RNG327715 RXC327684:RXC327715 SGY327684:SGY327715 SQU327684:SQU327715 TAQ327684:TAQ327715 TKM327684:TKM327715 TUI327684:TUI327715 UEE327684:UEE327715 UOA327684:UOA327715 UXW327684:UXW327715 VHS327684:VHS327715 VRO327684:VRO327715 WBK327684:WBK327715 WLG327684:WLG327715 WVC327684:WVC327715 IQ393220:IQ393251 SM393220:SM393251 ACI393220:ACI393251 AME393220:AME393251 AWA393220:AWA393251 BFW393220:BFW393251 BPS393220:BPS393251 BZO393220:BZO393251 CJK393220:CJK393251 CTG393220:CTG393251 DDC393220:DDC393251 DMY393220:DMY393251 DWU393220:DWU393251 EGQ393220:EGQ393251 EQM393220:EQM393251 FAI393220:FAI393251 FKE393220:FKE393251 FUA393220:FUA393251 GDW393220:GDW393251 GNS393220:GNS393251 GXO393220:GXO393251 HHK393220:HHK393251 HRG393220:HRG393251 IBC393220:IBC393251 IKY393220:IKY393251 IUU393220:IUU393251 JEQ393220:JEQ393251 JOM393220:JOM393251 JYI393220:JYI393251 KIE393220:KIE393251 KSA393220:KSA393251 LBW393220:LBW393251 LLS393220:LLS393251 LVO393220:LVO393251 MFK393220:MFK393251 MPG393220:MPG393251 MZC393220:MZC393251 NIY393220:NIY393251 NSU393220:NSU393251 OCQ393220:OCQ393251 OMM393220:OMM393251 OWI393220:OWI393251 PGE393220:PGE393251 PQA393220:PQA393251 PZW393220:PZW393251 QJS393220:QJS393251 QTO393220:QTO393251 RDK393220:RDK393251 RNG393220:RNG393251 RXC393220:RXC393251 SGY393220:SGY393251 SQU393220:SQU393251 TAQ393220:TAQ393251 TKM393220:TKM393251 TUI393220:TUI393251 UEE393220:UEE393251 UOA393220:UOA393251 UXW393220:UXW393251 VHS393220:VHS393251 VRO393220:VRO393251 WBK393220:WBK393251 WLG393220:WLG393251 WVC393220:WVC393251 IQ458756:IQ458787 SM458756:SM458787 ACI458756:ACI458787 AME458756:AME458787 AWA458756:AWA458787 BFW458756:BFW458787 BPS458756:BPS458787 BZO458756:BZO458787 CJK458756:CJK458787 CTG458756:CTG458787 DDC458756:DDC458787 DMY458756:DMY458787 DWU458756:DWU458787 EGQ458756:EGQ458787 EQM458756:EQM458787 FAI458756:FAI458787 FKE458756:FKE458787 FUA458756:FUA458787 GDW458756:GDW458787 GNS458756:GNS458787 GXO458756:GXO458787 HHK458756:HHK458787 HRG458756:HRG458787 IBC458756:IBC458787 IKY458756:IKY458787 IUU458756:IUU458787 JEQ458756:JEQ458787 JOM458756:JOM458787 JYI458756:JYI458787 KIE458756:KIE458787 KSA458756:KSA458787 LBW458756:LBW458787 LLS458756:LLS458787 LVO458756:LVO458787 MFK458756:MFK458787 MPG458756:MPG458787 MZC458756:MZC458787 NIY458756:NIY458787 NSU458756:NSU458787 OCQ458756:OCQ458787 OMM458756:OMM458787 OWI458756:OWI458787 PGE458756:PGE458787 PQA458756:PQA458787 PZW458756:PZW458787 QJS458756:QJS458787 QTO458756:QTO458787 RDK458756:RDK458787 RNG458756:RNG458787 RXC458756:RXC458787 SGY458756:SGY458787 SQU458756:SQU458787 TAQ458756:TAQ458787 TKM458756:TKM458787 TUI458756:TUI458787 UEE458756:UEE458787 UOA458756:UOA458787 UXW458756:UXW458787 VHS458756:VHS458787 VRO458756:VRO458787 WBK458756:WBK458787 WLG458756:WLG458787 WVC458756:WVC458787 IQ524292:IQ524323 SM524292:SM524323 ACI524292:ACI524323 AME524292:AME524323 AWA524292:AWA524323 BFW524292:BFW524323 BPS524292:BPS524323 BZO524292:BZO524323 CJK524292:CJK524323 CTG524292:CTG524323 DDC524292:DDC524323 DMY524292:DMY524323 DWU524292:DWU524323 EGQ524292:EGQ524323 EQM524292:EQM524323 FAI524292:FAI524323 FKE524292:FKE524323 FUA524292:FUA524323 GDW524292:GDW524323 GNS524292:GNS524323 GXO524292:GXO524323 HHK524292:HHK524323 HRG524292:HRG524323 IBC524292:IBC524323 IKY524292:IKY524323 IUU524292:IUU524323 JEQ524292:JEQ524323 JOM524292:JOM524323 JYI524292:JYI524323 KIE524292:KIE524323 KSA524292:KSA524323 LBW524292:LBW524323 LLS524292:LLS524323 LVO524292:LVO524323 MFK524292:MFK524323 MPG524292:MPG524323 MZC524292:MZC524323 NIY524292:NIY524323 NSU524292:NSU524323 OCQ524292:OCQ524323 OMM524292:OMM524323 OWI524292:OWI524323 PGE524292:PGE524323 PQA524292:PQA524323 PZW524292:PZW524323 QJS524292:QJS524323 QTO524292:QTO524323 RDK524292:RDK524323 RNG524292:RNG524323 RXC524292:RXC524323 SGY524292:SGY524323 SQU524292:SQU524323 TAQ524292:TAQ524323 TKM524292:TKM524323 TUI524292:TUI524323 UEE524292:UEE524323 UOA524292:UOA524323 UXW524292:UXW524323 VHS524292:VHS524323 VRO524292:VRO524323 WBK524292:WBK524323 WLG524292:WLG524323 WVC524292:WVC524323 IQ589828:IQ589859 SM589828:SM589859 ACI589828:ACI589859 AME589828:AME589859 AWA589828:AWA589859 BFW589828:BFW589859 BPS589828:BPS589859 BZO589828:BZO589859 CJK589828:CJK589859 CTG589828:CTG589859 DDC589828:DDC589859 DMY589828:DMY589859 DWU589828:DWU589859 EGQ589828:EGQ589859 EQM589828:EQM589859 FAI589828:FAI589859 FKE589828:FKE589859 FUA589828:FUA589859 GDW589828:GDW589859 GNS589828:GNS589859 GXO589828:GXO589859 HHK589828:HHK589859 HRG589828:HRG589859 IBC589828:IBC589859 IKY589828:IKY589859 IUU589828:IUU589859 JEQ589828:JEQ589859 JOM589828:JOM589859 JYI589828:JYI589859 KIE589828:KIE589859 KSA589828:KSA589859 LBW589828:LBW589859 LLS589828:LLS589859 LVO589828:LVO589859 MFK589828:MFK589859 MPG589828:MPG589859 MZC589828:MZC589859 NIY589828:NIY589859 NSU589828:NSU589859 OCQ589828:OCQ589859 OMM589828:OMM589859 OWI589828:OWI589859 PGE589828:PGE589859 PQA589828:PQA589859 PZW589828:PZW589859 QJS589828:QJS589859 QTO589828:QTO589859 RDK589828:RDK589859 RNG589828:RNG589859 RXC589828:RXC589859 SGY589828:SGY589859 SQU589828:SQU589859 TAQ589828:TAQ589859 TKM589828:TKM589859 TUI589828:TUI589859 UEE589828:UEE589859 UOA589828:UOA589859 UXW589828:UXW589859 VHS589828:VHS589859 VRO589828:VRO589859 WBK589828:WBK589859 WLG589828:WLG589859 WVC589828:WVC589859 IQ655364:IQ655395 SM655364:SM655395 ACI655364:ACI655395 AME655364:AME655395 AWA655364:AWA655395 BFW655364:BFW655395 BPS655364:BPS655395 BZO655364:BZO655395 CJK655364:CJK655395 CTG655364:CTG655395 DDC655364:DDC655395 DMY655364:DMY655395 DWU655364:DWU655395 EGQ655364:EGQ655395 EQM655364:EQM655395 FAI655364:FAI655395 FKE655364:FKE655395 FUA655364:FUA655395 GDW655364:GDW655395 GNS655364:GNS655395 GXO655364:GXO655395 HHK655364:HHK655395 HRG655364:HRG655395 IBC655364:IBC655395 IKY655364:IKY655395 IUU655364:IUU655395 JEQ655364:JEQ655395 JOM655364:JOM655395 JYI655364:JYI655395 KIE655364:KIE655395 KSA655364:KSA655395 LBW655364:LBW655395 LLS655364:LLS655395 LVO655364:LVO655395 MFK655364:MFK655395 MPG655364:MPG655395 MZC655364:MZC655395 NIY655364:NIY655395 NSU655364:NSU655395 OCQ655364:OCQ655395 OMM655364:OMM655395 OWI655364:OWI655395 PGE655364:PGE655395 PQA655364:PQA655395 PZW655364:PZW655395 QJS655364:QJS655395 QTO655364:QTO655395 RDK655364:RDK655395 RNG655364:RNG655395 RXC655364:RXC655395 SGY655364:SGY655395 SQU655364:SQU655395 TAQ655364:TAQ655395 TKM655364:TKM655395 TUI655364:TUI655395 UEE655364:UEE655395 UOA655364:UOA655395 UXW655364:UXW655395 VHS655364:VHS655395 VRO655364:VRO655395 WBK655364:WBK655395 WLG655364:WLG655395 WVC655364:WVC655395 IQ720900:IQ720931 SM720900:SM720931 ACI720900:ACI720931 AME720900:AME720931 AWA720900:AWA720931 BFW720900:BFW720931 BPS720900:BPS720931 BZO720900:BZO720931 CJK720900:CJK720931 CTG720900:CTG720931 DDC720900:DDC720931 DMY720900:DMY720931 DWU720900:DWU720931 EGQ720900:EGQ720931 EQM720900:EQM720931 FAI720900:FAI720931 FKE720900:FKE720931 FUA720900:FUA720931 GDW720900:GDW720931 GNS720900:GNS720931 GXO720900:GXO720931 HHK720900:HHK720931 HRG720900:HRG720931 IBC720900:IBC720931 IKY720900:IKY720931 IUU720900:IUU720931 JEQ720900:JEQ720931 JOM720900:JOM720931 JYI720900:JYI720931 KIE720900:KIE720931 KSA720900:KSA720931 LBW720900:LBW720931 LLS720900:LLS720931 LVO720900:LVO720931 MFK720900:MFK720931 MPG720900:MPG720931 MZC720900:MZC720931 NIY720900:NIY720931 NSU720900:NSU720931 OCQ720900:OCQ720931 OMM720900:OMM720931 OWI720900:OWI720931 PGE720900:PGE720931 PQA720900:PQA720931 PZW720900:PZW720931 QJS720900:QJS720931 QTO720900:QTO720931 RDK720900:RDK720931 RNG720900:RNG720931 RXC720900:RXC720931 SGY720900:SGY720931 SQU720900:SQU720931 TAQ720900:TAQ720931 TKM720900:TKM720931 TUI720900:TUI720931 UEE720900:UEE720931 UOA720900:UOA720931 UXW720900:UXW720931 VHS720900:VHS720931 VRO720900:VRO720931 WBK720900:WBK720931 WLG720900:WLG720931 WVC720900:WVC720931 IQ786436:IQ786467 SM786436:SM786467 ACI786436:ACI786467 AME786436:AME786467 AWA786436:AWA786467 BFW786436:BFW786467 BPS786436:BPS786467 BZO786436:BZO786467 CJK786436:CJK786467 CTG786436:CTG786467 DDC786436:DDC786467 DMY786436:DMY786467 DWU786436:DWU786467 EGQ786436:EGQ786467 EQM786436:EQM786467 FAI786436:FAI786467 FKE786436:FKE786467 FUA786436:FUA786467 GDW786436:GDW786467 GNS786436:GNS786467 GXO786436:GXO786467 HHK786436:HHK786467 HRG786436:HRG786467 IBC786436:IBC786467 IKY786436:IKY786467 IUU786436:IUU786467 JEQ786436:JEQ786467 JOM786436:JOM786467 JYI786436:JYI786467 KIE786436:KIE786467 KSA786436:KSA786467 LBW786436:LBW786467 LLS786436:LLS786467 LVO786436:LVO786467 MFK786436:MFK786467 MPG786436:MPG786467 MZC786436:MZC786467 NIY786436:NIY786467 NSU786436:NSU786467 OCQ786436:OCQ786467 OMM786436:OMM786467 OWI786436:OWI786467 PGE786436:PGE786467 PQA786436:PQA786467 PZW786436:PZW786467 QJS786436:QJS786467 QTO786436:QTO786467 RDK786436:RDK786467 RNG786436:RNG786467 RXC786436:RXC786467 SGY786436:SGY786467 SQU786436:SQU786467 TAQ786436:TAQ786467 TKM786436:TKM786467 TUI786436:TUI786467 UEE786436:UEE786467 UOA786436:UOA786467 UXW786436:UXW786467 VHS786436:VHS786467 VRO786436:VRO786467 WBK786436:WBK786467 WLG786436:WLG786467 WVC786436:WVC786467 IQ851972:IQ852003 SM851972:SM852003 ACI851972:ACI852003 AME851972:AME852003 AWA851972:AWA852003 BFW851972:BFW852003 BPS851972:BPS852003 BZO851972:BZO852003 CJK851972:CJK852003 CTG851972:CTG852003 DDC851972:DDC852003 DMY851972:DMY852003 DWU851972:DWU852003 EGQ851972:EGQ852003 EQM851972:EQM852003 FAI851972:FAI852003 FKE851972:FKE852003 FUA851972:FUA852003 GDW851972:GDW852003 GNS851972:GNS852003 GXO851972:GXO852003 HHK851972:HHK852003 HRG851972:HRG852003 IBC851972:IBC852003 IKY851972:IKY852003 IUU851972:IUU852003 JEQ851972:JEQ852003 JOM851972:JOM852003 JYI851972:JYI852003 KIE851972:KIE852003 KSA851972:KSA852003 LBW851972:LBW852003 LLS851972:LLS852003 LVO851972:LVO852003 MFK851972:MFK852003 MPG851972:MPG852003 MZC851972:MZC852003 NIY851972:NIY852003 NSU851972:NSU852003 OCQ851972:OCQ852003 OMM851972:OMM852003 OWI851972:OWI852003 PGE851972:PGE852003 PQA851972:PQA852003 PZW851972:PZW852003 QJS851972:QJS852003 QTO851972:QTO852003 RDK851972:RDK852003 RNG851972:RNG852003 RXC851972:RXC852003 SGY851972:SGY852003 SQU851972:SQU852003 TAQ851972:TAQ852003 TKM851972:TKM852003 TUI851972:TUI852003 UEE851972:UEE852003 UOA851972:UOA852003 UXW851972:UXW852003 VHS851972:VHS852003 VRO851972:VRO852003 WBK851972:WBK852003 WLG851972:WLG852003 WVC851972:WVC852003 IQ917508:IQ917539 SM917508:SM917539 ACI917508:ACI917539 AME917508:AME917539 AWA917508:AWA917539 BFW917508:BFW917539 BPS917508:BPS917539 BZO917508:BZO917539 CJK917508:CJK917539 CTG917508:CTG917539 DDC917508:DDC917539 DMY917508:DMY917539 DWU917508:DWU917539 EGQ917508:EGQ917539 EQM917508:EQM917539 FAI917508:FAI917539 FKE917508:FKE917539 FUA917508:FUA917539 GDW917508:GDW917539 GNS917508:GNS917539 GXO917508:GXO917539 HHK917508:HHK917539 HRG917508:HRG917539 IBC917508:IBC917539 IKY917508:IKY917539 IUU917508:IUU917539 JEQ917508:JEQ917539 JOM917508:JOM917539 JYI917508:JYI917539 KIE917508:KIE917539 KSA917508:KSA917539 LBW917508:LBW917539 LLS917508:LLS917539 LVO917508:LVO917539 MFK917508:MFK917539 MPG917508:MPG917539 MZC917508:MZC917539 NIY917508:NIY917539 NSU917508:NSU917539 OCQ917508:OCQ917539 OMM917508:OMM917539 OWI917508:OWI917539 PGE917508:PGE917539 PQA917508:PQA917539 PZW917508:PZW917539 QJS917508:QJS917539 QTO917508:QTO917539 RDK917508:RDK917539 RNG917508:RNG917539 RXC917508:RXC917539 SGY917508:SGY917539 SQU917508:SQU917539 TAQ917508:TAQ917539 TKM917508:TKM917539 TUI917508:TUI917539 UEE917508:UEE917539 UOA917508:UOA917539 UXW917508:UXW917539 VHS917508:VHS917539 VRO917508:VRO917539 WBK917508:WBK917539 WLG917508:WLG917539 WVC917508:WVC917539 IQ983044:IQ983075 SM983044:SM983075 ACI983044:ACI983075 AME983044:AME983075 AWA983044:AWA983075 BFW983044:BFW983075 BPS983044:BPS983075 BZO983044:BZO983075 CJK983044:CJK983075 CTG983044:CTG983075 DDC983044:DDC983075 DMY983044:DMY983075 DWU983044:DWU983075 EGQ983044:EGQ983075 EQM983044:EQM983075 FAI983044:FAI983075 FKE983044:FKE983075 FUA983044:FUA983075 GDW983044:GDW983075 GNS983044:GNS983075 GXO983044:GXO983075 HHK983044:HHK983075 HRG983044:HRG983075 IBC983044:IBC983075 IKY983044:IKY983075 IUU983044:IUU983075 JEQ983044:JEQ983075 JOM983044:JOM983075 JYI983044:JYI983075 KIE983044:KIE983075 KSA983044:KSA983075 LBW983044:LBW983075 LLS983044:LLS983075 LVO983044:LVO983075 MFK983044:MFK983075 MPG983044:MPG983075 MZC983044:MZC983075 NIY983044:NIY983075 NSU983044:NSU983075 OCQ983044:OCQ983075 OMM983044:OMM983075 OWI983044:OWI983075 PGE983044:PGE983075 PQA983044:PQA983075 PZW983044:PZW983075 QJS983044:QJS983075 QTO983044:QTO983075 RDK983044:RDK983075 RNG983044:RNG983075 RXC983044:RXC983075 SGY983044:SGY983075 SQU983044:SQU983075 TAQ983044:TAQ983075 TKM983044:TKM983075 TUI983044:TUI983075 UEE983044:UEE983075 UOA983044:UOA983075 UXW983044:UXW983075 VHS983044:VHS983075 VRO983044:VRO983075 WBK983044:WBK983075" xr:uid="{BF63F389-814F-45EE-B093-C70FD3B07068}">
      <formula1>"0,1,3"</formula1>
    </dataValidation>
    <dataValidation type="list" allowBlank="1" showInputMessage="1" showErrorMessage="1" sqref="IZ4:IZ35 SV4:SV35 ACR4:ACR35 AMN4:AMN35 AWJ4:AWJ35 BGF4:BGF35 BQB4:BQB35 BZX4:BZX35 CJT4:CJT35 CTP4:CTP35 DDL4:DDL35 DNH4:DNH35 DXD4:DXD35 EGZ4:EGZ35 EQV4:EQV35 FAR4:FAR35 FKN4:FKN35 FUJ4:FUJ35 GEF4:GEF35 GOB4:GOB35 GXX4:GXX35 HHT4:HHT35 HRP4:HRP35 IBL4:IBL35 ILH4:ILH35 IVD4:IVD35 JEZ4:JEZ35 JOV4:JOV35 JYR4:JYR35 KIN4:KIN35 KSJ4:KSJ35 LCF4:LCF35 LMB4:LMB35 LVX4:LVX35 MFT4:MFT35 MPP4:MPP35 MZL4:MZL35 NJH4:NJH35 NTD4:NTD35 OCZ4:OCZ35 OMV4:OMV35 OWR4:OWR35 PGN4:PGN35 PQJ4:PQJ35 QAF4:QAF35 QKB4:QKB35 QTX4:QTX35 RDT4:RDT35 RNP4:RNP35 RXL4:RXL35 SHH4:SHH35 SRD4:SRD35 TAZ4:TAZ35 TKV4:TKV35 TUR4:TUR35 UEN4:UEN35 UOJ4:UOJ35 UYF4:UYF35 VIB4:VIB35 VRX4:VRX35 WBT4:WBT35 WLP4:WLP35 WVL4:WVL35 IZ65540:IZ65571 SV65540:SV65571 ACR65540:ACR65571 AMN65540:AMN65571 AWJ65540:AWJ65571 BGF65540:BGF65571 BQB65540:BQB65571 BZX65540:BZX65571 CJT65540:CJT65571 CTP65540:CTP65571 DDL65540:DDL65571 DNH65540:DNH65571 DXD65540:DXD65571 EGZ65540:EGZ65571 EQV65540:EQV65571 FAR65540:FAR65571 FKN65540:FKN65571 FUJ65540:FUJ65571 GEF65540:GEF65571 GOB65540:GOB65571 GXX65540:GXX65571 HHT65540:HHT65571 HRP65540:HRP65571 IBL65540:IBL65571 ILH65540:ILH65571 IVD65540:IVD65571 JEZ65540:JEZ65571 JOV65540:JOV65571 JYR65540:JYR65571 KIN65540:KIN65571 KSJ65540:KSJ65571 LCF65540:LCF65571 LMB65540:LMB65571 LVX65540:LVX65571 MFT65540:MFT65571 MPP65540:MPP65571 MZL65540:MZL65571 NJH65540:NJH65571 NTD65540:NTD65571 OCZ65540:OCZ65571 OMV65540:OMV65571 OWR65540:OWR65571 PGN65540:PGN65571 PQJ65540:PQJ65571 QAF65540:QAF65571 QKB65540:QKB65571 QTX65540:QTX65571 RDT65540:RDT65571 RNP65540:RNP65571 RXL65540:RXL65571 SHH65540:SHH65571 SRD65540:SRD65571 TAZ65540:TAZ65571 TKV65540:TKV65571 TUR65540:TUR65571 UEN65540:UEN65571 UOJ65540:UOJ65571 UYF65540:UYF65571 VIB65540:VIB65571 VRX65540:VRX65571 WBT65540:WBT65571 WLP65540:WLP65571 WVL65540:WVL65571 IZ131076:IZ131107 SV131076:SV131107 ACR131076:ACR131107 AMN131076:AMN131107 AWJ131076:AWJ131107 BGF131076:BGF131107 BQB131076:BQB131107 BZX131076:BZX131107 CJT131076:CJT131107 CTP131076:CTP131107 DDL131076:DDL131107 DNH131076:DNH131107 DXD131076:DXD131107 EGZ131076:EGZ131107 EQV131076:EQV131107 FAR131076:FAR131107 FKN131076:FKN131107 FUJ131076:FUJ131107 GEF131076:GEF131107 GOB131076:GOB131107 GXX131076:GXX131107 HHT131076:HHT131107 HRP131076:HRP131107 IBL131076:IBL131107 ILH131076:ILH131107 IVD131076:IVD131107 JEZ131076:JEZ131107 JOV131076:JOV131107 JYR131076:JYR131107 KIN131076:KIN131107 KSJ131076:KSJ131107 LCF131076:LCF131107 LMB131076:LMB131107 LVX131076:LVX131107 MFT131076:MFT131107 MPP131076:MPP131107 MZL131076:MZL131107 NJH131076:NJH131107 NTD131076:NTD131107 OCZ131076:OCZ131107 OMV131076:OMV131107 OWR131076:OWR131107 PGN131076:PGN131107 PQJ131076:PQJ131107 QAF131076:QAF131107 QKB131076:QKB131107 QTX131076:QTX131107 RDT131076:RDT131107 RNP131076:RNP131107 RXL131076:RXL131107 SHH131076:SHH131107 SRD131076:SRD131107 TAZ131076:TAZ131107 TKV131076:TKV131107 TUR131076:TUR131107 UEN131076:UEN131107 UOJ131076:UOJ131107 UYF131076:UYF131107 VIB131076:VIB131107 VRX131076:VRX131107 WBT131076:WBT131107 WLP131076:WLP131107 WVL131076:WVL131107 IZ196612:IZ196643 SV196612:SV196643 ACR196612:ACR196643 AMN196612:AMN196643 AWJ196612:AWJ196643 BGF196612:BGF196643 BQB196612:BQB196643 BZX196612:BZX196643 CJT196612:CJT196643 CTP196612:CTP196643 DDL196612:DDL196643 DNH196612:DNH196643 DXD196612:DXD196643 EGZ196612:EGZ196643 EQV196612:EQV196643 FAR196612:FAR196643 FKN196612:FKN196643 FUJ196612:FUJ196643 GEF196612:GEF196643 GOB196612:GOB196643 GXX196612:GXX196643 HHT196612:HHT196643 HRP196612:HRP196643 IBL196612:IBL196643 ILH196612:ILH196643 IVD196612:IVD196643 JEZ196612:JEZ196643 JOV196612:JOV196643 JYR196612:JYR196643 KIN196612:KIN196643 KSJ196612:KSJ196643 LCF196612:LCF196643 LMB196612:LMB196643 LVX196612:LVX196643 MFT196612:MFT196643 MPP196612:MPP196643 MZL196612:MZL196643 NJH196612:NJH196643 NTD196612:NTD196643 OCZ196612:OCZ196643 OMV196612:OMV196643 OWR196612:OWR196643 PGN196612:PGN196643 PQJ196612:PQJ196643 QAF196612:QAF196643 QKB196612:QKB196643 QTX196612:QTX196643 RDT196612:RDT196643 RNP196612:RNP196643 RXL196612:RXL196643 SHH196612:SHH196643 SRD196612:SRD196643 TAZ196612:TAZ196643 TKV196612:TKV196643 TUR196612:TUR196643 UEN196612:UEN196643 UOJ196612:UOJ196643 UYF196612:UYF196643 VIB196612:VIB196643 VRX196612:VRX196643 WBT196612:WBT196643 WLP196612:WLP196643 WVL196612:WVL196643 IZ262148:IZ262179 SV262148:SV262179 ACR262148:ACR262179 AMN262148:AMN262179 AWJ262148:AWJ262179 BGF262148:BGF262179 BQB262148:BQB262179 BZX262148:BZX262179 CJT262148:CJT262179 CTP262148:CTP262179 DDL262148:DDL262179 DNH262148:DNH262179 DXD262148:DXD262179 EGZ262148:EGZ262179 EQV262148:EQV262179 FAR262148:FAR262179 FKN262148:FKN262179 FUJ262148:FUJ262179 GEF262148:GEF262179 GOB262148:GOB262179 GXX262148:GXX262179 HHT262148:HHT262179 HRP262148:HRP262179 IBL262148:IBL262179 ILH262148:ILH262179 IVD262148:IVD262179 JEZ262148:JEZ262179 JOV262148:JOV262179 JYR262148:JYR262179 KIN262148:KIN262179 KSJ262148:KSJ262179 LCF262148:LCF262179 LMB262148:LMB262179 LVX262148:LVX262179 MFT262148:MFT262179 MPP262148:MPP262179 MZL262148:MZL262179 NJH262148:NJH262179 NTD262148:NTD262179 OCZ262148:OCZ262179 OMV262148:OMV262179 OWR262148:OWR262179 PGN262148:PGN262179 PQJ262148:PQJ262179 QAF262148:QAF262179 QKB262148:QKB262179 QTX262148:QTX262179 RDT262148:RDT262179 RNP262148:RNP262179 RXL262148:RXL262179 SHH262148:SHH262179 SRD262148:SRD262179 TAZ262148:TAZ262179 TKV262148:TKV262179 TUR262148:TUR262179 UEN262148:UEN262179 UOJ262148:UOJ262179 UYF262148:UYF262179 VIB262148:VIB262179 VRX262148:VRX262179 WBT262148:WBT262179 WLP262148:WLP262179 WVL262148:WVL262179 IZ327684:IZ327715 SV327684:SV327715 ACR327684:ACR327715 AMN327684:AMN327715 AWJ327684:AWJ327715 BGF327684:BGF327715 BQB327684:BQB327715 BZX327684:BZX327715 CJT327684:CJT327715 CTP327684:CTP327715 DDL327684:DDL327715 DNH327684:DNH327715 DXD327684:DXD327715 EGZ327684:EGZ327715 EQV327684:EQV327715 FAR327684:FAR327715 FKN327684:FKN327715 FUJ327684:FUJ327715 GEF327684:GEF327715 GOB327684:GOB327715 GXX327684:GXX327715 HHT327684:HHT327715 HRP327684:HRP327715 IBL327684:IBL327715 ILH327684:ILH327715 IVD327684:IVD327715 JEZ327684:JEZ327715 JOV327684:JOV327715 JYR327684:JYR327715 KIN327684:KIN327715 KSJ327684:KSJ327715 LCF327684:LCF327715 LMB327684:LMB327715 LVX327684:LVX327715 MFT327684:MFT327715 MPP327684:MPP327715 MZL327684:MZL327715 NJH327684:NJH327715 NTD327684:NTD327715 OCZ327684:OCZ327715 OMV327684:OMV327715 OWR327684:OWR327715 PGN327684:PGN327715 PQJ327684:PQJ327715 QAF327684:QAF327715 QKB327684:QKB327715 QTX327684:QTX327715 RDT327684:RDT327715 RNP327684:RNP327715 RXL327684:RXL327715 SHH327684:SHH327715 SRD327684:SRD327715 TAZ327684:TAZ327715 TKV327684:TKV327715 TUR327684:TUR327715 UEN327684:UEN327715 UOJ327684:UOJ327715 UYF327684:UYF327715 VIB327684:VIB327715 VRX327684:VRX327715 WBT327684:WBT327715 WLP327684:WLP327715 WVL327684:WVL327715 IZ393220:IZ393251 SV393220:SV393251 ACR393220:ACR393251 AMN393220:AMN393251 AWJ393220:AWJ393251 BGF393220:BGF393251 BQB393220:BQB393251 BZX393220:BZX393251 CJT393220:CJT393251 CTP393220:CTP393251 DDL393220:DDL393251 DNH393220:DNH393251 DXD393220:DXD393251 EGZ393220:EGZ393251 EQV393220:EQV393251 FAR393220:FAR393251 FKN393220:FKN393251 FUJ393220:FUJ393251 GEF393220:GEF393251 GOB393220:GOB393251 GXX393220:GXX393251 HHT393220:HHT393251 HRP393220:HRP393251 IBL393220:IBL393251 ILH393220:ILH393251 IVD393220:IVD393251 JEZ393220:JEZ393251 JOV393220:JOV393251 JYR393220:JYR393251 KIN393220:KIN393251 KSJ393220:KSJ393251 LCF393220:LCF393251 LMB393220:LMB393251 LVX393220:LVX393251 MFT393220:MFT393251 MPP393220:MPP393251 MZL393220:MZL393251 NJH393220:NJH393251 NTD393220:NTD393251 OCZ393220:OCZ393251 OMV393220:OMV393251 OWR393220:OWR393251 PGN393220:PGN393251 PQJ393220:PQJ393251 QAF393220:QAF393251 QKB393220:QKB393251 QTX393220:QTX393251 RDT393220:RDT393251 RNP393220:RNP393251 RXL393220:RXL393251 SHH393220:SHH393251 SRD393220:SRD393251 TAZ393220:TAZ393251 TKV393220:TKV393251 TUR393220:TUR393251 UEN393220:UEN393251 UOJ393220:UOJ393251 UYF393220:UYF393251 VIB393220:VIB393251 VRX393220:VRX393251 WBT393220:WBT393251 WLP393220:WLP393251 WVL393220:WVL393251 IZ458756:IZ458787 SV458756:SV458787 ACR458756:ACR458787 AMN458756:AMN458787 AWJ458756:AWJ458787 BGF458756:BGF458787 BQB458756:BQB458787 BZX458756:BZX458787 CJT458756:CJT458787 CTP458756:CTP458787 DDL458756:DDL458787 DNH458756:DNH458787 DXD458756:DXD458787 EGZ458756:EGZ458787 EQV458756:EQV458787 FAR458756:FAR458787 FKN458756:FKN458787 FUJ458756:FUJ458787 GEF458756:GEF458787 GOB458756:GOB458787 GXX458756:GXX458787 HHT458756:HHT458787 HRP458756:HRP458787 IBL458756:IBL458787 ILH458756:ILH458787 IVD458756:IVD458787 JEZ458756:JEZ458787 JOV458756:JOV458787 JYR458756:JYR458787 KIN458756:KIN458787 KSJ458756:KSJ458787 LCF458756:LCF458787 LMB458756:LMB458787 LVX458756:LVX458787 MFT458756:MFT458787 MPP458756:MPP458787 MZL458756:MZL458787 NJH458756:NJH458787 NTD458756:NTD458787 OCZ458756:OCZ458787 OMV458756:OMV458787 OWR458756:OWR458787 PGN458756:PGN458787 PQJ458756:PQJ458787 QAF458756:QAF458787 QKB458756:QKB458787 QTX458756:QTX458787 RDT458756:RDT458787 RNP458756:RNP458787 RXL458756:RXL458787 SHH458756:SHH458787 SRD458756:SRD458787 TAZ458756:TAZ458787 TKV458756:TKV458787 TUR458756:TUR458787 UEN458756:UEN458787 UOJ458756:UOJ458787 UYF458756:UYF458787 VIB458756:VIB458787 VRX458756:VRX458787 WBT458756:WBT458787 WLP458756:WLP458787 WVL458756:WVL458787 IZ524292:IZ524323 SV524292:SV524323 ACR524292:ACR524323 AMN524292:AMN524323 AWJ524292:AWJ524323 BGF524292:BGF524323 BQB524292:BQB524323 BZX524292:BZX524323 CJT524292:CJT524323 CTP524292:CTP524323 DDL524292:DDL524323 DNH524292:DNH524323 DXD524292:DXD524323 EGZ524292:EGZ524323 EQV524292:EQV524323 FAR524292:FAR524323 FKN524292:FKN524323 FUJ524292:FUJ524323 GEF524292:GEF524323 GOB524292:GOB524323 GXX524292:GXX524323 HHT524292:HHT524323 HRP524292:HRP524323 IBL524292:IBL524323 ILH524292:ILH524323 IVD524292:IVD524323 JEZ524292:JEZ524323 JOV524292:JOV524323 JYR524292:JYR524323 KIN524292:KIN524323 KSJ524292:KSJ524323 LCF524292:LCF524323 LMB524292:LMB524323 LVX524292:LVX524323 MFT524292:MFT524323 MPP524292:MPP524323 MZL524292:MZL524323 NJH524292:NJH524323 NTD524292:NTD524323 OCZ524292:OCZ524323 OMV524292:OMV524323 OWR524292:OWR524323 PGN524292:PGN524323 PQJ524292:PQJ524323 QAF524292:QAF524323 QKB524292:QKB524323 QTX524292:QTX524323 RDT524292:RDT524323 RNP524292:RNP524323 RXL524292:RXL524323 SHH524292:SHH524323 SRD524292:SRD524323 TAZ524292:TAZ524323 TKV524292:TKV524323 TUR524292:TUR524323 UEN524292:UEN524323 UOJ524292:UOJ524323 UYF524292:UYF524323 VIB524292:VIB524323 VRX524292:VRX524323 WBT524292:WBT524323 WLP524292:WLP524323 WVL524292:WVL524323 IZ589828:IZ589859 SV589828:SV589859 ACR589828:ACR589859 AMN589828:AMN589859 AWJ589828:AWJ589859 BGF589828:BGF589859 BQB589828:BQB589859 BZX589828:BZX589859 CJT589828:CJT589859 CTP589828:CTP589859 DDL589828:DDL589859 DNH589828:DNH589859 DXD589828:DXD589859 EGZ589828:EGZ589859 EQV589828:EQV589859 FAR589828:FAR589859 FKN589828:FKN589859 FUJ589828:FUJ589859 GEF589828:GEF589859 GOB589828:GOB589859 GXX589828:GXX589859 HHT589828:HHT589859 HRP589828:HRP589859 IBL589828:IBL589859 ILH589828:ILH589859 IVD589828:IVD589859 JEZ589828:JEZ589859 JOV589828:JOV589859 JYR589828:JYR589859 KIN589828:KIN589859 KSJ589828:KSJ589859 LCF589828:LCF589859 LMB589828:LMB589859 LVX589828:LVX589859 MFT589828:MFT589859 MPP589828:MPP589859 MZL589828:MZL589859 NJH589828:NJH589859 NTD589828:NTD589859 OCZ589828:OCZ589859 OMV589828:OMV589859 OWR589828:OWR589859 PGN589828:PGN589859 PQJ589828:PQJ589859 QAF589828:QAF589859 QKB589828:QKB589859 QTX589828:QTX589859 RDT589828:RDT589859 RNP589828:RNP589859 RXL589828:RXL589859 SHH589828:SHH589859 SRD589828:SRD589859 TAZ589828:TAZ589859 TKV589828:TKV589859 TUR589828:TUR589859 UEN589828:UEN589859 UOJ589828:UOJ589859 UYF589828:UYF589859 VIB589828:VIB589859 VRX589828:VRX589859 WBT589828:WBT589859 WLP589828:WLP589859 WVL589828:WVL589859 IZ655364:IZ655395 SV655364:SV655395 ACR655364:ACR655395 AMN655364:AMN655395 AWJ655364:AWJ655395 BGF655364:BGF655395 BQB655364:BQB655395 BZX655364:BZX655395 CJT655364:CJT655395 CTP655364:CTP655395 DDL655364:DDL655395 DNH655364:DNH655395 DXD655364:DXD655395 EGZ655364:EGZ655395 EQV655364:EQV655395 FAR655364:FAR655395 FKN655364:FKN655395 FUJ655364:FUJ655395 GEF655364:GEF655395 GOB655364:GOB655395 GXX655364:GXX655395 HHT655364:HHT655395 HRP655364:HRP655395 IBL655364:IBL655395 ILH655364:ILH655395 IVD655364:IVD655395 JEZ655364:JEZ655395 JOV655364:JOV655395 JYR655364:JYR655395 KIN655364:KIN655395 KSJ655364:KSJ655395 LCF655364:LCF655395 LMB655364:LMB655395 LVX655364:LVX655395 MFT655364:MFT655395 MPP655364:MPP655395 MZL655364:MZL655395 NJH655364:NJH655395 NTD655364:NTD655395 OCZ655364:OCZ655395 OMV655364:OMV655395 OWR655364:OWR655395 PGN655364:PGN655395 PQJ655364:PQJ655395 QAF655364:QAF655395 QKB655364:QKB655395 QTX655364:QTX655395 RDT655364:RDT655395 RNP655364:RNP655395 RXL655364:RXL655395 SHH655364:SHH655395 SRD655364:SRD655395 TAZ655364:TAZ655395 TKV655364:TKV655395 TUR655364:TUR655395 UEN655364:UEN655395 UOJ655364:UOJ655395 UYF655364:UYF655395 VIB655364:VIB655395 VRX655364:VRX655395 WBT655364:WBT655395 WLP655364:WLP655395 WVL655364:WVL655395 IZ720900:IZ720931 SV720900:SV720931 ACR720900:ACR720931 AMN720900:AMN720931 AWJ720900:AWJ720931 BGF720900:BGF720931 BQB720900:BQB720931 BZX720900:BZX720931 CJT720900:CJT720931 CTP720900:CTP720931 DDL720900:DDL720931 DNH720900:DNH720931 DXD720900:DXD720931 EGZ720900:EGZ720931 EQV720900:EQV720931 FAR720900:FAR720931 FKN720900:FKN720931 FUJ720900:FUJ720931 GEF720900:GEF720931 GOB720900:GOB720931 GXX720900:GXX720931 HHT720900:HHT720931 HRP720900:HRP720931 IBL720900:IBL720931 ILH720900:ILH720931 IVD720900:IVD720931 JEZ720900:JEZ720931 JOV720900:JOV720931 JYR720900:JYR720931 KIN720900:KIN720931 KSJ720900:KSJ720931 LCF720900:LCF720931 LMB720900:LMB720931 LVX720900:LVX720931 MFT720900:MFT720931 MPP720900:MPP720931 MZL720900:MZL720931 NJH720900:NJH720931 NTD720900:NTD720931 OCZ720900:OCZ720931 OMV720900:OMV720931 OWR720900:OWR720931 PGN720900:PGN720931 PQJ720900:PQJ720931 QAF720900:QAF720931 QKB720900:QKB720931 QTX720900:QTX720931 RDT720900:RDT720931 RNP720900:RNP720931 RXL720900:RXL720931 SHH720900:SHH720931 SRD720900:SRD720931 TAZ720900:TAZ720931 TKV720900:TKV720931 TUR720900:TUR720931 UEN720900:UEN720931 UOJ720900:UOJ720931 UYF720900:UYF720931 VIB720900:VIB720931 VRX720900:VRX720931 WBT720900:WBT720931 WLP720900:WLP720931 WVL720900:WVL720931 IZ786436:IZ786467 SV786436:SV786467 ACR786436:ACR786467 AMN786436:AMN786467 AWJ786436:AWJ786467 BGF786436:BGF786467 BQB786436:BQB786467 BZX786436:BZX786467 CJT786436:CJT786467 CTP786436:CTP786467 DDL786436:DDL786467 DNH786436:DNH786467 DXD786436:DXD786467 EGZ786436:EGZ786467 EQV786436:EQV786467 FAR786436:FAR786467 FKN786436:FKN786467 FUJ786436:FUJ786467 GEF786436:GEF786467 GOB786436:GOB786467 GXX786436:GXX786467 HHT786436:HHT786467 HRP786436:HRP786467 IBL786436:IBL786467 ILH786436:ILH786467 IVD786436:IVD786467 JEZ786436:JEZ786467 JOV786436:JOV786467 JYR786436:JYR786467 KIN786436:KIN786467 KSJ786436:KSJ786467 LCF786436:LCF786467 LMB786436:LMB786467 LVX786436:LVX786467 MFT786436:MFT786467 MPP786436:MPP786467 MZL786436:MZL786467 NJH786436:NJH786467 NTD786436:NTD786467 OCZ786436:OCZ786467 OMV786436:OMV786467 OWR786436:OWR786467 PGN786436:PGN786467 PQJ786436:PQJ786467 QAF786436:QAF786467 QKB786436:QKB786467 QTX786436:QTX786467 RDT786436:RDT786467 RNP786436:RNP786467 RXL786436:RXL786467 SHH786436:SHH786467 SRD786436:SRD786467 TAZ786436:TAZ786467 TKV786436:TKV786467 TUR786436:TUR786467 UEN786436:UEN786467 UOJ786436:UOJ786467 UYF786436:UYF786467 VIB786436:VIB786467 VRX786436:VRX786467 WBT786436:WBT786467 WLP786436:WLP786467 WVL786436:WVL786467 IZ851972:IZ852003 SV851972:SV852003 ACR851972:ACR852003 AMN851972:AMN852003 AWJ851972:AWJ852003 BGF851972:BGF852003 BQB851972:BQB852003 BZX851972:BZX852003 CJT851972:CJT852003 CTP851972:CTP852003 DDL851972:DDL852003 DNH851972:DNH852003 DXD851972:DXD852003 EGZ851972:EGZ852003 EQV851972:EQV852003 FAR851972:FAR852003 FKN851972:FKN852003 FUJ851972:FUJ852003 GEF851972:GEF852003 GOB851972:GOB852003 GXX851972:GXX852003 HHT851972:HHT852003 HRP851972:HRP852003 IBL851972:IBL852003 ILH851972:ILH852003 IVD851972:IVD852003 JEZ851972:JEZ852003 JOV851972:JOV852003 JYR851972:JYR852003 KIN851972:KIN852003 KSJ851972:KSJ852003 LCF851972:LCF852003 LMB851972:LMB852003 LVX851972:LVX852003 MFT851972:MFT852003 MPP851972:MPP852003 MZL851972:MZL852003 NJH851972:NJH852003 NTD851972:NTD852003 OCZ851972:OCZ852003 OMV851972:OMV852003 OWR851972:OWR852003 PGN851972:PGN852003 PQJ851972:PQJ852003 QAF851972:QAF852003 QKB851972:QKB852003 QTX851972:QTX852003 RDT851972:RDT852003 RNP851972:RNP852003 RXL851972:RXL852003 SHH851972:SHH852003 SRD851972:SRD852003 TAZ851972:TAZ852003 TKV851972:TKV852003 TUR851972:TUR852003 UEN851972:UEN852003 UOJ851972:UOJ852003 UYF851972:UYF852003 VIB851972:VIB852003 VRX851972:VRX852003 WBT851972:WBT852003 WLP851972:WLP852003 WVL851972:WVL852003 IZ917508:IZ917539 SV917508:SV917539 ACR917508:ACR917539 AMN917508:AMN917539 AWJ917508:AWJ917539 BGF917508:BGF917539 BQB917508:BQB917539 BZX917508:BZX917539 CJT917508:CJT917539 CTP917508:CTP917539 DDL917508:DDL917539 DNH917508:DNH917539 DXD917508:DXD917539 EGZ917508:EGZ917539 EQV917508:EQV917539 FAR917508:FAR917539 FKN917508:FKN917539 FUJ917508:FUJ917539 GEF917508:GEF917539 GOB917508:GOB917539 GXX917508:GXX917539 HHT917508:HHT917539 HRP917508:HRP917539 IBL917508:IBL917539 ILH917508:ILH917539 IVD917508:IVD917539 JEZ917508:JEZ917539 JOV917508:JOV917539 JYR917508:JYR917539 KIN917508:KIN917539 KSJ917508:KSJ917539 LCF917508:LCF917539 LMB917508:LMB917539 LVX917508:LVX917539 MFT917508:MFT917539 MPP917508:MPP917539 MZL917508:MZL917539 NJH917508:NJH917539 NTD917508:NTD917539 OCZ917508:OCZ917539 OMV917508:OMV917539 OWR917508:OWR917539 PGN917508:PGN917539 PQJ917508:PQJ917539 QAF917508:QAF917539 QKB917508:QKB917539 QTX917508:QTX917539 RDT917508:RDT917539 RNP917508:RNP917539 RXL917508:RXL917539 SHH917508:SHH917539 SRD917508:SRD917539 TAZ917508:TAZ917539 TKV917508:TKV917539 TUR917508:TUR917539 UEN917508:UEN917539 UOJ917508:UOJ917539 UYF917508:UYF917539 VIB917508:VIB917539 VRX917508:VRX917539 WBT917508:WBT917539 WLP917508:WLP917539 WVL917508:WVL917539 IZ983044:IZ983075 SV983044:SV983075 ACR983044:ACR983075 AMN983044:AMN983075 AWJ983044:AWJ983075 BGF983044:BGF983075 BQB983044:BQB983075 BZX983044:BZX983075 CJT983044:CJT983075 CTP983044:CTP983075 DDL983044:DDL983075 DNH983044:DNH983075 DXD983044:DXD983075 EGZ983044:EGZ983075 EQV983044:EQV983075 FAR983044:FAR983075 FKN983044:FKN983075 FUJ983044:FUJ983075 GEF983044:GEF983075 GOB983044:GOB983075 GXX983044:GXX983075 HHT983044:HHT983075 HRP983044:HRP983075 IBL983044:IBL983075 ILH983044:ILH983075 IVD983044:IVD983075 JEZ983044:JEZ983075 JOV983044:JOV983075 JYR983044:JYR983075 KIN983044:KIN983075 KSJ983044:KSJ983075 LCF983044:LCF983075 LMB983044:LMB983075 LVX983044:LVX983075 MFT983044:MFT983075 MPP983044:MPP983075 MZL983044:MZL983075 NJH983044:NJH983075 NTD983044:NTD983075 OCZ983044:OCZ983075 OMV983044:OMV983075 OWR983044:OWR983075 PGN983044:PGN983075 PQJ983044:PQJ983075 QAF983044:QAF983075 QKB983044:QKB983075 QTX983044:QTX983075 RDT983044:RDT983075 RNP983044:RNP983075 RXL983044:RXL983075 SHH983044:SHH983075 SRD983044:SRD983075 TAZ983044:TAZ983075 TKV983044:TKV983075 TUR983044:TUR983075 UEN983044:UEN983075 UOJ983044:UOJ983075 UYF983044:UYF983075 VIB983044:VIB983075 VRX983044:VRX983075 WBT983044:WBT983075 WLP983044:WLP983075 WVL983044:WVL983075 WLH983044:WLH983075 HL4:HL35 RH4:RH35 ABD4:ABD35 AKZ4:AKZ35 AUV4:AUV35 BER4:BER35 BON4:BON35 BYJ4:BYJ35 CIF4:CIF35 CSB4:CSB35 DBX4:DBX35 DLT4:DLT35 DVP4:DVP35 EFL4:EFL35 EPH4:EPH35 EZD4:EZD35 FIZ4:FIZ35 FSV4:FSV35 GCR4:GCR35 GMN4:GMN35 GWJ4:GWJ35 HGF4:HGF35 HQB4:HQB35 HZX4:HZX35 IJT4:IJT35 ITP4:ITP35 JDL4:JDL35 JNH4:JNH35 JXD4:JXD35 KGZ4:KGZ35 KQV4:KQV35 LAR4:LAR35 LKN4:LKN35 LUJ4:LUJ35 MEF4:MEF35 MOB4:MOB35 MXX4:MXX35 NHT4:NHT35 NRP4:NRP35 OBL4:OBL35 OLH4:OLH35 OVD4:OVD35 PEZ4:PEZ35 POV4:POV35 PYR4:PYR35 QIN4:QIN35 QSJ4:QSJ35 RCF4:RCF35 RMB4:RMB35 RVX4:RVX35 SFT4:SFT35 SPP4:SPP35 SZL4:SZL35 TJH4:TJH35 TTD4:TTD35 UCZ4:UCZ35 UMV4:UMV35 UWR4:UWR35 VGN4:VGN35 VQJ4:VQJ35 WAF4:WAF35 WKB4:WKB35 WTX4:WTX35 H65540:H65571 HL65540:HL65571 RH65540:RH65571 ABD65540:ABD65571 AKZ65540:AKZ65571 AUV65540:AUV65571 BER65540:BER65571 BON65540:BON65571 BYJ65540:BYJ65571 CIF65540:CIF65571 CSB65540:CSB65571 DBX65540:DBX65571 DLT65540:DLT65571 DVP65540:DVP65571 EFL65540:EFL65571 EPH65540:EPH65571 EZD65540:EZD65571 FIZ65540:FIZ65571 FSV65540:FSV65571 GCR65540:GCR65571 GMN65540:GMN65571 GWJ65540:GWJ65571 HGF65540:HGF65571 HQB65540:HQB65571 HZX65540:HZX65571 IJT65540:IJT65571 ITP65540:ITP65571 JDL65540:JDL65571 JNH65540:JNH65571 JXD65540:JXD65571 KGZ65540:KGZ65571 KQV65540:KQV65571 LAR65540:LAR65571 LKN65540:LKN65571 LUJ65540:LUJ65571 MEF65540:MEF65571 MOB65540:MOB65571 MXX65540:MXX65571 NHT65540:NHT65571 NRP65540:NRP65571 OBL65540:OBL65571 OLH65540:OLH65571 OVD65540:OVD65571 PEZ65540:PEZ65571 POV65540:POV65571 PYR65540:PYR65571 QIN65540:QIN65571 QSJ65540:QSJ65571 RCF65540:RCF65571 RMB65540:RMB65571 RVX65540:RVX65571 SFT65540:SFT65571 SPP65540:SPP65571 SZL65540:SZL65571 TJH65540:TJH65571 TTD65540:TTD65571 UCZ65540:UCZ65571 UMV65540:UMV65571 UWR65540:UWR65571 VGN65540:VGN65571 VQJ65540:VQJ65571 WAF65540:WAF65571 WKB65540:WKB65571 WTX65540:WTX65571 H131076:H131107 HL131076:HL131107 RH131076:RH131107 ABD131076:ABD131107 AKZ131076:AKZ131107 AUV131076:AUV131107 BER131076:BER131107 BON131076:BON131107 BYJ131076:BYJ131107 CIF131076:CIF131107 CSB131076:CSB131107 DBX131076:DBX131107 DLT131076:DLT131107 DVP131076:DVP131107 EFL131076:EFL131107 EPH131076:EPH131107 EZD131076:EZD131107 FIZ131076:FIZ131107 FSV131076:FSV131107 GCR131076:GCR131107 GMN131076:GMN131107 GWJ131076:GWJ131107 HGF131076:HGF131107 HQB131076:HQB131107 HZX131076:HZX131107 IJT131076:IJT131107 ITP131076:ITP131107 JDL131076:JDL131107 JNH131076:JNH131107 JXD131076:JXD131107 KGZ131076:KGZ131107 KQV131076:KQV131107 LAR131076:LAR131107 LKN131076:LKN131107 LUJ131076:LUJ131107 MEF131076:MEF131107 MOB131076:MOB131107 MXX131076:MXX131107 NHT131076:NHT131107 NRP131076:NRP131107 OBL131076:OBL131107 OLH131076:OLH131107 OVD131076:OVD131107 PEZ131076:PEZ131107 POV131076:POV131107 PYR131076:PYR131107 QIN131076:QIN131107 QSJ131076:QSJ131107 RCF131076:RCF131107 RMB131076:RMB131107 RVX131076:RVX131107 SFT131076:SFT131107 SPP131076:SPP131107 SZL131076:SZL131107 TJH131076:TJH131107 TTD131076:TTD131107 UCZ131076:UCZ131107 UMV131076:UMV131107 UWR131076:UWR131107 VGN131076:VGN131107 VQJ131076:VQJ131107 WAF131076:WAF131107 WKB131076:WKB131107 WTX131076:WTX131107 H196612:H196643 HL196612:HL196643 RH196612:RH196643 ABD196612:ABD196643 AKZ196612:AKZ196643 AUV196612:AUV196643 BER196612:BER196643 BON196612:BON196643 BYJ196612:BYJ196643 CIF196612:CIF196643 CSB196612:CSB196643 DBX196612:DBX196643 DLT196612:DLT196643 DVP196612:DVP196643 EFL196612:EFL196643 EPH196612:EPH196643 EZD196612:EZD196643 FIZ196612:FIZ196643 FSV196612:FSV196643 GCR196612:GCR196643 GMN196612:GMN196643 GWJ196612:GWJ196643 HGF196612:HGF196643 HQB196612:HQB196643 HZX196612:HZX196643 IJT196612:IJT196643 ITP196612:ITP196643 JDL196612:JDL196643 JNH196612:JNH196643 JXD196612:JXD196643 KGZ196612:KGZ196643 KQV196612:KQV196643 LAR196612:LAR196643 LKN196612:LKN196643 LUJ196612:LUJ196643 MEF196612:MEF196643 MOB196612:MOB196643 MXX196612:MXX196643 NHT196612:NHT196643 NRP196612:NRP196643 OBL196612:OBL196643 OLH196612:OLH196643 OVD196612:OVD196643 PEZ196612:PEZ196643 POV196612:POV196643 PYR196612:PYR196643 QIN196612:QIN196643 QSJ196612:QSJ196643 RCF196612:RCF196643 RMB196612:RMB196643 RVX196612:RVX196643 SFT196612:SFT196643 SPP196612:SPP196643 SZL196612:SZL196643 TJH196612:TJH196643 TTD196612:TTD196643 UCZ196612:UCZ196643 UMV196612:UMV196643 UWR196612:UWR196643 VGN196612:VGN196643 VQJ196612:VQJ196643 WAF196612:WAF196643 WKB196612:WKB196643 WTX196612:WTX196643 H262148:H262179 HL262148:HL262179 RH262148:RH262179 ABD262148:ABD262179 AKZ262148:AKZ262179 AUV262148:AUV262179 BER262148:BER262179 BON262148:BON262179 BYJ262148:BYJ262179 CIF262148:CIF262179 CSB262148:CSB262179 DBX262148:DBX262179 DLT262148:DLT262179 DVP262148:DVP262179 EFL262148:EFL262179 EPH262148:EPH262179 EZD262148:EZD262179 FIZ262148:FIZ262179 FSV262148:FSV262179 GCR262148:GCR262179 GMN262148:GMN262179 GWJ262148:GWJ262179 HGF262148:HGF262179 HQB262148:HQB262179 HZX262148:HZX262179 IJT262148:IJT262179 ITP262148:ITP262179 JDL262148:JDL262179 JNH262148:JNH262179 JXD262148:JXD262179 KGZ262148:KGZ262179 KQV262148:KQV262179 LAR262148:LAR262179 LKN262148:LKN262179 LUJ262148:LUJ262179 MEF262148:MEF262179 MOB262148:MOB262179 MXX262148:MXX262179 NHT262148:NHT262179 NRP262148:NRP262179 OBL262148:OBL262179 OLH262148:OLH262179 OVD262148:OVD262179 PEZ262148:PEZ262179 POV262148:POV262179 PYR262148:PYR262179 QIN262148:QIN262179 QSJ262148:QSJ262179 RCF262148:RCF262179 RMB262148:RMB262179 RVX262148:RVX262179 SFT262148:SFT262179 SPP262148:SPP262179 SZL262148:SZL262179 TJH262148:TJH262179 TTD262148:TTD262179 UCZ262148:UCZ262179 UMV262148:UMV262179 UWR262148:UWR262179 VGN262148:VGN262179 VQJ262148:VQJ262179 WAF262148:WAF262179 WKB262148:WKB262179 WTX262148:WTX262179 H327684:H327715 HL327684:HL327715 RH327684:RH327715 ABD327684:ABD327715 AKZ327684:AKZ327715 AUV327684:AUV327715 BER327684:BER327715 BON327684:BON327715 BYJ327684:BYJ327715 CIF327684:CIF327715 CSB327684:CSB327715 DBX327684:DBX327715 DLT327684:DLT327715 DVP327684:DVP327715 EFL327684:EFL327715 EPH327684:EPH327715 EZD327684:EZD327715 FIZ327684:FIZ327715 FSV327684:FSV327715 GCR327684:GCR327715 GMN327684:GMN327715 GWJ327684:GWJ327715 HGF327684:HGF327715 HQB327684:HQB327715 HZX327684:HZX327715 IJT327684:IJT327715 ITP327684:ITP327715 JDL327684:JDL327715 JNH327684:JNH327715 JXD327684:JXD327715 KGZ327684:KGZ327715 KQV327684:KQV327715 LAR327684:LAR327715 LKN327684:LKN327715 LUJ327684:LUJ327715 MEF327684:MEF327715 MOB327684:MOB327715 MXX327684:MXX327715 NHT327684:NHT327715 NRP327684:NRP327715 OBL327684:OBL327715 OLH327684:OLH327715 OVD327684:OVD327715 PEZ327684:PEZ327715 POV327684:POV327715 PYR327684:PYR327715 QIN327684:QIN327715 QSJ327684:QSJ327715 RCF327684:RCF327715 RMB327684:RMB327715 RVX327684:RVX327715 SFT327684:SFT327715 SPP327684:SPP327715 SZL327684:SZL327715 TJH327684:TJH327715 TTD327684:TTD327715 UCZ327684:UCZ327715 UMV327684:UMV327715 UWR327684:UWR327715 VGN327684:VGN327715 VQJ327684:VQJ327715 WAF327684:WAF327715 WKB327684:WKB327715 WTX327684:WTX327715 H393220:H393251 HL393220:HL393251 RH393220:RH393251 ABD393220:ABD393251 AKZ393220:AKZ393251 AUV393220:AUV393251 BER393220:BER393251 BON393220:BON393251 BYJ393220:BYJ393251 CIF393220:CIF393251 CSB393220:CSB393251 DBX393220:DBX393251 DLT393220:DLT393251 DVP393220:DVP393251 EFL393220:EFL393251 EPH393220:EPH393251 EZD393220:EZD393251 FIZ393220:FIZ393251 FSV393220:FSV393251 GCR393220:GCR393251 GMN393220:GMN393251 GWJ393220:GWJ393251 HGF393220:HGF393251 HQB393220:HQB393251 HZX393220:HZX393251 IJT393220:IJT393251 ITP393220:ITP393251 JDL393220:JDL393251 JNH393220:JNH393251 JXD393220:JXD393251 KGZ393220:KGZ393251 KQV393220:KQV393251 LAR393220:LAR393251 LKN393220:LKN393251 LUJ393220:LUJ393251 MEF393220:MEF393251 MOB393220:MOB393251 MXX393220:MXX393251 NHT393220:NHT393251 NRP393220:NRP393251 OBL393220:OBL393251 OLH393220:OLH393251 OVD393220:OVD393251 PEZ393220:PEZ393251 POV393220:POV393251 PYR393220:PYR393251 QIN393220:QIN393251 QSJ393220:QSJ393251 RCF393220:RCF393251 RMB393220:RMB393251 RVX393220:RVX393251 SFT393220:SFT393251 SPP393220:SPP393251 SZL393220:SZL393251 TJH393220:TJH393251 TTD393220:TTD393251 UCZ393220:UCZ393251 UMV393220:UMV393251 UWR393220:UWR393251 VGN393220:VGN393251 VQJ393220:VQJ393251 WAF393220:WAF393251 WKB393220:WKB393251 WTX393220:WTX393251 H458756:H458787 HL458756:HL458787 RH458756:RH458787 ABD458756:ABD458787 AKZ458756:AKZ458787 AUV458756:AUV458787 BER458756:BER458787 BON458756:BON458787 BYJ458756:BYJ458787 CIF458756:CIF458787 CSB458756:CSB458787 DBX458756:DBX458787 DLT458756:DLT458787 DVP458756:DVP458787 EFL458756:EFL458787 EPH458756:EPH458787 EZD458756:EZD458787 FIZ458756:FIZ458787 FSV458756:FSV458787 GCR458756:GCR458787 GMN458756:GMN458787 GWJ458756:GWJ458787 HGF458756:HGF458787 HQB458756:HQB458787 HZX458756:HZX458787 IJT458756:IJT458787 ITP458756:ITP458787 JDL458756:JDL458787 JNH458756:JNH458787 JXD458756:JXD458787 KGZ458756:KGZ458787 KQV458756:KQV458787 LAR458756:LAR458787 LKN458756:LKN458787 LUJ458756:LUJ458787 MEF458756:MEF458787 MOB458756:MOB458787 MXX458756:MXX458787 NHT458756:NHT458787 NRP458756:NRP458787 OBL458756:OBL458787 OLH458756:OLH458787 OVD458756:OVD458787 PEZ458756:PEZ458787 POV458756:POV458787 PYR458756:PYR458787 QIN458756:QIN458787 QSJ458756:QSJ458787 RCF458756:RCF458787 RMB458756:RMB458787 RVX458756:RVX458787 SFT458756:SFT458787 SPP458756:SPP458787 SZL458756:SZL458787 TJH458756:TJH458787 TTD458756:TTD458787 UCZ458756:UCZ458787 UMV458756:UMV458787 UWR458756:UWR458787 VGN458756:VGN458787 VQJ458756:VQJ458787 WAF458756:WAF458787 WKB458756:WKB458787 WTX458756:WTX458787 H524292:H524323 HL524292:HL524323 RH524292:RH524323 ABD524292:ABD524323 AKZ524292:AKZ524323 AUV524292:AUV524323 BER524292:BER524323 BON524292:BON524323 BYJ524292:BYJ524323 CIF524292:CIF524323 CSB524292:CSB524323 DBX524292:DBX524323 DLT524292:DLT524323 DVP524292:DVP524323 EFL524292:EFL524323 EPH524292:EPH524323 EZD524292:EZD524323 FIZ524292:FIZ524323 FSV524292:FSV524323 GCR524292:GCR524323 GMN524292:GMN524323 GWJ524292:GWJ524323 HGF524292:HGF524323 HQB524292:HQB524323 HZX524292:HZX524323 IJT524292:IJT524323 ITP524292:ITP524323 JDL524292:JDL524323 JNH524292:JNH524323 JXD524292:JXD524323 KGZ524292:KGZ524323 KQV524292:KQV524323 LAR524292:LAR524323 LKN524292:LKN524323 LUJ524292:LUJ524323 MEF524292:MEF524323 MOB524292:MOB524323 MXX524292:MXX524323 NHT524292:NHT524323 NRP524292:NRP524323 OBL524292:OBL524323 OLH524292:OLH524323 OVD524292:OVD524323 PEZ524292:PEZ524323 POV524292:POV524323 PYR524292:PYR524323 QIN524292:QIN524323 QSJ524292:QSJ524323 RCF524292:RCF524323 RMB524292:RMB524323 RVX524292:RVX524323 SFT524292:SFT524323 SPP524292:SPP524323 SZL524292:SZL524323 TJH524292:TJH524323 TTD524292:TTD524323 UCZ524292:UCZ524323 UMV524292:UMV524323 UWR524292:UWR524323 VGN524292:VGN524323 VQJ524292:VQJ524323 WAF524292:WAF524323 WKB524292:WKB524323 WTX524292:WTX524323 H589828:H589859 HL589828:HL589859 RH589828:RH589859 ABD589828:ABD589859 AKZ589828:AKZ589859 AUV589828:AUV589859 BER589828:BER589859 BON589828:BON589859 BYJ589828:BYJ589859 CIF589828:CIF589859 CSB589828:CSB589859 DBX589828:DBX589859 DLT589828:DLT589859 DVP589828:DVP589859 EFL589828:EFL589859 EPH589828:EPH589859 EZD589828:EZD589859 FIZ589828:FIZ589859 FSV589828:FSV589859 GCR589828:GCR589859 GMN589828:GMN589859 GWJ589828:GWJ589859 HGF589828:HGF589859 HQB589828:HQB589859 HZX589828:HZX589859 IJT589828:IJT589859 ITP589828:ITP589859 JDL589828:JDL589859 JNH589828:JNH589859 JXD589828:JXD589859 KGZ589828:KGZ589859 KQV589828:KQV589859 LAR589828:LAR589859 LKN589828:LKN589859 LUJ589828:LUJ589859 MEF589828:MEF589859 MOB589828:MOB589859 MXX589828:MXX589859 NHT589828:NHT589859 NRP589828:NRP589859 OBL589828:OBL589859 OLH589828:OLH589859 OVD589828:OVD589859 PEZ589828:PEZ589859 POV589828:POV589859 PYR589828:PYR589859 QIN589828:QIN589859 QSJ589828:QSJ589859 RCF589828:RCF589859 RMB589828:RMB589859 RVX589828:RVX589859 SFT589828:SFT589859 SPP589828:SPP589859 SZL589828:SZL589859 TJH589828:TJH589859 TTD589828:TTD589859 UCZ589828:UCZ589859 UMV589828:UMV589859 UWR589828:UWR589859 VGN589828:VGN589859 VQJ589828:VQJ589859 WAF589828:WAF589859 WKB589828:WKB589859 WTX589828:WTX589859 H655364:H655395 HL655364:HL655395 RH655364:RH655395 ABD655364:ABD655395 AKZ655364:AKZ655395 AUV655364:AUV655395 BER655364:BER655395 BON655364:BON655395 BYJ655364:BYJ655395 CIF655364:CIF655395 CSB655364:CSB655395 DBX655364:DBX655395 DLT655364:DLT655395 DVP655364:DVP655395 EFL655364:EFL655395 EPH655364:EPH655395 EZD655364:EZD655395 FIZ655364:FIZ655395 FSV655364:FSV655395 GCR655364:GCR655395 GMN655364:GMN655395 GWJ655364:GWJ655395 HGF655364:HGF655395 HQB655364:HQB655395 HZX655364:HZX655395 IJT655364:IJT655395 ITP655364:ITP655395 JDL655364:JDL655395 JNH655364:JNH655395 JXD655364:JXD655395 KGZ655364:KGZ655395 KQV655364:KQV655395 LAR655364:LAR655395 LKN655364:LKN655395 LUJ655364:LUJ655395 MEF655364:MEF655395 MOB655364:MOB655395 MXX655364:MXX655395 NHT655364:NHT655395 NRP655364:NRP655395 OBL655364:OBL655395 OLH655364:OLH655395 OVD655364:OVD655395 PEZ655364:PEZ655395 POV655364:POV655395 PYR655364:PYR655395 QIN655364:QIN655395 QSJ655364:QSJ655395 RCF655364:RCF655395 RMB655364:RMB655395 RVX655364:RVX655395 SFT655364:SFT655395 SPP655364:SPP655395 SZL655364:SZL655395 TJH655364:TJH655395 TTD655364:TTD655395 UCZ655364:UCZ655395 UMV655364:UMV655395 UWR655364:UWR655395 VGN655364:VGN655395 VQJ655364:VQJ655395 WAF655364:WAF655395 WKB655364:WKB655395 WTX655364:WTX655395 H720900:H720931 HL720900:HL720931 RH720900:RH720931 ABD720900:ABD720931 AKZ720900:AKZ720931 AUV720900:AUV720931 BER720900:BER720931 BON720900:BON720931 BYJ720900:BYJ720931 CIF720900:CIF720931 CSB720900:CSB720931 DBX720900:DBX720931 DLT720900:DLT720931 DVP720900:DVP720931 EFL720900:EFL720931 EPH720900:EPH720931 EZD720900:EZD720931 FIZ720900:FIZ720931 FSV720900:FSV720931 GCR720900:GCR720931 GMN720900:GMN720931 GWJ720900:GWJ720931 HGF720900:HGF720931 HQB720900:HQB720931 HZX720900:HZX720931 IJT720900:IJT720931 ITP720900:ITP720931 JDL720900:JDL720931 JNH720900:JNH720931 JXD720900:JXD720931 KGZ720900:KGZ720931 KQV720900:KQV720931 LAR720900:LAR720931 LKN720900:LKN720931 LUJ720900:LUJ720931 MEF720900:MEF720931 MOB720900:MOB720931 MXX720900:MXX720931 NHT720900:NHT720931 NRP720900:NRP720931 OBL720900:OBL720931 OLH720900:OLH720931 OVD720900:OVD720931 PEZ720900:PEZ720931 POV720900:POV720931 PYR720900:PYR720931 QIN720900:QIN720931 QSJ720900:QSJ720931 RCF720900:RCF720931 RMB720900:RMB720931 RVX720900:RVX720931 SFT720900:SFT720931 SPP720900:SPP720931 SZL720900:SZL720931 TJH720900:TJH720931 TTD720900:TTD720931 UCZ720900:UCZ720931 UMV720900:UMV720931 UWR720900:UWR720931 VGN720900:VGN720931 VQJ720900:VQJ720931 WAF720900:WAF720931 WKB720900:WKB720931 WTX720900:WTX720931 H786436:H786467 HL786436:HL786467 RH786436:RH786467 ABD786436:ABD786467 AKZ786436:AKZ786467 AUV786436:AUV786467 BER786436:BER786467 BON786436:BON786467 BYJ786436:BYJ786467 CIF786436:CIF786467 CSB786436:CSB786467 DBX786436:DBX786467 DLT786436:DLT786467 DVP786436:DVP786467 EFL786436:EFL786467 EPH786436:EPH786467 EZD786436:EZD786467 FIZ786436:FIZ786467 FSV786436:FSV786467 GCR786436:GCR786467 GMN786436:GMN786467 GWJ786436:GWJ786467 HGF786436:HGF786467 HQB786436:HQB786467 HZX786436:HZX786467 IJT786436:IJT786467 ITP786436:ITP786467 JDL786436:JDL786467 JNH786436:JNH786467 JXD786436:JXD786467 KGZ786436:KGZ786467 KQV786436:KQV786467 LAR786436:LAR786467 LKN786436:LKN786467 LUJ786436:LUJ786467 MEF786436:MEF786467 MOB786436:MOB786467 MXX786436:MXX786467 NHT786436:NHT786467 NRP786436:NRP786467 OBL786436:OBL786467 OLH786436:OLH786467 OVD786436:OVD786467 PEZ786436:PEZ786467 POV786436:POV786467 PYR786436:PYR786467 QIN786436:QIN786467 QSJ786436:QSJ786467 RCF786436:RCF786467 RMB786436:RMB786467 RVX786436:RVX786467 SFT786436:SFT786467 SPP786436:SPP786467 SZL786436:SZL786467 TJH786436:TJH786467 TTD786436:TTD786467 UCZ786436:UCZ786467 UMV786436:UMV786467 UWR786436:UWR786467 VGN786436:VGN786467 VQJ786436:VQJ786467 WAF786436:WAF786467 WKB786436:WKB786467 WTX786436:WTX786467 H851972:H852003 HL851972:HL852003 RH851972:RH852003 ABD851972:ABD852003 AKZ851972:AKZ852003 AUV851972:AUV852003 BER851972:BER852003 BON851972:BON852003 BYJ851972:BYJ852003 CIF851972:CIF852003 CSB851972:CSB852003 DBX851972:DBX852003 DLT851972:DLT852003 DVP851972:DVP852003 EFL851972:EFL852003 EPH851972:EPH852003 EZD851972:EZD852003 FIZ851972:FIZ852003 FSV851972:FSV852003 GCR851972:GCR852003 GMN851972:GMN852003 GWJ851972:GWJ852003 HGF851972:HGF852003 HQB851972:HQB852003 HZX851972:HZX852003 IJT851972:IJT852003 ITP851972:ITP852003 JDL851972:JDL852003 JNH851972:JNH852003 JXD851972:JXD852003 KGZ851972:KGZ852003 KQV851972:KQV852003 LAR851972:LAR852003 LKN851972:LKN852003 LUJ851972:LUJ852003 MEF851972:MEF852003 MOB851972:MOB852003 MXX851972:MXX852003 NHT851972:NHT852003 NRP851972:NRP852003 OBL851972:OBL852003 OLH851972:OLH852003 OVD851972:OVD852003 PEZ851972:PEZ852003 POV851972:POV852003 PYR851972:PYR852003 QIN851972:QIN852003 QSJ851972:QSJ852003 RCF851972:RCF852003 RMB851972:RMB852003 RVX851972:RVX852003 SFT851972:SFT852003 SPP851972:SPP852003 SZL851972:SZL852003 TJH851972:TJH852003 TTD851972:TTD852003 UCZ851972:UCZ852003 UMV851972:UMV852003 UWR851972:UWR852003 VGN851972:VGN852003 VQJ851972:VQJ852003 WAF851972:WAF852003 WKB851972:WKB852003 WTX851972:WTX852003 H917508:H917539 HL917508:HL917539 RH917508:RH917539 ABD917508:ABD917539 AKZ917508:AKZ917539 AUV917508:AUV917539 BER917508:BER917539 BON917508:BON917539 BYJ917508:BYJ917539 CIF917508:CIF917539 CSB917508:CSB917539 DBX917508:DBX917539 DLT917508:DLT917539 DVP917508:DVP917539 EFL917508:EFL917539 EPH917508:EPH917539 EZD917508:EZD917539 FIZ917508:FIZ917539 FSV917508:FSV917539 GCR917508:GCR917539 GMN917508:GMN917539 GWJ917508:GWJ917539 HGF917508:HGF917539 HQB917508:HQB917539 HZX917508:HZX917539 IJT917508:IJT917539 ITP917508:ITP917539 JDL917508:JDL917539 JNH917508:JNH917539 JXD917508:JXD917539 KGZ917508:KGZ917539 KQV917508:KQV917539 LAR917508:LAR917539 LKN917508:LKN917539 LUJ917508:LUJ917539 MEF917508:MEF917539 MOB917508:MOB917539 MXX917508:MXX917539 NHT917508:NHT917539 NRP917508:NRP917539 OBL917508:OBL917539 OLH917508:OLH917539 OVD917508:OVD917539 PEZ917508:PEZ917539 POV917508:POV917539 PYR917508:PYR917539 QIN917508:QIN917539 QSJ917508:QSJ917539 RCF917508:RCF917539 RMB917508:RMB917539 RVX917508:RVX917539 SFT917508:SFT917539 SPP917508:SPP917539 SZL917508:SZL917539 TJH917508:TJH917539 TTD917508:TTD917539 UCZ917508:UCZ917539 UMV917508:UMV917539 UWR917508:UWR917539 VGN917508:VGN917539 VQJ917508:VQJ917539 WAF917508:WAF917539 WKB917508:WKB917539 WTX917508:WTX917539 H983044:H983075 HL983044:HL983075 RH983044:RH983075 ABD983044:ABD983075 AKZ983044:AKZ983075 AUV983044:AUV983075 BER983044:BER983075 BON983044:BON983075 BYJ983044:BYJ983075 CIF983044:CIF983075 CSB983044:CSB983075 DBX983044:DBX983075 DLT983044:DLT983075 DVP983044:DVP983075 EFL983044:EFL983075 EPH983044:EPH983075 EZD983044:EZD983075 FIZ983044:FIZ983075 FSV983044:FSV983075 GCR983044:GCR983075 GMN983044:GMN983075 GWJ983044:GWJ983075 HGF983044:HGF983075 HQB983044:HQB983075 HZX983044:HZX983075 IJT983044:IJT983075 ITP983044:ITP983075 JDL983044:JDL983075 JNH983044:JNH983075 JXD983044:JXD983075 KGZ983044:KGZ983075 KQV983044:KQV983075 LAR983044:LAR983075 LKN983044:LKN983075 LUJ983044:LUJ983075 MEF983044:MEF983075 MOB983044:MOB983075 MXX983044:MXX983075 NHT983044:NHT983075 NRP983044:NRP983075 OBL983044:OBL983075 OLH983044:OLH983075 OVD983044:OVD983075 PEZ983044:PEZ983075 POV983044:POV983075 PYR983044:PYR983075 QIN983044:QIN983075 QSJ983044:QSJ983075 RCF983044:RCF983075 RMB983044:RMB983075 RVX983044:RVX983075 SFT983044:SFT983075 SPP983044:SPP983075 SZL983044:SZL983075 TJH983044:TJH983075 TTD983044:TTD983075 UCZ983044:UCZ983075 UMV983044:UMV983075 UWR983044:UWR983075 VGN983044:VGN983075 VQJ983044:VQJ983075 WAF983044:WAF983075 WKB983044:WKB983075 WTX983044:WTX983075 WVD983044:WVD983075 HT4:HT35 RP4:RP35 ABL4:ABL35 ALH4:ALH35 AVD4:AVD35 BEZ4:BEZ35 BOV4:BOV35 BYR4:BYR35 CIN4:CIN35 CSJ4:CSJ35 DCF4:DCF35 DMB4:DMB35 DVX4:DVX35 EFT4:EFT35 EPP4:EPP35 EZL4:EZL35 FJH4:FJH35 FTD4:FTD35 GCZ4:GCZ35 GMV4:GMV35 GWR4:GWR35 HGN4:HGN35 HQJ4:HQJ35 IAF4:IAF35 IKB4:IKB35 ITX4:ITX35 JDT4:JDT35 JNP4:JNP35 JXL4:JXL35 KHH4:KHH35 KRD4:KRD35 LAZ4:LAZ35 LKV4:LKV35 LUR4:LUR35 MEN4:MEN35 MOJ4:MOJ35 MYF4:MYF35 NIB4:NIB35 NRX4:NRX35 OBT4:OBT35 OLP4:OLP35 OVL4:OVL35 PFH4:PFH35 PPD4:PPD35 PYZ4:PYZ35 QIV4:QIV35 QSR4:QSR35 RCN4:RCN35 RMJ4:RMJ35 RWF4:RWF35 SGB4:SGB35 SPX4:SPX35 SZT4:SZT35 TJP4:TJP35 TTL4:TTL35 UDH4:UDH35 UND4:UND35 UWZ4:UWZ35 VGV4:VGV35 VQR4:VQR35 WAN4:WAN35 WKJ4:WKJ35 WUF4:WUF35 J65540:J65571 HT65540:HT65571 RP65540:RP65571 ABL65540:ABL65571 ALH65540:ALH65571 AVD65540:AVD65571 BEZ65540:BEZ65571 BOV65540:BOV65571 BYR65540:BYR65571 CIN65540:CIN65571 CSJ65540:CSJ65571 DCF65540:DCF65571 DMB65540:DMB65571 DVX65540:DVX65571 EFT65540:EFT65571 EPP65540:EPP65571 EZL65540:EZL65571 FJH65540:FJH65571 FTD65540:FTD65571 GCZ65540:GCZ65571 GMV65540:GMV65571 GWR65540:GWR65571 HGN65540:HGN65571 HQJ65540:HQJ65571 IAF65540:IAF65571 IKB65540:IKB65571 ITX65540:ITX65571 JDT65540:JDT65571 JNP65540:JNP65571 JXL65540:JXL65571 KHH65540:KHH65571 KRD65540:KRD65571 LAZ65540:LAZ65571 LKV65540:LKV65571 LUR65540:LUR65571 MEN65540:MEN65571 MOJ65540:MOJ65571 MYF65540:MYF65571 NIB65540:NIB65571 NRX65540:NRX65571 OBT65540:OBT65571 OLP65540:OLP65571 OVL65540:OVL65571 PFH65540:PFH65571 PPD65540:PPD65571 PYZ65540:PYZ65571 QIV65540:QIV65571 QSR65540:QSR65571 RCN65540:RCN65571 RMJ65540:RMJ65571 RWF65540:RWF65571 SGB65540:SGB65571 SPX65540:SPX65571 SZT65540:SZT65571 TJP65540:TJP65571 TTL65540:TTL65571 UDH65540:UDH65571 UND65540:UND65571 UWZ65540:UWZ65571 VGV65540:VGV65571 VQR65540:VQR65571 WAN65540:WAN65571 WKJ65540:WKJ65571 WUF65540:WUF65571 J131076:J131107 HT131076:HT131107 RP131076:RP131107 ABL131076:ABL131107 ALH131076:ALH131107 AVD131076:AVD131107 BEZ131076:BEZ131107 BOV131076:BOV131107 BYR131076:BYR131107 CIN131076:CIN131107 CSJ131076:CSJ131107 DCF131076:DCF131107 DMB131076:DMB131107 DVX131076:DVX131107 EFT131076:EFT131107 EPP131076:EPP131107 EZL131076:EZL131107 FJH131076:FJH131107 FTD131076:FTD131107 GCZ131076:GCZ131107 GMV131076:GMV131107 GWR131076:GWR131107 HGN131076:HGN131107 HQJ131076:HQJ131107 IAF131076:IAF131107 IKB131076:IKB131107 ITX131076:ITX131107 JDT131076:JDT131107 JNP131076:JNP131107 JXL131076:JXL131107 KHH131076:KHH131107 KRD131076:KRD131107 LAZ131076:LAZ131107 LKV131076:LKV131107 LUR131076:LUR131107 MEN131076:MEN131107 MOJ131076:MOJ131107 MYF131076:MYF131107 NIB131076:NIB131107 NRX131076:NRX131107 OBT131076:OBT131107 OLP131076:OLP131107 OVL131076:OVL131107 PFH131076:PFH131107 PPD131076:PPD131107 PYZ131076:PYZ131107 QIV131076:QIV131107 QSR131076:QSR131107 RCN131076:RCN131107 RMJ131076:RMJ131107 RWF131076:RWF131107 SGB131076:SGB131107 SPX131076:SPX131107 SZT131076:SZT131107 TJP131076:TJP131107 TTL131076:TTL131107 UDH131076:UDH131107 UND131076:UND131107 UWZ131076:UWZ131107 VGV131076:VGV131107 VQR131076:VQR131107 WAN131076:WAN131107 WKJ131076:WKJ131107 WUF131076:WUF131107 J196612:J196643 HT196612:HT196643 RP196612:RP196643 ABL196612:ABL196643 ALH196612:ALH196643 AVD196612:AVD196643 BEZ196612:BEZ196643 BOV196612:BOV196643 BYR196612:BYR196643 CIN196612:CIN196643 CSJ196612:CSJ196643 DCF196612:DCF196643 DMB196612:DMB196643 DVX196612:DVX196643 EFT196612:EFT196643 EPP196612:EPP196643 EZL196612:EZL196643 FJH196612:FJH196643 FTD196612:FTD196643 GCZ196612:GCZ196643 GMV196612:GMV196643 GWR196612:GWR196643 HGN196612:HGN196643 HQJ196612:HQJ196643 IAF196612:IAF196643 IKB196612:IKB196643 ITX196612:ITX196643 JDT196612:JDT196643 JNP196612:JNP196643 JXL196612:JXL196643 KHH196612:KHH196643 KRD196612:KRD196643 LAZ196612:LAZ196643 LKV196612:LKV196643 LUR196612:LUR196643 MEN196612:MEN196643 MOJ196612:MOJ196643 MYF196612:MYF196643 NIB196612:NIB196643 NRX196612:NRX196643 OBT196612:OBT196643 OLP196612:OLP196643 OVL196612:OVL196643 PFH196612:PFH196643 PPD196612:PPD196643 PYZ196612:PYZ196643 QIV196612:QIV196643 QSR196612:QSR196643 RCN196612:RCN196643 RMJ196612:RMJ196643 RWF196612:RWF196643 SGB196612:SGB196643 SPX196612:SPX196643 SZT196612:SZT196643 TJP196612:TJP196643 TTL196612:TTL196643 UDH196612:UDH196643 UND196612:UND196643 UWZ196612:UWZ196643 VGV196612:VGV196643 VQR196612:VQR196643 WAN196612:WAN196643 WKJ196612:WKJ196643 WUF196612:WUF196643 J262148:J262179 HT262148:HT262179 RP262148:RP262179 ABL262148:ABL262179 ALH262148:ALH262179 AVD262148:AVD262179 BEZ262148:BEZ262179 BOV262148:BOV262179 BYR262148:BYR262179 CIN262148:CIN262179 CSJ262148:CSJ262179 DCF262148:DCF262179 DMB262148:DMB262179 DVX262148:DVX262179 EFT262148:EFT262179 EPP262148:EPP262179 EZL262148:EZL262179 FJH262148:FJH262179 FTD262148:FTD262179 GCZ262148:GCZ262179 GMV262148:GMV262179 GWR262148:GWR262179 HGN262148:HGN262179 HQJ262148:HQJ262179 IAF262148:IAF262179 IKB262148:IKB262179 ITX262148:ITX262179 JDT262148:JDT262179 JNP262148:JNP262179 JXL262148:JXL262179 KHH262148:KHH262179 KRD262148:KRD262179 LAZ262148:LAZ262179 LKV262148:LKV262179 LUR262148:LUR262179 MEN262148:MEN262179 MOJ262148:MOJ262179 MYF262148:MYF262179 NIB262148:NIB262179 NRX262148:NRX262179 OBT262148:OBT262179 OLP262148:OLP262179 OVL262148:OVL262179 PFH262148:PFH262179 PPD262148:PPD262179 PYZ262148:PYZ262179 QIV262148:QIV262179 QSR262148:QSR262179 RCN262148:RCN262179 RMJ262148:RMJ262179 RWF262148:RWF262179 SGB262148:SGB262179 SPX262148:SPX262179 SZT262148:SZT262179 TJP262148:TJP262179 TTL262148:TTL262179 UDH262148:UDH262179 UND262148:UND262179 UWZ262148:UWZ262179 VGV262148:VGV262179 VQR262148:VQR262179 WAN262148:WAN262179 WKJ262148:WKJ262179 WUF262148:WUF262179 J327684:J327715 HT327684:HT327715 RP327684:RP327715 ABL327684:ABL327715 ALH327684:ALH327715 AVD327684:AVD327715 BEZ327684:BEZ327715 BOV327684:BOV327715 BYR327684:BYR327715 CIN327684:CIN327715 CSJ327684:CSJ327715 DCF327684:DCF327715 DMB327684:DMB327715 DVX327684:DVX327715 EFT327684:EFT327715 EPP327684:EPP327715 EZL327684:EZL327715 FJH327684:FJH327715 FTD327684:FTD327715 GCZ327684:GCZ327715 GMV327684:GMV327715 GWR327684:GWR327715 HGN327684:HGN327715 HQJ327684:HQJ327715 IAF327684:IAF327715 IKB327684:IKB327715 ITX327684:ITX327715 JDT327684:JDT327715 JNP327684:JNP327715 JXL327684:JXL327715 KHH327684:KHH327715 KRD327684:KRD327715 LAZ327684:LAZ327715 LKV327684:LKV327715 LUR327684:LUR327715 MEN327684:MEN327715 MOJ327684:MOJ327715 MYF327684:MYF327715 NIB327684:NIB327715 NRX327684:NRX327715 OBT327684:OBT327715 OLP327684:OLP327715 OVL327684:OVL327715 PFH327684:PFH327715 PPD327684:PPD327715 PYZ327684:PYZ327715 QIV327684:QIV327715 QSR327684:QSR327715 RCN327684:RCN327715 RMJ327684:RMJ327715 RWF327684:RWF327715 SGB327684:SGB327715 SPX327684:SPX327715 SZT327684:SZT327715 TJP327684:TJP327715 TTL327684:TTL327715 UDH327684:UDH327715 UND327684:UND327715 UWZ327684:UWZ327715 VGV327684:VGV327715 VQR327684:VQR327715 WAN327684:WAN327715 WKJ327684:WKJ327715 WUF327684:WUF327715 J393220:J393251 HT393220:HT393251 RP393220:RP393251 ABL393220:ABL393251 ALH393220:ALH393251 AVD393220:AVD393251 BEZ393220:BEZ393251 BOV393220:BOV393251 BYR393220:BYR393251 CIN393220:CIN393251 CSJ393220:CSJ393251 DCF393220:DCF393251 DMB393220:DMB393251 DVX393220:DVX393251 EFT393220:EFT393251 EPP393220:EPP393251 EZL393220:EZL393251 FJH393220:FJH393251 FTD393220:FTD393251 GCZ393220:GCZ393251 GMV393220:GMV393251 GWR393220:GWR393251 HGN393220:HGN393251 HQJ393220:HQJ393251 IAF393220:IAF393251 IKB393220:IKB393251 ITX393220:ITX393251 JDT393220:JDT393251 JNP393220:JNP393251 JXL393220:JXL393251 KHH393220:KHH393251 KRD393220:KRD393251 LAZ393220:LAZ393251 LKV393220:LKV393251 LUR393220:LUR393251 MEN393220:MEN393251 MOJ393220:MOJ393251 MYF393220:MYF393251 NIB393220:NIB393251 NRX393220:NRX393251 OBT393220:OBT393251 OLP393220:OLP393251 OVL393220:OVL393251 PFH393220:PFH393251 PPD393220:PPD393251 PYZ393220:PYZ393251 QIV393220:QIV393251 QSR393220:QSR393251 RCN393220:RCN393251 RMJ393220:RMJ393251 RWF393220:RWF393251 SGB393220:SGB393251 SPX393220:SPX393251 SZT393220:SZT393251 TJP393220:TJP393251 TTL393220:TTL393251 UDH393220:UDH393251 UND393220:UND393251 UWZ393220:UWZ393251 VGV393220:VGV393251 VQR393220:VQR393251 WAN393220:WAN393251 WKJ393220:WKJ393251 WUF393220:WUF393251 J458756:J458787 HT458756:HT458787 RP458756:RP458787 ABL458756:ABL458787 ALH458756:ALH458787 AVD458756:AVD458787 BEZ458756:BEZ458787 BOV458756:BOV458787 BYR458756:BYR458787 CIN458756:CIN458787 CSJ458756:CSJ458787 DCF458756:DCF458787 DMB458756:DMB458787 DVX458756:DVX458787 EFT458756:EFT458787 EPP458756:EPP458787 EZL458756:EZL458787 FJH458756:FJH458787 FTD458756:FTD458787 GCZ458756:GCZ458787 GMV458756:GMV458787 GWR458756:GWR458787 HGN458756:HGN458787 HQJ458756:HQJ458787 IAF458756:IAF458787 IKB458756:IKB458787 ITX458756:ITX458787 JDT458756:JDT458787 JNP458756:JNP458787 JXL458756:JXL458787 KHH458756:KHH458787 KRD458756:KRD458787 LAZ458756:LAZ458787 LKV458756:LKV458787 LUR458756:LUR458787 MEN458756:MEN458787 MOJ458756:MOJ458787 MYF458756:MYF458787 NIB458756:NIB458787 NRX458756:NRX458787 OBT458756:OBT458787 OLP458756:OLP458787 OVL458756:OVL458787 PFH458756:PFH458787 PPD458756:PPD458787 PYZ458756:PYZ458787 QIV458756:QIV458787 QSR458756:QSR458787 RCN458756:RCN458787 RMJ458756:RMJ458787 RWF458756:RWF458787 SGB458756:SGB458787 SPX458756:SPX458787 SZT458756:SZT458787 TJP458756:TJP458787 TTL458756:TTL458787 UDH458756:UDH458787 UND458756:UND458787 UWZ458756:UWZ458787 VGV458756:VGV458787 VQR458756:VQR458787 WAN458756:WAN458787 WKJ458756:WKJ458787 WUF458756:WUF458787 J524292:J524323 HT524292:HT524323 RP524292:RP524323 ABL524292:ABL524323 ALH524292:ALH524323 AVD524292:AVD524323 BEZ524292:BEZ524323 BOV524292:BOV524323 BYR524292:BYR524323 CIN524292:CIN524323 CSJ524292:CSJ524323 DCF524292:DCF524323 DMB524292:DMB524323 DVX524292:DVX524323 EFT524292:EFT524323 EPP524292:EPP524323 EZL524292:EZL524323 FJH524292:FJH524323 FTD524292:FTD524323 GCZ524292:GCZ524323 GMV524292:GMV524323 GWR524292:GWR524323 HGN524292:HGN524323 HQJ524292:HQJ524323 IAF524292:IAF524323 IKB524292:IKB524323 ITX524292:ITX524323 JDT524292:JDT524323 JNP524292:JNP524323 JXL524292:JXL524323 KHH524292:KHH524323 KRD524292:KRD524323 LAZ524292:LAZ524323 LKV524292:LKV524323 LUR524292:LUR524323 MEN524292:MEN524323 MOJ524292:MOJ524323 MYF524292:MYF524323 NIB524292:NIB524323 NRX524292:NRX524323 OBT524292:OBT524323 OLP524292:OLP524323 OVL524292:OVL524323 PFH524292:PFH524323 PPD524292:PPD524323 PYZ524292:PYZ524323 QIV524292:QIV524323 QSR524292:QSR524323 RCN524292:RCN524323 RMJ524292:RMJ524323 RWF524292:RWF524323 SGB524292:SGB524323 SPX524292:SPX524323 SZT524292:SZT524323 TJP524292:TJP524323 TTL524292:TTL524323 UDH524292:UDH524323 UND524292:UND524323 UWZ524292:UWZ524323 VGV524292:VGV524323 VQR524292:VQR524323 WAN524292:WAN524323 WKJ524292:WKJ524323 WUF524292:WUF524323 J589828:J589859 HT589828:HT589859 RP589828:RP589859 ABL589828:ABL589859 ALH589828:ALH589859 AVD589828:AVD589859 BEZ589828:BEZ589859 BOV589828:BOV589859 BYR589828:BYR589859 CIN589828:CIN589859 CSJ589828:CSJ589859 DCF589828:DCF589859 DMB589828:DMB589859 DVX589828:DVX589859 EFT589828:EFT589859 EPP589828:EPP589859 EZL589828:EZL589859 FJH589828:FJH589859 FTD589828:FTD589859 GCZ589828:GCZ589859 GMV589828:GMV589859 GWR589828:GWR589859 HGN589828:HGN589859 HQJ589828:HQJ589859 IAF589828:IAF589859 IKB589828:IKB589859 ITX589828:ITX589859 JDT589828:JDT589859 JNP589828:JNP589859 JXL589828:JXL589859 KHH589828:KHH589859 KRD589828:KRD589859 LAZ589828:LAZ589859 LKV589828:LKV589859 LUR589828:LUR589859 MEN589828:MEN589859 MOJ589828:MOJ589859 MYF589828:MYF589859 NIB589828:NIB589859 NRX589828:NRX589859 OBT589828:OBT589859 OLP589828:OLP589859 OVL589828:OVL589859 PFH589828:PFH589859 PPD589828:PPD589859 PYZ589828:PYZ589859 QIV589828:QIV589859 QSR589828:QSR589859 RCN589828:RCN589859 RMJ589828:RMJ589859 RWF589828:RWF589859 SGB589828:SGB589859 SPX589828:SPX589859 SZT589828:SZT589859 TJP589828:TJP589859 TTL589828:TTL589859 UDH589828:UDH589859 UND589828:UND589859 UWZ589828:UWZ589859 VGV589828:VGV589859 VQR589828:VQR589859 WAN589828:WAN589859 WKJ589828:WKJ589859 WUF589828:WUF589859 J655364:J655395 HT655364:HT655395 RP655364:RP655395 ABL655364:ABL655395 ALH655364:ALH655395 AVD655364:AVD655395 BEZ655364:BEZ655395 BOV655364:BOV655395 BYR655364:BYR655395 CIN655364:CIN655395 CSJ655364:CSJ655395 DCF655364:DCF655395 DMB655364:DMB655395 DVX655364:DVX655395 EFT655364:EFT655395 EPP655364:EPP655395 EZL655364:EZL655395 FJH655364:FJH655395 FTD655364:FTD655395 GCZ655364:GCZ655395 GMV655364:GMV655395 GWR655364:GWR655395 HGN655364:HGN655395 HQJ655364:HQJ655395 IAF655364:IAF655395 IKB655364:IKB655395 ITX655364:ITX655395 JDT655364:JDT655395 JNP655364:JNP655395 JXL655364:JXL655395 KHH655364:KHH655395 KRD655364:KRD655395 LAZ655364:LAZ655395 LKV655364:LKV655395 LUR655364:LUR655395 MEN655364:MEN655395 MOJ655364:MOJ655395 MYF655364:MYF655395 NIB655364:NIB655395 NRX655364:NRX655395 OBT655364:OBT655395 OLP655364:OLP655395 OVL655364:OVL655395 PFH655364:PFH655395 PPD655364:PPD655395 PYZ655364:PYZ655395 QIV655364:QIV655395 QSR655364:QSR655395 RCN655364:RCN655395 RMJ655364:RMJ655395 RWF655364:RWF655395 SGB655364:SGB655395 SPX655364:SPX655395 SZT655364:SZT655395 TJP655364:TJP655395 TTL655364:TTL655395 UDH655364:UDH655395 UND655364:UND655395 UWZ655364:UWZ655395 VGV655364:VGV655395 VQR655364:VQR655395 WAN655364:WAN655395 WKJ655364:WKJ655395 WUF655364:WUF655395 J720900:J720931 HT720900:HT720931 RP720900:RP720931 ABL720900:ABL720931 ALH720900:ALH720931 AVD720900:AVD720931 BEZ720900:BEZ720931 BOV720900:BOV720931 BYR720900:BYR720931 CIN720900:CIN720931 CSJ720900:CSJ720931 DCF720900:DCF720931 DMB720900:DMB720931 DVX720900:DVX720931 EFT720900:EFT720931 EPP720900:EPP720931 EZL720900:EZL720931 FJH720900:FJH720931 FTD720900:FTD720931 GCZ720900:GCZ720931 GMV720900:GMV720931 GWR720900:GWR720931 HGN720900:HGN720931 HQJ720900:HQJ720931 IAF720900:IAF720931 IKB720900:IKB720931 ITX720900:ITX720931 JDT720900:JDT720931 JNP720900:JNP720931 JXL720900:JXL720931 KHH720900:KHH720931 KRD720900:KRD720931 LAZ720900:LAZ720931 LKV720900:LKV720931 LUR720900:LUR720931 MEN720900:MEN720931 MOJ720900:MOJ720931 MYF720900:MYF720931 NIB720900:NIB720931 NRX720900:NRX720931 OBT720900:OBT720931 OLP720900:OLP720931 OVL720900:OVL720931 PFH720900:PFH720931 PPD720900:PPD720931 PYZ720900:PYZ720931 QIV720900:QIV720931 QSR720900:QSR720931 RCN720900:RCN720931 RMJ720900:RMJ720931 RWF720900:RWF720931 SGB720900:SGB720931 SPX720900:SPX720931 SZT720900:SZT720931 TJP720900:TJP720931 TTL720900:TTL720931 UDH720900:UDH720931 UND720900:UND720931 UWZ720900:UWZ720931 VGV720900:VGV720931 VQR720900:VQR720931 WAN720900:WAN720931 WKJ720900:WKJ720931 WUF720900:WUF720931 J786436:J786467 HT786436:HT786467 RP786436:RP786467 ABL786436:ABL786467 ALH786436:ALH786467 AVD786436:AVD786467 BEZ786436:BEZ786467 BOV786436:BOV786467 BYR786436:BYR786467 CIN786436:CIN786467 CSJ786436:CSJ786467 DCF786436:DCF786467 DMB786436:DMB786467 DVX786436:DVX786467 EFT786436:EFT786467 EPP786436:EPP786467 EZL786436:EZL786467 FJH786436:FJH786467 FTD786436:FTD786467 GCZ786436:GCZ786467 GMV786436:GMV786467 GWR786436:GWR786467 HGN786436:HGN786467 HQJ786436:HQJ786467 IAF786436:IAF786467 IKB786436:IKB786467 ITX786436:ITX786467 JDT786436:JDT786467 JNP786436:JNP786467 JXL786436:JXL786467 KHH786436:KHH786467 KRD786436:KRD786467 LAZ786436:LAZ786467 LKV786436:LKV786467 LUR786436:LUR786467 MEN786436:MEN786467 MOJ786436:MOJ786467 MYF786436:MYF786467 NIB786436:NIB786467 NRX786436:NRX786467 OBT786436:OBT786467 OLP786436:OLP786467 OVL786436:OVL786467 PFH786436:PFH786467 PPD786436:PPD786467 PYZ786436:PYZ786467 QIV786436:QIV786467 QSR786436:QSR786467 RCN786436:RCN786467 RMJ786436:RMJ786467 RWF786436:RWF786467 SGB786436:SGB786467 SPX786436:SPX786467 SZT786436:SZT786467 TJP786436:TJP786467 TTL786436:TTL786467 UDH786436:UDH786467 UND786436:UND786467 UWZ786436:UWZ786467 VGV786436:VGV786467 VQR786436:VQR786467 WAN786436:WAN786467 WKJ786436:WKJ786467 WUF786436:WUF786467 J851972:J852003 HT851972:HT852003 RP851972:RP852003 ABL851972:ABL852003 ALH851972:ALH852003 AVD851972:AVD852003 BEZ851972:BEZ852003 BOV851972:BOV852003 BYR851972:BYR852003 CIN851972:CIN852003 CSJ851972:CSJ852003 DCF851972:DCF852003 DMB851972:DMB852003 DVX851972:DVX852003 EFT851972:EFT852003 EPP851972:EPP852003 EZL851972:EZL852003 FJH851972:FJH852003 FTD851972:FTD852003 GCZ851972:GCZ852003 GMV851972:GMV852003 GWR851972:GWR852003 HGN851972:HGN852003 HQJ851972:HQJ852003 IAF851972:IAF852003 IKB851972:IKB852003 ITX851972:ITX852003 JDT851972:JDT852003 JNP851972:JNP852003 JXL851972:JXL852003 KHH851972:KHH852003 KRD851972:KRD852003 LAZ851972:LAZ852003 LKV851972:LKV852003 LUR851972:LUR852003 MEN851972:MEN852003 MOJ851972:MOJ852003 MYF851972:MYF852003 NIB851972:NIB852003 NRX851972:NRX852003 OBT851972:OBT852003 OLP851972:OLP852003 OVL851972:OVL852003 PFH851972:PFH852003 PPD851972:PPD852003 PYZ851972:PYZ852003 QIV851972:QIV852003 QSR851972:QSR852003 RCN851972:RCN852003 RMJ851972:RMJ852003 RWF851972:RWF852003 SGB851972:SGB852003 SPX851972:SPX852003 SZT851972:SZT852003 TJP851972:TJP852003 TTL851972:TTL852003 UDH851972:UDH852003 UND851972:UND852003 UWZ851972:UWZ852003 VGV851972:VGV852003 VQR851972:VQR852003 WAN851972:WAN852003 WKJ851972:WKJ852003 WUF851972:WUF852003 J917508:J917539 HT917508:HT917539 RP917508:RP917539 ABL917508:ABL917539 ALH917508:ALH917539 AVD917508:AVD917539 BEZ917508:BEZ917539 BOV917508:BOV917539 BYR917508:BYR917539 CIN917508:CIN917539 CSJ917508:CSJ917539 DCF917508:DCF917539 DMB917508:DMB917539 DVX917508:DVX917539 EFT917508:EFT917539 EPP917508:EPP917539 EZL917508:EZL917539 FJH917508:FJH917539 FTD917508:FTD917539 GCZ917508:GCZ917539 GMV917508:GMV917539 GWR917508:GWR917539 HGN917508:HGN917539 HQJ917508:HQJ917539 IAF917508:IAF917539 IKB917508:IKB917539 ITX917508:ITX917539 JDT917508:JDT917539 JNP917508:JNP917539 JXL917508:JXL917539 KHH917508:KHH917539 KRD917508:KRD917539 LAZ917508:LAZ917539 LKV917508:LKV917539 LUR917508:LUR917539 MEN917508:MEN917539 MOJ917508:MOJ917539 MYF917508:MYF917539 NIB917508:NIB917539 NRX917508:NRX917539 OBT917508:OBT917539 OLP917508:OLP917539 OVL917508:OVL917539 PFH917508:PFH917539 PPD917508:PPD917539 PYZ917508:PYZ917539 QIV917508:QIV917539 QSR917508:QSR917539 RCN917508:RCN917539 RMJ917508:RMJ917539 RWF917508:RWF917539 SGB917508:SGB917539 SPX917508:SPX917539 SZT917508:SZT917539 TJP917508:TJP917539 TTL917508:TTL917539 UDH917508:UDH917539 UND917508:UND917539 UWZ917508:UWZ917539 VGV917508:VGV917539 VQR917508:VQR917539 WAN917508:WAN917539 WKJ917508:WKJ917539 WUF917508:WUF917539 J983044:J983075 HT983044:HT983075 RP983044:RP983075 ABL983044:ABL983075 ALH983044:ALH983075 AVD983044:AVD983075 BEZ983044:BEZ983075 BOV983044:BOV983075 BYR983044:BYR983075 CIN983044:CIN983075 CSJ983044:CSJ983075 DCF983044:DCF983075 DMB983044:DMB983075 DVX983044:DVX983075 EFT983044:EFT983075 EPP983044:EPP983075 EZL983044:EZL983075 FJH983044:FJH983075 FTD983044:FTD983075 GCZ983044:GCZ983075 GMV983044:GMV983075 GWR983044:GWR983075 HGN983044:HGN983075 HQJ983044:HQJ983075 IAF983044:IAF983075 IKB983044:IKB983075 ITX983044:ITX983075 JDT983044:JDT983075 JNP983044:JNP983075 JXL983044:JXL983075 KHH983044:KHH983075 KRD983044:KRD983075 LAZ983044:LAZ983075 LKV983044:LKV983075 LUR983044:LUR983075 MEN983044:MEN983075 MOJ983044:MOJ983075 MYF983044:MYF983075 NIB983044:NIB983075 NRX983044:NRX983075 OBT983044:OBT983075 OLP983044:OLP983075 OVL983044:OVL983075 PFH983044:PFH983075 PPD983044:PPD983075 PYZ983044:PYZ983075 QIV983044:QIV983075 QSR983044:QSR983075 RCN983044:RCN983075 RMJ983044:RMJ983075 RWF983044:RWF983075 SGB983044:SGB983075 SPX983044:SPX983075 SZT983044:SZT983075 TJP983044:TJP983075 TTL983044:TTL983075 UDH983044:UDH983075 UND983044:UND983075 UWZ983044:UWZ983075 VGV983044:VGV983075 VQR983044:VQR983075 WAN983044:WAN983075 WKJ983044:WKJ983075 WUF983044:WUF983075 IB4:IB35 RX4:RX35 ABT4:ABT35 ALP4:ALP35 AVL4:AVL35 BFH4:BFH35 BPD4:BPD35 BYZ4:BYZ35 CIV4:CIV35 CSR4:CSR35 DCN4:DCN35 DMJ4:DMJ35 DWF4:DWF35 EGB4:EGB35 EPX4:EPX35 EZT4:EZT35 FJP4:FJP35 FTL4:FTL35 GDH4:GDH35 GND4:GND35 GWZ4:GWZ35 HGV4:HGV35 HQR4:HQR35 IAN4:IAN35 IKJ4:IKJ35 IUF4:IUF35 JEB4:JEB35 JNX4:JNX35 JXT4:JXT35 KHP4:KHP35 KRL4:KRL35 LBH4:LBH35 LLD4:LLD35 LUZ4:LUZ35 MEV4:MEV35 MOR4:MOR35 MYN4:MYN35 NIJ4:NIJ35 NSF4:NSF35 OCB4:OCB35 OLX4:OLX35 OVT4:OVT35 PFP4:PFP35 PPL4:PPL35 PZH4:PZH35 QJD4:QJD35 QSZ4:QSZ35 RCV4:RCV35 RMR4:RMR35 RWN4:RWN35 SGJ4:SGJ35 SQF4:SQF35 TAB4:TAB35 TJX4:TJX35 TTT4:TTT35 UDP4:UDP35 UNL4:UNL35 UXH4:UXH35 VHD4:VHD35 VQZ4:VQZ35 WAV4:WAV35 WKR4:WKR35 WUN4:WUN35 IB65540:IB65571 RX65540:RX65571 ABT65540:ABT65571 ALP65540:ALP65571 AVL65540:AVL65571 BFH65540:BFH65571 BPD65540:BPD65571 BYZ65540:BYZ65571 CIV65540:CIV65571 CSR65540:CSR65571 DCN65540:DCN65571 DMJ65540:DMJ65571 DWF65540:DWF65571 EGB65540:EGB65571 EPX65540:EPX65571 EZT65540:EZT65571 FJP65540:FJP65571 FTL65540:FTL65571 GDH65540:GDH65571 GND65540:GND65571 GWZ65540:GWZ65571 HGV65540:HGV65571 HQR65540:HQR65571 IAN65540:IAN65571 IKJ65540:IKJ65571 IUF65540:IUF65571 JEB65540:JEB65571 JNX65540:JNX65571 JXT65540:JXT65571 KHP65540:KHP65571 KRL65540:KRL65571 LBH65540:LBH65571 LLD65540:LLD65571 LUZ65540:LUZ65571 MEV65540:MEV65571 MOR65540:MOR65571 MYN65540:MYN65571 NIJ65540:NIJ65571 NSF65540:NSF65571 OCB65540:OCB65571 OLX65540:OLX65571 OVT65540:OVT65571 PFP65540:PFP65571 PPL65540:PPL65571 PZH65540:PZH65571 QJD65540:QJD65571 QSZ65540:QSZ65571 RCV65540:RCV65571 RMR65540:RMR65571 RWN65540:RWN65571 SGJ65540:SGJ65571 SQF65540:SQF65571 TAB65540:TAB65571 TJX65540:TJX65571 TTT65540:TTT65571 UDP65540:UDP65571 UNL65540:UNL65571 UXH65540:UXH65571 VHD65540:VHD65571 VQZ65540:VQZ65571 WAV65540:WAV65571 WKR65540:WKR65571 WUN65540:WUN65571 IB131076:IB131107 RX131076:RX131107 ABT131076:ABT131107 ALP131076:ALP131107 AVL131076:AVL131107 BFH131076:BFH131107 BPD131076:BPD131107 BYZ131076:BYZ131107 CIV131076:CIV131107 CSR131076:CSR131107 DCN131076:DCN131107 DMJ131076:DMJ131107 DWF131076:DWF131107 EGB131076:EGB131107 EPX131076:EPX131107 EZT131076:EZT131107 FJP131076:FJP131107 FTL131076:FTL131107 GDH131076:GDH131107 GND131076:GND131107 GWZ131076:GWZ131107 HGV131076:HGV131107 HQR131076:HQR131107 IAN131076:IAN131107 IKJ131076:IKJ131107 IUF131076:IUF131107 JEB131076:JEB131107 JNX131076:JNX131107 JXT131076:JXT131107 KHP131076:KHP131107 KRL131076:KRL131107 LBH131076:LBH131107 LLD131076:LLD131107 LUZ131076:LUZ131107 MEV131076:MEV131107 MOR131076:MOR131107 MYN131076:MYN131107 NIJ131076:NIJ131107 NSF131076:NSF131107 OCB131076:OCB131107 OLX131076:OLX131107 OVT131076:OVT131107 PFP131076:PFP131107 PPL131076:PPL131107 PZH131076:PZH131107 QJD131076:QJD131107 QSZ131076:QSZ131107 RCV131076:RCV131107 RMR131076:RMR131107 RWN131076:RWN131107 SGJ131076:SGJ131107 SQF131076:SQF131107 TAB131076:TAB131107 TJX131076:TJX131107 TTT131076:TTT131107 UDP131076:UDP131107 UNL131076:UNL131107 UXH131076:UXH131107 VHD131076:VHD131107 VQZ131076:VQZ131107 WAV131076:WAV131107 WKR131076:WKR131107 WUN131076:WUN131107 IB196612:IB196643 RX196612:RX196643 ABT196612:ABT196643 ALP196612:ALP196643 AVL196612:AVL196643 BFH196612:BFH196643 BPD196612:BPD196643 BYZ196612:BYZ196643 CIV196612:CIV196643 CSR196612:CSR196643 DCN196612:DCN196643 DMJ196612:DMJ196643 DWF196612:DWF196643 EGB196612:EGB196643 EPX196612:EPX196643 EZT196612:EZT196643 FJP196612:FJP196643 FTL196612:FTL196643 GDH196612:GDH196643 GND196612:GND196643 GWZ196612:GWZ196643 HGV196612:HGV196643 HQR196612:HQR196643 IAN196612:IAN196643 IKJ196612:IKJ196643 IUF196612:IUF196643 JEB196612:JEB196643 JNX196612:JNX196643 JXT196612:JXT196643 KHP196612:KHP196643 KRL196612:KRL196643 LBH196612:LBH196643 LLD196612:LLD196643 LUZ196612:LUZ196643 MEV196612:MEV196643 MOR196612:MOR196643 MYN196612:MYN196643 NIJ196612:NIJ196643 NSF196612:NSF196643 OCB196612:OCB196643 OLX196612:OLX196643 OVT196612:OVT196643 PFP196612:PFP196643 PPL196612:PPL196643 PZH196612:PZH196643 QJD196612:QJD196643 QSZ196612:QSZ196643 RCV196612:RCV196643 RMR196612:RMR196643 RWN196612:RWN196643 SGJ196612:SGJ196643 SQF196612:SQF196643 TAB196612:TAB196643 TJX196612:TJX196643 TTT196612:TTT196643 UDP196612:UDP196643 UNL196612:UNL196643 UXH196612:UXH196643 VHD196612:VHD196643 VQZ196612:VQZ196643 WAV196612:WAV196643 WKR196612:WKR196643 WUN196612:WUN196643 IB262148:IB262179 RX262148:RX262179 ABT262148:ABT262179 ALP262148:ALP262179 AVL262148:AVL262179 BFH262148:BFH262179 BPD262148:BPD262179 BYZ262148:BYZ262179 CIV262148:CIV262179 CSR262148:CSR262179 DCN262148:DCN262179 DMJ262148:DMJ262179 DWF262148:DWF262179 EGB262148:EGB262179 EPX262148:EPX262179 EZT262148:EZT262179 FJP262148:FJP262179 FTL262148:FTL262179 GDH262148:GDH262179 GND262148:GND262179 GWZ262148:GWZ262179 HGV262148:HGV262179 HQR262148:HQR262179 IAN262148:IAN262179 IKJ262148:IKJ262179 IUF262148:IUF262179 JEB262148:JEB262179 JNX262148:JNX262179 JXT262148:JXT262179 KHP262148:KHP262179 KRL262148:KRL262179 LBH262148:LBH262179 LLD262148:LLD262179 LUZ262148:LUZ262179 MEV262148:MEV262179 MOR262148:MOR262179 MYN262148:MYN262179 NIJ262148:NIJ262179 NSF262148:NSF262179 OCB262148:OCB262179 OLX262148:OLX262179 OVT262148:OVT262179 PFP262148:PFP262179 PPL262148:PPL262179 PZH262148:PZH262179 QJD262148:QJD262179 QSZ262148:QSZ262179 RCV262148:RCV262179 RMR262148:RMR262179 RWN262148:RWN262179 SGJ262148:SGJ262179 SQF262148:SQF262179 TAB262148:TAB262179 TJX262148:TJX262179 TTT262148:TTT262179 UDP262148:UDP262179 UNL262148:UNL262179 UXH262148:UXH262179 VHD262148:VHD262179 VQZ262148:VQZ262179 WAV262148:WAV262179 WKR262148:WKR262179 WUN262148:WUN262179 IB327684:IB327715 RX327684:RX327715 ABT327684:ABT327715 ALP327684:ALP327715 AVL327684:AVL327715 BFH327684:BFH327715 BPD327684:BPD327715 BYZ327684:BYZ327715 CIV327684:CIV327715 CSR327684:CSR327715 DCN327684:DCN327715 DMJ327684:DMJ327715 DWF327684:DWF327715 EGB327684:EGB327715 EPX327684:EPX327715 EZT327684:EZT327715 FJP327684:FJP327715 FTL327684:FTL327715 GDH327684:GDH327715 GND327684:GND327715 GWZ327684:GWZ327715 HGV327684:HGV327715 HQR327684:HQR327715 IAN327684:IAN327715 IKJ327684:IKJ327715 IUF327684:IUF327715 JEB327684:JEB327715 JNX327684:JNX327715 JXT327684:JXT327715 KHP327684:KHP327715 KRL327684:KRL327715 LBH327684:LBH327715 LLD327684:LLD327715 LUZ327684:LUZ327715 MEV327684:MEV327715 MOR327684:MOR327715 MYN327684:MYN327715 NIJ327684:NIJ327715 NSF327684:NSF327715 OCB327684:OCB327715 OLX327684:OLX327715 OVT327684:OVT327715 PFP327684:PFP327715 PPL327684:PPL327715 PZH327684:PZH327715 QJD327684:QJD327715 QSZ327684:QSZ327715 RCV327684:RCV327715 RMR327684:RMR327715 RWN327684:RWN327715 SGJ327684:SGJ327715 SQF327684:SQF327715 TAB327684:TAB327715 TJX327684:TJX327715 TTT327684:TTT327715 UDP327684:UDP327715 UNL327684:UNL327715 UXH327684:UXH327715 VHD327684:VHD327715 VQZ327684:VQZ327715 WAV327684:WAV327715 WKR327684:WKR327715 WUN327684:WUN327715 IB393220:IB393251 RX393220:RX393251 ABT393220:ABT393251 ALP393220:ALP393251 AVL393220:AVL393251 BFH393220:BFH393251 BPD393220:BPD393251 BYZ393220:BYZ393251 CIV393220:CIV393251 CSR393220:CSR393251 DCN393220:DCN393251 DMJ393220:DMJ393251 DWF393220:DWF393251 EGB393220:EGB393251 EPX393220:EPX393251 EZT393220:EZT393251 FJP393220:FJP393251 FTL393220:FTL393251 GDH393220:GDH393251 GND393220:GND393251 GWZ393220:GWZ393251 HGV393220:HGV393251 HQR393220:HQR393251 IAN393220:IAN393251 IKJ393220:IKJ393251 IUF393220:IUF393251 JEB393220:JEB393251 JNX393220:JNX393251 JXT393220:JXT393251 KHP393220:KHP393251 KRL393220:KRL393251 LBH393220:LBH393251 LLD393220:LLD393251 LUZ393220:LUZ393251 MEV393220:MEV393251 MOR393220:MOR393251 MYN393220:MYN393251 NIJ393220:NIJ393251 NSF393220:NSF393251 OCB393220:OCB393251 OLX393220:OLX393251 OVT393220:OVT393251 PFP393220:PFP393251 PPL393220:PPL393251 PZH393220:PZH393251 QJD393220:QJD393251 QSZ393220:QSZ393251 RCV393220:RCV393251 RMR393220:RMR393251 RWN393220:RWN393251 SGJ393220:SGJ393251 SQF393220:SQF393251 TAB393220:TAB393251 TJX393220:TJX393251 TTT393220:TTT393251 UDP393220:UDP393251 UNL393220:UNL393251 UXH393220:UXH393251 VHD393220:VHD393251 VQZ393220:VQZ393251 WAV393220:WAV393251 WKR393220:WKR393251 WUN393220:WUN393251 IB458756:IB458787 RX458756:RX458787 ABT458756:ABT458787 ALP458756:ALP458787 AVL458756:AVL458787 BFH458756:BFH458787 BPD458756:BPD458787 BYZ458756:BYZ458787 CIV458756:CIV458787 CSR458756:CSR458787 DCN458756:DCN458787 DMJ458756:DMJ458787 DWF458756:DWF458787 EGB458756:EGB458787 EPX458756:EPX458787 EZT458756:EZT458787 FJP458756:FJP458787 FTL458756:FTL458787 GDH458756:GDH458787 GND458756:GND458787 GWZ458756:GWZ458787 HGV458756:HGV458787 HQR458756:HQR458787 IAN458756:IAN458787 IKJ458756:IKJ458787 IUF458756:IUF458787 JEB458756:JEB458787 JNX458756:JNX458787 JXT458756:JXT458787 KHP458756:KHP458787 KRL458756:KRL458787 LBH458756:LBH458787 LLD458756:LLD458787 LUZ458756:LUZ458787 MEV458756:MEV458787 MOR458756:MOR458787 MYN458756:MYN458787 NIJ458756:NIJ458787 NSF458756:NSF458787 OCB458756:OCB458787 OLX458756:OLX458787 OVT458756:OVT458787 PFP458756:PFP458787 PPL458756:PPL458787 PZH458756:PZH458787 QJD458756:QJD458787 QSZ458756:QSZ458787 RCV458756:RCV458787 RMR458756:RMR458787 RWN458756:RWN458787 SGJ458756:SGJ458787 SQF458756:SQF458787 TAB458756:TAB458787 TJX458756:TJX458787 TTT458756:TTT458787 UDP458756:UDP458787 UNL458756:UNL458787 UXH458756:UXH458787 VHD458756:VHD458787 VQZ458756:VQZ458787 WAV458756:WAV458787 WKR458756:WKR458787 WUN458756:WUN458787 IB524292:IB524323 RX524292:RX524323 ABT524292:ABT524323 ALP524292:ALP524323 AVL524292:AVL524323 BFH524292:BFH524323 BPD524292:BPD524323 BYZ524292:BYZ524323 CIV524292:CIV524323 CSR524292:CSR524323 DCN524292:DCN524323 DMJ524292:DMJ524323 DWF524292:DWF524323 EGB524292:EGB524323 EPX524292:EPX524323 EZT524292:EZT524323 FJP524292:FJP524323 FTL524292:FTL524323 GDH524292:GDH524323 GND524292:GND524323 GWZ524292:GWZ524323 HGV524292:HGV524323 HQR524292:HQR524323 IAN524292:IAN524323 IKJ524292:IKJ524323 IUF524292:IUF524323 JEB524292:JEB524323 JNX524292:JNX524323 JXT524292:JXT524323 KHP524292:KHP524323 KRL524292:KRL524323 LBH524292:LBH524323 LLD524292:LLD524323 LUZ524292:LUZ524323 MEV524292:MEV524323 MOR524292:MOR524323 MYN524292:MYN524323 NIJ524292:NIJ524323 NSF524292:NSF524323 OCB524292:OCB524323 OLX524292:OLX524323 OVT524292:OVT524323 PFP524292:PFP524323 PPL524292:PPL524323 PZH524292:PZH524323 QJD524292:QJD524323 QSZ524292:QSZ524323 RCV524292:RCV524323 RMR524292:RMR524323 RWN524292:RWN524323 SGJ524292:SGJ524323 SQF524292:SQF524323 TAB524292:TAB524323 TJX524292:TJX524323 TTT524292:TTT524323 UDP524292:UDP524323 UNL524292:UNL524323 UXH524292:UXH524323 VHD524292:VHD524323 VQZ524292:VQZ524323 WAV524292:WAV524323 WKR524292:WKR524323 WUN524292:WUN524323 IB589828:IB589859 RX589828:RX589859 ABT589828:ABT589859 ALP589828:ALP589859 AVL589828:AVL589859 BFH589828:BFH589859 BPD589828:BPD589859 BYZ589828:BYZ589859 CIV589828:CIV589859 CSR589828:CSR589859 DCN589828:DCN589859 DMJ589828:DMJ589859 DWF589828:DWF589859 EGB589828:EGB589859 EPX589828:EPX589859 EZT589828:EZT589859 FJP589828:FJP589859 FTL589828:FTL589859 GDH589828:GDH589859 GND589828:GND589859 GWZ589828:GWZ589859 HGV589828:HGV589859 HQR589828:HQR589859 IAN589828:IAN589859 IKJ589828:IKJ589859 IUF589828:IUF589859 JEB589828:JEB589859 JNX589828:JNX589859 JXT589828:JXT589859 KHP589828:KHP589859 KRL589828:KRL589859 LBH589828:LBH589859 LLD589828:LLD589859 LUZ589828:LUZ589859 MEV589828:MEV589859 MOR589828:MOR589859 MYN589828:MYN589859 NIJ589828:NIJ589859 NSF589828:NSF589859 OCB589828:OCB589859 OLX589828:OLX589859 OVT589828:OVT589859 PFP589828:PFP589859 PPL589828:PPL589859 PZH589828:PZH589859 QJD589828:QJD589859 QSZ589828:QSZ589859 RCV589828:RCV589859 RMR589828:RMR589859 RWN589828:RWN589859 SGJ589828:SGJ589859 SQF589828:SQF589859 TAB589828:TAB589859 TJX589828:TJX589859 TTT589828:TTT589859 UDP589828:UDP589859 UNL589828:UNL589859 UXH589828:UXH589859 VHD589828:VHD589859 VQZ589828:VQZ589859 WAV589828:WAV589859 WKR589828:WKR589859 WUN589828:WUN589859 IB655364:IB655395 RX655364:RX655395 ABT655364:ABT655395 ALP655364:ALP655395 AVL655364:AVL655395 BFH655364:BFH655395 BPD655364:BPD655395 BYZ655364:BYZ655395 CIV655364:CIV655395 CSR655364:CSR655395 DCN655364:DCN655395 DMJ655364:DMJ655395 DWF655364:DWF655395 EGB655364:EGB655395 EPX655364:EPX655395 EZT655364:EZT655395 FJP655364:FJP655395 FTL655364:FTL655395 GDH655364:GDH655395 GND655364:GND655395 GWZ655364:GWZ655395 HGV655364:HGV655395 HQR655364:HQR655395 IAN655364:IAN655395 IKJ655364:IKJ655395 IUF655364:IUF655395 JEB655364:JEB655395 JNX655364:JNX655395 JXT655364:JXT655395 KHP655364:KHP655395 KRL655364:KRL655395 LBH655364:LBH655395 LLD655364:LLD655395 LUZ655364:LUZ655395 MEV655364:MEV655395 MOR655364:MOR655395 MYN655364:MYN655395 NIJ655364:NIJ655395 NSF655364:NSF655395 OCB655364:OCB655395 OLX655364:OLX655395 OVT655364:OVT655395 PFP655364:PFP655395 PPL655364:PPL655395 PZH655364:PZH655395 QJD655364:QJD655395 QSZ655364:QSZ655395 RCV655364:RCV655395 RMR655364:RMR655395 RWN655364:RWN655395 SGJ655364:SGJ655395 SQF655364:SQF655395 TAB655364:TAB655395 TJX655364:TJX655395 TTT655364:TTT655395 UDP655364:UDP655395 UNL655364:UNL655395 UXH655364:UXH655395 VHD655364:VHD655395 VQZ655364:VQZ655395 WAV655364:WAV655395 WKR655364:WKR655395 WUN655364:WUN655395 IB720900:IB720931 RX720900:RX720931 ABT720900:ABT720931 ALP720900:ALP720931 AVL720900:AVL720931 BFH720900:BFH720931 BPD720900:BPD720931 BYZ720900:BYZ720931 CIV720900:CIV720931 CSR720900:CSR720931 DCN720900:DCN720931 DMJ720900:DMJ720931 DWF720900:DWF720931 EGB720900:EGB720931 EPX720900:EPX720931 EZT720900:EZT720931 FJP720900:FJP720931 FTL720900:FTL720931 GDH720900:GDH720931 GND720900:GND720931 GWZ720900:GWZ720931 HGV720900:HGV720931 HQR720900:HQR720931 IAN720900:IAN720931 IKJ720900:IKJ720931 IUF720900:IUF720931 JEB720900:JEB720931 JNX720900:JNX720931 JXT720900:JXT720931 KHP720900:KHP720931 KRL720900:KRL720931 LBH720900:LBH720931 LLD720900:LLD720931 LUZ720900:LUZ720931 MEV720900:MEV720931 MOR720900:MOR720931 MYN720900:MYN720931 NIJ720900:NIJ720931 NSF720900:NSF720931 OCB720900:OCB720931 OLX720900:OLX720931 OVT720900:OVT720931 PFP720900:PFP720931 PPL720900:PPL720931 PZH720900:PZH720931 QJD720900:QJD720931 QSZ720900:QSZ720931 RCV720900:RCV720931 RMR720900:RMR720931 RWN720900:RWN720931 SGJ720900:SGJ720931 SQF720900:SQF720931 TAB720900:TAB720931 TJX720900:TJX720931 TTT720900:TTT720931 UDP720900:UDP720931 UNL720900:UNL720931 UXH720900:UXH720931 VHD720900:VHD720931 VQZ720900:VQZ720931 WAV720900:WAV720931 WKR720900:WKR720931 WUN720900:WUN720931 IB786436:IB786467 RX786436:RX786467 ABT786436:ABT786467 ALP786436:ALP786467 AVL786436:AVL786467 BFH786436:BFH786467 BPD786436:BPD786467 BYZ786436:BYZ786467 CIV786436:CIV786467 CSR786436:CSR786467 DCN786436:DCN786467 DMJ786436:DMJ786467 DWF786436:DWF786467 EGB786436:EGB786467 EPX786436:EPX786467 EZT786436:EZT786467 FJP786436:FJP786467 FTL786436:FTL786467 GDH786436:GDH786467 GND786436:GND786467 GWZ786436:GWZ786467 HGV786436:HGV786467 HQR786436:HQR786467 IAN786436:IAN786467 IKJ786436:IKJ786467 IUF786436:IUF786467 JEB786436:JEB786467 JNX786436:JNX786467 JXT786436:JXT786467 KHP786436:KHP786467 KRL786436:KRL786467 LBH786436:LBH786467 LLD786436:LLD786467 LUZ786436:LUZ786467 MEV786436:MEV786467 MOR786436:MOR786467 MYN786436:MYN786467 NIJ786436:NIJ786467 NSF786436:NSF786467 OCB786436:OCB786467 OLX786436:OLX786467 OVT786436:OVT786467 PFP786436:PFP786467 PPL786436:PPL786467 PZH786436:PZH786467 QJD786436:QJD786467 QSZ786436:QSZ786467 RCV786436:RCV786467 RMR786436:RMR786467 RWN786436:RWN786467 SGJ786436:SGJ786467 SQF786436:SQF786467 TAB786436:TAB786467 TJX786436:TJX786467 TTT786436:TTT786467 UDP786436:UDP786467 UNL786436:UNL786467 UXH786436:UXH786467 VHD786436:VHD786467 VQZ786436:VQZ786467 WAV786436:WAV786467 WKR786436:WKR786467 WUN786436:WUN786467 IB851972:IB852003 RX851972:RX852003 ABT851972:ABT852003 ALP851972:ALP852003 AVL851972:AVL852003 BFH851972:BFH852003 BPD851972:BPD852003 BYZ851972:BYZ852003 CIV851972:CIV852003 CSR851972:CSR852003 DCN851972:DCN852003 DMJ851972:DMJ852003 DWF851972:DWF852003 EGB851972:EGB852003 EPX851972:EPX852003 EZT851972:EZT852003 FJP851972:FJP852003 FTL851972:FTL852003 GDH851972:GDH852003 GND851972:GND852003 GWZ851972:GWZ852003 HGV851972:HGV852003 HQR851972:HQR852003 IAN851972:IAN852003 IKJ851972:IKJ852003 IUF851972:IUF852003 JEB851972:JEB852003 JNX851972:JNX852003 JXT851972:JXT852003 KHP851972:KHP852003 KRL851972:KRL852003 LBH851972:LBH852003 LLD851972:LLD852003 LUZ851972:LUZ852003 MEV851972:MEV852003 MOR851972:MOR852003 MYN851972:MYN852003 NIJ851972:NIJ852003 NSF851972:NSF852003 OCB851972:OCB852003 OLX851972:OLX852003 OVT851972:OVT852003 PFP851972:PFP852003 PPL851972:PPL852003 PZH851972:PZH852003 QJD851972:QJD852003 QSZ851972:QSZ852003 RCV851972:RCV852003 RMR851972:RMR852003 RWN851972:RWN852003 SGJ851972:SGJ852003 SQF851972:SQF852003 TAB851972:TAB852003 TJX851972:TJX852003 TTT851972:TTT852003 UDP851972:UDP852003 UNL851972:UNL852003 UXH851972:UXH852003 VHD851972:VHD852003 VQZ851972:VQZ852003 WAV851972:WAV852003 WKR851972:WKR852003 WUN851972:WUN852003 IB917508:IB917539 RX917508:RX917539 ABT917508:ABT917539 ALP917508:ALP917539 AVL917508:AVL917539 BFH917508:BFH917539 BPD917508:BPD917539 BYZ917508:BYZ917539 CIV917508:CIV917539 CSR917508:CSR917539 DCN917508:DCN917539 DMJ917508:DMJ917539 DWF917508:DWF917539 EGB917508:EGB917539 EPX917508:EPX917539 EZT917508:EZT917539 FJP917508:FJP917539 FTL917508:FTL917539 GDH917508:GDH917539 GND917508:GND917539 GWZ917508:GWZ917539 HGV917508:HGV917539 HQR917508:HQR917539 IAN917508:IAN917539 IKJ917508:IKJ917539 IUF917508:IUF917539 JEB917508:JEB917539 JNX917508:JNX917539 JXT917508:JXT917539 KHP917508:KHP917539 KRL917508:KRL917539 LBH917508:LBH917539 LLD917508:LLD917539 LUZ917508:LUZ917539 MEV917508:MEV917539 MOR917508:MOR917539 MYN917508:MYN917539 NIJ917508:NIJ917539 NSF917508:NSF917539 OCB917508:OCB917539 OLX917508:OLX917539 OVT917508:OVT917539 PFP917508:PFP917539 PPL917508:PPL917539 PZH917508:PZH917539 QJD917508:QJD917539 QSZ917508:QSZ917539 RCV917508:RCV917539 RMR917508:RMR917539 RWN917508:RWN917539 SGJ917508:SGJ917539 SQF917508:SQF917539 TAB917508:TAB917539 TJX917508:TJX917539 TTT917508:TTT917539 UDP917508:UDP917539 UNL917508:UNL917539 UXH917508:UXH917539 VHD917508:VHD917539 VQZ917508:VQZ917539 WAV917508:WAV917539 WKR917508:WKR917539 WUN917508:WUN917539 IB983044:IB983075 RX983044:RX983075 ABT983044:ABT983075 ALP983044:ALP983075 AVL983044:AVL983075 BFH983044:BFH983075 BPD983044:BPD983075 BYZ983044:BYZ983075 CIV983044:CIV983075 CSR983044:CSR983075 DCN983044:DCN983075 DMJ983044:DMJ983075 DWF983044:DWF983075 EGB983044:EGB983075 EPX983044:EPX983075 EZT983044:EZT983075 FJP983044:FJP983075 FTL983044:FTL983075 GDH983044:GDH983075 GND983044:GND983075 GWZ983044:GWZ983075 HGV983044:HGV983075 HQR983044:HQR983075 IAN983044:IAN983075 IKJ983044:IKJ983075 IUF983044:IUF983075 JEB983044:JEB983075 JNX983044:JNX983075 JXT983044:JXT983075 KHP983044:KHP983075 KRL983044:KRL983075 LBH983044:LBH983075 LLD983044:LLD983075 LUZ983044:LUZ983075 MEV983044:MEV983075 MOR983044:MOR983075 MYN983044:MYN983075 NIJ983044:NIJ983075 NSF983044:NSF983075 OCB983044:OCB983075 OLX983044:OLX983075 OVT983044:OVT983075 PFP983044:PFP983075 PPL983044:PPL983075 PZH983044:PZH983075 QJD983044:QJD983075 QSZ983044:QSZ983075 RCV983044:RCV983075 RMR983044:RMR983075 RWN983044:RWN983075 SGJ983044:SGJ983075 SQF983044:SQF983075 TAB983044:TAB983075 TJX983044:TJX983075 TTT983044:TTT983075 UDP983044:UDP983075 UNL983044:UNL983075 UXH983044:UXH983075 VHD983044:VHD983075 VQZ983044:VQZ983075 WAV983044:WAV983075 WKR983044:WKR983075 WUN983044:WUN983075 IJ4:IJ35 SF4:SF35 ACB4:ACB35 ALX4:ALX35 AVT4:AVT35 BFP4:BFP35 BPL4:BPL35 BZH4:BZH35 CJD4:CJD35 CSZ4:CSZ35 DCV4:DCV35 DMR4:DMR35 DWN4:DWN35 EGJ4:EGJ35 EQF4:EQF35 FAB4:FAB35 FJX4:FJX35 FTT4:FTT35 GDP4:GDP35 GNL4:GNL35 GXH4:GXH35 HHD4:HHD35 HQZ4:HQZ35 IAV4:IAV35 IKR4:IKR35 IUN4:IUN35 JEJ4:JEJ35 JOF4:JOF35 JYB4:JYB35 KHX4:KHX35 KRT4:KRT35 LBP4:LBP35 LLL4:LLL35 LVH4:LVH35 MFD4:MFD35 MOZ4:MOZ35 MYV4:MYV35 NIR4:NIR35 NSN4:NSN35 OCJ4:OCJ35 OMF4:OMF35 OWB4:OWB35 PFX4:PFX35 PPT4:PPT35 PZP4:PZP35 QJL4:QJL35 QTH4:QTH35 RDD4:RDD35 RMZ4:RMZ35 RWV4:RWV35 SGR4:SGR35 SQN4:SQN35 TAJ4:TAJ35 TKF4:TKF35 TUB4:TUB35 UDX4:UDX35 UNT4:UNT35 UXP4:UXP35 VHL4:VHL35 VRH4:VRH35 WBD4:WBD35 WKZ4:WKZ35 WUV4:WUV35 IJ65540:IJ65571 SF65540:SF65571 ACB65540:ACB65571 ALX65540:ALX65571 AVT65540:AVT65571 BFP65540:BFP65571 BPL65540:BPL65571 BZH65540:BZH65571 CJD65540:CJD65571 CSZ65540:CSZ65571 DCV65540:DCV65571 DMR65540:DMR65571 DWN65540:DWN65571 EGJ65540:EGJ65571 EQF65540:EQF65571 FAB65540:FAB65571 FJX65540:FJX65571 FTT65540:FTT65571 GDP65540:GDP65571 GNL65540:GNL65571 GXH65540:GXH65571 HHD65540:HHD65571 HQZ65540:HQZ65571 IAV65540:IAV65571 IKR65540:IKR65571 IUN65540:IUN65571 JEJ65540:JEJ65571 JOF65540:JOF65571 JYB65540:JYB65571 KHX65540:KHX65571 KRT65540:KRT65571 LBP65540:LBP65571 LLL65540:LLL65571 LVH65540:LVH65571 MFD65540:MFD65571 MOZ65540:MOZ65571 MYV65540:MYV65571 NIR65540:NIR65571 NSN65540:NSN65571 OCJ65540:OCJ65571 OMF65540:OMF65571 OWB65540:OWB65571 PFX65540:PFX65571 PPT65540:PPT65571 PZP65540:PZP65571 QJL65540:QJL65571 QTH65540:QTH65571 RDD65540:RDD65571 RMZ65540:RMZ65571 RWV65540:RWV65571 SGR65540:SGR65571 SQN65540:SQN65571 TAJ65540:TAJ65571 TKF65540:TKF65571 TUB65540:TUB65571 UDX65540:UDX65571 UNT65540:UNT65571 UXP65540:UXP65571 VHL65540:VHL65571 VRH65540:VRH65571 WBD65540:WBD65571 WKZ65540:WKZ65571 WUV65540:WUV65571 IJ131076:IJ131107 SF131076:SF131107 ACB131076:ACB131107 ALX131076:ALX131107 AVT131076:AVT131107 BFP131076:BFP131107 BPL131076:BPL131107 BZH131076:BZH131107 CJD131076:CJD131107 CSZ131076:CSZ131107 DCV131076:DCV131107 DMR131076:DMR131107 DWN131076:DWN131107 EGJ131076:EGJ131107 EQF131076:EQF131107 FAB131076:FAB131107 FJX131076:FJX131107 FTT131076:FTT131107 GDP131076:GDP131107 GNL131076:GNL131107 GXH131076:GXH131107 HHD131076:HHD131107 HQZ131076:HQZ131107 IAV131076:IAV131107 IKR131076:IKR131107 IUN131076:IUN131107 JEJ131076:JEJ131107 JOF131076:JOF131107 JYB131076:JYB131107 KHX131076:KHX131107 KRT131076:KRT131107 LBP131076:LBP131107 LLL131076:LLL131107 LVH131076:LVH131107 MFD131076:MFD131107 MOZ131076:MOZ131107 MYV131076:MYV131107 NIR131076:NIR131107 NSN131076:NSN131107 OCJ131076:OCJ131107 OMF131076:OMF131107 OWB131076:OWB131107 PFX131076:PFX131107 PPT131076:PPT131107 PZP131076:PZP131107 QJL131076:QJL131107 QTH131076:QTH131107 RDD131076:RDD131107 RMZ131076:RMZ131107 RWV131076:RWV131107 SGR131076:SGR131107 SQN131076:SQN131107 TAJ131076:TAJ131107 TKF131076:TKF131107 TUB131076:TUB131107 UDX131076:UDX131107 UNT131076:UNT131107 UXP131076:UXP131107 VHL131076:VHL131107 VRH131076:VRH131107 WBD131076:WBD131107 WKZ131076:WKZ131107 WUV131076:WUV131107 IJ196612:IJ196643 SF196612:SF196643 ACB196612:ACB196643 ALX196612:ALX196643 AVT196612:AVT196643 BFP196612:BFP196643 BPL196612:BPL196643 BZH196612:BZH196643 CJD196612:CJD196643 CSZ196612:CSZ196643 DCV196612:DCV196643 DMR196612:DMR196643 DWN196612:DWN196643 EGJ196612:EGJ196643 EQF196612:EQF196643 FAB196612:FAB196643 FJX196612:FJX196643 FTT196612:FTT196643 GDP196612:GDP196643 GNL196612:GNL196643 GXH196612:GXH196643 HHD196612:HHD196643 HQZ196612:HQZ196643 IAV196612:IAV196643 IKR196612:IKR196643 IUN196612:IUN196643 JEJ196612:JEJ196643 JOF196612:JOF196643 JYB196612:JYB196643 KHX196612:KHX196643 KRT196612:KRT196643 LBP196612:LBP196643 LLL196612:LLL196643 LVH196612:LVH196643 MFD196612:MFD196643 MOZ196612:MOZ196643 MYV196612:MYV196643 NIR196612:NIR196643 NSN196612:NSN196643 OCJ196612:OCJ196643 OMF196612:OMF196643 OWB196612:OWB196643 PFX196612:PFX196643 PPT196612:PPT196643 PZP196612:PZP196643 QJL196612:QJL196643 QTH196612:QTH196643 RDD196612:RDD196643 RMZ196612:RMZ196643 RWV196612:RWV196643 SGR196612:SGR196643 SQN196612:SQN196643 TAJ196612:TAJ196643 TKF196612:TKF196643 TUB196612:TUB196643 UDX196612:UDX196643 UNT196612:UNT196643 UXP196612:UXP196643 VHL196612:VHL196643 VRH196612:VRH196643 WBD196612:WBD196643 WKZ196612:WKZ196643 WUV196612:WUV196643 IJ262148:IJ262179 SF262148:SF262179 ACB262148:ACB262179 ALX262148:ALX262179 AVT262148:AVT262179 BFP262148:BFP262179 BPL262148:BPL262179 BZH262148:BZH262179 CJD262148:CJD262179 CSZ262148:CSZ262179 DCV262148:DCV262179 DMR262148:DMR262179 DWN262148:DWN262179 EGJ262148:EGJ262179 EQF262148:EQF262179 FAB262148:FAB262179 FJX262148:FJX262179 FTT262148:FTT262179 GDP262148:GDP262179 GNL262148:GNL262179 GXH262148:GXH262179 HHD262148:HHD262179 HQZ262148:HQZ262179 IAV262148:IAV262179 IKR262148:IKR262179 IUN262148:IUN262179 JEJ262148:JEJ262179 JOF262148:JOF262179 JYB262148:JYB262179 KHX262148:KHX262179 KRT262148:KRT262179 LBP262148:LBP262179 LLL262148:LLL262179 LVH262148:LVH262179 MFD262148:MFD262179 MOZ262148:MOZ262179 MYV262148:MYV262179 NIR262148:NIR262179 NSN262148:NSN262179 OCJ262148:OCJ262179 OMF262148:OMF262179 OWB262148:OWB262179 PFX262148:PFX262179 PPT262148:PPT262179 PZP262148:PZP262179 QJL262148:QJL262179 QTH262148:QTH262179 RDD262148:RDD262179 RMZ262148:RMZ262179 RWV262148:RWV262179 SGR262148:SGR262179 SQN262148:SQN262179 TAJ262148:TAJ262179 TKF262148:TKF262179 TUB262148:TUB262179 UDX262148:UDX262179 UNT262148:UNT262179 UXP262148:UXP262179 VHL262148:VHL262179 VRH262148:VRH262179 WBD262148:WBD262179 WKZ262148:WKZ262179 WUV262148:WUV262179 IJ327684:IJ327715 SF327684:SF327715 ACB327684:ACB327715 ALX327684:ALX327715 AVT327684:AVT327715 BFP327684:BFP327715 BPL327684:BPL327715 BZH327684:BZH327715 CJD327684:CJD327715 CSZ327684:CSZ327715 DCV327684:DCV327715 DMR327684:DMR327715 DWN327684:DWN327715 EGJ327684:EGJ327715 EQF327684:EQF327715 FAB327684:FAB327715 FJX327684:FJX327715 FTT327684:FTT327715 GDP327684:GDP327715 GNL327684:GNL327715 GXH327684:GXH327715 HHD327684:HHD327715 HQZ327684:HQZ327715 IAV327684:IAV327715 IKR327684:IKR327715 IUN327684:IUN327715 JEJ327684:JEJ327715 JOF327684:JOF327715 JYB327684:JYB327715 KHX327684:KHX327715 KRT327684:KRT327715 LBP327684:LBP327715 LLL327684:LLL327715 LVH327684:LVH327715 MFD327684:MFD327715 MOZ327684:MOZ327715 MYV327684:MYV327715 NIR327684:NIR327715 NSN327684:NSN327715 OCJ327684:OCJ327715 OMF327684:OMF327715 OWB327684:OWB327715 PFX327684:PFX327715 PPT327684:PPT327715 PZP327684:PZP327715 QJL327684:QJL327715 QTH327684:QTH327715 RDD327684:RDD327715 RMZ327684:RMZ327715 RWV327684:RWV327715 SGR327684:SGR327715 SQN327684:SQN327715 TAJ327684:TAJ327715 TKF327684:TKF327715 TUB327684:TUB327715 UDX327684:UDX327715 UNT327684:UNT327715 UXP327684:UXP327715 VHL327684:VHL327715 VRH327684:VRH327715 WBD327684:WBD327715 WKZ327684:WKZ327715 WUV327684:WUV327715 IJ393220:IJ393251 SF393220:SF393251 ACB393220:ACB393251 ALX393220:ALX393251 AVT393220:AVT393251 BFP393220:BFP393251 BPL393220:BPL393251 BZH393220:BZH393251 CJD393220:CJD393251 CSZ393220:CSZ393251 DCV393220:DCV393251 DMR393220:DMR393251 DWN393220:DWN393251 EGJ393220:EGJ393251 EQF393220:EQF393251 FAB393220:FAB393251 FJX393220:FJX393251 FTT393220:FTT393251 GDP393220:GDP393251 GNL393220:GNL393251 GXH393220:GXH393251 HHD393220:HHD393251 HQZ393220:HQZ393251 IAV393220:IAV393251 IKR393220:IKR393251 IUN393220:IUN393251 JEJ393220:JEJ393251 JOF393220:JOF393251 JYB393220:JYB393251 KHX393220:KHX393251 KRT393220:KRT393251 LBP393220:LBP393251 LLL393220:LLL393251 LVH393220:LVH393251 MFD393220:MFD393251 MOZ393220:MOZ393251 MYV393220:MYV393251 NIR393220:NIR393251 NSN393220:NSN393251 OCJ393220:OCJ393251 OMF393220:OMF393251 OWB393220:OWB393251 PFX393220:PFX393251 PPT393220:PPT393251 PZP393220:PZP393251 QJL393220:QJL393251 QTH393220:QTH393251 RDD393220:RDD393251 RMZ393220:RMZ393251 RWV393220:RWV393251 SGR393220:SGR393251 SQN393220:SQN393251 TAJ393220:TAJ393251 TKF393220:TKF393251 TUB393220:TUB393251 UDX393220:UDX393251 UNT393220:UNT393251 UXP393220:UXP393251 VHL393220:VHL393251 VRH393220:VRH393251 WBD393220:WBD393251 WKZ393220:WKZ393251 WUV393220:WUV393251 IJ458756:IJ458787 SF458756:SF458787 ACB458756:ACB458787 ALX458756:ALX458787 AVT458756:AVT458787 BFP458756:BFP458787 BPL458756:BPL458787 BZH458756:BZH458787 CJD458756:CJD458787 CSZ458756:CSZ458787 DCV458756:DCV458787 DMR458756:DMR458787 DWN458756:DWN458787 EGJ458756:EGJ458787 EQF458756:EQF458787 FAB458756:FAB458787 FJX458756:FJX458787 FTT458756:FTT458787 GDP458756:GDP458787 GNL458756:GNL458787 GXH458756:GXH458787 HHD458756:HHD458787 HQZ458756:HQZ458787 IAV458756:IAV458787 IKR458756:IKR458787 IUN458756:IUN458787 JEJ458756:JEJ458787 JOF458756:JOF458787 JYB458756:JYB458787 KHX458756:KHX458787 KRT458756:KRT458787 LBP458756:LBP458787 LLL458756:LLL458787 LVH458756:LVH458787 MFD458756:MFD458787 MOZ458756:MOZ458787 MYV458756:MYV458787 NIR458756:NIR458787 NSN458756:NSN458787 OCJ458756:OCJ458787 OMF458756:OMF458787 OWB458756:OWB458787 PFX458756:PFX458787 PPT458756:PPT458787 PZP458756:PZP458787 QJL458756:QJL458787 QTH458756:QTH458787 RDD458756:RDD458787 RMZ458756:RMZ458787 RWV458756:RWV458787 SGR458756:SGR458787 SQN458756:SQN458787 TAJ458756:TAJ458787 TKF458756:TKF458787 TUB458756:TUB458787 UDX458756:UDX458787 UNT458756:UNT458787 UXP458756:UXP458787 VHL458756:VHL458787 VRH458756:VRH458787 WBD458756:WBD458787 WKZ458756:WKZ458787 WUV458756:WUV458787 IJ524292:IJ524323 SF524292:SF524323 ACB524292:ACB524323 ALX524292:ALX524323 AVT524292:AVT524323 BFP524292:BFP524323 BPL524292:BPL524323 BZH524292:BZH524323 CJD524292:CJD524323 CSZ524292:CSZ524323 DCV524292:DCV524323 DMR524292:DMR524323 DWN524292:DWN524323 EGJ524292:EGJ524323 EQF524292:EQF524323 FAB524292:FAB524323 FJX524292:FJX524323 FTT524292:FTT524323 GDP524292:GDP524323 GNL524292:GNL524323 GXH524292:GXH524323 HHD524292:HHD524323 HQZ524292:HQZ524323 IAV524292:IAV524323 IKR524292:IKR524323 IUN524292:IUN524323 JEJ524292:JEJ524323 JOF524292:JOF524323 JYB524292:JYB524323 KHX524292:KHX524323 KRT524292:KRT524323 LBP524292:LBP524323 LLL524292:LLL524323 LVH524292:LVH524323 MFD524292:MFD524323 MOZ524292:MOZ524323 MYV524292:MYV524323 NIR524292:NIR524323 NSN524292:NSN524323 OCJ524292:OCJ524323 OMF524292:OMF524323 OWB524292:OWB524323 PFX524292:PFX524323 PPT524292:PPT524323 PZP524292:PZP524323 QJL524292:QJL524323 QTH524292:QTH524323 RDD524292:RDD524323 RMZ524292:RMZ524323 RWV524292:RWV524323 SGR524292:SGR524323 SQN524292:SQN524323 TAJ524292:TAJ524323 TKF524292:TKF524323 TUB524292:TUB524323 UDX524292:UDX524323 UNT524292:UNT524323 UXP524292:UXP524323 VHL524292:VHL524323 VRH524292:VRH524323 WBD524292:WBD524323 WKZ524292:WKZ524323 WUV524292:WUV524323 IJ589828:IJ589859 SF589828:SF589859 ACB589828:ACB589859 ALX589828:ALX589859 AVT589828:AVT589859 BFP589828:BFP589859 BPL589828:BPL589859 BZH589828:BZH589859 CJD589828:CJD589859 CSZ589828:CSZ589859 DCV589828:DCV589859 DMR589828:DMR589859 DWN589828:DWN589859 EGJ589828:EGJ589859 EQF589828:EQF589859 FAB589828:FAB589859 FJX589828:FJX589859 FTT589828:FTT589859 GDP589828:GDP589859 GNL589828:GNL589859 GXH589828:GXH589859 HHD589828:HHD589859 HQZ589828:HQZ589859 IAV589828:IAV589859 IKR589828:IKR589859 IUN589828:IUN589859 JEJ589828:JEJ589859 JOF589828:JOF589859 JYB589828:JYB589859 KHX589828:KHX589859 KRT589828:KRT589859 LBP589828:LBP589859 LLL589828:LLL589859 LVH589828:LVH589859 MFD589828:MFD589859 MOZ589828:MOZ589859 MYV589828:MYV589859 NIR589828:NIR589859 NSN589828:NSN589859 OCJ589828:OCJ589859 OMF589828:OMF589859 OWB589828:OWB589859 PFX589828:PFX589859 PPT589828:PPT589859 PZP589828:PZP589859 QJL589828:QJL589859 QTH589828:QTH589859 RDD589828:RDD589859 RMZ589828:RMZ589859 RWV589828:RWV589859 SGR589828:SGR589859 SQN589828:SQN589859 TAJ589828:TAJ589859 TKF589828:TKF589859 TUB589828:TUB589859 UDX589828:UDX589859 UNT589828:UNT589859 UXP589828:UXP589859 VHL589828:VHL589859 VRH589828:VRH589859 WBD589828:WBD589859 WKZ589828:WKZ589859 WUV589828:WUV589859 IJ655364:IJ655395 SF655364:SF655395 ACB655364:ACB655395 ALX655364:ALX655395 AVT655364:AVT655395 BFP655364:BFP655395 BPL655364:BPL655395 BZH655364:BZH655395 CJD655364:CJD655395 CSZ655364:CSZ655395 DCV655364:DCV655395 DMR655364:DMR655395 DWN655364:DWN655395 EGJ655364:EGJ655395 EQF655364:EQF655395 FAB655364:FAB655395 FJX655364:FJX655395 FTT655364:FTT655395 GDP655364:GDP655395 GNL655364:GNL655395 GXH655364:GXH655395 HHD655364:HHD655395 HQZ655364:HQZ655395 IAV655364:IAV655395 IKR655364:IKR655395 IUN655364:IUN655395 JEJ655364:JEJ655395 JOF655364:JOF655395 JYB655364:JYB655395 KHX655364:KHX655395 KRT655364:KRT655395 LBP655364:LBP655395 LLL655364:LLL655395 LVH655364:LVH655395 MFD655364:MFD655395 MOZ655364:MOZ655395 MYV655364:MYV655395 NIR655364:NIR655395 NSN655364:NSN655395 OCJ655364:OCJ655395 OMF655364:OMF655395 OWB655364:OWB655395 PFX655364:PFX655395 PPT655364:PPT655395 PZP655364:PZP655395 QJL655364:QJL655395 QTH655364:QTH655395 RDD655364:RDD655395 RMZ655364:RMZ655395 RWV655364:RWV655395 SGR655364:SGR655395 SQN655364:SQN655395 TAJ655364:TAJ655395 TKF655364:TKF655395 TUB655364:TUB655395 UDX655364:UDX655395 UNT655364:UNT655395 UXP655364:UXP655395 VHL655364:VHL655395 VRH655364:VRH655395 WBD655364:WBD655395 WKZ655364:WKZ655395 WUV655364:WUV655395 IJ720900:IJ720931 SF720900:SF720931 ACB720900:ACB720931 ALX720900:ALX720931 AVT720900:AVT720931 BFP720900:BFP720931 BPL720900:BPL720931 BZH720900:BZH720931 CJD720900:CJD720931 CSZ720900:CSZ720931 DCV720900:DCV720931 DMR720900:DMR720931 DWN720900:DWN720931 EGJ720900:EGJ720931 EQF720900:EQF720931 FAB720900:FAB720931 FJX720900:FJX720931 FTT720900:FTT720931 GDP720900:GDP720931 GNL720900:GNL720931 GXH720900:GXH720931 HHD720900:HHD720931 HQZ720900:HQZ720931 IAV720900:IAV720931 IKR720900:IKR720931 IUN720900:IUN720931 JEJ720900:JEJ720931 JOF720900:JOF720931 JYB720900:JYB720931 KHX720900:KHX720931 KRT720900:KRT720931 LBP720900:LBP720931 LLL720900:LLL720931 LVH720900:LVH720931 MFD720900:MFD720931 MOZ720900:MOZ720931 MYV720900:MYV720931 NIR720900:NIR720931 NSN720900:NSN720931 OCJ720900:OCJ720931 OMF720900:OMF720931 OWB720900:OWB720931 PFX720900:PFX720931 PPT720900:PPT720931 PZP720900:PZP720931 QJL720900:QJL720931 QTH720900:QTH720931 RDD720900:RDD720931 RMZ720900:RMZ720931 RWV720900:RWV720931 SGR720900:SGR720931 SQN720900:SQN720931 TAJ720900:TAJ720931 TKF720900:TKF720931 TUB720900:TUB720931 UDX720900:UDX720931 UNT720900:UNT720931 UXP720900:UXP720931 VHL720900:VHL720931 VRH720900:VRH720931 WBD720900:WBD720931 WKZ720900:WKZ720931 WUV720900:WUV720931 IJ786436:IJ786467 SF786436:SF786467 ACB786436:ACB786467 ALX786436:ALX786467 AVT786436:AVT786467 BFP786436:BFP786467 BPL786436:BPL786467 BZH786436:BZH786467 CJD786436:CJD786467 CSZ786436:CSZ786467 DCV786436:DCV786467 DMR786436:DMR786467 DWN786436:DWN786467 EGJ786436:EGJ786467 EQF786436:EQF786467 FAB786436:FAB786467 FJX786436:FJX786467 FTT786436:FTT786467 GDP786436:GDP786467 GNL786436:GNL786467 GXH786436:GXH786467 HHD786436:HHD786467 HQZ786436:HQZ786467 IAV786436:IAV786467 IKR786436:IKR786467 IUN786436:IUN786467 JEJ786436:JEJ786467 JOF786436:JOF786467 JYB786436:JYB786467 KHX786436:KHX786467 KRT786436:KRT786467 LBP786436:LBP786467 LLL786436:LLL786467 LVH786436:LVH786467 MFD786436:MFD786467 MOZ786436:MOZ786467 MYV786436:MYV786467 NIR786436:NIR786467 NSN786436:NSN786467 OCJ786436:OCJ786467 OMF786436:OMF786467 OWB786436:OWB786467 PFX786436:PFX786467 PPT786436:PPT786467 PZP786436:PZP786467 QJL786436:QJL786467 QTH786436:QTH786467 RDD786436:RDD786467 RMZ786436:RMZ786467 RWV786436:RWV786467 SGR786436:SGR786467 SQN786436:SQN786467 TAJ786436:TAJ786467 TKF786436:TKF786467 TUB786436:TUB786467 UDX786436:UDX786467 UNT786436:UNT786467 UXP786436:UXP786467 VHL786436:VHL786467 VRH786436:VRH786467 WBD786436:WBD786467 WKZ786436:WKZ786467 WUV786436:WUV786467 IJ851972:IJ852003 SF851972:SF852003 ACB851972:ACB852003 ALX851972:ALX852003 AVT851972:AVT852003 BFP851972:BFP852003 BPL851972:BPL852003 BZH851972:BZH852003 CJD851972:CJD852003 CSZ851972:CSZ852003 DCV851972:DCV852003 DMR851972:DMR852003 DWN851972:DWN852003 EGJ851972:EGJ852003 EQF851972:EQF852003 FAB851972:FAB852003 FJX851972:FJX852003 FTT851972:FTT852003 GDP851972:GDP852003 GNL851972:GNL852003 GXH851972:GXH852003 HHD851972:HHD852003 HQZ851972:HQZ852003 IAV851972:IAV852003 IKR851972:IKR852003 IUN851972:IUN852003 JEJ851972:JEJ852003 JOF851972:JOF852003 JYB851972:JYB852003 KHX851972:KHX852003 KRT851972:KRT852003 LBP851972:LBP852003 LLL851972:LLL852003 LVH851972:LVH852003 MFD851972:MFD852003 MOZ851972:MOZ852003 MYV851972:MYV852003 NIR851972:NIR852003 NSN851972:NSN852003 OCJ851972:OCJ852003 OMF851972:OMF852003 OWB851972:OWB852003 PFX851972:PFX852003 PPT851972:PPT852003 PZP851972:PZP852003 QJL851972:QJL852003 QTH851972:QTH852003 RDD851972:RDD852003 RMZ851972:RMZ852003 RWV851972:RWV852003 SGR851972:SGR852003 SQN851972:SQN852003 TAJ851972:TAJ852003 TKF851972:TKF852003 TUB851972:TUB852003 UDX851972:UDX852003 UNT851972:UNT852003 UXP851972:UXP852003 VHL851972:VHL852003 VRH851972:VRH852003 WBD851972:WBD852003 WKZ851972:WKZ852003 WUV851972:WUV852003 IJ917508:IJ917539 SF917508:SF917539 ACB917508:ACB917539 ALX917508:ALX917539 AVT917508:AVT917539 BFP917508:BFP917539 BPL917508:BPL917539 BZH917508:BZH917539 CJD917508:CJD917539 CSZ917508:CSZ917539 DCV917508:DCV917539 DMR917508:DMR917539 DWN917508:DWN917539 EGJ917508:EGJ917539 EQF917508:EQF917539 FAB917508:FAB917539 FJX917508:FJX917539 FTT917508:FTT917539 GDP917508:GDP917539 GNL917508:GNL917539 GXH917508:GXH917539 HHD917508:HHD917539 HQZ917508:HQZ917539 IAV917508:IAV917539 IKR917508:IKR917539 IUN917508:IUN917539 JEJ917508:JEJ917539 JOF917508:JOF917539 JYB917508:JYB917539 KHX917508:KHX917539 KRT917508:KRT917539 LBP917508:LBP917539 LLL917508:LLL917539 LVH917508:LVH917539 MFD917508:MFD917539 MOZ917508:MOZ917539 MYV917508:MYV917539 NIR917508:NIR917539 NSN917508:NSN917539 OCJ917508:OCJ917539 OMF917508:OMF917539 OWB917508:OWB917539 PFX917508:PFX917539 PPT917508:PPT917539 PZP917508:PZP917539 QJL917508:QJL917539 QTH917508:QTH917539 RDD917508:RDD917539 RMZ917508:RMZ917539 RWV917508:RWV917539 SGR917508:SGR917539 SQN917508:SQN917539 TAJ917508:TAJ917539 TKF917508:TKF917539 TUB917508:TUB917539 UDX917508:UDX917539 UNT917508:UNT917539 UXP917508:UXP917539 VHL917508:VHL917539 VRH917508:VRH917539 WBD917508:WBD917539 WKZ917508:WKZ917539 WUV917508:WUV917539 IJ983044:IJ983075 SF983044:SF983075 ACB983044:ACB983075 ALX983044:ALX983075 AVT983044:AVT983075 BFP983044:BFP983075 BPL983044:BPL983075 BZH983044:BZH983075 CJD983044:CJD983075 CSZ983044:CSZ983075 DCV983044:DCV983075 DMR983044:DMR983075 DWN983044:DWN983075 EGJ983044:EGJ983075 EQF983044:EQF983075 FAB983044:FAB983075 FJX983044:FJX983075 FTT983044:FTT983075 GDP983044:GDP983075 GNL983044:GNL983075 GXH983044:GXH983075 HHD983044:HHD983075 HQZ983044:HQZ983075 IAV983044:IAV983075 IKR983044:IKR983075 IUN983044:IUN983075 JEJ983044:JEJ983075 JOF983044:JOF983075 JYB983044:JYB983075 KHX983044:KHX983075 KRT983044:KRT983075 LBP983044:LBP983075 LLL983044:LLL983075 LVH983044:LVH983075 MFD983044:MFD983075 MOZ983044:MOZ983075 MYV983044:MYV983075 NIR983044:NIR983075 NSN983044:NSN983075 OCJ983044:OCJ983075 OMF983044:OMF983075 OWB983044:OWB983075 PFX983044:PFX983075 PPT983044:PPT983075 PZP983044:PZP983075 QJL983044:QJL983075 QTH983044:QTH983075 RDD983044:RDD983075 RMZ983044:RMZ983075 RWV983044:RWV983075 SGR983044:SGR983075 SQN983044:SQN983075 TAJ983044:TAJ983075 TKF983044:TKF983075 TUB983044:TUB983075 UDX983044:UDX983075 UNT983044:UNT983075 UXP983044:UXP983075 VHL983044:VHL983075 VRH983044:VRH983075 WBD983044:WBD983075 WKZ983044:WKZ983075 WUV983044:WUV983075 IR4:IR35 SN4:SN35 ACJ4:ACJ35 AMF4:AMF35 AWB4:AWB35 BFX4:BFX35 BPT4:BPT35 BZP4:BZP35 CJL4:CJL35 CTH4:CTH35 DDD4:DDD35 DMZ4:DMZ35 DWV4:DWV35 EGR4:EGR35 EQN4:EQN35 FAJ4:FAJ35 FKF4:FKF35 FUB4:FUB35 GDX4:GDX35 GNT4:GNT35 GXP4:GXP35 HHL4:HHL35 HRH4:HRH35 IBD4:IBD35 IKZ4:IKZ35 IUV4:IUV35 JER4:JER35 JON4:JON35 JYJ4:JYJ35 KIF4:KIF35 KSB4:KSB35 LBX4:LBX35 LLT4:LLT35 LVP4:LVP35 MFL4:MFL35 MPH4:MPH35 MZD4:MZD35 NIZ4:NIZ35 NSV4:NSV35 OCR4:OCR35 OMN4:OMN35 OWJ4:OWJ35 PGF4:PGF35 PQB4:PQB35 PZX4:PZX35 QJT4:QJT35 QTP4:QTP35 RDL4:RDL35 RNH4:RNH35 RXD4:RXD35 SGZ4:SGZ35 SQV4:SQV35 TAR4:TAR35 TKN4:TKN35 TUJ4:TUJ35 UEF4:UEF35 UOB4:UOB35 UXX4:UXX35 VHT4:VHT35 VRP4:VRP35 WBL4:WBL35 WLH4:WLH35 WVD4:WVD35 IR65540:IR65571 SN65540:SN65571 ACJ65540:ACJ65571 AMF65540:AMF65571 AWB65540:AWB65571 BFX65540:BFX65571 BPT65540:BPT65571 BZP65540:BZP65571 CJL65540:CJL65571 CTH65540:CTH65571 DDD65540:DDD65571 DMZ65540:DMZ65571 DWV65540:DWV65571 EGR65540:EGR65571 EQN65540:EQN65571 FAJ65540:FAJ65571 FKF65540:FKF65571 FUB65540:FUB65571 GDX65540:GDX65571 GNT65540:GNT65571 GXP65540:GXP65571 HHL65540:HHL65571 HRH65540:HRH65571 IBD65540:IBD65571 IKZ65540:IKZ65571 IUV65540:IUV65571 JER65540:JER65571 JON65540:JON65571 JYJ65540:JYJ65571 KIF65540:KIF65571 KSB65540:KSB65571 LBX65540:LBX65571 LLT65540:LLT65571 LVP65540:LVP65571 MFL65540:MFL65571 MPH65540:MPH65571 MZD65540:MZD65571 NIZ65540:NIZ65571 NSV65540:NSV65571 OCR65540:OCR65571 OMN65540:OMN65571 OWJ65540:OWJ65571 PGF65540:PGF65571 PQB65540:PQB65571 PZX65540:PZX65571 QJT65540:QJT65571 QTP65540:QTP65571 RDL65540:RDL65571 RNH65540:RNH65571 RXD65540:RXD65571 SGZ65540:SGZ65571 SQV65540:SQV65571 TAR65540:TAR65571 TKN65540:TKN65571 TUJ65540:TUJ65571 UEF65540:UEF65571 UOB65540:UOB65571 UXX65540:UXX65571 VHT65540:VHT65571 VRP65540:VRP65571 WBL65540:WBL65571 WLH65540:WLH65571 WVD65540:WVD65571 IR131076:IR131107 SN131076:SN131107 ACJ131076:ACJ131107 AMF131076:AMF131107 AWB131076:AWB131107 BFX131076:BFX131107 BPT131076:BPT131107 BZP131076:BZP131107 CJL131076:CJL131107 CTH131076:CTH131107 DDD131076:DDD131107 DMZ131076:DMZ131107 DWV131076:DWV131107 EGR131076:EGR131107 EQN131076:EQN131107 FAJ131076:FAJ131107 FKF131076:FKF131107 FUB131076:FUB131107 GDX131076:GDX131107 GNT131076:GNT131107 GXP131076:GXP131107 HHL131076:HHL131107 HRH131076:HRH131107 IBD131076:IBD131107 IKZ131076:IKZ131107 IUV131076:IUV131107 JER131076:JER131107 JON131076:JON131107 JYJ131076:JYJ131107 KIF131076:KIF131107 KSB131076:KSB131107 LBX131076:LBX131107 LLT131076:LLT131107 LVP131076:LVP131107 MFL131076:MFL131107 MPH131076:MPH131107 MZD131076:MZD131107 NIZ131076:NIZ131107 NSV131076:NSV131107 OCR131076:OCR131107 OMN131076:OMN131107 OWJ131076:OWJ131107 PGF131076:PGF131107 PQB131076:PQB131107 PZX131076:PZX131107 QJT131076:QJT131107 QTP131076:QTP131107 RDL131076:RDL131107 RNH131076:RNH131107 RXD131076:RXD131107 SGZ131076:SGZ131107 SQV131076:SQV131107 TAR131076:TAR131107 TKN131076:TKN131107 TUJ131076:TUJ131107 UEF131076:UEF131107 UOB131076:UOB131107 UXX131076:UXX131107 VHT131076:VHT131107 VRP131076:VRP131107 WBL131076:WBL131107 WLH131076:WLH131107 WVD131076:WVD131107 IR196612:IR196643 SN196612:SN196643 ACJ196612:ACJ196643 AMF196612:AMF196643 AWB196612:AWB196643 BFX196612:BFX196643 BPT196612:BPT196643 BZP196612:BZP196643 CJL196612:CJL196643 CTH196612:CTH196643 DDD196612:DDD196643 DMZ196612:DMZ196643 DWV196612:DWV196643 EGR196612:EGR196643 EQN196612:EQN196643 FAJ196612:FAJ196643 FKF196612:FKF196643 FUB196612:FUB196643 GDX196612:GDX196643 GNT196612:GNT196643 GXP196612:GXP196643 HHL196612:HHL196643 HRH196612:HRH196643 IBD196612:IBD196643 IKZ196612:IKZ196643 IUV196612:IUV196643 JER196612:JER196643 JON196612:JON196643 JYJ196612:JYJ196643 KIF196612:KIF196643 KSB196612:KSB196643 LBX196612:LBX196643 LLT196612:LLT196643 LVP196612:LVP196643 MFL196612:MFL196643 MPH196612:MPH196643 MZD196612:MZD196643 NIZ196612:NIZ196643 NSV196612:NSV196643 OCR196612:OCR196643 OMN196612:OMN196643 OWJ196612:OWJ196643 PGF196612:PGF196643 PQB196612:PQB196643 PZX196612:PZX196643 QJT196612:QJT196643 QTP196612:QTP196643 RDL196612:RDL196643 RNH196612:RNH196643 RXD196612:RXD196643 SGZ196612:SGZ196643 SQV196612:SQV196643 TAR196612:TAR196643 TKN196612:TKN196643 TUJ196612:TUJ196643 UEF196612:UEF196643 UOB196612:UOB196643 UXX196612:UXX196643 VHT196612:VHT196643 VRP196612:VRP196643 WBL196612:WBL196643 WLH196612:WLH196643 WVD196612:WVD196643 IR262148:IR262179 SN262148:SN262179 ACJ262148:ACJ262179 AMF262148:AMF262179 AWB262148:AWB262179 BFX262148:BFX262179 BPT262148:BPT262179 BZP262148:BZP262179 CJL262148:CJL262179 CTH262148:CTH262179 DDD262148:DDD262179 DMZ262148:DMZ262179 DWV262148:DWV262179 EGR262148:EGR262179 EQN262148:EQN262179 FAJ262148:FAJ262179 FKF262148:FKF262179 FUB262148:FUB262179 GDX262148:GDX262179 GNT262148:GNT262179 GXP262148:GXP262179 HHL262148:HHL262179 HRH262148:HRH262179 IBD262148:IBD262179 IKZ262148:IKZ262179 IUV262148:IUV262179 JER262148:JER262179 JON262148:JON262179 JYJ262148:JYJ262179 KIF262148:KIF262179 KSB262148:KSB262179 LBX262148:LBX262179 LLT262148:LLT262179 LVP262148:LVP262179 MFL262148:MFL262179 MPH262148:MPH262179 MZD262148:MZD262179 NIZ262148:NIZ262179 NSV262148:NSV262179 OCR262148:OCR262179 OMN262148:OMN262179 OWJ262148:OWJ262179 PGF262148:PGF262179 PQB262148:PQB262179 PZX262148:PZX262179 QJT262148:QJT262179 QTP262148:QTP262179 RDL262148:RDL262179 RNH262148:RNH262179 RXD262148:RXD262179 SGZ262148:SGZ262179 SQV262148:SQV262179 TAR262148:TAR262179 TKN262148:TKN262179 TUJ262148:TUJ262179 UEF262148:UEF262179 UOB262148:UOB262179 UXX262148:UXX262179 VHT262148:VHT262179 VRP262148:VRP262179 WBL262148:WBL262179 WLH262148:WLH262179 WVD262148:WVD262179 IR327684:IR327715 SN327684:SN327715 ACJ327684:ACJ327715 AMF327684:AMF327715 AWB327684:AWB327715 BFX327684:BFX327715 BPT327684:BPT327715 BZP327684:BZP327715 CJL327684:CJL327715 CTH327684:CTH327715 DDD327684:DDD327715 DMZ327684:DMZ327715 DWV327684:DWV327715 EGR327684:EGR327715 EQN327684:EQN327715 FAJ327684:FAJ327715 FKF327684:FKF327715 FUB327684:FUB327715 GDX327684:GDX327715 GNT327684:GNT327715 GXP327684:GXP327715 HHL327684:HHL327715 HRH327684:HRH327715 IBD327684:IBD327715 IKZ327684:IKZ327715 IUV327684:IUV327715 JER327684:JER327715 JON327684:JON327715 JYJ327684:JYJ327715 KIF327684:KIF327715 KSB327684:KSB327715 LBX327684:LBX327715 LLT327684:LLT327715 LVP327684:LVP327715 MFL327684:MFL327715 MPH327684:MPH327715 MZD327684:MZD327715 NIZ327684:NIZ327715 NSV327684:NSV327715 OCR327684:OCR327715 OMN327684:OMN327715 OWJ327684:OWJ327715 PGF327684:PGF327715 PQB327684:PQB327715 PZX327684:PZX327715 QJT327684:QJT327715 QTP327684:QTP327715 RDL327684:RDL327715 RNH327684:RNH327715 RXD327684:RXD327715 SGZ327684:SGZ327715 SQV327684:SQV327715 TAR327684:TAR327715 TKN327684:TKN327715 TUJ327684:TUJ327715 UEF327684:UEF327715 UOB327684:UOB327715 UXX327684:UXX327715 VHT327684:VHT327715 VRP327684:VRP327715 WBL327684:WBL327715 WLH327684:WLH327715 WVD327684:WVD327715 IR393220:IR393251 SN393220:SN393251 ACJ393220:ACJ393251 AMF393220:AMF393251 AWB393220:AWB393251 BFX393220:BFX393251 BPT393220:BPT393251 BZP393220:BZP393251 CJL393220:CJL393251 CTH393220:CTH393251 DDD393220:DDD393251 DMZ393220:DMZ393251 DWV393220:DWV393251 EGR393220:EGR393251 EQN393220:EQN393251 FAJ393220:FAJ393251 FKF393220:FKF393251 FUB393220:FUB393251 GDX393220:GDX393251 GNT393220:GNT393251 GXP393220:GXP393251 HHL393220:HHL393251 HRH393220:HRH393251 IBD393220:IBD393251 IKZ393220:IKZ393251 IUV393220:IUV393251 JER393220:JER393251 JON393220:JON393251 JYJ393220:JYJ393251 KIF393220:KIF393251 KSB393220:KSB393251 LBX393220:LBX393251 LLT393220:LLT393251 LVP393220:LVP393251 MFL393220:MFL393251 MPH393220:MPH393251 MZD393220:MZD393251 NIZ393220:NIZ393251 NSV393220:NSV393251 OCR393220:OCR393251 OMN393220:OMN393251 OWJ393220:OWJ393251 PGF393220:PGF393251 PQB393220:PQB393251 PZX393220:PZX393251 QJT393220:QJT393251 QTP393220:QTP393251 RDL393220:RDL393251 RNH393220:RNH393251 RXD393220:RXD393251 SGZ393220:SGZ393251 SQV393220:SQV393251 TAR393220:TAR393251 TKN393220:TKN393251 TUJ393220:TUJ393251 UEF393220:UEF393251 UOB393220:UOB393251 UXX393220:UXX393251 VHT393220:VHT393251 VRP393220:VRP393251 WBL393220:WBL393251 WLH393220:WLH393251 WVD393220:WVD393251 IR458756:IR458787 SN458756:SN458787 ACJ458756:ACJ458787 AMF458756:AMF458787 AWB458756:AWB458787 BFX458756:BFX458787 BPT458756:BPT458787 BZP458756:BZP458787 CJL458756:CJL458787 CTH458756:CTH458787 DDD458756:DDD458787 DMZ458756:DMZ458787 DWV458756:DWV458787 EGR458756:EGR458787 EQN458756:EQN458787 FAJ458756:FAJ458787 FKF458756:FKF458787 FUB458756:FUB458787 GDX458756:GDX458787 GNT458756:GNT458787 GXP458756:GXP458787 HHL458756:HHL458787 HRH458756:HRH458787 IBD458756:IBD458787 IKZ458756:IKZ458787 IUV458756:IUV458787 JER458756:JER458787 JON458756:JON458787 JYJ458756:JYJ458787 KIF458756:KIF458787 KSB458756:KSB458787 LBX458756:LBX458787 LLT458756:LLT458787 LVP458756:LVP458787 MFL458756:MFL458787 MPH458756:MPH458787 MZD458756:MZD458787 NIZ458756:NIZ458787 NSV458756:NSV458787 OCR458756:OCR458787 OMN458756:OMN458787 OWJ458756:OWJ458787 PGF458756:PGF458787 PQB458756:PQB458787 PZX458756:PZX458787 QJT458756:QJT458787 QTP458756:QTP458787 RDL458756:RDL458787 RNH458756:RNH458787 RXD458756:RXD458787 SGZ458756:SGZ458787 SQV458756:SQV458787 TAR458756:TAR458787 TKN458756:TKN458787 TUJ458756:TUJ458787 UEF458756:UEF458787 UOB458756:UOB458787 UXX458756:UXX458787 VHT458756:VHT458787 VRP458756:VRP458787 WBL458756:WBL458787 WLH458756:WLH458787 WVD458756:WVD458787 IR524292:IR524323 SN524292:SN524323 ACJ524292:ACJ524323 AMF524292:AMF524323 AWB524292:AWB524323 BFX524292:BFX524323 BPT524292:BPT524323 BZP524292:BZP524323 CJL524292:CJL524323 CTH524292:CTH524323 DDD524292:DDD524323 DMZ524292:DMZ524323 DWV524292:DWV524323 EGR524292:EGR524323 EQN524292:EQN524323 FAJ524292:FAJ524323 FKF524292:FKF524323 FUB524292:FUB524323 GDX524292:GDX524323 GNT524292:GNT524323 GXP524292:GXP524323 HHL524292:HHL524323 HRH524292:HRH524323 IBD524292:IBD524323 IKZ524292:IKZ524323 IUV524292:IUV524323 JER524292:JER524323 JON524292:JON524323 JYJ524292:JYJ524323 KIF524292:KIF524323 KSB524292:KSB524323 LBX524292:LBX524323 LLT524292:LLT524323 LVP524292:LVP524323 MFL524292:MFL524323 MPH524292:MPH524323 MZD524292:MZD524323 NIZ524292:NIZ524323 NSV524292:NSV524323 OCR524292:OCR524323 OMN524292:OMN524323 OWJ524292:OWJ524323 PGF524292:PGF524323 PQB524292:PQB524323 PZX524292:PZX524323 QJT524292:QJT524323 QTP524292:QTP524323 RDL524292:RDL524323 RNH524292:RNH524323 RXD524292:RXD524323 SGZ524292:SGZ524323 SQV524292:SQV524323 TAR524292:TAR524323 TKN524292:TKN524323 TUJ524292:TUJ524323 UEF524292:UEF524323 UOB524292:UOB524323 UXX524292:UXX524323 VHT524292:VHT524323 VRP524292:VRP524323 WBL524292:WBL524323 WLH524292:WLH524323 WVD524292:WVD524323 IR589828:IR589859 SN589828:SN589859 ACJ589828:ACJ589859 AMF589828:AMF589859 AWB589828:AWB589859 BFX589828:BFX589859 BPT589828:BPT589859 BZP589828:BZP589859 CJL589828:CJL589859 CTH589828:CTH589859 DDD589828:DDD589859 DMZ589828:DMZ589859 DWV589828:DWV589859 EGR589828:EGR589859 EQN589828:EQN589859 FAJ589828:FAJ589859 FKF589828:FKF589859 FUB589828:FUB589859 GDX589828:GDX589859 GNT589828:GNT589859 GXP589828:GXP589859 HHL589828:HHL589859 HRH589828:HRH589859 IBD589828:IBD589859 IKZ589828:IKZ589859 IUV589828:IUV589859 JER589828:JER589859 JON589828:JON589859 JYJ589828:JYJ589859 KIF589828:KIF589859 KSB589828:KSB589859 LBX589828:LBX589859 LLT589828:LLT589859 LVP589828:LVP589859 MFL589828:MFL589859 MPH589828:MPH589859 MZD589828:MZD589859 NIZ589828:NIZ589859 NSV589828:NSV589859 OCR589828:OCR589859 OMN589828:OMN589859 OWJ589828:OWJ589859 PGF589828:PGF589859 PQB589828:PQB589859 PZX589828:PZX589859 QJT589828:QJT589859 QTP589828:QTP589859 RDL589828:RDL589859 RNH589828:RNH589859 RXD589828:RXD589859 SGZ589828:SGZ589859 SQV589828:SQV589859 TAR589828:TAR589859 TKN589828:TKN589859 TUJ589828:TUJ589859 UEF589828:UEF589859 UOB589828:UOB589859 UXX589828:UXX589859 VHT589828:VHT589859 VRP589828:VRP589859 WBL589828:WBL589859 WLH589828:WLH589859 WVD589828:WVD589859 IR655364:IR655395 SN655364:SN655395 ACJ655364:ACJ655395 AMF655364:AMF655395 AWB655364:AWB655395 BFX655364:BFX655395 BPT655364:BPT655395 BZP655364:BZP655395 CJL655364:CJL655395 CTH655364:CTH655395 DDD655364:DDD655395 DMZ655364:DMZ655395 DWV655364:DWV655395 EGR655364:EGR655395 EQN655364:EQN655395 FAJ655364:FAJ655395 FKF655364:FKF655395 FUB655364:FUB655395 GDX655364:GDX655395 GNT655364:GNT655395 GXP655364:GXP655395 HHL655364:HHL655395 HRH655364:HRH655395 IBD655364:IBD655395 IKZ655364:IKZ655395 IUV655364:IUV655395 JER655364:JER655395 JON655364:JON655395 JYJ655364:JYJ655395 KIF655364:KIF655395 KSB655364:KSB655395 LBX655364:LBX655395 LLT655364:LLT655395 LVP655364:LVP655395 MFL655364:MFL655395 MPH655364:MPH655395 MZD655364:MZD655395 NIZ655364:NIZ655395 NSV655364:NSV655395 OCR655364:OCR655395 OMN655364:OMN655395 OWJ655364:OWJ655395 PGF655364:PGF655395 PQB655364:PQB655395 PZX655364:PZX655395 QJT655364:QJT655395 QTP655364:QTP655395 RDL655364:RDL655395 RNH655364:RNH655395 RXD655364:RXD655395 SGZ655364:SGZ655395 SQV655364:SQV655395 TAR655364:TAR655395 TKN655364:TKN655395 TUJ655364:TUJ655395 UEF655364:UEF655395 UOB655364:UOB655395 UXX655364:UXX655395 VHT655364:VHT655395 VRP655364:VRP655395 WBL655364:WBL655395 WLH655364:WLH655395 WVD655364:WVD655395 IR720900:IR720931 SN720900:SN720931 ACJ720900:ACJ720931 AMF720900:AMF720931 AWB720900:AWB720931 BFX720900:BFX720931 BPT720900:BPT720931 BZP720900:BZP720931 CJL720900:CJL720931 CTH720900:CTH720931 DDD720900:DDD720931 DMZ720900:DMZ720931 DWV720900:DWV720931 EGR720900:EGR720931 EQN720900:EQN720931 FAJ720900:FAJ720931 FKF720900:FKF720931 FUB720900:FUB720931 GDX720900:GDX720931 GNT720900:GNT720931 GXP720900:GXP720931 HHL720900:HHL720931 HRH720900:HRH720931 IBD720900:IBD720931 IKZ720900:IKZ720931 IUV720900:IUV720931 JER720900:JER720931 JON720900:JON720931 JYJ720900:JYJ720931 KIF720900:KIF720931 KSB720900:KSB720931 LBX720900:LBX720931 LLT720900:LLT720931 LVP720900:LVP720931 MFL720900:MFL720931 MPH720900:MPH720931 MZD720900:MZD720931 NIZ720900:NIZ720931 NSV720900:NSV720931 OCR720900:OCR720931 OMN720900:OMN720931 OWJ720900:OWJ720931 PGF720900:PGF720931 PQB720900:PQB720931 PZX720900:PZX720931 QJT720900:QJT720931 QTP720900:QTP720931 RDL720900:RDL720931 RNH720900:RNH720931 RXD720900:RXD720931 SGZ720900:SGZ720931 SQV720900:SQV720931 TAR720900:TAR720931 TKN720900:TKN720931 TUJ720900:TUJ720931 UEF720900:UEF720931 UOB720900:UOB720931 UXX720900:UXX720931 VHT720900:VHT720931 VRP720900:VRP720931 WBL720900:WBL720931 WLH720900:WLH720931 WVD720900:WVD720931 IR786436:IR786467 SN786436:SN786467 ACJ786436:ACJ786467 AMF786436:AMF786467 AWB786436:AWB786467 BFX786436:BFX786467 BPT786436:BPT786467 BZP786436:BZP786467 CJL786436:CJL786467 CTH786436:CTH786467 DDD786436:DDD786467 DMZ786436:DMZ786467 DWV786436:DWV786467 EGR786436:EGR786467 EQN786436:EQN786467 FAJ786436:FAJ786467 FKF786436:FKF786467 FUB786436:FUB786467 GDX786436:GDX786467 GNT786436:GNT786467 GXP786436:GXP786467 HHL786436:HHL786467 HRH786436:HRH786467 IBD786436:IBD786467 IKZ786436:IKZ786467 IUV786436:IUV786467 JER786436:JER786467 JON786436:JON786467 JYJ786436:JYJ786467 KIF786436:KIF786467 KSB786436:KSB786467 LBX786436:LBX786467 LLT786436:LLT786467 LVP786436:LVP786467 MFL786436:MFL786467 MPH786436:MPH786467 MZD786436:MZD786467 NIZ786436:NIZ786467 NSV786436:NSV786467 OCR786436:OCR786467 OMN786436:OMN786467 OWJ786436:OWJ786467 PGF786436:PGF786467 PQB786436:PQB786467 PZX786436:PZX786467 QJT786436:QJT786467 QTP786436:QTP786467 RDL786436:RDL786467 RNH786436:RNH786467 RXD786436:RXD786467 SGZ786436:SGZ786467 SQV786436:SQV786467 TAR786436:TAR786467 TKN786436:TKN786467 TUJ786436:TUJ786467 UEF786436:UEF786467 UOB786436:UOB786467 UXX786436:UXX786467 VHT786436:VHT786467 VRP786436:VRP786467 WBL786436:WBL786467 WLH786436:WLH786467 WVD786436:WVD786467 IR851972:IR852003 SN851972:SN852003 ACJ851972:ACJ852003 AMF851972:AMF852003 AWB851972:AWB852003 BFX851972:BFX852003 BPT851972:BPT852003 BZP851972:BZP852003 CJL851972:CJL852003 CTH851972:CTH852003 DDD851972:DDD852003 DMZ851972:DMZ852003 DWV851972:DWV852003 EGR851972:EGR852003 EQN851972:EQN852003 FAJ851972:FAJ852003 FKF851972:FKF852003 FUB851972:FUB852003 GDX851972:GDX852003 GNT851972:GNT852003 GXP851972:GXP852003 HHL851972:HHL852003 HRH851972:HRH852003 IBD851972:IBD852003 IKZ851972:IKZ852003 IUV851972:IUV852003 JER851972:JER852003 JON851972:JON852003 JYJ851972:JYJ852003 KIF851972:KIF852003 KSB851972:KSB852003 LBX851972:LBX852003 LLT851972:LLT852003 LVP851972:LVP852003 MFL851972:MFL852003 MPH851972:MPH852003 MZD851972:MZD852003 NIZ851972:NIZ852003 NSV851972:NSV852003 OCR851972:OCR852003 OMN851972:OMN852003 OWJ851972:OWJ852003 PGF851972:PGF852003 PQB851972:PQB852003 PZX851972:PZX852003 QJT851972:QJT852003 QTP851972:QTP852003 RDL851972:RDL852003 RNH851972:RNH852003 RXD851972:RXD852003 SGZ851972:SGZ852003 SQV851972:SQV852003 TAR851972:TAR852003 TKN851972:TKN852003 TUJ851972:TUJ852003 UEF851972:UEF852003 UOB851972:UOB852003 UXX851972:UXX852003 VHT851972:VHT852003 VRP851972:VRP852003 WBL851972:WBL852003 WLH851972:WLH852003 WVD851972:WVD852003 IR917508:IR917539 SN917508:SN917539 ACJ917508:ACJ917539 AMF917508:AMF917539 AWB917508:AWB917539 BFX917508:BFX917539 BPT917508:BPT917539 BZP917508:BZP917539 CJL917508:CJL917539 CTH917508:CTH917539 DDD917508:DDD917539 DMZ917508:DMZ917539 DWV917508:DWV917539 EGR917508:EGR917539 EQN917508:EQN917539 FAJ917508:FAJ917539 FKF917508:FKF917539 FUB917508:FUB917539 GDX917508:GDX917539 GNT917508:GNT917539 GXP917508:GXP917539 HHL917508:HHL917539 HRH917508:HRH917539 IBD917508:IBD917539 IKZ917508:IKZ917539 IUV917508:IUV917539 JER917508:JER917539 JON917508:JON917539 JYJ917508:JYJ917539 KIF917508:KIF917539 KSB917508:KSB917539 LBX917508:LBX917539 LLT917508:LLT917539 LVP917508:LVP917539 MFL917508:MFL917539 MPH917508:MPH917539 MZD917508:MZD917539 NIZ917508:NIZ917539 NSV917508:NSV917539 OCR917508:OCR917539 OMN917508:OMN917539 OWJ917508:OWJ917539 PGF917508:PGF917539 PQB917508:PQB917539 PZX917508:PZX917539 QJT917508:QJT917539 QTP917508:QTP917539 RDL917508:RDL917539 RNH917508:RNH917539 RXD917508:RXD917539 SGZ917508:SGZ917539 SQV917508:SQV917539 TAR917508:TAR917539 TKN917508:TKN917539 TUJ917508:TUJ917539 UEF917508:UEF917539 UOB917508:UOB917539 UXX917508:UXX917539 VHT917508:VHT917539 VRP917508:VRP917539 WBL917508:WBL917539 WLH917508:WLH917539 WVD917508:WVD917539 IR983044:IR983075 SN983044:SN983075 ACJ983044:ACJ983075 AMF983044:AMF983075 AWB983044:AWB983075 BFX983044:BFX983075 BPT983044:BPT983075 BZP983044:BZP983075 CJL983044:CJL983075 CTH983044:CTH983075 DDD983044:DDD983075 DMZ983044:DMZ983075 DWV983044:DWV983075 EGR983044:EGR983075 EQN983044:EQN983075 FAJ983044:FAJ983075 FKF983044:FKF983075 FUB983044:FUB983075 GDX983044:GDX983075 GNT983044:GNT983075 GXP983044:GXP983075 HHL983044:HHL983075 HRH983044:HRH983075 IBD983044:IBD983075 IKZ983044:IKZ983075 IUV983044:IUV983075 JER983044:JER983075 JON983044:JON983075 JYJ983044:JYJ983075 KIF983044:KIF983075 KSB983044:KSB983075 LBX983044:LBX983075 LLT983044:LLT983075 LVP983044:LVP983075 MFL983044:MFL983075 MPH983044:MPH983075 MZD983044:MZD983075 NIZ983044:NIZ983075 NSV983044:NSV983075 OCR983044:OCR983075 OMN983044:OMN983075 OWJ983044:OWJ983075 PGF983044:PGF983075 PQB983044:PQB983075 PZX983044:PZX983075 QJT983044:QJT983075 QTP983044:QTP983075 RDL983044:RDL983075 RNH983044:RNH983075 RXD983044:RXD983075 SGZ983044:SGZ983075 SQV983044:SQV983075 TAR983044:TAR983075 TKN983044:TKN983075 TUJ983044:TUJ983075 UEF983044:UEF983075 UOB983044:UOB983075 UXX983044:UXX983075 VHT983044:VHT983075 VRP983044:VRP983075 WBL983044:WBL983075" xr:uid="{6C9CA6A7-BF65-4493-88B0-760E662179C1}">
      <formula1>"CS,1,2,3,4,5,6"</formula1>
    </dataValidation>
  </dataValidations>
  <pageMargins left="0.75" right="0.75" top="1" bottom="1" header="0.5" footer="0.5"/>
  <pageSetup orientation="portrait" horizont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AA32A-32B0-45C3-9669-268C9CB16B36}">
  <sheetPr codeName="Sheet3"/>
  <dimension ref="A1:Q833"/>
  <sheetViews>
    <sheetView tabSelected="1" workbookViewId="0">
      <selection activeCell="I2" sqref="I2"/>
    </sheetView>
  </sheetViews>
  <sheetFormatPr defaultRowHeight="14.4"/>
  <cols>
    <col min="1" max="1" width="4" style="2" bestFit="1" customWidth="1"/>
    <col min="2" max="2" width="12.6640625" bestFit="1" customWidth="1"/>
    <col min="3" max="3" width="20" bestFit="1" customWidth="1"/>
    <col min="4" max="4" width="11.88671875" bestFit="1" customWidth="1"/>
    <col min="5" max="5" width="11.88671875" style="2" customWidth="1"/>
    <col min="6" max="6" width="5.6640625" style="2" customWidth="1"/>
    <col min="7" max="7" width="21.5546875" bestFit="1" customWidth="1"/>
    <col min="8" max="8" width="3.88671875" bestFit="1" customWidth="1"/>
  </cols>
  <sheetData>
    <row r="1" spans="1:17">
      <c r="B1" s="2" t="s">
        <v>3160</v>
      </c>
      <c r="C1" s="2" t="s">
        <v>3161</v>
      </c>
      <c r="D1" s="2" t="s">
        <v>913</v>
      </c>
      <c r="E1" s="2" t="s">
        <v>3209</v>
      </c>
      <c r="F1" s="2" t="s">
        <v>3169</v>
      </c>
      <c r="G1" s="2" t="s">
        <v>2039</v>
      </c>
      <c r="H1" s="2" t="s">
        <v>912</v>
      </c>
      <c r="I1" s="2" t="s">
        <v>3162</v>
      </c>
      <c r="J1" s="2" t="s">
        <v>3163</v>
      </c>
      <c r="K1" s="7" t="s">
        <v>3164</v>
      </c>
      <c r="L1" s="2" t="s">
        <v>3191</v>
      </c>
      <c r="M1" s="7" t="s">
        <v>3192</v>
      </c>
      <c r="N1" s="2" t="s">
        <v>3193</v>
      </c>
      <c r="O1" s="7" t="s">
        <v>3194</v>
      </c>
      <c r="Q1" t="s">
        <v>3203</v>
      </c>
    </row>
    <row r="2" spans="1:17">
      <c r="A2" s="2">
        <v>1</v>
      </c>
      <c r="B2" s="2" t="s">
        <v>1012</v>
      </c>
      <c r="C2" s="2" t="s">
        <v>1013</v>
      </c>
      <c r="D2" s="2" t="s">
        <v>895</v>
      </c>
      <c r="F2" s="2" t="str">
        <f>LOOKUP(D2,Sheet3!A$1:A$32,Sheet3!B$1:B$32)</f>
        <v>ARG</v>
      </c>
      <c r="G2" s="2" t="s">
        <v>2356</v>
      </c>
      <c r="H2" s="2" t="s">
        <v>44</v>
      </c>
      <c r="I2" s="2" t="str" cm="1">
        <f t="array" ref="I2">IFERROR(playerPoints($H2,$F2,$G2,I$1),"")</f>
        <v/>
      </c>
      <c r="J2" s="2" t="str" cm="1">
        <f t="array" ref="J2">IFERROR(playerPoints($H2,$F2,$G2,J$1),"")</f>
        <v/>
      </c>
      <c r="K2" s="2" t="str" cm="1">
        <f t="array" ref="K2">IFERROR(playerPoints($H2,$F2,$G2,K$1),"")</f>
        <v/>
      </c>
      <c r="L2" s="2" t="str" cm="1">
        <f t="array" ref="L2">IFERROR(playerPoints($H2,$F2,$G2,L$1),"")</f>
        <v/>
      </c>
      <c r="M2" s="2" t="str" cm="1">
        <f t="array" ref="M2">IFERROR(playerPoints($H2,$F2,$G2,M$1),"")</f>
        <v/>
      </c>
      <c r="N2" s="2" t="str" cm="1">
        <f t="array" ref="N2">IFERROR(playerPoints($H2,$F2,$G2,N$1),"")</f>
        <v/>
      </c>
      <c r="O2" s="2" t="str" cm="1">
        <f t="array" ref="O2">IFERROR(playerPoints($H2,$F2,$G2,O$1),"")</f>
        <v/>
      </c>
      <c r="Q2">
        <f>SUM(I2:O2)</f>
        <v>0</v>
      </c>
    </row>
    <row r="3" spans="1:17">
      <c r="A3" s="2">
        <v>2</v>
      </c>
      <c r="B3" s="2" t="s">
        <v>1014</v>
      </c>
      <c r="C3" s="2" t="s">
        <v>1015</v>
      </c>
      <c r="D3" s="2" t="s">
        <v>895</v>
      </c>
      <c r="F3" s="2" t="str">
        <f>LOOKUP(D3,Sheet3!A$1:A$32,Sheet3!B$1:B$32)</f>
        <v>ARG</v>
      </c>
      <c r="G3" s="2" t="s">
        <v>2357</v>
      </c>
      <c r="H3" s="2" t="s">
        <v>44</v>
      </c>
      <c r="I3" s="2" t="str" cm="1">
        <f t="array" ref="I3">IFERROR(playerPoints($H3,$F3,$G3,I$1),"")</f>
        <v/>
      </c>
      <c r="J3" s="2" t="str" cm="1">
        <f t="array" ref="J3">IFERROR(playerPoints($H3,$F3,$G3,J$1),"")</f>
        <v/>
      </c>
      <c r="K3" s="2" t="str" cm="1">
        <f t="array" ref="K3">IFERROR(playerPoints($H3,$F3,$G3,K$1),"")</f>
        <v/>
      </c>
      <c r="L3" s="2" t="str" cm="1">
        <f t="array" ref="L3">IFERROR(playerPoints($H3,$F3,$G3,L$1),"")</f>
        <v/>
      </c>
      <c r="M3" s="2" t="str" cm="1">
        <f t="array" ref="M3">IFERROR(playerPoints($H3,$F3,$G3,M$1),"")</f>
        <v/>
      </c>
      <c r="N3" s="2" t="str" cm="1">
        <f t="array" ref="N3">IFERROR(playerPoints($H3,$F3,$G3,N$1),"")</f>
        <v/>
      </c>
      <c r="O3" s="2" t="str" cm="1">
        <f t="array" ref="O3">IFERROR(playerPoints($H3,$F3,$G3,O$1),"")</f>
        <v/>
      </c>
      <c r="Q3" s="2">
        <f t="shared" ref="Q3:Q66" si="0">SUM(I3:O3)</f>
        <v>0</v>
      </c>
    </row>
    <row r="4" spans="1:17">
      <c r="A4" s="2">
        <v>3</v>
      </c>
      <c r="B4" s="2" t="s">
        <v>1016</v>
      </c>
      <c r="C4" s="2" t="s">
        <v>1017</v>
      </c>
      <c r="D4" s="2" t="s">
        <v>895</v>
      </c>
      <c r="F4" s="2" t="str">
        <f>LOOKUP(D4,Sheet3!A$1:A$32,Sheet3!B$1:B$32)</f>
        <v>ARG</v>
      </c>
      <c r="G4" s="2" t="s">
        <v>2358</v>
      </c>
      <c r="H4" s="2" t="s">
        <v>44</v>
      </c>
      <c r="I4" s="2" t="str" cm="1">
        <f t="array" ref="I4">IFERROR(playerPoints($H4,$F4,$G4,I$1),"")</f>
        <v/>
      </c>
      <c r="J4" s="2" t="str" cm="1">
        <f t="array" ref="J4">IFERROR(playerPoints($H4,$F4,$G4,J$1),"")</f>
        <v/>
      </c>
      <c r="K4" s="2" t="str" cm="1">
        <f t="array" ref="K4">IFERROR(playerPoints($H4,$F4,$G4,K$1),"")</f>
        <v/>
      </c>
      <c r="L4" s="2" t="str" cm="1">
        <f t="array" ref="L4">IFERROR(playerPoints($H4,$F4,$G4,L$1),"")</f>
        <v/>
      </c>
      <c r="M4" s="2" t="str" cm="1">
        <f t="array" ref="M4">IFERROR(playerPoints($H4,$F4,$G4,M$1),"")</f>
        <v/>
      </c>
      <c r="N4" s="2" t="str" cm="1">
        <f t="array" ref="N4">IFERROR(playerPoints($H4,$F4,$G4,N$1),"")</f>
        <v/>
      </c>
      <c r="O4" s="2" t="str" cm="1">
        <f t="array" ref="O4">IFERROR(playerPoints($H4,$F4,$G4,O$1),"")</f>
        <v/>
      </c>
      <c r="Q4" s="2">
        <f t="shared" si="0"/>
        <v>0</v>
      </c>
    </row>
    <row r="5" spans="1:17">
      <c r="A5" s="2">
        <v>4</v>
      </c>
      <c r="B5" s="2" t="s">
        <v>1018</v>
      </c>
      <c r="C5" s="2" t="s">
        <v>1019</v>
      </c>
      <c r="D5" s="2" t="s">
        <v>895</v>
      </c>
      <c r="F5" s="2" t="str">
        <f>LOOKUP(D5,Sheet3!A$1:A$32,Sheet3!B$1:B$32)</f>
        <v>ARG</v>
      </c>
      <c r="G5" s="2" t="s">
        <v>2359</v>
      </c>
      <c r="H5" s="2" t="s">
        <v>48</v>
      </c>
      <c r="I5" s="2" t="str" cm="1">
        <f t="array" ref="I5">IFERROR(playerPoints($H5,$F5,$G5,I$1),"")</f>
        <v/>
      </c>
      <c r="J5" s="2" t="str" cm="1">
        <f t="array" ref="J5">IFERROR(playerPoints($H5,$F5,$G5,J$1),"")</f>
        <v/>
      </c>
      <c r="K5" s="2" t="str" cm="1">
        <f t="array" ref="K5">IFERROR(playerPoints($H5,$F5,$G5,K$1),"")</f>
        <v/>
      </c>
      <c r="L5" s="2" t="str" cm="1">
        <f t="array" ref="L5">IFERROR(playerPoints($H5,$F5,$G5,L$1),"")</f>
        <v/>
      </c>
      <c r="M5" s="2" t="str" cm="1">
        <f t="array" ref="M5">IFERROR(playerPoints($H5,$F5,$G5,M$1),"")</f>
        <v/>
      </c>
      <c r="N5" s="2" t="str" cm="1">
        <f t="array" ref="N5">IFERROR(playerPoints($H5,$F5,$G5,N$1),"")</f>
        <v/>
      </c>
      <c r="O5" s="2" t="str" cm="1">
        <f t="array" ref="O5">IFERROR(playerPoints($H5,$F5,$G5,O$1),"")</f>
        <v/>
      </c>
      <c r="Q5" s="2">
        <f t="shared" si="0"/>
        <v>0</v>
      </c>
    </row>
    <row r="6" spans="1:17">
      <c r="A6" s="2">
        <v>5</v>
      </c>
      <c r="B6" s="2" t="s">
        <v>1020</v>
      </c>
      <c r="C6" s="2" t="s">
        <v>1021</v>
      </c>
      <c r="D6" s="2" t="s">
        <v>895</v>
      </c>
      <c r="F6" s="2" t="str">
        <f>LOOKUP(D6,Sheet3!A$1:A$32,Sheet3!B$1:B$32)</f>
        <v>ARG</v>
      </c>
      <c r="G6" s="2" t="s">
        <v>2360</v>
      </c>
      <c r="H6" s="2" t="s">
        <v>48</v>
      </c>
      <c r="I6" s="2" t="str" cm="1">
        <f t="array" ref="I6">IFERROR(playerPoints($H6,$F6,$G6,I$1),"")</f>
        <v/>
      </c>
      <c r="J6" s="2" t="str" cm="1">
        <f t="array" ref="J6">IFERROR(playerPoints($H6,$F6,$G6,J$1),"")</f>
        <v/>
      </c>
      <c r="K6" s="2" t="str" cm="1">
        <f t="array" ref="K6">IFERROR(playerPoints($H6,$F6,$G6,K$1),"")</f>
        <v/>
      </c>
      <c r="L6" s="2" t="str" cm="1">
        <f t="array" ref="L6">IFERROR(playerPoints($H6,$F6,$G6,L$1),"")</f>
        <v/>
      </c>
      <c r="M6" s="2" t="str" cm="1">
        <f t="array" ref="M6">IFERROR(playerPoints($H6,$F6,$G6,M$1),"")</f>
        <v/>
      </c>
      <c r="N6" s="2" t="str" cm="1">
        <f t="array" ref="N6">IFERROR(playerPoints($H6,$F6,$G6,N$1),"")</f>
        <v/>
      </c>
      <c r="O6" s="2" t="str" cm="1">
        <f t="array" ref="O6">IFERROR(playerPoints($H6,$F6,$G6,O$1),"")</f>
        <v/>
      </c>
      <c r="Q6" s="2">
        <f t="shared" si="0"/>
        <v>0</v>
      </c>
    </row>
    <row r="7" spans="1:17">
      <c r="A7" s="2">
        <v>6</v>
      </c>
      <c r="B7" s="2" t="s">
        <v>1022</v>
      </c>
      <c r="C7" s="2" t="s">
        <v>1023</v>
      </c>
      <c r="D7" s="2" t="s">
        <v>895</v>
      </c>
      <c r="F7" s="2" t="str">
        <f>LOOKUP(D7,Sheet3!A$1:A$32,Sheet3!B$1:B$32)</f>
        <v>ARG</v>
      </c>
      <c r="G7" s="2" t="s">
        <v>2361</v>
      </c>
      <c r="H7" s="2" t="s">
        <v>48</v>
      </c>
      <c r="I7" s="2" t="str" cm="1">
        <f t="array" ref="I7">IFERROR(playerPoints($H7,$F7,$G7,I$1),"")</f>
        <v/>
      </c>
      <c r="J7" s="2" t="str" cm="1">
        <f t="array" ref="J7">IFERROR(playerPoints($H7,$F7,$G7,J$1),"")</f>
        <v/>
      </c>
      <c r="K7" s="2" t="str" cm="1">
        <f t="array" ref="K7">IFERROR(playerPoints($H7,$F7,$G7,K$1),"")</f>
        <v/>
      </c>
      <c r="L7" s="2" t="str" cm="1">
        <f t="array" ref="L7">IFERROR(playerPoints($H7,$F7,$G7,L$1),"")</f>
        <v/>
      </c>
      <c r="M7" s="2" t="str" cm="1">
        <f t="array" ref="M7">IFERROR(playerPoints($H7,$F7,$G7,M$1),"")</f>
        <v/>
      </c>
      <c r="N7" s="2" t="str" cm="1">
        <f t="array" ref="N7">IFERROR(playerPoints($H7,$F7,$G7,N$1),"")</f>
        <v/>
      </c>
      <c r="O7" s="2" t="str" cm="1">
        <f t="array" ref="O7">IFERROR(playerPoints($H7,$F7,$G7,O$1),"")</f>
        <v/>
      </c>
      <c r="Q7" s="2">
        <f t="shared" si="0"/>
        <v>0</v>
      </c>
    </row>
    <row r="8" spans="1:17">
      <c r="A8" s="2">
        <v>7</v>
      </c>
      <c r="B8" s="2" t="s">
        <v>1024</v>
      </c>
      <c r="C8" s="2" t="s">
        <v>1025</v>
      </c>
      <c r="D8" s="2" t="s">
        <v>895</v>
      </c>
      <c r="F8" s="2" t="str">
        <f>LOOKUP(D8,Sheet3!A$1:A$32,Sheet3!B$1:B$32)</f>
        <v>ARG</v>
      </c>
      <c r="G8" s="2" t="s">
        <v>2362</v>
      </c>
      <c r="H8" s="2" t="s">
        <v>48</v>
      </c>
      <c r="I8" s="2" t="str" cm="1">
        <f t="array" ref="I8">IFERROR(playerPoints($H8,$F8,$G8,I$1),"")</f>
        <v/>
      </c>
      <c r="J8" s="2" t="str" cm="1">
        <f t="array" ref="J8">IFERROR(playerPoints($H8,$F8,$G8,J$1),"")</f>
        <v/>
      </c>
      <c r="K8" s="2" t="str" cm="1">
        <f t="array" ref="K8">IFERROR(playerPoints($H8,$F8,$G8,K$1),"")</f>
        <v/>
      </c>
      <c r="L8" s="2" t="str" cm="1">
        <f t="array" ref="L8">IFERROR(playerPoints($H8,$F8,$G8,L$1),"")</f>
        <v/>
      </c>
      <c r="M8" s="2" t="str" cm="1">
        <f t="array" ref="M8">IFERROR(playerPoints($H8,$F8,$G8,M$1),"")</f>
        <v/>
      </c>
      <c r="N8" s="2" t="str" cm="1">
        <f t="array" ref="N8">IFERROR(playerPoints($H8,$F8,$G8,N$1),"")</f>
        <v/>
      </c>
      <c r="O8" s="2" t="str" cm="1">
        <f t="array" ref="O8">IFERROR(playerPoints($H8,$F8,$G8,O$1),"")</f>
        <v/>
      </c>
      <c r="Q8" s="2">
        <f t="shared" si="0"/>
        <v>0</v>
      </c>
    </row>
    <row r="9" spans="1:17">
      <c r="A9" s="2">
        <v>8</v>
      </c>
      <c r="B9" s="2" t="s">
        <v>1026</v>
      </c>
      <c r="C9" s="2" t="s">
        <v>1027</v>
      </c>
      <c r="D9" s="2" t="s">
        <v>895</v>
      </c>
      <c r="F9" s="2" t="str">
        <f>LOOKUP(D9,Sheet3!A$1:A$32,Sheet3!B$1:B$32)</f>
        <v>ARG</v>
      </c>
      <c r="G9" s="2" t="s">
        <v>2363</v>
      </c>
      <c r="H9" s="2" t="s">
        <v>48</v>
      </c>
      <c r="I9" s="2" t="str" cm="1">
        <f t="array" ref="I9">IFERROR(playerPoints($H9,$F9,$G9,I$1),"")</f>
        <v/>
      </c>
      <c r="J9" s="2" t="str" cm="1">
        <f t="array" ref="J9">IFERROR(playerPoints($H9,$F9,$G9,J$1),"")</f>
        <v/>
      </c>
      <c r="K9" s="2" t="str" cm="1">
        <f t="array" ref="K9">IFERROR(playerPoints($H9,$F9,$G9,K$1),"")</f>
        <v/>
      </c>
      <c r="L9" s="2" t="str" cm="1">
        <f t="array" ref="L9">IFERROR(playerPoints($H9,$F9,$G9,L$1),"")</f>
        <v/>
      </c>
      <c r="M9" s="2" t="str" cm="1">
        <f t="array" ref="M9">IFERROR(playerPoints($H9,$F9,$G9,M$1),"")</f>
        <v/>
      </c>
      <c r="N9" s="2" t="str" cm="1">
        <f t="array" ref="N9">IFERROR(playerPoints($H9,$F9,$G9,N$1),"")</f>
        <v/>
      </c>
      <c r="O9" s="2" t="str" cm="1">
        <f t="array" ref="O9">IFERROR(playerPoints($H9,$F9,$G9,O$1),"")</f>
        <v/>
      </c>
      <c r="Q9" s="2">
        <f t="shared" si="0"/>
        <v>0</v>
      </c>
    </row>
    <row r="10" spans="1:17">
      <c r="A10" s="2">
        <v>9</v>
      </c>
      <c r="B10" s="2" t="s">
        <v>1028</v>
      </c>
      <c r="C10" s="2" t="s">
        <v>1029</v>
      </c>
      <c r="D10" s="2" t="s">
        <v>895</v>
      </c>
      <c r="F10" s="2" t="str">
        <f>LOOKUP(D10,Sheet3!A$1:A$32,Sheet3!B$1:B$32)</f>
        <v>ARG</v>
      </c>
      <c r="G10" s="2" t="s">
        <v>2364</v>
      </c>
      <c r="H10" s="2" t="s">
        <v>48</v>
      </c>
      <c r="I10" s="2" t="str" cm="1">
        <f t="array" ref="I10">IFERROR(playerPoints($H10,$F10,$G10,I$1),"")</f>
        <v/>
      </c>
      <c r="J10" s="2" t="str" cm="1">
        <f t="array" ref="J10">IFERROR(playerPoints($H10,$F10,$G10,J$1),"")</f>
        <v/>
      </c>
      <c r="K10" s="2" t="str" cm="1">
        <f t="array" ref="K10">IFERROR(playerPoints($H10,$F10,$G10,K$1),"")</f>
        <v/>
      </c>
      <c r="L10" s="2" t="str" cm="1">
        <f t="array" ref="L10">IFERROR(playerPoints($H10,$F10,$G10,L$1),"")</f>
        <v/>
      </c>
      <c r="M10" s="2" t="str" cm="1">
        <f t="array" ref="M10">IFERROR(playerPoints($H10,$F10,$G10,M$1),"")</f>
        <v/>
      </c>
      <c r="N10" s="2" t="str" cm="1">
        <f t="array" ref="N10">IFERROR(playerPoints($H10,$F10,$G10,N$1),"")</f>
        <v/>
      </c>
      <c r="O10" s="2" t="str" cm="1">
        <f t="array" ref="O10">IFERROR(playerPoints($H10,$F10,$G10,O$1),"")</f>
        <v/>
      </c>
      <c r="Q10" s="2">
        <f t="shared" si="0"/>
        <v>0</v>
      </c>
    </row>
    <row r="11" spans="1:17">
      <c r="A11" s="2">
        <v>10</v>
      </c>
      <c r="B11" s="2" t="s">
        <v>1020</v>
      </c>
      <c r="C11" s="2" t="s">
        <v>1030</v>
      </c>
      <c r="D11" s="2" t="s">
        <v>895</v>
      </c>
      <c r="F11" s="2" t="str">
        <f>LOOKUP(D11,Sheet3!A$1:A$32,Sheet3!B$1:B$32)</f>
        <v>ARG</v>
      </c>
      <c r="G11" s="2" t="s">
        <v>2365</v>
      </c>
      <c r="H11" s="2" t="s">
        <v>48</v>
      </c>
      <c r="I11" s="2" t="str" cm="1">
        <f t="array" ref="I11">IFERROR(playerPoints($H11,$F11,$G11,I$1),"")</f>
        <v/>
      </c>
      <c r="J11" s="2" t="str" cm="1">
        <f t="array" ref="J11">IFERROR(playerPoints($H11,$F11,$G11,J$1),"")</f>
        <v/>
      </c>
      <c r="K11" s="2" t="str" cm="1">
        <f t="array" ref="K11">IFERROR(playerPoints($H11,$F11,$G11,K$1),"")</f>
        <v/>
      </c>
      <c r="L11" s="2" t="str" cm="1">
        <f t="array" ref="L11">IFERROR(playerPoints($H11,$F11,$G11,L$1),"")</f>
        <v/>
      </c>
      <c r="M11" s="2" t="str" cm="1">
        <f t="array" ref="M11">IFERROR(playerPoints($H11,$F11,$G11,M$1),"")</f>
        <v/>
      </c>
      <c r="N11" s="2" t="str" cm="1">
        <f t="array" ref="N11">IFERROR(playerPoints($H11,$F11,$G11,N$1),"")</f>
        <v/>
      </c>
      <c r="O11" s="2" t="str" cm="1">
        <f t="array" ref="O11">IFERROR(playerPoints($H11,$F11,$G11,O$1),"")</f>
        <v/>
      </c>
      <c r="Q11" s="2">
        <f t="shared" si="0"/>
        <v>0</v>
      </c>
    </row>
    <row r="12" spans="1:17">
      <c r="A12" s="2">
        <v>11</v>
      </c>
      <c r="B12" s="2" t="s">
        <v>1031</v>
      </c>
      <c r="C12" s="2" t="s">
        <v>1017</v>
      </c>
      <c r="D12" s="2" t="s">
        <v>895</v>
      </c>
      <c r="F12" s="2" t="str">
        <f>LOOKUP(D12,Sheet3!A$1:A$32,Sheet3!B$1:B$32)</f>
        <v>ARG</v>
      </c>
      <c r="G12" s="2" t="s">
        <v>2366</v>
      </c>
      <c r="H12" s="2" t="s">
        <v>48</v>
      </c>
      <c r="I12" s="2" t="str" cm="1">
        <f t="array" ref="I12">IFERROR(playerPoints($H12,$F12,$G12,I$1),"")</f>
        <v/>
      </c>
      <c r="J12" s="2" t="str" cm="1">
        <f t="array" ref="J12">IFERROR(playerPoints($H12,$F12,$G12,J$1),"")</f>
        <v/>
      </c>
      <c r="K12" s="2" t="str" cm="1">
        <f t="array" ref="K12">IFERROR(playerPoints($H12,$F12,$G12,K$1),"")</f>
        <v/>
      </c>
      <c r="L12" s="2" t="str" cm="1">
        <f t="array" ref="L12">IFERROR(playerPoints($H12,$F12,$G12,L$1),"")</f>
        <v/>
      </c>
      <c r="M12" s="2" t="str" cm="1">
        <f t="array" ref="M12">IFERROR(playerPoints($H12,$F12,$G12,M$1),"")</f>
        <v/>
      </c>
      <c r="N12" s="2" t="str" cm="1">
        <f t="array" ref="N12">IFERROR(playerPoints($H12,$F12,$G12,N$1),"")</f>
        <v/>
      </c>
      <c r="O12" s="2" t="str" cm="1">
        <f t="array" ref="O12">IFERROR(playerPoints($H12,$F12,$G12,O$1),"")</f>
        <v/>
      </c>
      <c r="Q12" s="2">
        <f t="shared" si="0"/>
        <v>0</v>
      </c>
    </row>
    <row r="13" spans="1:17">
      <c r="A13" s="2">
        <v>12</v>
      </c>
      <c r="B13" s="2" t="s">
        <v>1032</v>
      </c>
      <c r="C13" s="2" t="s">
        <v>1033</v>
      </c>
      <c r="D13" s="2" t="s">
        <v>895</v>
      </c>
      <c r="F13" s="2" t="str">
        <f>LOOKUP(D13,Sheet3!A$1:A$32,Sheet3!B$1:B$32)</f>
        <v>ARG</v>
      </c>
      <c r="G13" s="2" t="s">
        <v>2367</v>
      </c>
      <c r="H13" s="2" t="s">
        <v>48</v>
      </c>
      <c r="I13" s="2" t="str" cm="1">
        <f t="array" ref="I13">IFERROR(playerPoints($H13,$F13,$G13,I$1),"")</f>
        <v/>
      </c>
      <c r="J13" s="2" t="str" cm="1">
        <f t="array" ref="J13">IFERROR(playerPoints($H13,$F13,$G13,J$1),"")</f>
        <v/>
      </c>
      <c r="K13" s="2" t="str" cm="1">
        <f t="array" ref="K13">IFERROR(playerPoints($H13,$F13,$G13,K$1),"")</f>
        <v/>
      </c>
      <c r="L13" s="2" t="str" cm="1">
        <f t="array" ref="L13">IFERROR(playerPoints($H13,$F13,$G13,L$1),"")</f>
        <v/>
      </c>
      <c r="M13" s="2" t="str" cm="1">
        <f t="array" ref="M13">IFERROR(playerPoints($H13,$F13,$G13,M$1),"")</f>
        <v/>
      </c>
      <c r="N13" s="2" t="str" cm="1">
        <f t="array" ref="N13">IFERROR(playerPoints($H13,$F13,$G13,N$1),"")</f>
        <v/>
      </c>
      <c r="O13" s="2" t="str" cm="1">
        <f t="array" ref="O13">IFERROR(playerPoints($H13,$F13,$G13,O$1),"")</f>
        <v/>
      </c>
      <c r="Q13" s="2">
        <f t="shared" si="0"/>
        <v>0</v>
      </c>
    </row>
    <row r="14" spans="1:17">
      <c r="A14" s="2">
        <v>13</v>
      </c>
      <c r="B14" s="2" t="s">
        <v>1034</v>
      </c>
      <c r="C14" s="2" t="s">
        <v>1035</v>
      </c>
      <c r="D14" s="2" t="s">
        <v>895</v>
      </c>
      <c r="F14" s="2" t="str">
        <f>LOOKUP(D14,Sheet3!A$1:A$32,Sheet3!B$1:B$32)</f>
        <v>ARG</v>
      </c>
      <c r="G14" s="2" t="s">
        <v>2368</v>
      </c>
      <c r="H14" s="2" t="s">
        <v>57</v>
      </c>
      <c r="I14" s="2" t="str" cm="1">
        <f t="array" ref="I14">IFERROR(playerPoints($H14,$F14,$G14,I$1),"")</f>
        <v/>
      </c>
      <c r="J14" s="2" t="str" cm="1">
        <f t="array" ref="J14">IFERROR(playerPoints($H14,$F14,$G14,J$1),"")</f>
        <v/>
      </c>
      <c r="K14" s="2" t="str" cm="1">
        <f t="array" ref="K14">IFERROR(playerPoints($H14,$F14,$G14,K$1),"")</f>
        <v/>
      </c>
      <c r="L14" s="2" t="str" cm="1">
        <f t="array" ref="L14">IFERROR(playerPoints($H14,$F14,$G14,L$1),"")</f>
        <v/>
      </c>
      <c r="M14" s="2" t="str" cm="1">
        <f t="array" ref="M14">IFERROR(playerPoints($H14,$F14,$G14,M$1),"")</f>
        <v/>
      </c>
      <c r="N14" s="2" t="str" cm="1">
        <f t="array" ref="N14">IFERROR(playerPoints($H14,$F14,$G14,N$1),"")</f>
        <v/>
      </c>
      <c r="O14" s="2" t="str" cm="1">
        <f t="array" ref="O14">IFERROR(playerPoints($H14,$F14,$G14,O$1),"")</f>
        <v/>
      </c>
      <c r="Q14" s="2">
        <f t="shared" si="0"/>
        <v>0</v>
      </c>
    </row>
    <row r="15" spans="1:17">
      <c r="A15" s="2">
        <v>14</v>
      </c>
      <c r="B15" s="2" t="s">
        <v>1036</v>
      </c>
      <c r="C15" s="2" t="s">
        <v>1037</v>
      </c>
      <c r="D15" s="2" t="s">
        <v>895</v>
      </c>
      <c r="F15" s="2" t="str">
        <f>LOOKUP(D15,Sheet3!A$1:A$32,Sheet3!B$1:B$32)</f>
        <v>ARG</v>
      </c>
      <c r="G15" s="2" t="s">
        <v>2369</v>
      </c>
      <c r="H15" s="2" t="s">
        <v>57</v>
      </c>
      <c r="I15" s="2" t="str" cm="1">
        <f t="array" ref="I15">IFERROR(playerPoints($H15,$F15,$G15,I$1),"")</f>
        <v/>
      </c>
      <c r="J15" s="2" t="str" cm="1">
        <f t="array" ref="J15">IFERROR(playerPoints($H15,$F15,$G15,J$1),"")</f>
        <v/>
      </c>
      <c r="K15" s="2" t="str" cm="1">
        <f t="array" ref="K15">IFERROR(playerPoints($H15,$F15,$G15,K$1),"")</f>
        <v/>
      </c>
      <c r="L15" s="2" t="str" cm="1">
        <f t="array" ref="L15">IFERROR(playerPoints($H15,$F15,$G15,L$1),"")</f>
        <v/>
      </c>
      <c r="M15" s="2" t="str" cm="1">
        <f t="array" ref="M15">IFERROR(playerPoints($H15,$F15,$G15,M$1),"")</f>
        <v/>
      </c>
      <c r="N15" s="2" t="str" cm="1">
        <f t="array" ref="N15">IFERROR(playerPoints($H15,$F15,$G15,N$1),"")</f>
        <v/>
      </c>
      <c r="O15" s="2" t="str" cm="1">
        <f t="array" ref="O15">IFERROR(playerPoints($H15,$F15,$G15,O$1),"")</f>
        <v/>
      </c>
      <c r="Q15" s="2">
        <f t="shared" si="0"/>
        <v>0</v>
      </c>
    </row>
    <row r="16" spans="1:17">
      <c r="A16" s="2">
        <v>15</v>
      </c>
      <c r="B16" s="2" t="s">
        <v>1038</v>
      </c>
      <c r="C16" s="2" t="s">
        <v>1039</v>
      </c>
      <c r="D16" s="2" t="s">
        <v>895</v>
      </c>
      <c r="F16" s="2" t="str">
        <f>LOOKUP(D16,Sheet3!A$1:A$32,Sheet3!B$1:B$32)</f>
        <v>ARG</v>
      </c>
      <c r="G16" s="2" t="s">
        <v>2370</v>
      </c>
      <c r="H16" s="2" t="s">
        <v>57</v>
      </c>
      <c r="I16" s="2" t="str" cm="1">
        <f t="array" ref="I16">IFERROR(playerPoints($H16,$F16,$G16,I$1),"")</f>
        <v/>
      </c>
      <c r="J16" s="2" t="str" cm="1">
        <f t="array" ref="J16">IFERROR(playerPoints($H16,$F16,$G16,J$1),"")</f>
        <v/>
      </c>
      <c r="K16" s="2" t="str" cm="1">
        <f t="array" ref="K16">IFERROR(playerPoints($H16,$F16,$G16,K$1),"")</f>
        <v/>
      </c>
      <c r="L16" s="2" t="str" cm="1">
        <f t="array" ref="L16">IFERROR(playerPoints($H16,$F16,$G16,L$1),"")</f>
        <v/>
      </c>
      <c r="M16" s="2" t="str" cm="1">
        <f t="array" ref="M16">IFERROR(playerPoints($H16,$F16,$G16,M$1),"")</f>
        <v/>
      </c>
      <c r="N16" s="2" t="str" cm="1">
        <f t="array" ref="N16">IFERROR(playerPoints($H16,$F16,$G16,N$1),"")</f>
        <v/>
      </c>
      <c r="O16" s="2" t="str" cm="1">
        <f t="array" ref="O16">IFERROR(playerPoints($H16,$F16,$G16,O$1),"")</f>
        <v/>
      </c>
      <c r="Q16" s="2">
        <f t="shared" si="0"/>
        <v>0</v>
      </c>
    </row>
    <row r="17" spans="1:17">
      <c r="A17" s="2">
        <v>16</v>
      </c>
      <c r="B17" s="2" t="s">
        <v>1040</v>
      </c>
      <c r="C17" s="2" t="s">
        <v>1041</v>
      </c>
      <c r="D17" s="2" t="s">
        <v>895</v>
      </c>
      <c r="F17" s="2" t="str">
        <f>LOOKUP(D17,Sheet3!A$1:A$32,Sheet3!B$1:B$32)</f>
        <v>ARG</v>
      </c>
      <c r="G17" s="2" t="s">
        <v>2371</v>
      </c>
      <c r="H17" s="2" t="s">
        <v>57</v>
      </c>
      <c r="I17" s="2" t="str" cm="1">
        <f t="array" ref="I17">IFERROR(playerPoints($H17,$F17,$G17,I$1),"")</f>
        <v/>
      </c>
      <c r="J17" s="2" t="str" cm="1">
        <f t="array" ref="J17">IFERROR(playerPoints($H17,$F17,$G17,J$1),"")</f>
        <v/>
      </c>
      <c r="K17" s="2" t="str" cm="1">
        <f t="array" ref="K17">IFERROR(playerPoints($H17,$F17,$G17,K$1),"")</f>
        <v/>
      </c>
      <c r="L17" s="2" t="str" cm="1">
        <f t="array" ref="L17">IFERROR(playerPoints($H17,$F17,$G17,L$1),"")</f>
        <v/>
      </c>
      <c r="M17" s="2" t="str" cm="1">
        <f t="array" ref="M17">IFERROR(playerPoints($H17,$F17,$G17,M$1),"")</f>
        <v/>
      </c>
      <c r="N17" s="2" t="str" cm="1">
        <f t="array" ref="N17">IFERROR(playerPoints($H17,$F17,$G17,N$1),"")</f>
        <v/>
      </c>
      <c r="O17" s="2" t="str" cm="1">
        <f t="array" ref="O17">IFERROR(playerPoints($H17,$F17,$G17,O$1),"")</f>
        <v/>
      </c>
      <c r="Q17" s="2">
        <f t="shared" si="0"/>
        <v>0</v>
      </c>
    </row>
    <row r="18" spans="1:17">
      <c r="A18" s="2">
        <v>17</v>
      </c>
      <c r="B18" s="2" t="s">
        <v>1042</v>
      </c>
      <c r="C18" s="2" t="s">
        <v>1043</v>
      </c>
      <c r="D18" s="2" t="s">
        <v>895</v>
      </c>
      <c r="F18" s="2" t="str">
        <f>LOOKUP(D18,Sheet3!A$1:A$32,Sheet3!B$1:B$32)</f>
        <v>ARG</v>
      </c>
      <c r="G18" s="2" t="s">
        <v>2372</v>
      </c>
      <c r="H18" s="2" t="s">
        <v>57</v>
      </c>
      <c r="I18" s="2" t="str" cm="1">
        <f t="array" ref="I18">IFERROR(playerPoints($H18,$F18,$G18,I$1),"")</f>
        <v/>
      </c>
      <c r="J18" s="2" t="str" cm="1">
        <f t="array" ref="J18">IFERROR(playerPoints($H18,$F18,$G18,J$1),"")</f>
        <v/>
      </c>
      <c r="K18" s="2" t="str" cm="1">
        <f t="array" ref="K18">IFERROR(playerPoints($H18,$F18,$G18,K$1),"")</f>
        <v/>
      </c>
      <c r="L18" s="2" t="str" cm="1">
        <f t="array" ref="L18">IFERROR(playerPoints($H18,$F18,$G18,L$1),"")</f>
        <v/>
      </c>
      <c r="M18" s="2" t="str" cm="1">
        <f t="array" ref="M18">IFERROR(playerPoints($H18,$F18,$G18,M$1),"")</f>
        <v/>
      </c>
      <c r="N18" s="2" t="str" cm="1">
        <f t="array" ref="N18">IFERROR(playerPoints($H18,$F18,$G18,N$1),"")</f>
        <v/>
      </c>
      <c r="O18" s="2" t="str" cm="1">
        <f t="array" ref="O18">IFERROR(playerPoints($H18,$F18,$G18,O$1),"")</f>
        <v/>
      </c>
      <c r="Q18" s="2">
        <f t="shared" si="0"/>
        <v>0</v>
      </c>
    </row>
    <row r="19" spans="1:17">
      <c r="A19" s="2">
        <v>18</v>
      </c>
      <c r="B19" s="2" t="s">
        <v>1044</v>
      </c>
      <c r="C19" s="2" t="s">
        <v>1045</v>
      </c>
      <c r="D19" s="2" t="s">
        <v>895</v>
      </c>
      <c r="F19" s="2" t="str">
        <f>LOOKUP(D19,Sheet3!A$1:A$32,Sheet3!B$1:B$32)</f>
        <v>ARG</v>
      </c>
      <c r="G19" s="2" t="s">
        <v>2373</v>
      </c>
      <c r="H19" s="2" t="s">
        <v>57</v>
      </c>
      <c r="I19" s="2" t="str" cm="1">
        <f t="array" ref="I19">IFERROR(playerPoints($H19,$F19,$G19,I$1),"")</f>
        <v/>
      </c>
      <c r="J19" s="2" t="str" cm="1">
        <f t="array" ref="J19">IFERROR(playerPoints($H19,$F19,$G19,J$1),"")</f>
        <v/>
      </c>
      <c r="K19" s="2" t="str" cm="1">
        <f t="array" ref="K19">IFERROR(playerPoints($H19,$F19,$G19,K$1),"")</f>
        <v/>
      </c>
      <c r="L19" s="2" t="str" cm="1">
        <f t="array" ref="L19">IFERROR(playerPoints($H19,$F19,$G19,L$1),"")</f>
        <v/>
      </c>
      <c r="M19" s="2" t="str" cm="1">
        <f t="array" ref="M19">IFERROR(playerPoints($H19,$F19,$G19,M$1),"")</f>
        <v/>
      </c>
      <c r="N19" s="2" t="str" cm="1">
        <f t="array" ref="N19">IFERROR(playerPoints($H19,$F19,$G19,N$1),"")</f>
        <v/>
      </c>
      <c r="O19" s="2" t="str" cm="1">
        <f t="array" ref="O19">IFERROR(playerPoints($H19,$F19,$G19,O$1),"")</f>
        <v/>
      </c>
      <c r="Q19" s="2">
        <f t="shared" si="0"/>
        <v>0</v>
      </c>
    </row>
    <row r="20" spans="1:17">
      <c r="A20" s="2">
        <v>19</v>
      </c>
      <c r="B20" s="2" t="s">
        <v>1046</v>
      </c>
      <c r="C20" s="2" t="s">
        <v>1047</v>
      </c>
      <c r="D20" s="2" t="s">
        <v>895</v>
      </c>
      <c r="F20" s="2" t="str">
        <f>LOOKUP(D20,Sheet3!A$1:A$32,Sheet3!B$1:B$32)</f>
        <v>ARG</v>
      </c>
      <c r="G20" s="2" t="s">
        <v>2374</v>
      </c>
      <c r="H20" s="2" t="s">
        <v>57</v>
      </c>
      <c r="I20" s="2" t="str" cm="1">
        <f t="array" ref="I20">IFERROR(playerPoints($H20,$F20,$G20,I$1),"")</f>
        <v/>
      </c>
      <c r="J20" s="2" t="str" cm="1">
        <f t="array" ref="J20">IFERROR(playerPoints($H20,$F20,$G20,J$1),"")</f>
        <v/>
      </c>
      <c r="K20" s="2" t="str" cm="1">
        <f t="array" ref="K20">IFERROR(playerPoints($H20,$F20,$G20,K$1),"")</f>
        <v/>
      </c>
      <c r="L20" s="2" t="str" cm="1">
        <f t="array" ref="L20">IFERROR(playerPoints($H20,$F20,$G20,L$1),"")</f>
        <v/>
      </c>
      <c r="M20" s="2" t="str" cm="1">
        <f t="array" ref="M20">IFERROR(playerPoints($H20,$F20,$G20,M$1),"")</f>
        <v/>
      </c>
      <c r="N20" s="2" t="str" cm="1">
        <f t="array" ref="N20">IFERROR(playerPoints($H20,$F20,$G20,N$1),"")</f>
        <v/>
      </c>
      <c r="O20" s="2" t="str" cm="1">
        <f t="array" ref="O20">IFERROR(playerPoints($H20,$F20,$G20,O$1),"")</f>
        <v/>
      </c>
      <c r="Q20" s="2">
        <f t="shared" si="0"/>
        <v>0</v>
      </c>
    </row>
    <row r="21" spans="1:17">
      <c r="A21" s="2">
        <v>20</v>
      </c>
      <c r="B21" s="2" t="s">
        <v>1048</v>
      </c>
      <c r="C21" s="2" t="s">
        <v>1049</v>
      </c>
      <c r="D21" s="2" t="s">
        <v>895</v>
      </c>
      <c r="F21" s="2" t="str">
        <f>LOOKUP(D21,Sheet3!A$1:A$32,Sheet3!B$1:B$32)</f>
        <v>ARG</v>
      </c>
      <c r="G21" s="2" t="s">
        <v>2375</v>
      </c>
      <c r="H21" s="2" t="s">
        <v>57</v>
      </c>
      <c r="I21" s="2" t="str" cm="1">
        <f t="array" ref="I21">IFERROR(playerPoints($H21,$F21,$G21,I$1),"")</f>
        <v/>
      </c>
      <c r="J21" s="2" t="str" cm="1">
        <f t="array" ref="J21">IFERROR(playerPoints($H21,$F21,$G21,J$1),"")</f>
        <v/>
      </c>
      <c r="K21" s="2" t="str" cm="1">
        <f t="array" ref="K21">IFERROR(playerPoints($H21,$F21,$G21,K$1),"")</f>
        <v/>
      </c>
      <c r="L21" s="2" t="str" cm="1">
        <f t="array" ref="L21">IFERROR(playerPoints($H21,$F21,$G21,L$1),"")</f>
        <v/>
      </c>
      <c r="M21" s="2" t="str" cm="1">
        <f t="array" ref="M21">IFERROR(playerPoints($H21,$F21,$G21,M$1),"")</f>
        <v/>
      </c>
      <c r="N21" s="2" t="str" cm="1">
        <f t="array" ref="N21">IFERROR(playerPoints($H21,$F21,$G21,N$1),"")</f>
        <v/>
      </c>
      <c r="O21" s="2" t="str" cm="1">
        <f t="array" ref="O21">IFERROR(playerPoints($H21,$F21,$G21,O$1),"")</f>
        <v/>
      </c>
      <c r="Q21" s="2">
        <f t="shared" si="0"/>
        <v>0</v>
      </c>
    </row>
    <row r="22" spans="1:17">
      <c r="A22" s="2">
        <v>21</v>
      </c>
      <c r="B22" s="2" t="s">
        <v>1050</v>
      </c>
      <c r="C22" s="2" t="s">
        <v>1051</v>
      </c>
      <c r="D22" s="2" t="s">
        <v>895</v>
      </c>
      <c r="F22" s="2" t="str">
        <f>LOOKUP(D22,Sheet3!A$1:A$32,Sheet3!B$1:B$32)</f>
        <v>ARG</v>
      </c>
      <c r="G22" s="2" t="s">
        <v>2376</v>
      </c>
      <c r="H22" s="2" t="s">
        <v>66</v>
      </c>
      <c r="I22" s="2" t="str" cm="1">
        <f t="array" ref="I22">IFERROR(playerPoints($H22,$F22,$G22,I$1),"")</f>
        <v/>
      </c>
      <c r="J22" s="2" t="str" cm="1">
        <f t="array" ref="J22">IFERROR(playerPoints($H22,$F22,$G22,J$1),"")</f>
        <v/>
      </c>
      <c r="K22" s="2" t="str" cm="1">
        <f t="array" ref="K22">IFERROR(playerPoints($H22,$F22,$G22,K$1),"")</f>
        <v/>
      </c>
      <c r="L22" s="2" t="str" cm="1">
        <f t="array" ref="L22">IFERROR(playerPoints($H22,$F22,$G22,L$1),"")</f>
        <v/>
      </c>
      <c r="M22" s="2" t="str" cm="1">
        <f t="array" ref="M22">IFERROR(playerPoints($H22,$F22,$G22,M$1),"")</f>
        <v/>
      </c>
      <c r="N22" s="2" t="str" cm="1">
        <f t="array" ref="N22">IFERROR(playerPoints($H22,$F22,$G22,N$1),"")</f>
        <v/>
      </c>
      <c r="O22" s="2" t="str" cm="1">
        <f t="array" ref="O22">IFERROR(playerPoints($H22,$F22,$G22,O$1),"")</f>
        <v/>
      </c>
      <c r="Q22" s="2">
        <f t="shared" si="0"/>
        <v>0</v>
      </c>
    </row>
    <row r="23" spans="1:17">
      <c r="A23" s="2">
        <v>22</v>
      </c>
      <c r="B23" s="2" t="s">
        <v>1052</v>
      </c>
      <c r="C23" s="2" t="s">
        <v>1053</v>
      </c>
      <c r="D23" s="2" t="s">
        <v>895</v>
      </c>
      <c r="F23" s="2" t="str">
        <f>LOOKUP(D23,Sheet3!A$1:A$32,Sheet3!B$1:B$32)</f>
        <v>ARG</v>
      </c>
      <c r="G23" s="2" t="s">
        <v>935</v>
      </c>
      <c r="H23" s="2" t="s">
        <v>66</v>
      </c>
      <c r="I23" s="2" t="str" cm="1">
        <f t="array" ref="I23">IFERROR(playerPoints($H23,$F23,$G23,I$1),"")</f>
        <v/>
      </c>
      <c r="J23" s="2" t="str" cm="1">
        <f t="array" ref="J23">IFERROR(playerPoints($H23,$F23,$G23,J$1),"")</f>
        <v/>
      </c>
      <c r="K23" s="2" t="str" cm="1">
        <f t="array" ref="K23">IFERROR(playerPoints($H23,$F23,$G23,K$1),"")</f>
        <v/>
      </c>
      <c r="L23" s="2" t="str" cm="1">
        <f t="array" ref="L23">IFERROR(playerPoints($H23,$F23,$G23,L$1),"")</f>
        <v/>
      </c>
      <c r="M23" s="2" t="str" cm="1">
        <f t="array" ref="M23">IFERROR(playerPoints($H23,$F23,$G23,M$1),"")</f>
        <v/>
      </c>
      <c r="N23" s="2" t="str" cm="1">
        <f t="array" ref="N23">IFERROR(playerPoints($H23,$F23,$G23,N$1),"")</f>
        <v/>
      </c>
      <c r="O23" s="2" t="str" cm="1">
        <f t="array" ref="O23">IFERROR(playerPoints($H23,$F23,$G23,O$1),"")</f>
        <v/>
      </c>
      <c r="Q23" s="2">
        <f t="shared" si="0"/>
        <v>0</v>
      </c>
    </row>
    <row r="24" spans="1:17">
      <c r="A24" s="2">
        <v>23</v>
      </c>
      <c r="B24" s="2" t="s">
        <v>1020</v>
      </c>
      <c r="C24" s="2" t="s">
        <v>1054</v>
      </c>
      <c r="D24" s="2" t="s">
        <v>895</v>
      </c>
      <c r="F24" s="2" t="str">
        <f>LOOKUP(D24,Sheet3!A$1:A$32,Sheet3!B$1:B$32)</f>
        <v>ARG</v>
      </c>
      <c r="G24" s="2" t="s">
        <v>2377</v>
      </c>
      <c r="H24" s="2" t="s">
        <v>66</v>
      </c>
      <c r="I24" s="2" t="str" cm="1">
        <f t="array" ref="I24">IFERROR(playerPoints($H24,$F24,$G24,I$1),"")</f>
        <v/>
      </c>
      <c r="J24" s="2" t="str" cm="1">
        <f t="array" ref="J24">IFERROR(playerPoints($H24,$F24,$G24,J$1),"")</f>
        <v/>
      </c>
      <c r="K24" s="2" t="str" cm="1">
        <f t="array" ref="K24">IFERROR(playerPoints($H24,$F24,$G24,K$1),"")</f>
        <v/>
      </c>
      <c r="L24" s="2" t="str" cm="1">
        <f t="array" ref="L24">IFERROR(playerPoints($H24,$F24,$G24,L$1),"")</f>
        <v/>
      </c>
      <c r="M24" s="2" t="str" cm="1">
        <f t="array" ref="M24">IFERROR(playerPoints($H24,$F24,$G24,M$1),"")</f>
        <v/>
      </c>
      <c r="N24" s="2" t="str" cm="1">
        <f t="array" ref="N24">IFERROR(playerPoints($H24,$F24,$G24,N$1),"")</f>
        <v/>
      </c>
      <c r="O24" s="2" t="str" cm="1">
        <f t="array" ref="O24">IFERROR(playerPoints($H24,$F24,$G24,O$1),"")</f>
        <v/>
      </c>
      <c r="Q24" s="2">
        <f t="shared" si="0"/>
        <v>0</v>
      </c>
    </row>
    <row r="25" spans="1:17">
      <c r="A25" s="2">
        <v>24</v>
      </c>
      <c r="B25" s="2" t="s">
        <v>1055</v>
      </c>
      <c r="C25" s="2" t="s">
        <v>1056</v>
      </c>
      <c r="D25" s="2" t="s">
        <v>895</v>
      </c>
      <c r="F25" s="2" t="str">
        <f>LOOKUP(D25,Sheet3!A$1:A$32,Sheet3!B$1:B$32)</f>
        <v>ARG</v>
      </c>
      <c r="G25" s="2" t="s">
        <v>2378</v>
      </c>
      <c r="H25" s="2" t="s">
        <v>66</v>
      </c>
      <c r="I25" s="2" t="str" cm="1">
        <f t="array" ref="I25">IFERROR(playerPoints($H25,$F25,$G25,I$1),"")</f>
        <v/>
      </c>
      <c r="J25" s="2" t="str" cm="1">
        <f t="array" ref="J25">IFERROR(playerPoints($H25,$F25,$G25,J$1),"")</f>
        <v/>
      </c>
      <c r="K25" s="2" t="str" cm="1">
        <f t="array" ref="K25">IFERROR(playerPoints($H25,$F25,$G25,K$1),"")</f>
        <v/>
      </c>
      <c r="L25" s="2" t="str" cm="1">
        <f t="array" ref="L25">IFERROR(playerPoints($H25,$F25,$G25,L$1),"")</f>
        <v/>
      </c>
      <c r="M25" s="2" t="str" cm="1">
        <f t="array" ref="M25">IFERROR(playerPoints($H25,$F25,$G25,M$1),"")</f>
        <v/>
      </c>
      <c r="N25" s="2" t="str" cm="1">
        <f t="array" ref="N25">IFERROR(playerPoints($H25,$F25,$G25,N$1),"")</f>
        <v/>
      </c>
      <c r="O25" s="2" t="str" cm="1">
        <f t="array" ref="O25">IFERROR(playerPoints($H25,$F25,$G25,O$1),"")</f>
        <v/>
      </c>
      <c r="Q25" s="2">
        <f t="shared" si="0"/>
        <v>0</v>
      </c>
    </row>
    <row r="26" spans="1:17">
      <c r="A26" s="2">
        <v>25</v>
      </c>
      <c r="B26" s="2" t="s">
        <v>1057</v>
      </c>
      <c r="C26" s="2" t="s">
        <v>1058</v>
      </c>
      <c r="D26" s="2" t="s">
        <v>895</v>
      </c>
      <c r="F26" s="2" t="str">
        <f>LOOKUP(D26,Sheet3!A$1:A$32,Sheet3!B$1:B$32)</f>
        <v>ARG</v>
      </c>
      <c r="G26" s="2" t="s">
        <v>2379</v>
      </c>
      <c r="H26" s="2" t="s">
        <v>66</v>
      </c>
      <c r="I26" s="2" t="str" cm="1">
        <f t="array" ref="I26">IFERROR(playerPoints($H26,$F26,$G26,I$1),"")</f>
        <v/>
      </c>
      <c r="J26" s="2" t="str" cm="1">
        <f t="array" ref="J26">IFERROR(playerPoints($H26,$F26,$G26,J$1),"")</f>
        <v/>
      </c>
      <c r="K26" s="2" t="str" cm="1">
        <f t="array" ref="K26">IFERROR(playerPoints($H26,$F26,$G26,K$1),"")</f>
        <v/>
      </c>
      <c r="L26" s="2" t="str" cm="1">
        <f t="array" ref="L26">IFERROR(playerPoints($H26,$F26,$G26,L$1),"")</f>
        <v/>
      </c>
      <c r="M26" s="2" t="str" cm="1">
        <f t="array" ref="M26">IFERROR(playerPoints($H26,$F26,$G26,M$1),"")</f>
        <v/>
      </c>
      <c r="N26" s="2" t="str" cm="1">
        <f t="array" ref="N26">IFERROR(playerPoints($H26,$F26,$G26,N$1),"")</f>
        <v/>
      </c>
      <c r="O26" s="2" t="str" cm="1">
        <f t="array" ref="O26">IFERROR(playerPoints($H26,$F26,$G26,O$1),"")</f>
        <v/>
      </c>
      <c r="Q26" s="2">
        <f t="shared" si="0"/>
        <v>0</v>
      </c>
    </row>
    <row r="27" spans="1:17">
      <c r="A27" s="2">
        <v>26</v>
      </c>
      <c r="B27" s="2" t="s">
        <v>1059</v>
      </c>
      <c r="C27" s="2" t="s">
        <v>1017</v>
      </c>
      <c r="D27" s="2" t="s">
        <v>895</v>
      </c>
      <c r="F27" s="2" t="str">
        <f>LOOKUP(D27,Sheet3!A$1:A$32,Sheet3!B$1:B$32)</f>
        <v>ARG</v>
      </c>
      <c r="G27" s="2" t="s">
        <v>2366</v>
      </c>
      <c r="H27" s="2" t="s">
        <v>66</v>
      </c>
      <c r="I27" s="2" t="str" cm="1">
        <f t="array" ref="I27">IFERROR(playerPoints($H27,$F27,$G27,I$1),"")</f>
        <v/>
      </c>
      <c r="J27" s="2" t="str" cm="1">
        <f t="array" ref="J27">IFERROR(playerPoints($H27,$F27,$G27,J$1),"")</f>
        <v/>
      </c>
      <c r="K27" s="2" t="str" cm="1">
        <f t="array" ref="K27">IFERROR(playerPoints($H27,$F27,$G27,K$1),"")</f>
        <v/>
      </c>
      <c r="L27" s="2" t="str" cm="1">
        <f t="array" ref="L27">IFERROR(playerPoints($H27,$F27,$G27,L$1),"")</f>
        <v/>
      </c>
      <c r="M27" s="2" t="str" cm="1">
        <f t="array" ref="M27">IFERROR(playerPoints($H27,$F27,$G27,M$1),"")</f>
        <v/>
      </c>
      <c r="N27" s="2" t="str" cm="1">
        <f t="array" ref="N27">IFERROR(playerPoints($H27,$F27,$G27,N$1),"")</f>
        <v/>
      </c>
      <c r="O27" s="2" t="str" cm="1">
        <f t="array" ref="O27">IFERROR(playerPoints($H27,$F27,$G27,O$1),"")</f>
        <v/>
      </c>
      <c r="Q27" s="2">
        <f t="shared" si="0"/>
        <v>0</v>
      </c>
    </row>
    <row r="28" spans="1:17">
      <c r="A28" s="2">
        <v>27</v>
      </c>
      <c r="B28" s="2" t="s">
        <v>1060</v>
      </c>
      <c r="C28" s="2" t="s">
        <v>1061</v>
      </c>
      <c r="D28" s="2" t="s">
        <v>896</v>
      </c>
      <c r="F28" s="2" t="str">
        <f>LOOKUP(D28,Sheet3!A$1:A$32,Sheet3!B$1:B$32)</f>
        <v>AUS</v>
      </c>
      <c r="G28" s="2" t="s">
        <v>2380</v>
      </c>
      <c r="H28" s="2" t="s">
        <v>44</v>
      </c>
      <c r="I28" s="2" t="str" cm="1">
        <f t="array" ref="I28">IFERROR(playerPoints($H28,$F28,$G28,I$1),"")</f>
        <v/>
      </c>
      <c r="J28" s="2" t="str" cm="1">
        <f t="array" ref="J28">IFERROR(playerPoints($H28,$F28,$G28,J$1),"")</f>
        <v/>
      </c>
      <c r="K28" s="2" t="str" cm="1">
        <f t="array" ref="K28">IFERROR(playerPoints($H28,$F28,$G28,K$1),"")</f>
        <v/>
      </c>
      <c r="L28" s="2" t="str" cm="1">
        <f t="array" ref="L28">IFERROR(playerPoints($H28,$F28,$G28,L$1),"")</f>
        <v/>
      </c>
      <c r="M28" s="2" t="str" cm="1">
        <f t="array" ref="M28">IFERROR(playerPoints($H28,$F28,$G28,M$1),"")</f>
        <v/>
      </c>
      <c r="N28" s="2" t="str" cm="1">
        <f t="array" ref="N28">IFERROR(playerPoints($H28,$F28,$G28,N$1),"")</f>
        <v/>
      </c>
      <c r="O28" s="2" t="str" cm="1">
        <f t="array" ref="O28">IFERROR(playerPoints($H28,$F28,$G28,O$1),"")</f>
        <v/>
      </c>
      <c r="Q28" s="2">
        <f t="shared" si="0"/>
        <v>0</v>
      </c>
    </row>
    <row r="29" spans="1:17">
      <c r="A29" s="2">
        <v>28</v>
      </c>
      <c r="B29" s="2" t="s">
        <v>1062</v>
      </c>
      <c r="C29" s="2" t="s">
        <v>1063</v>
      </c>
      <c r="D29" s="2" t="s">
        <v>896</v>
      </c>
      <c r="F29" s="2" t="str">
        <f>LOOKUP(D29,Sheet3!A$1:A$32,Sheet3!B$1:B$32)</f>
        <v>AUS</v>
      </c>
      <c r="G29" s="2" t="s">
        <v>2381</v>
      </c>
      <c r="H29" s="2" t="s">
        <v>44</v>
      </c>
      <c r="I29" s="2" t="str" cm="1">
        <f t="array" ref="I29">IFERROR(playerPoints($H29,$F29,$G29,I$1),"")</f>
        <v/>
      </c>
      <c r="J29" s="2" t="str" cm="1">
        <f t="array" ref="J29">IFERROR(playerPoints($H29,$F29,$G29,J$1),"")</f>
        <v/>
      </c>
      <c r="K29" s="2" t="str" cm="1">
        <f t="array" ref="K29">IFERROR(playerPoints($H29,$F29,$G29,K$1),"")</f>
        <v/>
      </c>
      <c r="L29" s="2" t="str" cm="1">
        <f t="array" ref="L29">IFERROR(playerPoints($H29,$F29,$G29,L$1),"")</f>
        <v/>
      </c>
      <c r="M29" s="2" t="str" cm="1">
        <f t="array" ref="M29">IFERROR(playerPoints($H29,$F29,$G29,M$1),"")</f>
        <v/>
      </c>
      <c r="N29" s="2" t="str" cm="1">
        <f t="array" ref="N29">IFERROR(playerPoints($H29,$F29,$G29,N$1),"")</f>
        <v/>
      </c>
      <c r="O29" s="2" t="str" cm="1">
        <f t="array" ref="O29">IFERROR(playerPoints($H29,$F29,$G29,O$1),"")</f>
        <v/>
      </c>
      <c r="Q29" s="2">
        <f t="shared" si="0"/>
        <v>0</v>
      </c>
    </row>
    <row r="30" spans="1:17">
      <c r="A30" s="2">
        <v>29</v>
      </c>
      <c r="B30" s="2" t="s">
        <v>1064</v>
      </c>
      <c r="C30" s="2" t="s">
        <v>1065</v>
      </c>
      <c r="D30" s="2" t="s">
        <v>896</v>
      </c>
      <c r="F30" s="2" t="str">
        <f>LOOKUP(D30,Sheet3!A$1:A$32,Sheet3!B$1:B$32)</f>
        <v>AUS</v>
      </c>
      <c r="G30" s="2" t="s">
        <v>2382</v>
      </c>
      <c r="H30" s="2" t="s">
        <v>44</v>
      </c>
      <c r="I30" s="2" t="str" cm="1">
        <f t="array" ref="I30">IFERROR(playerPoints($H30,$F30,$G30,I$1),"")</f>
        <v/>
      </c>
      <c r="J30" s="2" t="str" cm="1">
        <f t="array" ref="J30">IFERROR(playerPoints($H30,$F30,$G30,J$1),"")</f>
        <v/>
      </c>
      <c r="K30" s="2" t="str" cm="1">
        <f t="array" ref="K30">IFERROR(playerPoints($H30,$F30,$G30,K$1),"")</f>
        <v/>
      </c>
      <c r="L30" s="2" t="str" cm="1">
        <f t="array" ref="L30">IFERROR(playerPoints($H30,$F30,$G30,L$1),"")</f>
        <v/>
      </c>
      <c r="M30" s="2" t="str" cm="1">
        <f t="array" ref="M30">IFERROR(playerPoints($H30,$F30,$G30,M$1),"")</f>
        <v/>
      </c>
      <c r="N30" s="2" t="str" cm="1">
        <f t="array" ref="N30">IFERROR(playerPoints($H30,$F30,$G30,N$1),"")</f>
        <v/>
      </c>
      <c r="O30" s="2" t="str" cm="1">
        <f t="array" ref="O30">IFERROR(playerPoints($H30,$F30,$G30,O$1),"")</f>
        <v/>
      </c>
      <c r="Q30" s="2">
        <f t="shared" si="0"/>
        <v>0</v>
      </c>
    </row>
    <row r="31" spans="1:17">
      <c r="A31" s="2">
        <v>30</v>
      </c>
      <c r="B31" s="2" t="s">
        <v>1066</v>
      </c>
      <c r="C31" s="2" t="s">
        <v>1067</v>
      </c>
      <c r="D31" s="2" t="s">
        <v>896</v>
      </c>
      <c r="F31" s="2" t="str">
        <f>LOOKUP(D31,Sheet3!A$1:A$32,Sheet3!B$1:B$32)</f>
        <v>AUS</v>
      </c>
      <c r="G31" s="2" t="s">
        <v>2383</v>
      </c>
      <c r="H31" s="2" t="s">
        <v>48</v>
      </c>
      <c r="I31" s="2" t="str" cm="1">
        <f t="array" ref="I31">IFERROR(playerPoints($H31,$F31,$G31,I$1),"")</f>
        <v/>
      </c>
      <c r="J31" s="2" t="str" cm="1">
        <f t="array" ref="J31">IFERROR(playerPoints($H31,$F31,$G31,J$1),"")</f>
        <v/>
      </c>
      <c r="K31" s="2" t="str" cm="1">
        <f t="array" ref="K31">IFERROR(playerPoints($H31,$F31,$G31,K$1),"")</f>
        <v/>
      </c>
      <c r="L31" s="2" t="str" cm="1">
        <f t="array" ref="L31">IFERROR(playerPoints($H31,$F31,$G31,L$1),"")</f>
        <v/>
      </c>
      <c r="M31" s="2" t="str" cm="1">
        <f t="array" ref="M31">IFERROR(playerPoints($H31,$F31,$G31,M$1),"")</f>
        <v/>
      </c>
      <c r="N31" s="2" t="str" cm="1">
        <f t="array" ref="N31">IFERROR(playerPoints($H31,$F31,$G31,N$1),"")</f>
        <v/>
      </c>
      <c r="O31" s="2" t="str" cm="1">
        <f t="array" ref="O31">IFERROR(playerPoints($H31,$F31,$G31,O$1),"")</f>
        <v/>
      </c>
      <c r="Q31" s="2">
        <f t="shared" si="0"/>
        <v>0</v>
      </c>
    </row>
    <row r="32" spans="1:17">
      <c r="A32" s="2">
        <v>31</v>
      </c>
      <c r="B32" s="2" t="s">
        <v>1068</v>
      </c>
      <c r="C32" s="2" t="s">
        <v>1069</v>
      </c>
      <c r="D32" s="2" t="s">
        <v>896</v>
      </c>
      <c r="F32" s="2" t="str">
        <f>LOOKUP(D32,Sheet3!A$1:A$32,Sheet3!B$1:B$32)</f>
        <v>AUS</v>
      </c>
      <c r="G32" s="2" t="s">
        <v>2384</v>
      </c>
      <c r="H32" s="2" t="s">
        <v>48</v>
      </c>
      <c r="I32" s="2" t="str" cm="1">
        <f t="array" ref="I32">IFERROR(playerPoints($H32,$F32,$G32,I$1),"")</f>
        <v/>
      </c>
      <c r="J32" s="2" t="str" cm="1">
        <f t="array" ref="J32">IFERROR(playerPoints($H32,$F32,$G32,J$1),"")</f>
        <v/>
      </c>
      <c r="K32" s="2" t="str" cm="1">
        <f t="array" ref="K32">IFERROR(playerPoints($H32,$F32,$G32,K$1),"")</f>
        <v/>
      </c>
      <c r="L32" s="2" t="str" cm="1">
        <f t="array" ref="L32">IFERROR(playerPoints($H32,$F32,$G32,L$1),"")</f>
        <v/>
      </c>
      <c r="M32" s="2" t="str" cm="1">
        <f t="array" ref="M32">IFERROR(playerPoints($H32,$F32,$G32,M$1),"")</f>
        <v/>
      </c>
      <c r="N32" s="2" t="str" cm="1">
        <f t="array" ref="N32">IFERROR(playerPoints($H32,$F32,$G32,N$1),"")</f>
        <v/>
      </c>
      <c r="O32" s="2" t="str" cm="1">
        <f t="array" ref="O32">IFERROR(playerPoints($H32,$F32,$G32,O$1),"")</f>
        <v/>
      </c>
      <c r="Q32" s="2">
        <f t="shared" si="0"/>
        <v>0</v>
      </c>
    </row>
    <row r="33" spans="1:17">
      <c r="A33" s="2">
        <v>32</v>
      </c>
      <c r="B33" s="2" t="s">
        <v>1070</v>
      </c>
      <c r="C33" s="2" t="s">
        <v>1071</v>
      </c>
      <c r="D33" s="2" t="s">
        <v>896</v>
      </c>
      <c r="F33" s="2" t="str">
        <f>LOOKUP(D33,Sheet3!A$1:A$32,Sheet3!B$1:B$32)</f>
        <v>AUS</v>
      </c>
      <c r="G33" s="2" t="s">
        <v>2385</v>
      </c>
      <c r="H33" s="2" t="s">
        <v>48</v>
      </c>
      <c r="I33" s="2" t="str" cm="1">
        <f t="array" ref="I33">IFERROR(playerPoints($H33,$F33,$G33,I$1),"")</f>
        <v/>
      </c>
      <c r="J33" s="2" t="str" cm="1">
        <f t="array" ref="J33">IFERROR(playerPoints($H33,$F33,$G33,J$1),"")</f>
        <v/>
      </c>
      <c r="K33" s="2" t="str" cm="1">
        <f t="array" ref="K33">IFERROR(playerPoints($H33,$F33,$G33,K$1),"")</f>
        <v/>
      </c>
      <c r="L33" s="2" t="str" cm="1">
        <f t="array" ref="L33">IFERROR(playerPoints($H33,$F33,$G33,L$1),"")</f>
        <v/>
      </c>
      <c r="M33" s="2" t="str" cm="1">
        <f t="array" ref="M33">IFERROR(playerPoints($H33,$F33,$G33,M$1),"")</f>
        <v/>
      </c>
      <c r="N33" s="2" t="str" cm="1">
        <f t="array" ref="N33">IFERROR(playerPoints($H33,$F33,$G33,N$1),"")</f>
        <v/>
      </c>
      <c r="O33" s="2" t="str" cm="1">
        <f t="array" ref="O33">IFERROR(playerPoints($H33,$F33,$G33,O$1),"")</f>
        <v/>
      </c>
      <c r="Q33" s="2">
        <f t="shared" si="0"/>
        <v>0</v>
      </c>
    </row>
    <row r="34" spans="1:17">
      <c r="A34" s="2">
        <v>33</v>
      </c>
      <c r="B34" s="2" t="s">
        <v>1072</v>
      </c>
      <c r="C34" s="2" t="s">
        <v>1073</v>
      </c>
      <c r="D34" s="2" t="s">
        <v>896</v>
      </c>
      <c r="F34" s="2" t="str">
        <f>LOOKUP(D34,Sheet3!A$1:A$32,Sheet3!B$1:B$32)</f>
        <v>AUS</v>
      </c>
      <c r="G34" s="2" t="s">
        <v>2386</v>
      </c>
      <c r="H34" s="2" t="s">
        <v>48</v>
      </c>
      <c r="I34" s="2" t="str" cm="1">
        <f t="array" ref="I34">IFERROR(playerPoints($H34,$F34,$G34,I$1),"")</f>
        <v/>
      </c>
      <c r="J34" s="2" t="str" cm="1">
        <f t="array" ref="J34">IFERROR(playerPoints($H34,$F34,$G34,J$1),"")</f>
        <v/>
      </c>
      <c r="K34" s="2" t="str" cm="1">
        <f t="array" ref="K34">IFERROR(playerPoints($H34,$F34,$G34,K$1),"")</f>
        <v/>
      </c>
      <c r="L34" s="2" t="str" cm="1">
        <f t="array" ref="L34">IFERROR(playerPoints($H34,$F34,$G34,L$1),"")</f>
        <v/>
      </c>
      <c r="M34" s="2" t="str" cm="1">
        <f t="array" ref="M34">IFERROR(playerPoints($H34,$F34,$G34,M$1),"")</f>
        <v/>
      </c>
      <c r="N34" s="2" t="str" cm="1">
        <f t="array" ref="N34">IFERROR(playerPoints($H34,$F34,$G34,N$1),"")</f>
        <v/>
      </c>
      <c r="O34" s="2" t="str" cm="1">
        <f t="array" ref="O34">IFERROR(playerPoints($H34,$F34,$G34,O$1),"")</f>
        <v/>
      </c>
      <c r="Q34" s="2">
        <f t="shared" si="0"/>
        <v>0</v>
      </c>
    </row>
    <row r="35" spans="1:17">
      <c r="A35" s="2">
        <v>34</v>
      </c>
      <c r="B35" s="2" t="s">
        <v>1074</v>
      </c>
      <c r="C35" s="2" t="s">
        <v>1075</v>
      </c>
      <c r="D35" s="2" t="s">
        <v>896</v>
      </c>
      <c r="F35" s="2" t="str">
        <f>LOOKUP(D35,Sheet3!A$1:A$32,Sheet3!B$1:B$32)</f>
        <v>AUS</v>
      </c>
      <c r="G35" s="2" t="s">
        <v>2387</v>
      </c>
      <c r="H35" s="2" t="s">
        <v>48</v>
      </c>
      <c r="I35" s="2" t="str" cm="1">
        <f t="array" ref="I35">IFERROR(playerPoints($H35,$F35,$G35,I$1),"")</f>
        <v/>
      </c>
      <c r="J35" s="2" t="str" cm="1">
        <f t="array" ref="J35">IFERROR(playerPoints($H35,$F35,$G35,J$1),"")</f>
        <v/>
      </c>
      <c r="K35" s="2" t="str" cm="1">
        <f t="array" ref="K35">IFERROR(playerPoints($H35,$F35,$G35,K$1),"")</f>
        <v/>
      </c>
      <c r="L35" s="2" t="str" cm="1">
        <f t="array" ref="L35">IFERROR(playerPoints($H35,$F35,$G35,L$1),"")</f>
        <v/>
      </c>
      <c r="M35" s="2" t="str" cm="1">
        <f t="array" ref="M35">IFERROR(playerPoints($H35,$F35,$G35,M$1),"")</f>
        <v/>
      </c>
      <c r="N35" s="2" t="str" cm="1">
        <f t="array" ref="N35">IFERROR(playerPoints($H35,$F35,$G35,N$1),"")</f>
        <v/>
      </c>
      <c r="O35" s="2" t="str" cm="1">
        <f t="array" ref="O35">IFERROR(playerPoints($H35,$F35,$G35,O$1),"")</f>
        <v/>
      </c>
      <c r="Q35" s="2">
        <f t="shared" si="0"/>
        <v>0</v>
      </c>
    </row>
    <row r="36" spans="1:17">
      <c r="A36" s="2">
        <v>35</v>
      </c>
      <c r="B36" s="2" t="s">
        <v>1076</v>
      </c>
      <c r="C36" s="2" t="s">
        <v>1077</v>
      </c>
      <c r="D36" s="2" t="s">
        <v>896</v>
      </c>
      <c r="F36" s="2" t="str">
        <f>LOOKUP(D36,Sheet3!A$1:A$32,Sheet3!B$1:B$32)</f>
        <v>AUS</v>
      </c>
      <c r="G36" s="2" t="s">
        <v>2388</v>
      </c>
      <c r="H36" s="2" t="s">
        <v>48</v>
      </c>
      <c r="I36" s="2" t="str" cm="1">
        <f t="array" ref="I36">IFERROR(playerPoints($H36,$F36,$G36,I$1),"")</f>
        <v/>
      </c>
      <c r="J36" s="2" t="str" cm="1">
        <f t="array" ref="J36">IFERROR(playerPoints($H36,$F36,$G36,J$1),"")</f>
        <v/>
      </c>
      <c r="K36" s="2" t="str" cm="1">
        <f t="array" ref="K36">IFERROR(playerPoints($H36,$F36,$G36,K$1),"")</f>
        <v/>
      </c>
      <c r="L36" s="2" t="str" cm="1">
        <f t="array" ref="L36">IFERROR(playerPoints($H36,$F36,$G36,L$1),"")</f>
        <v/>
      </c>
      <c r="M36" s="2" t="str" cm="1">
        <f t="array" ref="M36">IFERROR(playerPoints($H36,$F36,$G36,M$1),"")</f>
        <v/>
      </c>
      <c r="N36" s="2" t="str" cm="1">
        <f t="array" ref="N36">IFERROR(playerPoints($H36,$F36,$G36,N$1),"")</f>
        <v/>
      </c>
      <c r="O36" s="2" t="str" cm="1">
        <f t="array" ref="O36">IFERROR(playerPoints($H36,$F36,$G36,O$1),"")</f>
        <v/>
      </c>
      <c r="Q36" s="2">
        <f t="shared" si="0"/>
        <v>0</v>
      </c>
    </row>
    <row r="37" spans="1:17">
      <c r="A37" s="2">
        <v>36</v>
      </c>
      <c r="B37" s="2" t="s">
        <v>1078</v>
      </c>
      <c r="C37" s="2" t="s">
        <v>1079</v>
      </c>
      <c r="D37" s="2" t="s">
        <v>896</v>
      </c>
      <c r="F37" s="2" t="str">
        <f>LOOKUP(D37,Sheet3!A$1:A$32,Sheet3!B$1:B$32)</f>
        <v>AUS</v>
      </c>
      <c r="G37" s="2" t="s">
        <v>2389</v>
      </c>
      <c r="H37" s="2" t="s">
        <v>48</v>
      </c>
      <c r="I37" s="2" t="str" cm="1">
        <f t="array" ref="I37">IFERROR(playerPoints($H37,$F37,$G37,I$1),"")</f>
        <v/>
      </c>
      <c r="J37" s="2" t="str" cm="1">
        <f t="array" ref="J37">IFERROR(playerPoints($H37,$F37,$G37,J$1),"")</f>
        <v/>
      </c>
      <c r="K37" s="2" t="str" cm="1">
        <f t="array" ref="K37">IFERROR(playerPoints($H37,$F37,$G37,K$1),"")</f>
        <v/>
      </c>
      <c r="L37" s="2" t="str" cm="1">
        <f t="array" ref="L37">IFERROR(playerPoints($H37,$F37,$G37,L$1),"")</f>
        <v/>
      </c>
      <c r="M37" s="2" t="str" cm="1">
        <f t="array" ref="M37">IFERROR(playerPoints($H37,$F37,$G37,M$1),"")</f>
        <v/>
      </c>
      <c r="N37" s="2" t="str" cm="1">
        <f t="array" ref="N37">IFERROR(playerPoints($H37,$F37,$G37,N$1),"")</f>
        <v/>
      </c>
      <c r="O37" s="2" t="str" cm="1">
        <f t="array" ref="O37">IFERROR(playerPoints($H37,$F37,$G37,O$1),"")</f>
        <v/>
      </c>
      <c r="Q37" s="2">
        <f t="shared" si="0"/>
        <v>0</v>
      </c>
    </row>
    <row r="38" spans="1:17">
      <c r="A38" s="2">
        <v>37</v>
      </c>
      <c r="B38" s="2" t="s">
        <v>1080</v>
      </c>
      <c r="C38" s="2" t="s">
        <v>1081</v>
      </c>
      <c r="D38" s="2" t="s">
        <v>896</v>
      </c>
      <c r="F38" s="2" t="str">
        <f>LOOKUP(D38,Sheet3!A$1:A$32,Sheet3!B$1:B$32)</f>
        <v>AUS</v>
      </c>
      <c r="G38" s="2" t="s">
        <v>2390</v>
      </c>
      <c r="H38" s="2" t="s">
        <v>48</v>
      </c>
      <c r="I38" s="2" t="str" cm="1">
        <f t="array" ref="I38">IFERROR(playerPoints($H38,$F38,$G38,I$1),"")</f>
        <v/>
      </c>
      <c r="J38" s="2" t="str" cm="1">
        <f t="array" ref="J38">IFERROR(playerPoints($H38,$F38,$G38,J$1),"")</f>
        <v/>
      </c>
      <c r="K38" s="2" t="str" cm="1">
        <f t="array" ref="K38">IFERROR(playerPoints($H38,$F38,$G38,K$1),"")</f>
        <v/>
      </c>
      <c r="L38" s="2" t="str" cm="1">
        <f t="array" ref="L38">IFERROR(playerPoints($H38,$F38,$G38,L$1),"")</f>
        <v/>
      </c>
      <c r="M38" s="2" t="str" cm="1">
        <f t="array" ref="M38">IFERROR(playerPoints($H38,$F38,$G38,M$1),"")</f>
        <v/>
      </c>
      <c r="N38" s="2" t="str" cm="1">
        <f t="array" ref="N38">IFERROR(playerPoints($H38,$F38,$G38,N$1),"")</f>
        <v/>
      </c>
      <c r="O38" s="2" t="str" cm="1">
        <f t="array" ref="O38">IFERROR(playerPoints($H38,$F38,$G38,O$1),"")</f>
        <v/>
      </c>
      <c r="Q38" s="2">
        <f t="shared" si="0"/>
        <v>0</v>
      </c>
    </row>
    <row r="39" spans="1:17">
      <c r="A39" s="2">
        <v>38</v>
      </c>
      <c r="B39" s="2" t="s">
        <v>1082</v>
      </c>
      <c r="C39" s="2" t="s">
        <v>1083</v>
      </c>
      <c r="D39" s="2" t="s">
        <v>896</v>
      </c>
      <c r="F39" s="2" t="str">
        <f>LOOKUP(D39,Sheet3!A$1:A$32,Sheet3!B$1:B$32)</f>
        <v>AUS</v>
      </c>
      <c r="G39" s="2" t="s">
        <v>2391</v>
      </c>
      <c r="H39" s="2" t="s">
        <v>48</v>
      </c>
      <c r="I39" s="2" t="str" cm="1">
        <f t="array" ref="I39">IFERROR(playerPoints($H39,$F39,$G39,I$1),"")</f>
        <v/>
      </c>
      <c r="J39" s="2" t="str" cm="1">
        <f t="array" ref="J39">IFERROR(playerPoints($H39,$F39,$G39,J$1),"")</f>
        <v/>
      </c>
      <c r="K39" s="2" t="str" cm="1">
        <f t="array" ref="K39">IFERROR(playerPoints($H39,$F39,$G39,K$1),"")</f>
        <v/>
      </c>
      <c r="L39" s="2" t="str" cm="1">
        <f t="array" ref="L39">IFERROR(playerPoints($H39,$F39,$G39,L$1),"")</f>
        <v/>
      </c>
      <c r="M39" s="2" t="str" cm="1">
        <f t="array" ref="M39">IFERROR(playerPoints($H39,$F39,$G39,M$1),"")</f>
        <v/>
      </c>
      <c r="N39" s="2" t="str" cm="1">
        <f t="array" ref="N39">IFERROR(playerPoints($H39,$F39,$G39,N$1),"")</f>
        <v/>
      </c>
      <c r="O39" s="2" t="str" cm="1">
        <f t="array" ref="O39">IFERROR(playerPoints($H39,$F39,$G39,O$1),"")</f>
        <v/>
      </c>
      <c r="Q39" s="2">
        <f t="shared" si="0"/>
        <v>0</v>
      </c>
    </row>
    <row r="40" spans="1:17">
      <c r="A40" s="2">
        <v>39</v>
      </c>
      <c r="B40" s="2" t="s">
        <v>1084</v>
      </c>
      <c r="C40" s="2" t="s">
        <v>1085</v>
      </c>
      <c r="D40" s="2" t="s">
        <v>896</v>
      </c>
      <c r="F40" s="2" t="str">
        <f>LOOKUP(D40,Sheet3!A$1:A$32,Sheet3!B$1:B$32)</f>
        <v>AUS</v>
      </c>
      <c r="G40" s="2" t="s">
        <v>2392</v>
      </c>
      <c r="H40" s="2" t="s">
        <v>57</v>
      </c>
      <c r="I40" s="2" t="str" cm="1">
        <f t="array" ref="I40">IFERROR(playerPoints($H40,$F40,$G40,I$1),"")</f>
        <v/>
      </c>
      <c r="J40" s="2" t="str" cm="1">
        <f t="array" ref="J40">IFERROR(playerPoints($H40,$F40,$G40,J$1),"")</f>
        <v/>
      </c>
      <c r="K40" s="2" t="str" cm="1">
        <f t="array" ref="K40">IFERROR(playerPoints($H40,$F40,$G40,K$1),"")</f>
        <v/>
      </c>
      <c r="L40" s="2" t="str" cm="1">
        <f t="array" ref="L40">IFERROR(playerPoints($H40,$F40,$G40,L$1),"")</f>
        <v/>
      </c>
      <c r="M40" s="2" t="str" cm="1">
        <f t="array" ref="M40">IFERROR(playerPoints($H40,$F40,$G40,M$1),"")</f>
        <v/>
      </c>
      <c r="N40" s="2" t="str" cm="1">
        <f t="array" ref="N40">IFERROR(playerPoints($H40,$F40,$G40,N$1),"")</f>
        <v/>
      </c>
      <c r="O40" s="2" t="str" cm="1">
        <f t="array" ref="O40">IFERROR(playerPoints($H40,$F40,$G40,O$1),"")</f>
        <v/>
      </c>
      <c r="Q40" s="2">
        <f t="shared" si="0"/>
        <v>0</v>
      </c>
    </row>
    <row r="41" spans="1:17">
      <c r="A41" s="2">
        <v>40</v>
      </c>
      <c r="B41" s="2" t="s">
        <v>1086</v>
      </c>
      <c r="C41" s="2" t="s">
        <v>1087</v>
      </c>
      <c r="D41" s="2" t="s">
        <v>896</v>
      </c>
      <c r="F41" s="2" t="str">
        <f>LOOKUP(D41,Sheet3!A$1:A$32,Sheet3!B$1:B$32)</f>
        <v>AUS</v>
      </c>
      <c r="G41" s="2" t="s">
        <v>2393</v>
      </c>
      <c r="H41" s="2" t="s">
        <v>57</v>
      </c>
      <c r="I41" s="2" t="str" cm="1">
        <f t="array" ref="I41">IFERROR(playerPoints($H41,$F41,$G41,I$1),"")</f>
        <v/>
      </c>
      <c r="J41" s="2" t="str" cm="1">
        <f t="array" ref="J41">IFERROR(playerPoints($H41,$F41,$G41,J$1),"")</f>
        <v/>
      </c>
      <c r="K41" s="2" t="str" cm="1">
        <f t="array" ref="K41">IFERROR(playerPoints($H41,$F41,$G41,K$1),"")</f>
        <v/>
      </c>
      <c r="L41" s="2" t="str" cm="1">
        <f t="array" ref="L41">IFERROR(playerPoints($H41,$F41,$G41,L$1),"")</f>
        <v/>
      </c>
      <c r="M41" s="2" t="str" cm="1">
        <f t="array" ref="M41">IFERROR(playerPoints($H41,$F41,$G41,M$1),"")</f>
        <v/>
      </c>
      <c r="N41" s="2" t="str" cm="1">
        <f t="array" ref="N41">IFERROR(playerPoints($H41,$F41,$G41,N$1),"")</f>
        <v/>
      </c>
      <c r="O41" s="2" t="str" cm="1">
        <f t="array" ref="O41">IFERROR(playerPoints($H41,$F41,$G41,O$1),"")</f>
        <v/>
      </c>
      <c r="Q41" s="2">
        <f t="shared" si="0"/>
        <v>0</v>
      </c>
    </row>
    <row r="42" spans="1:17">
      <c r="A42" s="2">
        <v>41</v>
      </c>
      <c r="B42" s="2" t="s">
        <v>1088</v>
      </c>
      <c r="C42" s="2" t="s">
        <v>1089</v>
      </c>
      <c r="D42" s="2" t="s">
        <v>896</v>
      </c>
      <c r="F42" s="2" t="str">
        <f>LOOKUP(D42,Sheet3!A$1:A$32,Sheet3!B$1:B$32)</f>
        <v>AUS</v>
      </c>
      <c r="G42" s="2" t="s">
        <v>2394</v>
      </c>
      <c r="H42" s="2" t="s">
        <v>57</v>
      </c>
      <c r="I42" s="2" t="str" cm="1">
        <f t="array" ref="I42">IFERROR(playerPoints($H42,$F42,$G42,I$1),"")</f>
        <v/>
      </c>
      <c r="J42" s="2" t="str" cm="1">
        <f t="array" ref="J42">IFERROR(playerPoints($H42,$F42,$G42,J$1),"")</f>
        <v/>
      </c>
      <c r="K42" s="2" t="str" cm="1">
        <f t="array" ref="K42">IFERROR(playerPoints($H42,$F42,$G42,K$1),"")</f>
        <v/>
      </c>
      <c r="L42" s="2" t="str" cm="1">
        <f t="array" ref="L42">IFERROR(playerPoints($H42,$F42,$G42,L$1),"")</f>
        <v/>
      </c>
      <c r="M42" s="2" t="str" cm="1">
        <f t="array" ref="M42">IFERROR(playerPoints($H42,$F42,$G42,M$1),"")</f>
        <v/>
      </c>
      <c r="N42" s="2" t="str" cm="1">
        <f t="array" ref="N42">IFERROR(playerPoints($H42,$F42,$G42,N$1),"")</f>
        <v/>
      </c>
      <c r="O42" s="2" t="str" cm="1">
        <f t="array" ref="O42">IFERROR(playerPoints($H42,$F42,$G42,O$1),"")</f>
        <v/>
      </c>
      <c r="Q42" s="2">
        <f t="shared" si="0"/>
        <v>0</v>
      </c>
    </row>
    <row r="43" spans="1:17">
      <c r="A43" s="2">
        <v>42</v>
      </c>
      <c r="B43" s="2" t="s">
        <v>1090</v>
      </c>
      <c r="C43" s="2" t="s">
        <v>1091</v>
      </c>
      <c r="D43" s="2" t="s">
        <v>896</v>
      </c>
      <c r="F43" s="2" t="str">
        <f>LOOKUP(D43,Sheet3!A$1:A$32,Sheet3!B$1:B$32)</f>
        <v>AUS</v>
      </c>
      <c r="G43" s="2" t="s">
        <v>2395</v>
      </c>
      <c r="H43" s="2" t="s">
        <v>57</v>
      </c>
      <c r="I43" s="2" t="str" cm="1">
        <f t="array" ref="I43">IFERROR(playerPoints($H43,$F43,$G43,I$1),"")</f>
        <v/>
      </c>
      <c r="J43" s="2" t="str" cm="1">
        <f t="array" ref="J43">IFERROR(playerPoints($H43,$F43,$G43,J$1),"")</f>
        <v/>
      </c>
      <c r="K43" s="2" t="str" cm="1">
        <f t="array" ref="K43">IFERROR(playerPoints($H43,$F43,$G43,K$1),"")</f>
        <v/>
      </c>
      <c r="L43" s="2" t="str" cm="1">
        <f t="array" ref="L43">IFERROR(playerPoints($H43,$F43,$G43,L$1),"")</f>
        <v/>
      </c>
      <c r="M43" s="2" t="str" cm="1">
        <f t="array" ref="M43">IFERROR(playerPoints($H43,$F43,$G43,M$1),"")</f>
        <v/>
      </c>
      <c r="N43" s="2" t="str" cm="1">
        <f t="array" ref="N43">IFERROR(playerPoints($H43,$F43,$G43,N$1),"")</f>
        <v/>
      </c>
      <c r="O43" s="2" t="str" cm="1">
        <f t="array" ref="O43">IFERROR(playerPoints($H43,$F43,$G43,O$1),"")</f>
        <v/>
      </c>
      <c r="Q43" s="2">
        <f t="shared" si="0"/>
        <v>0</v>
      </c>
    </row>
    <row r="44" spans="1:17">
      <c r="A44" s="2">
        <v>43</v>
      </c>
      <c r="B44" s="2" t="s">
        <v>1092</v>
      </c>
      <c r="C44" s="2" t="s">
        <v>1093</v>
      </c>
      <c r="D44" s="2" t="s">
        <v>896</v>
      </c>
      <c r="F44" s="2" t="str">
        <f>LOOKUP(D44,Sheet3!A$1:A$32,Sheet3!B$1:B$32)</f>
        <v>AUS</v>
      </c>
      <c r="G44" s="2" t="s">
        <v>2396</v>
      </c>
      <c r="H44" s="2" t="s">
        <v>57</v>
      </c>
      <c r="I44" s="2" t="str" cm="1">
        <f t="array" ref="I44">IFERROR(playerPoints($H44,$F44,$G44,I$1),"")</f>
        <v/>
      </c>
      <c r="J44" s="2" t="str" cm="1">
        <f t="array" ref="J44">IFERROR(playerPoints($H44,$F44,$G44,J$1),"")</f>
        <v/>
      </c>
      <c r="K44" s="2" t="str" cm="1">
        <f t="array" ref="K44">IFERROR(playerPoints($H44,$F44,$G44,K$1),"")</f>
        <v/>
      </c>
      <c r="L44" s="2" t="str" cm="1">
        <f t="array" ref="L44">IFERROR(playerPoints($H44,$F44,$G44,L$1),"")</f>
        <v/>
      </c>
      <c r="M44" s="2" t="str" cm="1">
        <f t="array" ref="M44">IFERROR(playerPoints($H44,$F44,$G44,M$1),"")</f>
        <v/>
      </c>
      <c r="N44" s="2" t="str" cm="1">
        <f t="array" ref="N44">IFERROR(playerPoints($H44,$F44,$G44,N$1),"")</f>
        <v/>
      </c>
      <c r="O44" s="2" t="str" cm="1">
        <f t="array" ref="O44">IFERROR(playerPoints($H44,$F44,$G44,O$1),"")</f>
        <v/>
      </c>
      <c r="Q44" s="2">
        <f t="shared" si="0"/>
        <v>0</v>
      </c>
    </row>
    <row r="45" spans="1:17">
      <c r="A45" s="2">
        <v>44</v>
      </c>
      <c r="B45" s="2" t="s">
        <v>1094</v>
      </c>
      <c r="C45" s="2" t="s">
        <v>1095</v>
      </c>
      <c r="D45" s="2" t="s">
        <v>896</v>
      </c>
      <c r="F45" s="2" t="str">
        <f>LOOKUP(D45,Sheet3!A$1:A$32,Sheet3!B$1:B$32)</f>
        <v>AUS</v>
      </c>
      <c r="G45" s="2" t="s">
        <v>2397</v>
      </c>
      <c r="H45" s="2" t="s">
        <v>57</v>
      </c>
      <c r="I45" s="2" t="str" cm="1">
        <f t="array" ref="I45">IFERROR(playerPoints($H45,$F45,$G45,I$1),"")</f>
        <v/>
      </c>
      <c r="J45" s="2" t="str" cm="1">
        <f t="array" ref="J45">IFERROR(playerPoints($H45,$F45,$G45,J$1),"")</f>
        <v/>
      </c>
      <c r="K45" s="2" t="str" cm="1">
        <f t="array" ref="K45">IFERROR(playerPoints($H45,$F45,$G45,K$1),"")</f>
        <v/>
      </c>
      <c r="L45" s="2" t="str" cm="1">
        <f t="array" ref="L45">IFERROR(playerPoints($H45,$F45,$G45,L$1),"")</f>
        <v/>
      </c>
      <c r="M45" s="2" t="str" cm="1">
        <f t="array" ref="M45">IFERROR(playerPoints($H45,$F45,$G45,M$1),"")</f>
        <v/>
      </c>
      <c r="N45" s="2" t="str" cm="1">
        <f t="array" ref="N45">IFERROR(playerPoints($H45,$F45,$G45,N$1),"")</f>
        <v/>
      </c>
      <c r="O45" s="2" t="str" cm="1">
        <f t="array" ref="O45">IFERROR(playerPoints($H45,$F45,$G45,O$1),"")</f>
        <v/>
      </c>
      <c r="Q45" s="2">
        <f t="shared" si="0"/>
        <v>0</v>
      </c>
    </row>
    <row r="46" spans="1:17">
      <c r="A46" s="2">
        <v>45</v>
      </c>
      <c r="B46" s="2" t="s">
        <v>1096</v>
      </c>
      <c r="C46" s="2" t="s">
        <v>1097</v>
      </c>
      <c r="D46" s="2" t="s">
        <v>896</v>
      </c>
      <c r="F46" s="2" t="str">
        <f>LOOKUP(D46,Sheet3!A$1:A$32,Sheet3!B$1:B$32)</f>
        <v>AUS</v>
      </c>
      <c r="G46" s="2" t="s">
        <v>947</v>
      </c>
      <c r="H46" s="2" t="s">
        <v>57</v>
      </c>
      <c r="I46" s="2" t="str" cm="1">
        <f t="array" ref="I46">IFERROR(playerPoints($H46,$F46,$G46,I$1),"")</f>
        <v/>
      </c>
      <c r="J46" s="2" t="str" cm="1">
        <f t="array" ref="J46">IFERROR(playerPoints($H46,$F46,$G46,J$1),"")</f>
        <v/>
      </c>
      <c r="K46" s="2" t="str" cm="1">
        <f t="array" ref="K46">IFERROR(playerPoints($H46,$F46,$G46,K$1),"")</f>
        <v/>
      </c>
      <c r="L46" s="2" t="str" cm="1">
        <f t="array" ref="L46">IFERROR(playerPoints($H46,$F46,$G46,L$1),"")</f>
        <v/>
      </c>
      <c r="M46" s="2" t="str" cm="1">
        <f t="array" ref="M46">IFERROR(playerPoints($H46,$F46,$G46,M$1),"")</f>
        <v/>
      </c>
      <c r="N46" s="2" t="str" cm="1">
        <f t="array" ref="N46">IFERROR(playerPoints($H46,$F46,$G46,N$1),"")</f>
        <v/>
      </c>
      <c r="O46" s="2" t="str" cm="1">
        <f t="array" ref="O46">IFERROR(playerPoints($H46,$F46,$G46,O$1),"")</f>
        <v/>
      </c>
      <c r="Q46" s="2">
        <f t="shared" si="0"/>
        <v>0</v>
      </c>
    </row>
    <row r="47" spans="1:17">
      <c r="A47" s="2">
        <v>46</v>
      </c>
      <c r="B47" s="2" t="s">
        <v>1098</v>
      </c>
      <c r="C47" s="2" t="s">
        <v>1099</v>
      </c>
      <c r="D47" s="2" t="s">
        <v>896</v>
      </c>
      <c r="F47" s="2" t="str">
        <f>LOOKUP(D47,Sheet3!A$1:A$32,Sheet3!B$1:B$32)</f>
        <v>AUS</v>
      </c>
      <c r="G47" s="2" t="s">
        <v>2398</v>
      </c>
      <c r="H47" s="2" t="s">
        <v>57</v>
      </c>
      <c r="I47" s="2" t="str" cm="1">
        <f t="array" ref="I47">IFERROR(playerPoints($H47,$F47,$G47,I$1),"")</f>
        <v/>
      </c>
      <c r="J47" s="2" t="str" cm="1">
        <f t="array" ref="J47">IFERROR(playerPoints($H47,$F47,$G47,J$1),"")</f>
        <v/>
      </c>
      <c r="K47" s="2" t="str" cm="1">
        <f t="array" ref="K47">IFERROR(playerPoints($H47,$F47,$G47,K$1),"")</f>
        <v/>
      </c>
      <c r="L47" s="2" t="str" cm="1">
        <f t="array" ref="L47">IFERROR(playerPoints($H47,$F47,$G47,L$1),"")</f>
        <v/>
      </c>
      <c r="M47" s="2" t="str" cm="1">
        <f t="array" ref="M47">IFERROR(playerPoints($H47,$F47,$G47,M$1),"")</f>
        <v/>
      </c>
      <c r="N47" s="2" t="str" cm="1">
        <f t="array" ref="N47">IFERROR(playerPoints($H47,$F47,$G47,N$1),"")</f>
        <v/>
      </c>
      <c r="O47" s="2" t="str" cm="1">
        <f t="array" ref="O47">IFERROR(playerPoints($H47,$F47,$G47,O$1),"")</f>
        <v/>
      </c>
      <c r="Q47" s="2">
        <f t="shared" si="0"/>
        <v>0</v>
      </c>
    </row>
    <row r="48" spans="1:17">
      <c r="A48" s="2">
        <v>47</v>
      </c>
      <c r="B48" s="2" t="s">
        <v>1100</v>
      </c>
      <c r="C48" s="2" t="s">
        <v>1101</v>
      </c>
      <c r="D48" s="2" t="s">
        <v>896</v>
      </c>
      <c r="F48" s="2" t="str">
        <f>LOOKUP(D48,Sheet3!A$1:A$32,Sheet3!B$1:B$32)</f>
        <v>AUS</v>
      </c>
      <c r="G48" s="2" t="s">
        <v>2399</v>
      </c>
      <c r="H48" s="2" t="s">
        <v>66</v>
      </c>
      <c r="I48" s="2" t="str" cm="1">
        <f t="array" ref="I48">IFERROR(playerPoints($H48,$F48,$G48,I$1),"")</f>
        <v/>
      </c>
      <c r="J48" s="2" t="str" cm="1">
        <f t="array" ref="J48">IFERROR(playerPoints($H48,$F48,$G48,J$1),"")</f>
        <v/>
      </c>
      <c r="K48" s="2" t="str" cm="1">
        <f t="array" ref="K48">IFERROR(playerPoints($H48,$F48,$G48,K$1),"")</f>
        <v/>
      </c>
      <c r="L48" s="2" t="str" cm="1">
        <f t="array" ref="L48">IFERROR(playerPoints($H48,$F48,$G48,L$1),"")</f>
        <v/>
      </c>
      <c r="M48" s="2" t="str" cm="1">
        <f t="array" ref="M48">IFERROR(playerPoints($H48,$F48,$G48,M$1),"")</f>
        <v/>
      </c>
      <c r="N48" s="2" t="str" cm="1">
        <f t="array" ref="N48">IFERROR(playerPoints($H48,$F48,$G48,N$1),"")</f>
        <v/>
      </c>
      <c r="O48" s="2" t="str" cm="1">
        <f t="array" ref="O48">IFERROR(playerPoints($H48,$F48,$G48,O$1),"")</f>
        <v/>
      </c>
      <c r="Q48" s="2">
        <f t="shared" si="0"/>
        <v>0</v>
      </c>
    </row>
    <row r="49" spans="1:17">
      <c r="A49" s="2">
        <v>48</v>
      </c>
      <c r="B49" s="2" t="s">
        <v>1060</v>
      </c>
      <c r="C49" s="2" t="s">
        <v>1102</v>
      </c>
      <c r="D49" s="2" t="s">
        <v>896</v>
      </c>
      <c r="F49" s="2" t="str">
        <f>LOOKUP(D49,Sheet3!A$1:A$32,Sheet3!B$1:B$32)</f>
        <v>AUS</v>
      </c>
      <c r="G49" s="2" t="s">
        <v>2400</v>
      </c>
      <c r="H49" s="2" t="s">
        <v>66</v>
      </c>
      <c r="I49" s="2" t="str" cm="1">
        <f t="array" ref="I49">IFERROR(playerPoints($H49,$F49,$G49,I$1),"")</f>
        <v/>
      </c>
      <c r="J49" s="2" t="str" cm="1">
        <f t="array" ref="J49">IFERROR(playerPoints($H49,$F49,$G49,J$1),"")</f>
        <v/>
      </c>
      <c r="K49" s="2" t="str" cm="1">
        <f t="array" ref="K49">IFERROR(playerPoints($H49,$F49,$G49,K$1),"")</f>
        <v/>
      </c>
      <c r="L49" s="2" t="str" cm="1">
        <f t="array" ref="L49">IFERROR(playerPoints($H49,$F49,$G49,L$1),"")</f>
        <v/>
      </c>
      <c r="M49" s="2" t="str" cm="1">
        <f t="array" ref="M49">IFERROR(playerPoints($H49,$F49,$G49,M$1),"")</f>
        <v/>
      </c>
      <c r="N49" s="2" t="str" cm="1">
        <f t="array" ref="N49">IFERROR(playerPoints($H49,$F49,$G49,N$1),"")</f>
        <v/>
      </c>
      <c r="O49" s="2" t="str" cm="1">
        <f t="array" ref="O49">IFERROR(playerPoints($H49,$F49,$G49,O$1),"")</f>
        <v/>
      </c>
      <c r="Q49" s="2">
        <f t="shared" si="0"/>
        <v>0</v>
      </c>
    </row>
    <row r="50" spans="1:17">
      <c r="A50" s="2">
        <v>49</v>
      </c>
      <c r="B50" s="2" t="s">
        <v>1103</v>
      </c>
      <c r="C50" s="2" t="s">
        <v>1104</v>
      </c>
      <c r="D50" s="2" t="s">
        <v>896</v>
      </c>
      <c r="F50" s="2" t="str">
        <f>LOOKUP(D50,Sheet3!A$1:A$32,Sheet3!B$1:B$32)</f>
        <v>AUS</v>
      </c>
      <c r="G50" s="2" t="s">
        <v>2401</v>
      </c>
      <c r="H50" s="2" t="s">
        <v>66</v>
      </c>
      <c r="I50" s="2" t="str" cm="1">
        <f t="array" ref="I50">IFERROR(playerPoints($H50,$F50,$G50,I$1),"")</f>
        <v/>
      </c>
      <c r="J50" s="2" t="str" cm="1">
        <f t="array" ref="J50">IFERROR(playerPoints($H50,$F50,$G50,J$1),"")</f>
        <v/>
      </c>
      <c r="K50" s="2" t="str" cm="1">
        <f t="array" ref="K50">IFERROR(playerPoints($H50,$F50,$G50,K$1),"")</f>
        <v/>
      </c>
      <c r="L50" s="2" t="str" cm="1">
        <f t="array" ref="L50">IFERROR(playerPoints($H50,$F50,$G50,L$1),"")</f>
        <v/>
      </c>
      <c r="M50" s="2" t="str" cm="1">
        <f t="array" ref="M50">IFERROR(playerPoints($H50,$F50,$G50,M$1),"")</f>
        <v/>
      </c>
      <c r="N50" s="2" t="str" cm="1">
        <f t="array" ref="N50">IFERROR(playerPoints($H50,$F50,$G50,N$1),"")</f>
        <v/>
      </c>
      <c r="O50" s="2" t="str" cm="1">
        <f t="array" ref="O50">IFERROR(playerPoints($H50,$F50,$G50,O$1),"")</f>
        <v/>
      </c>
      <c r="Q50" s="2">
        <f t="shared" si="0"/>
        <v>0</v>
      </c>
    </row>
    <row r="51" spans="1:17">
      <c r="A51" s="2">
        <v>50</v>
      </c>
      <c r="B51" s="2" t="s">
        <v>1105</v>
      </c>
      <c r="C51" s="2" t="s">
        <v>1106</v>
      </c>
      <c r="D51" s="2" t="s">
        <v>896</v>
      </c>
      <c r="F51" s="2" t="str">
        <f>LOOKUP(D51,Sheet3!A$1:A$32,Sheet3!B$1:B$32)</f>
        <v>AUS</v>
      </c>
      <c r="G51" s="2" t="s">
        <v>2402</v>
      </c>
      <c r="H51" s="2" t="s">
        <v>66</v>
      </c>
      <c r="I51" s="2" t="str" cm="1">
        <f t="array" ref="I51">IFERROR(playerPoints($H51,$F51,$G51,I$1),"")</f>
        <v/>
      </c>
      <c r="J51" s="2" t="str" cm="1">
        <f t="array" ref="J51">IFERROR(playerPoints($H51,$F51,$G51,J$1),"")</f>
        <v/>
      </c>
      <c r="K51" s="2" t="str" cm="1">
        <f t="array" ref="K51">IFERROR(playerPoints($H51,$F51,$G51,K$1),"")</f>
        <v/>
      </c>
      <c r="L51" s="2" t="str" cm="1">
        <f t="array" ref="L51">IFERROR(playerPoints($H51,$F51,$G51,L$1),"")</f>
        <v/>
      </c>
      <c r="M51" s="2" t="str" cm="1">
        <f t="array" ref="M51">IFERROR(playerPoints($H51,$F51,$G51,M$1),"")</f>
        <v/>
      </c>
      <c r="N51" s="2" t="str" cm="1">
        <f t="array" ref="N51">IFERROR(playerPoints($H51,$F51,$G51,N$1),"")</f>
        <v/>
      </c>
      <c r="O51" s="2" t="str" cm="1">
        <f t="array" ref="O51">IFERROR(playerPoints($H51,$F51,$G51,O$1),"")</f>
        <v/>
      </c>
      <c r="Q51" s="2">
        <f t="shared" si="0"/>
        <v>0</v>
      </c>
    </row>
    <row r="52" spans="1:17">
      <c r="A52" s="2">
        <v>51</v>
      </c>
      <c r="B52" s="2" t="s">
        <v>1107</v>
      </c>
      <c r="C52" s="2" t="s">
        <v>1108</v>
      </c>
      <c r="D52" s="2" t="s">
        <v>896</v>
      </c>
      <c r="F52" s="2" t="str">
        <f>LOOKUP(D52,Sheet3!A$1:A$32,Sheet3!B$1:B$32)</f>
        <v>AUS</v>
      </c>
      <c r="G52" s="2" t="s">
        <v>2403</v>
      </c>
      <c r="H52" s="2" t="s">
        <v>66</v>
      </c>
      <c r="I52" s="2" t="str" cm="1">
        <f t="array" ref="I52">IFERROR(playerPoints($H52,$F52,$G52,I$1),"")</f>
        <v/>
      </c>
      <c r="J52" s="2" t="str" cm="1">
        <f t="array" ref="J52">IFERROR(playerPoints($H52,$F52,$G52,J$1),"")</f>
        <v/>
      </c>
      <c r="K52" s="2" t="str" cm="1">
        <f t="array" ref="K52">IFERROR(playerPoints($H52,$F52,$G52,K$1),"")</f>
        <v/>
      </c>
      <c r="L52" s="2" t="str" cm="1">
        <f t="array" ref="L52">IFERROR(playerPoints($H52,$F52,$G52,L$1),"")</f>
        <v/>
      </c>
      <c r="M52" s="2" t="str" cm="1">
        <f t="array" ref="M52">IFERROR(playerPoints($H52,$F52,$G52,M$1),"")</f>
        <v/>
      </c>
      <c r="N52" s="2" t="str" cm="1">
        <f t="array" ref="N52">IFERROR(playerPoints($H52,$F52,$G52,N$1),"")</f>
        <v/>
      </c>
      <c r="O52" s="2" t="str" cm="1">
        <f t="array" ref="O52">IFERROR(playerPoints($H52,$F52,$G52,O$1),"")</f>
        <v/>
      </c>
      <c r="Q52" s="2">
        <f t="shared" si="0"/>
        <v>0</v>
      </c>
    </row>
    <row r="53" spans="1:17">
      <c r="A53" s="2">
        <v>52</v>
      </c>
      <c r="B53" s="2" t="s">
        <v>1109</v>
      </c>
      <c r="C53" s="2" t="s">
        <v>1110</v>
      </c>
      <c r="D53" s="2" t="s">
        <v>896</v>
      </c>
      <c r="F53" s="2" t="str">
        <f>LOOKUP(D53,Sheet3!A$1:A$32,Sheet3!B$1:B$32)</f>
        <v>AUS</v>
      </c>
      <c r="G53" s="2" t="s">
        <v>2404</v>
      </c>
      <c r="H53" s="2" t="s">
        <v>66</v>
      </c>
      <c r="I53" s="2" t="str" cm="1">
        <f t="array" ref="I53">IFERROR(playerPoints($H53,$F53,$G53,I$1),"")</f>
        <v/>
      </c>
      <c r="J53" s="2" t="str" cm="1">
        <f t="array" ref="J53">IFERROR(playerPoints($H53,$F53,$G53,J$1),"")</f>
        <v/>
      </c>
      <c r="K53" s="2" t="str" cm="1">
        <f t="array" ref="K53">IFERROR(playerPoints($H53,$F53,$G53,K$1),"")</f>
        <v/>
      </c>
      <c r="L53" s="2" t="str" cm="1">
        <f t="array" ref="L53">IFERROR(playerPoints($H53,$F53,$G53,L$1),"")</f>
        <v/>
      </c>
      <c r="M53" s="2" t="str" cm="1">
        <f t="array" ref="M53">IFERROR(playerPoints($H53,$F53,$G53,M$1),"")</f>
        <v/>
      </c>
      <c r="N53" s="2" t="str" cm="1">
        <f t="array" ref="N53">IFERROR(playerPoints($H53,$F53,$G53,N$1),"")</f>
        <v/>
      </c>
      <c r="O53" s="2" t="str" cm="1">
        <f t="array" ref="O53">IFERROR(playerPoints($H53,$F53,$G53,O$1),"")</f>
        <v/>
      </c>
      <c r="Q53" s="2">
        <f t="shared" si="0"/>
        <v>0</v>
      </c>
    </row>
    <row r="54" spans="1:17">
      <c r="A54" s="2">
        <v>53</v>
      </c>
      <c r="B54" s="2" t="s">
        <v>1111</v>
      </c>
      <c r="C54" s="2" t="s">
        <v>1112</v>
      </c>
      <c r="D54" s="2" t="s">
        <v>897</v>
      </c>
      <c r="F54" s="2" t="str">
        <f>LOOKUP(D54,Sheet3!A$1:A$32,Sheet3!B$1:B$32)</f>
        <v>BEL</v>
      </c>
      <c r="G54" s="2" t="s">
        <v>2405</v>
      </c>
      <c r="H54" s="2" t="s">
        <v>44</v>
      </c>
      <c r="I54" s="2" t="str" cm="1">
        <f t="array" ref="I54">IFERROR(playerPoints($H54,$F54,$G54,I$1),"")</f>
        <v/>
      </c>
      <c r="J54" s="2" t="str" cm="1">
        <f t="array" ref="J54">IFERROR(playerPoints($H54,$F54,$G54,J$1),"")</f>
        <v/>
      </c>
      <c r="K54" s="2" t="str" cm="1">
        <f t="array" ref="K54">IFERROR(playerPoints($H54,$F54,$G54,K$1),"")</f>
        <v/>
      </c>
      <c r="L54" s="2" t="str" cm="1">
        <f t="array" ref="L54">IFERROR(playerPoints($H54,$F54,$G54,L$1),"")</f>
        <v/>
      </c>
      <c r="M54" s="2" t="str" cm="1">
        <f t="array" ref="M54">IFERROR(playerPoints($H54,$F54,$G54,M$1),"")</f>
        <v/>
      </c>
      <c r="N54" s="2" t="str" cm="1">
        <f t="array" ref="N54">IFERROR(playerPoints($H54,$F54,$G54,N$1),"")</f>
        <v/>
      </c>
      <c r="O54" s="2" t="str" cm="1">
        <f t="array" ref="O54">IFERROR(playerPoints($H54,$F54,$G54,O$1),"")</f>
        <v/>
      </c>
      <c r="Q54" s="2">
        <f t="shared" si="0"/>
        <v>0</v>
      </c>
    </row>
    <row r="55" spans="1:17">
      <c r="A55" s="2">
        <v>54</v>
      </c>
      <c r="B55" s="2" t="s">
        <v>1113</v>
      </c>
      <c r="C55" s="2" t="s">
        <v>1114</v>
      </c>
      <c r="D55" s="2" t="s">
        <v>897</v>
      </c>
      <c r="F55" s="2" t="str">
        <f>LOOKUP(D55,Sheet3!A$1:A$32,Sheet3!B$1:B$32)</f>
        <v>BEL</v>
      </c>
      <c r="G55" s="2" t="s">
        <v>2406</v>
      </c>
      <c r="H55" s="2" t="s">
        <v>44</v>
      </c>
      <c r="I55" s="2" t="str" cm="1">
        <f t="array" ref="I55">IFERROR(playerPoints($H55,$F55,$G55,I$1),"")</f>
        <v/>
      </c>
      <c r="J55" s="2" t="str" cm="1">
        <f t="array" ref="J55">IFERROR(playerPoints($H55,$F55,$G55,J$1),"")</f>
        <v/>
      </c>
      <c r="K55" s="2" t="str" cm="1">
        <f t="array" ref="K55">IFERROR(playerPoints($H55,$F55,$G55,K$1),"")</f>
        <v/>
      </c>
      <c r="L55" s="2" t="str" cm="1">
        <f t="array" ref="L55">IFERROR(playerPoints($H55,$F55,$G55,L$1),"")</f>
        <v/>
      </c>
      <c r="M55" s="2" t="str" cm="1">
        <f t="array" ref="M55">IFERROR(playerPoints($H55,$F55,$G55,M$1),"")</f>
        <v/>
      </c>
      <c r="N55" s="2" t="str" cm="1">
        <f t="array" ref="N55">IFERROR(playerPoints($H55,$F55,$G55,N$1),"")</f>
        <v/>
      </c>
      <c r="O55" s="2" t="str" cm="1">
        <f t="array" ref="O55">IFERROR(playerPoints($H55,$F55,$G55,O$1),"")</f>
        <v/>
      </c>
      <c r="Q55" s="2">
        <f t="shared" si="0"/>
        <v>0</v>
      </c>
    </row>
    <row r="56" spans="1:17">
      <c r="A56" s="2">
        <v>55</v>
      </c>
      <c r="B56" s="2" t="s">
        <v>1115</v>
      </c>
      <c r="C56" s="2" t="s">
        <v>1116</v>
      </c>
      <c r="D56" s="2" t="s">
        <v>897</v>
      </c>
      <c r="F56" s="2" t="str">
        <f>LOOKUP(D56,Sheet3!A$1:A$32,Sheet3!B$1:B$32)</f>
        <v>BEL</v>
      </c>
      <c r="G56" s="2" t="s">
        <v>2407</v>
      </c>
      <c r="H56" s="2" t="s">
        <v>44</v>
      </c>
      <c r="I56" s="2" t="str" cm="1">
        <f t="array" ref="I56">IFERROR(playerPoints($H56,$F56,$G56,I$1),"")</f>
        <v/>
      </c>
      <c r="J56" s="2" t="str" cm="1">
        <f t="array" ref="J56">IFERROR(playerPoints($H56,$F56,$G56,J$1),"")</f>
        <v/>
      </c>
      <c r="K56" s="2" t="str" cm="1">
        <f t="array" ref="K56">IFERROR(playerPoints($H56,$F56,$G56,K$1),"")</f>
        <v/>
      </c>
      <c r="L56" s="2" t="str" cm="1">
        <f t="array" ref="L56">IFERROR(playerPoints($H56,$F56,$G56,L$1),"")</f>
        <v/>
      </c>
      <c r="M56" s="2" t="str" cm="1">
        <f t="array" ref="M56">IFERROR(playerPoints($H56,$F56,$G56,M$1),"")</f>
        <v/>
      </c>
      <c r="N56" s="2" t="str" cm="1">
        <f t="array" ref="N56">IFERROR(playerPoints($H56,$F56,$G56,N$1),"")</f>
        <v/>
      </c>
      <c r="O56" s="2" t="str" cm="1">
        <f t="array" ref="O56">IFERROR(playerPoints($H56,$F56,$G56,O$1),"")</f>
        <v/>
      </c>
      <c r="Q56" s="2">
        <f t="shared" si="0"/>
        <v>0</v>
      </c>
    </row>
    <row r="57" spans="1:17">
      <c r="A57" s="2">
        <v>56</v>
      </c>
      <c r="B57" s="2" t="s">
        <v>1117</v>
      </c>
      <c r="C57" s="2" t="s">
        <v>1118</v>
      </c>
      <c r="D57" s="2" t="s">
        <v>897</v>
      </c>
      <c r="F57" s="2" t="str">
        <f>LOOKUP(D57,Sheet3!A$1:A$32,Sheet3!B$1:B$32)</f>
        <v>BEL</v>
      </c>
      <c r="G57" s="2" t="s">
        <v>2408</v>
      </c>
      <c r="H57" s="2" t="s">
        <v>48</v>
      </c>
      <c r="I57" s="2" t="str" cm="1">
        <f t="array" ref="I57">IFERROR(playerPoints($H57,$F57,$G57,I$1),"")</f>
        <v/>
      </c>
      <c r="J57" s="2" t="str" cm="1">
        <f t="array" ref="J57">IFERROR(playerPoints($H57,$F57,$G57,J$1),"")</f>
        <v/>
      </c>
      <c r="K57" s="2" t="str" cm="1">
        <f t="array" ref="K57">IFERROR(playerPoints($H57,$F57,$G57,K$1),"")</f>
        <v/>
      </c>
      <c r="L57" s="2" t="str" cm="1">
        <f t="array" ref="L57">IFERROR(playerPoints($H57,$F57,$G57,L$1),"")</f>
        <v/>
      </c>
      <c r="M57" s="2" t="str" cm="1">
        <f t="array" ref="M57">IFERROR(playerPoints($H57,$F57,$G57,M$1),"")</f>
        <v/>
      </c>
      <c r="N57" s="2" t="str" cm="1">
        <f t="array" ref="N57">IFERROR(playerPoints($H57,$F57,$G57,N$1),"")</f>
        <v/>
      </c>
      <c r="O57" s="2" t="str" cm="1">
        <f t="array" ref="O57">IFERROR(playerPoints($H57,$F57,$G57,O$1),"")</f>
        <v/>
      </c>
      <c r="Q57" s="2">
        <f t="shared" si="0"/>
        <v>0</v>
      </c>
    </row>
    <row r="58" spans="1:17">
      <c r="A58" s="2">
        <v>57</v>
      </c>
      <c r="B58" s="2" t="s">
        <v>1119</v>
      </c>
      <c r="C58" s="2" t="s">
        <v>1120</v>
      </c>
      <c r="D58" s="2" t="s">
        <v>897</v>
      </c>
      <c r="F58" s="2" t="str">
        <f>LOOKUP(D58,Sheet3!A$1:A$32,Sheet3!B$1:B$32)</f>
        <v>BEL</v>
      </c>
      <c r="G58" s="2" t="s">
        <v>2409</v>
      </c>
      <c r="H58" s="2" t="s">
        <v>48</v>
      </c>
      <c r="I58" s="2" t="str" cm="1">
        <f t="array" ref="I58">IFERROR(playerPoints($H58,$F58,$G58,I$1),"")</f>
        <v/>
      </c>
      <c r="J58" s="2" t="str" cm="1">
        <f t="array" ref="J58">IFERROR(playerPoints($H58,$F58,$G58,J$1),"")</f>
        <v/>
      </c>
      <c r="K58" s="2" t="str" cm="1">
        <f t="array" ref="K58">IFERROR(playerPoints($H58,$F58,$G58,K$1),"")</f>
        <v/>
      </c>
      <c r="L58" s="2" t="str" cm="1">
        <f t="array" ref="L58">IFERROR(playerPoints($H58,$F58,$G58,L$1),"")</f>
        <v/>
      </c>
      <c r="M58" s="2" t="str" cm="1">
        <f t="array" ref="M58">IFERROR(playerPoints($H58,$F58,$G58,M$1),"")</f>
        <v/>
      </c>
      <c r="N58" s="2" t="str" cm="1">
        <f t="array" ref="N58">IFERROR(playerPoints($H58,$F58,$G58,N$1),"")</f>
        <v/>
      </c>
      <c r="O58" s="2" t="str" cm="1">
        <f t="array" ref="O58">IFERROR(playerPoints($H58,$F58,$G58,O$1),"")</f>
        <v/>
      </c>
      <c r="Q58" s="2">
        <f t="shared" si="0"/>
        <v>0</v>
      </c>
    </row>
    <row r="59" spans="1:17">
      <c r="A59" s="2">
        <v>58</v>
      </c>
      <c r="B59" s="2" t="s">
        <v>1121</v>
      </c>
      <c r="C59" s="2" t="s">
        <v>1122</v>
      </c>
      <c r="D59" s="2" t="s">
        <v>897</v>
      </c>
      <c r="F59" s="2" t="str">
        <f>LOOKUP(D59,Sheet3!A$1:A$32,Sheet3!B$1:B$32)</f>
        <v>BEL</v>
      </c>
      <c r="G59" s="2" t="s">
        <v>2410</v>
      </c>
      <c r="H59" s="2" t="s">
        <v>48</v>
      </c>
      <c r="I59" s="2" t="str" cm="1">
        <f t="array" ref="I59">IFERROR(playerPoints($H59,$F59,$G59,I$1),"")</f>
        <v/>
      </c>
      <c r="J59" s="2" t="str" cm="1">
        <f t="array" ref="J59">IFERROR(playerPoints($H59,$F59,$G59,J$1),"")</f>
        <v/>
      </c>
      <c r="K59" s="2" t="str" cm="1">
        <f t="array" ref="K59">IFERROR(playerPoints($H59,$F59,$G59,K$1),"")</f>
        <v/>
      </c>
      <c r="L59" s="2" t="str" cm="1">
        <f t="array" ref="L59">IFERROR(playerPoints($H59,$F59,$G59,L$1),"")</f>
        <v/>
      </c>
      <c r="M59" s="2" t="str" cm="1">
        <f t="array" ref="M59">IFERROR(playerPoints($H59,$F59,$G59,M$1),"")</f>
        <v/>
      </c>
      <c r="N59" s="2" t="str" cm="1">
        <f t="array" ref="N59">IFERROR(playerPoints($H59,$F59,$G59,N$1),"")</f>
        <v/>
      </c>
      <c r="O59" s="2" t="str" cm="1">
        <f t="array" ref="O59">IFERROR(playerPoints($H59,$F59,$G59,O$1),"")</f>
        <v/>
      </c>
      <c r="Q59" s="2">
        <f t="shared" si="0"/>
        <v>0</v>
      </c>
    </row>
    <row r="60" spans="1:17">
      <c r="A60" s="2">
        <v>59</v>
      </c>
      <c r="B60" s="2" t="s">
        <v>1123</v>
      </c>
      <c r="C60" s="2" t="s">
        <v>1124</v>
      </c>
      <c r="D60" s="2" t="s">
        <v>897</v>
      </c>
      <c r="F60" s="2" t="str">
        <f>LOOKUP(D60,Sheet3!A$1:A$32,Sheet3!B$1:B$32)</f>
        <v>BEL</v>
      </c>
      <c r="G60" s="2" t="s">
        <v>2411</v>
      </c>
      <c r="H60" s="2" t="s">
        <v>48</v>
      </c>
      <c r="I60" s="2" t="str" cm="1">
        <f t="array" ref="I60">IFERROR(playerPoints($H60,$F60,$G60,I$1),"")</f>
        <v/>
      </c>
      <c r="J60" s="2" t="str" cm="1">
        <f t="array" ref="J60">IFERROR(playerPoints($H60,$F60,$G60,J$1),"")</f>
        <v/>
      </c>
      <c r="K60" s="2" t="str" cm="1">
        <f t="array" ref="K60">IFERROR(playerPoints($H60,$F60,$G60,K$1),"")</f>
        <v/>
      </c>
      <c r="L60" s="2" t="str" cm="1">
        <f t="array" ref="L60">IFERROR(playerPoints($H60,$F60,$G60,L$1),"")</f>
        <v/>
      </c>
      <c r="M60" s="2" t="str" cm="1">
        <f t="array" ref="M60">IFERROR(playerPoints($H60,$F60,$G60,M$1),"")</f>
        <v/>
      </c>
      <c r="N60" s="2" t="str" cm="1">
        <f t="array" ref="N60">IFERROR(playerPoints($H60,$F60,$G60,N$1),"")</f>
        <v/>
      </c>
      <c r="O60" s="2" t="str" cm="1">
        <f t="array" ref="O60">IFERROR(playerPoints($H60,$F60,$G60,O$1),"")</f>
        <v/>
      </c>
      <c r="Q60" s="2">
        <f t="shared" si="0"/>
        <v>0</v>
      </c>
    </row>
    <row r="61" spans="1:17">
      <c r="A61" s="2">
        <v>60</v>
      </c>
      <c r="B61" s="2" t="s">
        <v>1080</v>
      </c>
      <c r="C61" s="2" t="s">
        <v>1125</v>
      </c>
      <c r="D61" s="2" t="s">
        <v>897</v>
      </c>
      <c r="F61" s="2" t="str">
        <f>LOOKUP(D61,Sheet3!A$1:A$32,Sheet3!B$1:B$32)</f>
        <v>BEL</v>
      </c>
      <c r="G61" s="2" t="s">
        <v>2412</v>
      </c>
      <c r="H61" s="2" t="s">
        <v>48</v>
      </c>
      <c r="I61" s="2" t="str" cm="1">
        <f t="array" ref="I61">IFERROR(playerPoints($H61,$F61,$G61,I$1),"")</f>
        <v/>
      </c>
      <c r="J61" s="2" t="str" cm="1">
        <f t="array" ref="J61">IFERROR(playerPoints($H61,$F61,$G61,J$1),"")</f>
        <v/>
      </c>
      <c r="K61" s="2" t="str" cm="1">
        <f t="array" ref="K61">IFERROR(playerPoints($H61,$F61,$G61,K$1),"")</f>
        <v/>
      </c>
      <c r="L61" s="2" t="str" cm="1">
        <f t="array" ref="L61">IFERROR(playerPoints($H61,$F61,$G61,L$1),"")</f>
        <v/>
      </c>
      <c r="M61" s="2" t="str" cm="1">
        <f t="array" ref="M61">IFERROR(playerPoints($H61,$F61,$G61,M$1),"")</f>
        <v/>
      </c>
      <c r="N61" s="2" t="str" cm="1">
        <f t="array" ref="N61">IFERROR(playerPoints($H61,$F61,$G61,N$1),"")</f>
        <v/>
      </c>
      <c r="O61" s="2" t="str" cm="1">
        <f t="array" ref="O61">IFERROR(playerPoints($H61,$F61,$G61,O$1),"")</f>
        <v/>
      </c>
      <c r="Q61" s="2">
        <f t="shared" si="0"/>
        <v>0</v>
      </c>
    </row>
    <row r="62" spans="1:17">
      <c r="A62" s="2">
        <v>61</v>
      </c>
      <c r="B62" s="2" t="s">
        <v>1126</v>
      </c>
      <c r="C62" s="2" t="s">
        <v>1127</v>
      </c>
      <c r="D62" s="2" t="s">
        <v>897</v>
      </c>
      <c r="F62" s="2" t="str">
        <f>LOOKUP(D62,Sheet3!A$1:A$32,Sheet3!B$1:B$32)</f>
        <v>BEL</v>
      </c>
      <c r="G62" s="2" t="s">
        <v>2413</v>
      </c>
      <c r="H62" s="2" t="s">
        <v>48</v>
      </c>
      <c r="I62" s="2" t="str" cm="1">
        <f t="array" ref="I62">IFERROR(playerPoints($H62,$F62,$G62,I$1),"")</f>
        <v/>
      </c>
      <c r="J62" s="2" t="str" cm="1">
        <f t="array" ref="J62">IFERROR(playerPoints($H62,$F62,$G62,J$1),"")</f>
        <v/>
      </c>
      <c r="K62" s="2" t="str" cm="1">
        <f t="array" ref="K62">IFERROR(playerPoints($H62,$F62,$G62,K$1),"")</f>
        <v/>
      </c>
      <c r="L62" s="2" t="str" cm="1">
        <f t="array" ref="L62">IFERROR(playerPoints($H62,$F62,$G62,L$1),"")</f>
        <v/>
      </c>
      <c r="M62" s="2" t="str" cm="1">
        <f t="array" ref="M62">IFERROR(playerPoints($H62,$F62,$G62,M$1),"")</f>
        <v/>
      </c>
      <c r="N62" s="2" t="str" cm="1">
        <f t="array" ref="N62">IFERROR(playerPoints($H62,$F62,$G62,N$1),"")</f>
        <v/>
      </c>
      <c r="O62" s="2" t="str" cm="1">
        <f t="array" ref="O62">IFERROR(playerPoints($H62,$F62,$G62,O$1),"")</f>
        <v/>
      </c>
      <c r="Q62" s="2">
        <f t="shared" si="0"/>
        <v>0</v>
      </c>
    </row>
    <row r="63" spans="1:17">
      <c r="A63" s="2">
        <v>62</v>
      </c>
      <c r="B63" s="2" t="s">
        <v>1128</v>
      </c>
      <c r="C63" s="2" t="s">
        <v>1129</v>
      </c>
      <c r="D63" s="2" t="s">
        <v>897</v>
      </c>
      <c r="F63" s="2" t="str">
        <f>LOOKUP(D63,Sheet3!A$1:A$32,Sheet3!B$1:B$32)</f>
        <v>BEL</v>
      </c>
      <c r="G63" s="2" t="s">
        <v>2414</v>
      </c>
      <c r="H63" s="2" t="s">
        <v>48</v>
      </c>
      <c r="I63" s="2" t="str" cm="1">
        <f t="array" ref="I63">IFERROR(playerPoints($H63,$F63,$G63,I$1),"")</f>
        <v/>
      </c>
      <c r="J63" s="2" t="str" cm="1">
        <f t="array" ref="J63">IFERROR(playerPoints($H63,$F63,$G63,J$1),"")</f>
        <v/>
      </c>
      <c r="K63" s="2" t="str" cm="1">
        <f t="array" ref="K63">IFERROR(playerPoints($H63,$F63,$G63,K$1),"")</f>
        <v/>
      </c>
      <c r="L63" s="2" t="str" cm="1">
        <f t="array" ref="L63">IFERROR(playerPoints($H63,$F63,$G63,L$1),"")</f>
        <v/>
      </c>
      <c r="M63" s="2" t="str" cm="1">
        <f t="array" ref="M63">IFERROR(playerPoints($H63,$F63,$G63,M$1),"")</f>
        <v/>
      </c>
      <c r="N63" s="2" t="str" cm="1">
        <f t="array" ref="N63">IFERROR(playerPoints($H63,$F63,$G63,N$1),"")</f>
        <v/>
      </c>
      <c r="O63" s="2" t="str" cm="1">
        <f t="array" ref="O63">IFERROR(playerPoints($H63,$F63,$G63,O$1),"")</f>
        <v/>
      </c>
      <c r="Q63" s="2">
        <f t="shared" si="0"/>
        <v>0</v>
      </c>
    </row>
    <row r="64" spans="1:17">
      <c r="A64" s="2">
        <v>63</v>
      </c>
      <c r="B64" s="2" t="s">
        <v>1130</v>
      </c>
      <c r="C64" s="2" t="s">
        <v>1131</v>
      </c>
      <c r="D64" s="2" t="s">
        <v>897</v>
      </c>
      <c r="F64" s="2" t="str">
        <f>LOOKUP(D64,Sheet3!A$1:A$32,Sheet3!B$1:B$32)</f>
        <v>BEL</v>
      </c>
      <c r="G64" s="2" t="s">
        <v>2415</v>
      </c>
      <c r="H64" s="2" t="s">
        <v>57</v>
      </c>
      <c r="I64" s="2" t="str" cm="1">
        <f t="array" ref="I64">IFERROR(playerPoints($H64,$F64,$G64,I$1),"")</f>
        <v/>
      </c>
      <c r="J64" s="2" t="str" cm="1">
        <f t="array" ref="J64">IFERROR(playerPoints($H64,$F64,$G64,J$1),"")</f>
        <v/>
      </c>
      <c r="K64" s="2" t="str" cm="1">
        <f t="array" ref="K64">IFERROR(playerPoints($H64,$F64,$G64,K$1),"")</f>
        <v/>
      </c>
      <c r="L64" s="2" t="str" cm="1">
        <f t="array" ref="L64">IFERROR(playerPoints($H64,$F64,$G64,L$1),"")</f>
        <v/>
      </c>
      <c r="M64" s="2" t="str" cm="1">
        <f t="array" ref="M64">IFERROR(playerPoints($H64,$F64,$G64,M$1),"")</f>
        <v/>
      </c>
      <c r="N64" s="2" t="str" cm="1">
        <f t="array" ref="N64">IFERROR(playerPoints($H64,$F64,$G64,N$1),"")</f>
        <v/>
      </c>
      <c r="O64" s="2" t="str" cm="1">
        <f t="array" ref="O64">IFERROR(playerPoints($H64,$F64,$G64,O$1),"")</f>
        <v/>
      </c>
      <c r="Q64" s="2">
        <f t="shared" si="0"/>
        <v>0</v>
      </c>
    </row>
    <row r="65" spans="1:17">
      <c r="A65" s="2">
        <v>64</v>
      </c>
      <c r="B65" s="2" t="s">
        <v>1132</v>
      </c>
      <c r="C65" s="2" t="s">
        <v>1133</v>
      </c>
      <c r="D65" s="2" t="s">
        <v>897</v>
      </c>
      <c r="F65" s="2" t="str">
        <f>LOOKUP(D65,Sheet3!A$1:A$32,Sheet3!B$1:B$32)</f>
        <v>BEL</v>
      </c>
      <c r="G65" s="2" t="s">
        <v>2416</v>
      </c>
      <c r="H65" s="2" t="s">
        <v>57</v>
      </c>
      <c r="I65" s="2" t="str" cm="1">
        <f t="array" ref="I65">IFERROR(playerPoints($H65,$F65,$G65,I$1),"")</f>
        <v/>
      </c>
      <c r="J65" s="2" t="str" cm="1">
        <f t="array" ref="J65">IFERROR(playerPoints($H65,$F65,$G65,J$1),"")</f>
        <v/>
      </c>
      <c r="K65" s="2" t="str" cm="1">
        <f t="array" ref="K65">IFERROR(playerPoints($H65,$F65,$G65,K$1),"")</f>
        <v/>
      </c>
      <c r="L65" s="2" t="str" cm="1">
        <f t="array" ref="L65">IFERROR(playerPoints($H65,$F65,$G65,L$1),"")</f>
        <v/>
      </c>
      <c r="M65" s="2" t="str" cm="1">
        <f t="array" ref="M65">IFERROR(playerPoints($H65,$F65,$G65,M$1),"")</f>
        <v/>
      </c>
      <c r="N65" s="2" t="str" cm="1">
        <f t="array" ref="N65">IFERROR(playerPoints($H65,$F65,$G65,N$1),"")</f>
        <v/>
      </c>
      <c r="O65" s="2" t="str" cm="1">
        <f t="array" ref="O65">IFERROR(playerPoints($H65,$F65,$G65,O$1),"")</f>
        <v/>
      </c>
      <c r="Q65" s="2">
        <f t="shared" si="0"/>
        <v>0</v>
      </c>
    </row>
    <row r="66" spans="1:17">
      <c r="A66" s="2">
        <v>65</v>
      </c>
      <c r="B66" s="2" t="s">
        <v>1134</v>
      </c>
      <c r="C66" s="2" t="s">
        <v>1135</v>
      </c>
      <c r="D66" s="2" t="s">
        <v>897</v>
      </c>
      <c r="F66" s="2" t="str">
        <f>LOOKUP(D66,Sheet3!A$1:A$32,Sheet3!B$1:B$32)</f>
        <v>BEL</v>
      </c>
      <c r="G66" s="2" t="s">
        <v>2417</v>
      </c>
      <c r="H66" s="2" t="s">
        <v>57</v>
      </c>
      <c r="I66" s="2" t="str" cm="1">
        <f t="array" ref="I66">IFERROR(playerPoints($H66,$F66,$G66,I$1),"")</f>
        <v/>
      </c>
      <c r="J66" s="2" t="str" cm="1">
        <f t="array" ref="J66">IFERROR(playerPoints($H66,$F66,$G66,J$1),"")</f>
        <v/>
      </c>
      <c r="K66" s="2" t="str" cm="1">
        <f t="array" ref="K66">IFERROR(playerPoints($H66,$F66,$G66,K$1),"")</f>
        <v/>
      </c>
      <c r="L66" s="2" t="str" cm="1">
        <f t="array" ref="L66">IFERROR(playerPoints($H66,$F66,$G66,L$1),"")</f>
        <v/>
      </c>
      <c r="M66" s="2" t="str" cm="1">
        <f t="array" ref="M66">IFERROR(playerPoints($H66,$F66,$G66,M$1),"")</f>
        <v/>
      </c>
      <c r="N66" s="2" t="str" cm="1">
        <f t="array" ref="N66">IFERROR(playerPoints($H66,$F66,$G66,N$1),"")</f>
        <v/>
      </c>
      <c r="O66" s="2" t="str" cm="1">
        <f t="array" ref="O66">IFERROR(playerPoints($H66,$F66,$G66,O$1),"")</f>
        <v/>
      </c>
      <c r="Q66" s="2">
        <f t="shared" si="0"/>
        <v>0</v>
      </c>
    </row>
    <row r="67" spans="1:17">
      <c r="A67" s="2">
        <v>66</v>
      </c>
      <c r="B67" s="2" t="s">
        <v>1136</v>
      </c>
      <c r="C67" s="2" t="s">
        <v>1137</v>
      </c>
      <c r="D67" s="2" t="s">
        <v>897</v>
      </c>
      <c r="F67" s="2" t="str">
        <f>LOOKUP(D67,Sheet3!A$1:A$32,Sheet3!B$1:B$32)</f>
        <v>BEL</v>
      </c>
      <c r="G67" s="2" t="s">
        <v>2418</v>
      </c>
      <c r="H67" s="2" t="s">
        <v>57</v>
      </c>
      <c r="I67" s="2" t="str" cm="1">
        <f t="array" ref="I67">IFERROR(playerPoints($H67,$F67,$G67,I$1),"")</f>
        <v/>
      </c>
      <c r="J67" s="2" t="str" cm="1">
        <f t="array" ref="J67">IFERROR(playerPoints($H67,$F67,$G67,J$1),"")</f>
        <v/>
      </c>
      <c r="K67" s="2" t="str" cm="1">
        <f t="array" ref="K67">IFERROR(playerPoints($H67,$F67,$G67,K$1),"")</f>
        <v/>
      </c>
      <c r="L67" s="2" t="str" cm="1">
        <f t="array" ref="L67">IFERROR(playerPoints($H67,$F67,$G67,L$1),"")</f>
        <v/>
      </c>
      <c r="M67" s="2" t="str" cm="1">
        <f t="array" ref="M67">IFERROR(playerPoints($H67,$F67,$G67,M$1),"")</f>
        <v/>
      </c>
      <c r="N67" s="2" t="str" cm="1">
        <f t="array" ref="N67">IFERROR(playerPoints($H67,$F67,$G67,N$1),"")</f>
        <v/>
      </c>
      <c r="O67" s="2" t="str" cm="1">
        <f t="array" ref="O67">IFERROR(playerPoints($H67,$F67,$G67,O$1),"")</f>
        <v/>
      </c>
      <c r="Q67" s="2">
        <f t="shared" ref="Q67:Q130" si="1">SUM(I67:O67)</f>
        <v>0</v>
      </c>
    </row>
    <row r="68" spans="1:17">
      <c r="A68" s="2">
        <v>67</v>
      </c>
      <c r="B68" s="2" t="s">
        <v>1138</v>
      </c>
      <c r="C68" s="2" t="s">
        <v>1139</v>
      </c>
      <c r="D68" s="2" t="s">
        <v>897</v>
      </c>
      <c r="F68" s="2" t="str">
        <f>LOOKUP(D68,Sheet3!A$1:A$32,Sheet3!B$1:B$32)</f>
        <v>BEL</v>
      </c>
      <c r="G68" s="2" t="s">
        <v>2419</v>
      </c>
      <c r="H68" s="2" t="s">
        <v>57</v>
      </c>
      <c r="I68" s="2" t="str" cm="1">
        <f t="array" ref="I68">IFERROR(playerPoints($H68,$F68,$G68,I$1),"")</f>
        <v/>
      </c>
      <c r="J68" s="2" t="str" cm="1">
        <f t="array" ref="J68">IFERROR(playerPoints($H68,$F68,$G68,J$1),"")</f>
        <v/>
      </c>
      <c r="K68" s="2" t="str" cm="1">
        <f t="array" ref="K68">IFERROR(playerPoints($H68,$F68,$G68,K$1),"")</f>
        <v/>
      </c>
      <c r="L68" s="2" t="str" cm="1">
        <f t="array" ref="L68">IFERROR(playerPoints($H68,$F68,$G68,L$1),"")</f>
        <v/>
      </c>
      <c r="M68" s="2" t="str" cm="1">
        <f t="array" ref="M68">IFERROR(playerPoints($H68,$F68,$G68,M$1),"")</f>
        <v/>
      </c>
      <c r="N68" s="2" t="str" cm="1">
        <f t="array" ref="N68">IFERROR(playerPoints($H68,$F68,$G68,N$1),"")</f>
        <v/>
      </c>
      <c r="O68" s="2" t="str" cm="1">
        <f t="array" ref="O68">IFERROR(playerPoints($H68,$F68,$G68,O$1),"")</f>
        <v/>
      </c>
      <c r="Q68" s="2">
        <f t="shared" si="1"/>
        <v>0</v>
      </c>
    </row>
    <row r="69" spans="1:17">
      <c r="A69" s="2">
        <v>68</v>
      </c>
      <c r="B69" s="2" t="s">
        <v>1140</v>
      </c>
      <c r="C69" s="2" t="s">
        <v>1141</v>
      </c>
      <c r="D69" s="2" t="s">
        <v>897</v>
      </c>
      <c r="F69" s="2" t="str">
        <f>LOOKUP(D69,Sheet3!A$1:A$32,Sheet3!B$1:B$32)</f>
        <v>BEL</v>
      </c>
      <c r="G69" s="2" t="s">
        <v>2420</v>
      </c>
      <c r="H69" s="2" t="s">
        <v>57</v>
      </c>
      <c r="I69" s="2" t="str" cm="1">
        <f t="array" ref="I69">IFERROR(playerPoints($H69,$F69,$G69,I$1),"")</f>
        <v/>
      </c>
      <c r="J69" s="2" t="str" cm="1">
        <f t="array" ref="J69">IFERROR(playerPoints($H69,$F69,$G69,J$1),"")</f>
        <v/>
      </c>
      <c r="K69" s="2" t="str" cm="1">
        <f t="array" ref="K69">IFERROR(playerPoints($H69,$F69,$G69,K$1),"")</f>
        <v/>
      </c>
      <c r="L69" s="2" t="str" cm="1">
        <f t="array" ref="L69">IFERROR(playerPoints($H69,$F69,$G69,L$1),"")</f>
        <v/>
      </c>
      <c r="M69" s="2" t="str" cm="1">
        <f t="array" ref="M69">IFERROR(playerPoints($H69,$F69,$G69,M$1),"")</f>
        <v/>
      </c>
      <c r="N69" s="2" t="str" cm="1">
        <f t="array" ref="N69">IFERROR(playerPoints($H69,$F69,$G69,N$1),"")</f>
        <v/>
      </c>
      <c r="O69" s="2" t="str" cm="1">
        <f t="array" ref="O69">IFERROR(playerPoints($H69,$F69,$G69,O$1),"")</f>
        <v/>
      </c>
      <c r="Q69" s="2">
        <f t="shared" si="1"/>
        <v>0</v>
      </c>
    </row>
    <row r="70" spans="1:17">
      <c r="A70" s="2">
        <v>69</v>
      </c>
      <c r="B70" s="2" t="s">
        <v>1142</v>
      </c>
      <c r="C70" s="2" t="s">
        <v>1143</v>
      </c>
      <c r="D70" s="2" t="s">
        <v>897</v>
      </c>
      <c r="F70" s="2" t="str">
        <f>LOOKUP(D70,Sheet3!A$1:A$32,Sheet3!B$1:B$32)</f>
        <v>BEL</v>
      </c>
      <c r="G70" s="2" t="s">
        <v>2421</v>
      </c>
      <c r="H70" s="2" t="s">
        <v>57</v>
      </c>
      <c r="I70" s="2" t="str" cm="1">
        <f t="array" ref="I70">IFERROR(playerPoints($H70,$F70,$G70,I$1),"")</f>
        <v/>
      </c>
      <c r="J70" s="2" t="str" cm="1">
        <f t="array" ref="J70">IFERROR(playerPoints($H70,$F70,$G70,J$1),"")</f>
        <v/>
      </c>
      <c r="K70" s="2" t="str" cm="1">
        <f t="array" ref="K70">IFERROR(playerPoints($H70,$F70,$G70,K$1),"")</f>
        <v/>
      </c>
      <c r="L70" s="2" t="str" cm="1">
        <f t="array" ref="L70">IFERROR(playerPoints($H70,$F70,$G70,L$1),"")</f>
        <v/>
      </c>
      <c r="M70" s="2" t="str" cm="1">
        <f t="array" ref="M70">IFERROR(playerPoints($H70,$F70,$G70,M$1),"")</f>
        <v/>
      </c>
      <c r="N70" s="2" t="str" cm="1">
        <f t="array" ref="N70">IFERROR(playerPoints($H70,$F70,$G70,N$1),"")</f>
        <v/>
      </c>
      <c r="O70" s="2" t="str" cm="1">
        <f t="array" ref="O70">IFERROR(playerPoints($H70,$F70,$G70,O$1),"")</f>
        <v/>
      </c>
      <c r="Q70" s="2">
        <f t="shared" si="1"/>
        <v>0</v>
      </c>
    </row>
    <row r="71" spans="1:17">
      <c r="A71" s="2">
        <v>70</v>
      </c>
      <c r="B71" s="2" t="s">
        <v>1144</v>
      </c>
      <c r="C71" s="2" t="s">
        <v>1145</v>
      </c>
      <c r="D71" s="2" t="s">
        <v>897</v>
      </c>
      <c r="F71" s="2" t="str">
        <f>LOOKUP(D71,Sheet3!A$1:A$32,Sheet3!B$1:B$32)</f>
        <v>BEL</v>
      </c>
      <c r="G71" s="2" t="s">
        <v>2422</v>
      </c>
      <c r="H71" s="2" t="s">
        <v>57</v>
      </c>
      <c r="I71" s="2" t="str" cm="1">
        <f t="array" ref="I71">IFERROR(playerPoints($H71,$F71,$G71,I$1),"")</f>
        <v/>
      </c>
      <c r="J71" s="2" t="str" cm="1">
        <f t="array" ref="J71">IFERROR(playerPoints($H71,$F71,$G71,J$1),"")</f>
        <v/>
      </c>
      <c r="K71" s="2" t="str" cm="1">
        <f t="array" ref="K71">IFERROR(playerPoints($H71,$F71,$G71,K$1),"")</f>
        <v/>
      </c>
      <c r="L71" s="2" t="str" cm="1">
        <f t="array" ref="L71">IFERROR(playerPoints($H71,$F71,$G71,L$1),"")</f>
        <v/>
      </c>
      <c r="M71" s="2" t="str" cm="1">
        <f t="array" ref="M71">IFERROR(playerPoints($H71,$F71,$G71,M$1),"")</f>
        <v/>
      </c>
      <c r="N71" s="2" t="str" cm="1">
        <f t="array" ref="N71">IFERROR(playerPoints($H71,$F71,$G71,N$1),"")</f>
        <v/>
      </c>
      <c r="O71" s="2" t="str" cm="1">
        <f t="array" ref="O71">IFERROR(playerPoints($H71,$F71,$G71,O$1),"")</f>
        <v/>
      </c>
      <c r="Q71" s="2">
        <f t="shared" si="1"/>
        <v>0</v>
      </c>
    </row>
    <row r="72" spans="1:17">
      <c r="A72" s="2">
        <v>71</v>
      </c>
      <c r="B72" s="2" t="s">
        <v>1146</v>
      </c>
      <c r="C72" s="2" t="s">
        <v>1147</v>
      </c>
      <c r="D72" s="2" t="s">
        <v>897</v>
      </c>
      <c r="F72" s="2" t="str">
        <f>LOOKUP(D72,Sheet3!A$1:A$32,Sheet3!B$1:B$32)</f>
        <v>BEL</v>
      </c>
      <c r="G72" s="2" t="s">
        <v>2423</v>
      </c>
      <c r="H72" s="2" t="s">
        <v>57</v>
      </c>
      <c r="I72" s="2" t="str" cm="1">
        <f t="array" ref="I72">IFERROR(playerPoints($H72,$F72,$G72,I$1),"")</f>
        <v/>
      </c>
      <c r="J72" s="2" t="str" cm="1">
        <f t="array" ref="J72">IFERROR(playerPoints($H72,$F72,$G72,J$1),"")</f>
        <v/>
      </c>
      <c r="K72" s="2" t="str" cm="1">
        <f t="array" ref="K72">IFERROR(playerPoints($H72,$F72,$G72,K$1),"")</f>
        <v/>
      </c>
      <c r="L72" s="2" t="str" cm="1">
        <f t="array" ref="L72">IFERROR(playerPoints($H72,$F72,$G72,L$1),"")</f>
        <v/>
      </c>
      <c r="M72" s="2" t="str" cm="1">
        <f t="array" ref="M72">IFERROR(playerPoints($H72,$F72,$G72,M$1),"")</f>
        <v/>
      </c>
      <c r="N72" s="2" t="str" cm="1">
        <f t="array" ref="N72">IFERROR(playerPoints($H72,$F72,$G72,N$1),"")</f>
        <v/>
      </c>
      <c r="O72" s="2" t="str" cm="1">
        <f t="array" ref="O72">IFERROR(playerPoints($H72,$F72,$G72,O$1),"")</f>
        <v/>
      </c>
      <c r="Q72" s="2">
        <f t="shared" si="1"/>
        <v>0</v>
      </c>
    </row>
    <row r="73" spans="1:17">
      <c r="A73" s="2">
        <v>72</v>
      </c>
      <c r="B73" s="2" t="s">
        <v>1148</v>
      </c>
      <c r="C73" s="2" t="s">
        <v>1149</v>
      </c>
      <c r="D73" s="2" t="s">
        <v>897</v>
      </c>
      <c r="F73" s="2" t="str">
        <f>LOOKUP(D73,Sheet3!A$1:A$32,Sheet3!B$1:B$32)</f>
        <v>BEL</v>
      </c>
      <c r="G73" s="2" t="s">
        <v>2424</v>
      </c>
      <c r="H73" s="2" t="s">
        <v>66</v>
      </c>
      <c r="I73" s="2" t="str" cm="1">
        <f t="array" ref="I73">IFERROR(playerPoints($H73,$F73,$G73,I$1),"")</f>
        <v/>
      </c>
      <c r="J73" s="2" t="str" cm="1">
        <f t="array" ref="J73">IFERROR(playerPoints($H73,$F73,$G73,J$1),"")</f>
        <v/>
      </c>
      <c r="K73" s="2" t="str" cm="1">
        <f t="array" ref="K73">IFERROR(playerPoints($H73,$F73,$G73,K$1),"")</f>
        <v/>
      </c>
      <c r="L73" s="2" t="str" cm="1">
        <f t="array" ref="L73">IFERROR(playerPoints($H73,$F73,$G73,L$1),"")</f>
        <v/>
      </c>
      <c r="M73" s="2" t="str" cm="1">
        <f t="array" ref="M73">IFERROR(playerPoints($H73,$F73,$G73,M$1),"")</f>
        <v/>
      </c>
      <c r="N73" s="2" t="str" cm="1">
        <f t="array" ref="N73">IFERROR(playerPoints($H73,$F73,$G73,N$1),"")</f>
        <v/>
      </c>
      <c r="O73" s="2" t="str" cm="1">
        <f t="array" ref="O73">IFERROR(playerPoints($H73,$F73,$G73,O$1),"")</f>
        <v/>
      </c>
      <c r="Q73" s="2">
        <f t="shared" si="1"/>
        <v>0</v>
      </c>
    </row>
    <row r="74" spans="1:17">
      <c r="A74" s="2">
        <v>73</v>
      </c>
      <c r="B74" s="2" t="s">
        <v>1150</v>
      </c>
      <c r="C74" s="2" t="s">
        <v>1139</v>
      </c>
      <c r="D74" s="2" t="s">
        <v>897</v>
      </c>
      <c r="F74" s="2" t="str">
        <f>LOOKUP(D74,Sheet3!A$1:A$32,Sheet3!B$1:B$32)</f>
        <v>BEL</v>
      </c>
      <c r="G74" s="2" t="s">
        <v>2425</v>
      </c>
      <c r="H74" s="2" t="s">
        <v>66</v>
      </c>
      <c r="I74" s="2" t="str" cm="1">
        <f t="array" ref="I74">IFERROR(playerPoints($H74,$F74,$G74,I$1),"")</f>
        <v/>
      </c>
      <c r="J74" s="2" t="str" cm="1">
        <f t="array" ref="J74">IFERROR(playerPoints($H74,$F74,$G74,J$1),"")</f>
        <v/>
      </c>
      <c r="K74" s="2" t="str" cm="1">
        <f t="array" ref="K74">IFERROR(playerPoints($H74,$F74,$G74,K$1),"")</f>
        <v/>
      </c>
      <c r="L74" s="2" t="str" cm="1">
        <f t="array" ref="L74">IFERROR(playerPoints($H74,$F74,$G74,L$1),"")</f>
        <v/>
      </c>
      <c r="M74" s="2" t="str" cm="1">
        <f t="array" ref="M74">IFERROR(playerPoints($H74,$F74,$G74,M$1),"")</f>
        <v/>
      </c>
      <c r="N74" s="2" t="str" cm="1">
        <f t="array" ref="N74">IFERROR(playerPoints($H74,$F74,$G74,N$1),"")</f>
        <v/>
      </c>
      <c r="O74" s="2" t="str" cm="1">
        <f t="array" ref="O74">IFERROR(playerPoints($H74,$F74,$G74,O$1),"")</f>
        <v/>
      </c>
      <c r="Q74" s="2">
        <f t="shared" si="1"/>
        <v>0</v>
      </c>
    </row>
    <row r="75" spans="1:17">
      <c r="A75" s="2">
        <v>74</v>
      </c>
      <c r="B75" s="2" t="s">
        <v>1151</v>
      </c>
      <c r="C75" s="2" t="s">
        <v>1152</v>
      </c>
      <c r="D75" s="2" t="s">
        <v>897</v>
      </c>
      <c r="F75" s="2" t="str">
        <f>LOOKUP(D75,Sheet3!A$1:A$32,Sheet3!B$1:B$32)</f>
        <v>BEL</v>
      </c>
      <c r="G75" s="2" t="s">
        <v>2426</v>
      </c>
      <c r="H75" s="2" t="s">
        <v>66</v>
      </c>
      <c r="I75" s="2" t="str" cm="1">
        <f t="array" ref="I75">IFERROR(playerPoints($H75,$F75,$G75,I$1),"")</f>
        <v/>
      </c>
      <c r="J75" s="2" t="str" cm="1">
        <f t="array" ref="J75">IFERROR(playerPoints($H75,$F75,$G75,J$1),"")</f>
        <v/>
      </c>
      <c r="K75" s="2" t="str" cm="1">
        <f t="array" ref="K75">IFERROR(playerPoints($H75,$F75,$G75,K$1),"")</f>
        <v/>
      </c>
      <c r="L75" s="2" t="str" cm="1">
        <f t="array" ref="L75">IFERROR(playerPoints($H75,$F75,$G75,L$1),"")</f>
        <v/>
      </c>
      <c r="M75" s="2" t="str" cm="1">
        <f t="array" ref="M75">IFERROR(playerPoints($H75,$F75,$G75,M$1),"")</f>
        <v/>
      </c>
      <c r="N75" s="2" t="str" cm="1">
        <f t="array" ref="N75">IFERROR(playerPoints($H75,$F75,$G75,N$1),"")</f>
        <v/>
      </c>
      <c r="O75" s="2" t="str" cm="1">
        <f t="array" ref="O75">IFERROR(playerPoints($H75,$F75,$G75,O$1),"")</f>
        <v/>
      </c>
      <c r="Q75" s="2">
        <f t="shared" si="1"/>
        <v>0</v>
      </c>
    </row>
    <row r="76" spans="1:17">
      <c r="A76" s="2">
        <v>75</v>
      </c>
      <c r="B76" s="2" t="s">
        <v>1034</v>
      </c>
      <c r="C76" s="2" t="s">
        <v>1153</v>
      </c>
      <c r="D76" s="2" t="s">
        <v>897</v>
      </c>
      <c r="F76" s="2" t="str">
        <f>LOOKUP(D76,Sheet3!A$1:A$32,Sheet3!B$1:B$32)</f>
        <v>BEL</v>
      </c>
      <c r="G76" s="2" t="s">
        <v>2427</v>
      </c>
      <c r="H76" s="2" t="s">
        <v>66</v>
      </c>
      <c r="I76" s="2" t="str" cm="1">
        <f t="array" ref="I76">IFERROR(playerPoints($H76,$F76,$G76,I$1),"")</f>
        <v/>
      </c>
      <c r="J76" s="2" t="str" cm="1">
        <f t="array" ref="J76">IFERROR(playerPoints($H76,$F76,$G76,J$1),"")</f>
        <v/>
      </c>
      <c r="K76" s="2" t="str" cm="1">
        <f t="array" ref="K76">IFERROR(playerPoints($H76,$F76,$G76,K$1),"")</f>
        <v/>
      </c>
      <c r="L76" s="2" t="str" cm="1">
        <f t="array" ref="L76">IFERROR(playerPoints($H76,$F76,$G76,L$1),"")</f>
        <v/>
      </c>
      <c r="M76" s="2" t="str" cm="1">
        <f t="array" ref="M76">IFERROR(playerPoints($H76,$F76,$G76,M$1),"")</f>
        <v/>
      </c>
      <c r="N76" s="2" t="str" cm="1">
        <f t="array" ref="N76">IFERROR(playerPoints($H76,$F76,$G76,N$1),"")</f>
        <v/>
      </c>
      <c r="O76" s="2" t="str" cm="1">
        <f t="array" ref="O76">IFERROR(playerPoints($H76,$F76,$G76,O$1),"")</f>
        <v/>
      </c>
      <c r="Q76" s="2">
        <f t="shared" si="1"/>
        <v>0</v>
      </c>
    </row>
    <row r="77" spans="1:17">
      <c r="A77" s="2">
        <v>76</v>
      </c>
      <c r="B77" s="2" t="s">
        <v>1154</v>
      </c>
      <c r="C77" s="2" t="s">
        <v>1155</v>
      </c>
      <c r="D77" s="2" t="s">
        <v>897</v>
      </c>
      <c r="F77" s="2" t="str">
        <f>LOOKUP(D77,Sheet3!A$1:A$32,Sheet3!B$1:B$32)</f>
        <v>BEL</v>
      </c>
      <c r="G77" s="2" t="s">
        <v>1011</v>
      </c>
      <c r="H77" s="2" t="s">
        <v>66</v>
      </c>
      <c r="I77" s="2" t="str" cm="1">
        <f t="array" ref="I77">IFERROR(playerPoints($H77,$F77,$G77,I$1),"")</f>
        <v/>
      </c>
      <c r="J77" s="2" t="str" cm="1">
        <f t="array" ref="J77">IFERROR(playerPoints($H77,$F77,$G77,J$1),"")</f>
        <v/>
      </c>
      <c r="K77" s="2" t="str" cm="1">
        <f t="array" ref="K77">IFERROR(playerPoints($H77,$F77,$G77,K$1),"")</f>
        <v/>
      </c>
      <c r="L77" s="2" t="str" cm="1">
        <f t="array" ref="L77">IFERROR(playerPoints($H77,$F77,$G77,L$1),"")</f>
        <v/>
      </c>
      <c r="M77" s="2" t="str" cm="1">
        <f t="array" ref="M77">IFERROR(playerPoints($H77,$F77,$G77,M$1),"")</f>
        <v/>
      </c>
      <c r="N77" s="2" t="str" cm="1">
        <f t="array" ref="N77">IFERROR(playerPoints($H77,$F77,$G77,N$1),"")</f>
        <v/>
      </c>
      <c r="O77" s="2" t="str" cm="1">
        <f t="array" ref="O77">IFERROR(playerPoints($H77,$F77,$G77,O$1),"")</f>
        <v/>
      </c>
      <c r="Q77" s="2">
        <f t="shared" si="1"/>
        <v>0</v>
      </c>
    </row>
    <row r="78" spans="1:17">
      <c r="A78" s="2">
        <v>77</v>
      </c>
      <c r="B78" s="2" t="s">
        <v>1156</v>
      </c>
      <c r="C78" s="2" t="s">
        <v>1157</v>
      </c>
      <c r="D78" s="2" t="s">
        <v>897</v>
      </c>
      <c r="F78" s="2" t="str">
        <f>LOOKUP(D78,Sheet3!A$1:A$32,Sheet3!B$1:B$32)</f>
        <v>BEL</v>
      </c>
      <c r="G78" s="2" t="s">
        <v>2428</v>
      </c>
      <c r="H78" s="2" t="s">
        <v>66</v>
      </c>
      <c r="I78" s="2" t="str" cm="1">
        <f t="array" ref="I78">IFERROR(playerPoints($H78,$F78,$G78,I$1),"")</f>
        <v/>
      </c>
      <c r="J78" s="2" t="str" cm="1">
        <f t="array" ref="J78">IFERROR(playerPoints($H78,$F78,$G78,J$1),"")</f>
        <v/>
      </c>
      <c r="K78" s="2" t="str" cm="1">
        <f t="array" ref="K78">IFERROR(playerPoints($H78,$F78,$G78,K$1),"")</f>
        <v/>
      </c>
      <c r="L78" s="2" t="str" cm="1">
        <f t="array" ref="L78">IFERROR(playerPoints($H78,$F78,$G78,L$1),"")</f>
        <v/>
      </c>
      <c r="M78" s="2" t="str" cm="1">
        <f t="array" ref="M78">IFERROR(playerPoints($H78,$F78,$G78,M$1),"")</f>
        <v/>
      </c>
      <c r="N78" s="2" t="str" cm="1">
        <f t="array" ref="N78">IFERROR(playerPoints($H78,$F78,$G78,N$1),"")</f>
        <v/>
      </c>
      <c r="O78" s="2" t="str" cm="1">
        <f t="array" ref="O78">IFERROR(playerPoints($H78,$F78,$G78,O$1),"")</f>
        <v/>
      </c>
      <c r="Q78" s="2">
        <f t="shared" si="1"/>
        <v>0</v>
      </c>
    </row>
    <row r="79" spans="1:17">
      <c r="A79" s="2">
        <v>78</v>
      </c>
      <c r="B79" s="2" t="s">
        <v>1158</v>
      </c>
      <c r="C79" s="2" t="s">
        <v>1159</v>
      </c>
      <c r="D79" s="2" t="s">
        <v>897</v>
      </c>
      <c r="F79" s="2" t="str">
        <f>LOOKUP(D79,Sheet3!A$1:A$32,Sheet3!B$1:B$32)</f>
        <v>BEL</v>
      </c>
      <c r="G79" s="2" t="s">
        <v>2429</v>
      </c>
      <c r="H79" s="2" t="s">
        <v>66</v>
      </c>
      <c r="I79" s="2" t="str" cm="1">
        <f t="array" ref="I79">IFERROR(playerPoints($H79,$F79,$G79,I$1),"")</f>
        <v/>
      </c>
      <c r="J79" s="2" t="str" cm="1">
        <f t="array" ref="J79">IFERROR(playerPoints($H79,$F79,$G79,J$1),"")</f>
        <v/>
      </c>
      <c r="K79" s="2" t="str" cm="1">
        <f t="array" ref="K79">IFERROR(playerPoints($H79,$F79,$G79,K$1),"")</f>
        <v/>
      </c>
      <c r="L79" s="2" t="str" cm="1">
        <f t="array" ref="L79">IFERROR(playerPoints($H79,$F79,$G79,L$1),"")</f>
        <v/>
      </c>
      <c r="M79" s="2" t="str" cm="1">
        <f t="array" ref="M79">IFERROR(playerPoints($H79,$F79,$G79,M$1),"")</f>
        <v/>
      </c>
      <c r="N79" s="2" t="str" cm="1">
        <f t="array" ref="N79">IFERROR(playerPoints($H79,$F79,$G79,N$1),"")</f>
        <v/>
      </c>
      <c r="O79" s="2" t="str" cm="1">
        <f t="array" ref="O79">IFERROR(playerPoints($H79,$F79,$G79,O$1),"")</f>
        <v/>
      </c>
      <c r="Q79" s="2">
        <f t="shared" si="1"/>
        <v>0</v>
      </c>
    </row>
    <row r="80" spans="1:17">
      <c r="A80" s="2">
        <v>79</v>
      </c>
      <c r="B80" s="2" t="s">
        <v>1160</v>
      </c>
      <c r="C80" s="2" t="s">
        <v>542</v>
      </c>
      <c r="D80" s="2" t="s">
        <v>898</v>
      </c>
      <c r="F80" s="2" t="str">
        <f>LOOKUP(D80,Sheet3!A$1:A$32,Sheet3!B$1:B$32)</f>
        <v>BRA</v>
      </c>
      <c r="G80" s="2" t="s">
        <v>2430</v>
      </c>
      <c r="H80" s="2" t="s">
        <v>44</v>
      </c>
      <c r="I80" s="2" t="str" cm="1">
        <f t="array" ref="I80">IFERROR(playerPoints($H80,$F80,$G80,I$1),"")</f>
        <v/>
      </c>
      <c r="J80" s="2" t="str" cm="1">
        <f t="array" ref="J80">IFERROR(playerPoints($H80,$F80,$G80,J$1),"")</f>
        <v/>
      </c>
      <c r="K80" s="2" t="str" cm="1">
        <f t="array" ref="K80">IFERROR(playerPoints($H80,$F80,$G80,K$1),"")</f>
        <v/>
      </c>
      <c r="L80" s="2" t="str" cm="1">
        <f t="array" ref="L80">IFERROR(playerPoints($H80,$F80,$G80,L$1),"")</f>
        <v/>
      </c>
      <c r="M80" s="2" t="str" cm="1">
        <f t="array" ref="M80">IFERROR(playerPoints($H80,$F80,$G80,M$1),"")</f>
        <v/>
      </c>
      <c r="N80" s="2" t="str" cm="1">
        <f t="array" ref="N80">IFERROR(playerPoints($H80,$F80,$G80,N$1),"")</f>
        <v/>
      </c>
      <c r="O80" s="2" t="str" cm="1">
        <f t="array" ref="O80">IFERROR(playerPoints($H80,$F80,$G80,O$1),"")</f>
        <v/>
      </c>
      <c r="Q80" s="2">
        <f t="shared" si="1"/>
        <v>0</v>
      </c>
    </row>
    <row r="81" spans="1:17">
      <c r="A81" s="2">
        <v>80</v>
      </c>
      <c r="B81" s="2" t="s">
        <v>1160</v>
      </c>
      <c r="C81" s="2" t="s">
        <v>543</v>
      </c>
      <c r="D81" s="2" t="s">
        <v>898</v>
      </c>
      <c r="F81" s="2" t="str">
        <f>LOOKUP(D81,Sheet3!A$1:A$32,Sheet3!B$1:B$32)</f>
        <v>BRA</v>
      </c>
      <c r="G81" s="2" t="s">
        <v>2431</v>
      </c>
      <c r="H81" s="2" t="s">
        <v>44</v>
      </c>
      <c r="I81" s="2" t="str" cm="1">
        <f t="array" ref="I81">IFERROR(playerPoints($H81,$F81,$G81,I$1),"")</f>
        <v/>
      </c>
      <c r="J81" s="2" t="str" cm="1">
        <f t="array" ref="J81">IFERROR(playerPoints($H81,$F81,$G81,J$1),"")</f>
        <v/>
      </c>
      <c r="K81" s="2" t="str" cm="1">
        <f t="array" ref="K81">IFERROR(playerPoints($H81,$F81,$G81,K$1),"")</f>
        <v/>
      </c>
      <c r="L81" s="2" t="str" cm="1">
        <f t="array" ref="L81">IFERROR(playerPoints($H81,$F81,$G81,L$1),"")</f>
        <v/>
      </c>
      <c r="M81" s="2" t="str" cm="1">
        <f t="array" ref="M81">IFERROR(playerPoints($H81,$F81,$G81,M$1),"")</f>
        <v/>
      </c>
      <c r="N81" s="2" t="str" cm="1">
        <f t="array" ref="N81">IFERROR(playerPoints($H81,$F81,$G81,N$1),"")</f>
        <v/>
      </c>
      <c r="O81" s="2" t="str" cm="1">
        <f t="array" ref="O81">IFERROR(playerPoints($H81,$F81,$G81,O$1),"")</f>
        <v/>
      </c>
      <c r="Q81" s="2">
        <f t="shared" si="1"/>
        <v>0</v>
      </c>
    </row>
    <row r="82" spans="1:17">
      <c r="A82" s="2">
        <v>81</v>
      </c>
      <c r="B82" s="2" t="s">
        <v>1160</v>
      </c>
      <c r="C82" s="2" t="s">
        <v>544</v>
      </c>
      <c r="D82" s="2" t="s">
        <v>898</v>
      </c>
      <c r="F82" s="2" t="str">
        <f>LOOKUP(D82,Sheet3!A$1:A$32,Sheet3!B$1:B$32)</f>
        <v>BRA</v>
      </c>
      <c r="G82" s="2" t="s">
        <v>2432</v>
      </c>
      <c r="H82" s="2" t="s">
        <v>44</v>
      </c>
      <c r="I82" s="2" t="str" cm="1">
        <f t="array" ref="I82">IFERROR(playerPoints($H82,$F82,$G82,I$1),"")</f>
        <v/>
      </c>
      <c r="J82" s="2" t="str" cm="1">
        <f t="array" ref="J82">IFERROR(playerPoints($H82,$F82,$G82,J$1),"")</f>
        <v/>
      </c>
      <c r="K82" s="2" t="str" cm="1">
        <f t="array" ref="K82">IFERROR(playerPoints($H82,$F82,$G82,K$1),"")</f>
        <v/>
      </c>
      <c r="L82" s="2" t="str" cm="1">
        <f t="array" ref="L82">IFERROR(playerPoints($H82,$F82,$G82,L$1),"")</f>
        <v/>
      </c>
      <c r="M82" s="2" t="str" cm="1">
        <f t="array" ref="M82">IFERROR(playerPoints($H82,$F82,$G82,M$1),"")</f>
        <v/>
      </c>
      <c r="N82" s="2" t="str" cm="1">
        <f t="array" ref="N82">IFERROR(playerPoints($H82,$F82,$G82,N$1),"")</f>
        <v/>
      </c>
      <c r="O82" s="2" t="str" cm="1">
        <f t="array" ref="O82">IFERROR(playerPoints($H82,$F82,$G82,O$1),"")</f>
        <v/>
      </c>
      <c r="Q82" s="2">
        <f t="shared" si="1"/>
        <v>0</v>
      </c>
    </row>
    <row r="83" spans="1:17">
      <c r="A83" s="2">
        <v>82</v>
      </c>
      <c r="B83" s="2" t="s">
        <v>1160</v>
      </c>
      <c r="C83" s="2" t="s">
        <v>545</v>
      </c>
      <c r="D83" s="2" t="s">
        <v>898</v>
      </c>
      <c r="F83" s="2" t="str">
        <f>LOOKUP(D83,Sheet3!A$1:A$32,Sheet3!B$1:B$32)</f>
        <v>BRA</v>
      </c>
      <c r="G83" s="2" t="s">
        <v>2433</v>
      </c>
      <c r="H83" s="2" t="s">
        <v>48</v>
      </c>
      <c r="I83" s="2" t="str" cm="1">
        <f t="array" ref="I83">IFERROR(playerPoints($H83,$F83,$G83,I$1),"")</f>
        <v/>
      </c>
      <c r="J83" s="2" t="str" cm="1">
        <f t="array" ref="J83">IFERROR(playerPoints($H83,$F83,$G83,J$1),"")</f>
        <v/>
      </c>
      <c r="K83" s="2" t="str" cm="1">
        <f t="array" ref="K83">IFERROR(playerPoints($H83,$F83,$G83,K$1),"")</f>
        <v/>
      </c>
      <c r="L83" s="2" t="str" cm="1">
        <f t="array" ref="L83">IFERROR(playerPoints($H83,$F83,$G83,L$1),"")</f>
        <v/>
      </c>
      <c r="M83" s="2" t="str" cm="1">
        <f t="array" ref="M83">IFERROR(playerPoints($H83,$F83,$G83,M$1),"")</f>
        <v/>
      </c>
      <c r="N83" s="2" t="str" cm="1">
        <f t="array" ref="N83">IFERROR(playerPoints($H83,$F83,$G83,N$1),"")</f>
        <v/>
      </c>
      <c r="O83" s="2" t="str" cm="1">
        <f t="array" ref="O83">IFERROR(playerPoints($H83,$F83,$G83,O$1),"")</f>
        <v/>
      </c>
      <c r="Q83" s="2">
        <f t="shared" si="1"/>
        <v>0</v>
      </c>
    </row>
    <row r="84" spans="1:17">
      <c r="A84" s="2">
        <v>83</v>
      </c>
      <c r="B84" s="2" t="s">
        <v>1161</v>
      </c>
      <c r="C84" s="2" t="s">
        <v>1162</v>
      </c>
      <c r="D84" s="2" t="s">
        <v>898</v>
      </c>
      <c r="F84" s="2" t="str">
        <f>LOOKUP(D84,Sheet3!A$1:A$32,Sheet3!B$1:B$32)</f>
        <v>BRA</v>
      </c>
      <c r="G84" s="2" t="s">
        <v>2434</v>
      </c>
      <c r="H84" s="2" t="s">
        <v>48</v>
      </c>
      <c r="I84" s="2" t="str" cm="1">
        <f t="array" ref="I84">IFERROR(playerPoints($H84,$F84,$G84,I$1),"")</f>
        <v/>
      </c>
      <c r="J84" s="2" t="str" cm="1">
        <f t="array" ref="J84">IFERROR(playerPoints($H84,$F84,$G84,J$1),"")</f>
        <v/>
      </c>
      <c r="K84" s="2" t="str" cm="1">
        <f t="array" ref="K84">IFERROR(playerPoints($H84,$F84,$G84,K$1),"")</f>
        <v/>
      </c>
      <c r="L84" s="2" t="str" cm="1">
        <f t="array" ref="L84">IFERROR(playerPoints($H84,$F84,$G84,L$1),"")</f>
        <v/>
      </c>
      <c r="M84" s="2" t="str" cm="1">
        <f t="array" ref="M84">IFERROR(playerPoints($H84,$F84,$G84,M$1),"")</f>
        <v/>
      </c>
      <c r="N84" s="2" t="str" cm="1">
        <f t="array" ref="N84">IFERROR(playerPoints($H84,$F84,$G84,N$1),"")</f>
        <v/>
      </c>
      <c r="O84" s="2" t="str" cm="1">
        <f t="array" ref="O84">IFERROR(playerPoints($H84,$F84,$G84,O$1),"")</f>
        <v/>
      </c>
      <c r="Q84" s="2">
        <f t="shared" si="1"/>
        <v>0</v>
      </c>
    </row>
    <row r="85" spans="1:17">
      <c r="A85" s="2">
        <v>84</v>
      </c>
      <c r="B85" s="2" t="s">
        <v>1160</v>
      </c>
      <c r="C85" s="2" t="s">
        <v>547</v>
      </c>
      <c r="D85" s="2" t="s">
        <v>898</v>
      </c>
      <c r="F85" s="2" t="str">
        <f>LOOKUP(D85,Sheet3!A$1:A$32,Sheet3!B$1:B$32)</f>
        <v>BRA</v>
      </c>
      <c r="G85" s="2" t="s">
        <v>2435</v>
      </c>
      <c r="H85" s="2" t="s">
        <v>48</v>
      </c>
      <c r="I85" s="2" t="str" cm="1">
        <f t="array" ref="I85">IFERROR(playerPoints($H85,$F85,$G85,I$1),"")</f>
        <v/>
      </c>
      <c r="J85" s="2" t="str" cm="1">
        <f t="array" ref="J85">IFERROR(playerPoints($H85,$F85,$G85,J$1),"")</f>
        <v/>
      </c>
      <c r="K85" s="2" t="str" cm="1">
        <f t="array" ref="K85">IFERROR(playerPoints($H85,$F85,$G85,K$1),"")</f>
        <v/>
      </c>
      <c r="L85" s="2" t="str" cm="1">
        <f t="array" ref="L85">IFERROR(playerPoints($H85,$F85,$G85,L$1),"")</f>
        <v/>
      </c>
      <c r="M85" s="2" t="str" cm="1">
        <f t="array" ref="M85">IFERROR(playerPoints($H85,$F85,$G85,M$1),"")</f>
        <v/>
      </c>
      <c r="N85" s="2" t="str" cm="1">
        <f t="array" ref="N85">IFERROR(playerPoints($H85,$F85,$G85,N$1),"")</f>
        <v/>
      </c>
      <c r="O85" s="2" t="str" cm="1">
        <f t="array" ref="O85">IFERROR(playerPoints($H85,$F85,$G85,O$1),"")</f>
        <v/>
      </c>
      <c r="Q85" s="2">
        <f t="shared" si="1"/>
        <v>0</v>
      </c>
    </row>
    <row r="86" spans="1:17">
      <c r="A86" s="2">
        <v>85</v>
      </c>
      <c r="B86" s="2" t="s">
        <v>1163</v>
      </c>
      <c r="C86" s="2" t="s">
        <v>1164</v>
      </c>
      <c r="D86" s="2" t="s">
        <v>898</v>
      </c>
      <c r="F86" s="2" t="str">
        <f>LOOKUP(D86,Sheet3!A$1:A$32,Sheet3!B$1:B$32)</f>
        <v>BRA</v>
      </c>
      <c r="G86" s="2" t="s">
        <v>2436</v>
      </c>
      <c r="H86" s="2" t="s">
        <v>48</v>
      </c>
      <c r="I86" s="2" t="str" cm="1">
        <f t="array" ref="I86">IFERROR(playerPoints($H86,$F86,$G86,I$1),"")</f>
        <v/>
      </c>
      <c r="J86" s="2" t="str" cm="1">
        <f t="array" ref="J86">IFERROR(playerPoints($H86,$F86,$G86,J$1),"")</f>
        <v/>
      </c>
      <c r="K86" s="2" t="str" cm="1">
        <f t="array" ref="K86">IFERROR(playerPoints($H86,$F86,$G86,K$1),"")</f>
        <v/>
      </c>
      <c r="L86" s="2" t="str" cm="1">
        <f t="array" ref="L86">IFERROR(playerPoints($H86,$F86,$G86,L$1),"")</f>
        <v/>
      </c>
      <c r="M86" s="2" t="str" cm="1">
        <f t="array" ref="M86">IFERROR(playerPoints($H86,$F86,$G86,M$1),"")</f>
        <v/>
      </c>
      <c r="N86" s="2" t="str" cm="1">
        <f t="array" ref="N86">IFERROR(playerPoints($H86,$F86,$G86,N$1),"")</f>
        <v/>
      </c>
      <c r="O86" s="2" t="str" cm="1">
        <f t="array" ref="O86">IFERROR(playerPoints($H86,$F86,$G86,O$1),"")</f>
        <v/>
      </c>
      <c r="Q86" s="2">
        <f t="shared" si="1"/>
        <v>0</v>
      </c>
    </row>
    <row r="87" spans="1:17">
      <c r="A87" s="2">
        <v>86</v>
      </c>
      <c r="B87" s="2" t="s">
        <v>1165</v>
      </c>
      <c r="C87" s="2" t="s">
        <v>1166</v>
      </c>
      <c r="D87" s="2" t="s">
        <v>898</v>
      </c>
      <c r="F87" s="2" t="str">
        <f>LOOKUP(D87,Sheet3!A$1:A$32,Sheet3!B$1:B$32)</f>
        <v>BRA</v>
      </c>
      <c r="G87" s="2" t="s">
        <v>2437</v>
      </c>
      <c r="H87" s="2" t="s">
        <v>48</v>
      </c>
      <c r="I87" s="2" t="str" cm="1">
        <f t="array" ref="I87">IFERROR(playerPoints($H87,$F87,$G87,I$1),"")</f>
        <v/>
      </c>
      <c r="J87" s="2" t="str" cm="1">
        <f t="array" ref="J87">IFERROR(playerPoints($H87,$F87,$G87,J$1),"")</f>
        <v/>
      </c>
      <c r="K87" s="2" t="str" cm="1">
        <f t="array" ref="K87">IFERROR(playerPoints($H87,$F87,$G87,K$1),"")</f>
        <v/>
      </c>
      <c r="L87" s="2" t="str" cm="1">
        <f t="array" ref="L87">IFERROR(playerPoints($H87,$F87,$G87,L$1),"")</f>
        <v/>
      </c>
      <c r="M87" s="2" t="str" cm="1">
        <f t="array" ref="M87">IFERROR(playerPoints($H87,$F87,$G87,M$1),"")</f>
        <v/>
      </c>
      <c r="N87" s="2" t="str" cm="1">
        <f t="array" ref="N87">IFERROR(playerPoints($H87,$F87,$G87,N$1),"")</f>
        <v/>
      </c>
      <c r="O87" s="2" t="str" cm="1">
        <f t="array" ref="O87">IFERROR(playerPoints($H87,$F87,$G87,O$1),"")</f>
        <v/>
      </c>
      <c r="Q87" s="2">
        <f t="shared" si="1"/>
        <v>0</v>
      </c>
    </row>
    <row r="88" spans="1:17">
      <c r="A88" s="2">
        <v>87</v>
      </c>
      <c r="B88" s="2" t="s">
        <v>1167</v>
      </c>
      <c r="C88" s="2" t="s">
        <v>1168</v>
      </c>
      <c r="D88" s="2" t="s">
        <v>898</v>
      </c>
      <c r="F88" s="2" t="str">
        <f>LOOKUP(D88,Sheet3!A$1:A$32,Sheet3!B$1:B$32)</f>
        <v>BRA</v>
      </c>
      <c r="G88" s="2" t="s">
        <v>2438</v>
      </c>
      <c r="H88" s="2" t="s">
        <v>48</v>
      </c>
      <c r="I88" s="2" t="str" cm="1">
        <f t="array" ref="I88">IFERROR(playerPoints($H88,$F88,$G88,I$1),"")</f>
        <v/>
      </c>
      <c r="J88" s="2" t="str" cm="1">
        <f t="array" ref="J88">IFERROR(playerPoints($H88,$F88,$G88,J$1),"")</f>
        <v/>
      </c>
      <c r="K88" s="2" t="str" cm="1">
        <f t="array" ref="K88">IFERROR(playerPoints($H88,$F88,$G88,K$1),"")</f>
        <v/>
      </c>
      <c r="L88" s="2" t="str" cm="1">
        <f t="array" ref="L88">IFERROR(playerPoints($H88,$F88,$G88,L$1),"")</f>
        <v/>
      </c>
      <c r="M88" s="2" t="str" cm="1">
        <f t="array" ref="M88">IFERROR(playerPoints($H88,$F88,$G88,M$1),"")</f>
        <v/>
      </c>
      <c r="N88" s="2" t="str" cm="1">
        <f t="array" ref="N88">IFERROR(playerPoints($H88,$F88,$G88,N$1),"")</f>
        <v/>
      </c>
      <c r="O88" s="2" t="str" cm="1">
        <f t="array" ref="O88">IFERROR(playerPoints($H88,$F88,$G88,O$1),"")</f>
        <v/>
      </c>
      <c r="Q88" s="2">
        <f t="shared" si="1"/>
        <v>0</v>
      </c>
    </row>
    <row r="89" spans="1:17">
      <c r="A89" s="2">
        <v>88</v>
      </c>
      <c r="B89" s="2" t="s">
        <v>1163</v>
      </c>
      <c r="C89" s="2" t="s">
        <v>1169</v>
      </c>
      <c r="D89" s="2" t="s">
        <v>898</v>
      </c>
      <c r="F89" s="2" t="str">
        <f>LOOKUP(D89,Sheet3!A$1:A$32,Sheet3!B$1:B$32)</f>
        <v>BRA</v>
      </c>
      <c r="G89" s="2" t="s">
        <v>2439</v>
      </c>
      <c r="H89" s="2" t="s">
        <v>48</v>
      </c>
      <c r="I89" s="2" t="str" cm="1">
        <f t="array" ref="I89">IFERROR(playerPoints($H89,$F89,$G89,I$1),"")</f>
        <v/>
      </c>
      <c r="J89" s="2" t="str" cm="1">
        <f t="array" ref="J89">IFERROR(playerPoints($H89,$F89,$G89,J$1),"")</f>
        <v/>
      </c>
      <c r="K89" s="2" t="str" cm="1">
        <f t="array" ref="K89">IFERROR(playerPoints($H89,$F89,$G89,K$1),"")</f>
        <v/>
      </c>
      <c r="L89" s="2" t="str" cm="1">
        <f t="array" ref="L89">IFERROR(playerPoints($H89,$F89,$G89,L$1),"")</f>
        <v/>
      </c>
      <c r="M89" s="2" t="str" cm="1">
        <f t="array" ref="M89">IFERROR(playerPoints($H89,$F89,$G89,M$1),"")</f>
        <v/>
      </c>
      <c r="N89" s="2" t="str" cm="1">
        <f t="array" ref="N89">IFERROR(playerPoints($H89,$F89,$G89,N$1),"")</f>
        <v/>
      </c>
      <c r="O89" s="2" t="str" cm="1">
        <f t="array" ref="O89">IFERROR(playerPoints($H89,$F89,$G89,O$1),"")</f>
        <v/>
      </c>
      <c r="Q89" s="2">
        <f t="shared" si="1"/>
        <v>0</v>
      </c>
    </row>
    <row r="90" spans="1:17">
      <c r="A90" s="2">
        <v>89</v>
      </c>
      <c r="B90" s="2" t="s">
        <v>1160</v>
      </c>
      <c r="C90" s="2" t="s">
        <v>552</v>
      </c>
      <c r="D90" s="2" t="s">
        <v>898</v>
      </c>
      <c r="F90" s="2" t="str">
        <f>LOOKUP(D90,Sheet3!A$1:A$32,Sheet3!B$1:B$32)</f>
        <v>BRA</v>
      </c>
      <c r="G90" s="2" t="s">
        <v>2440</v>
      </c>
      <c r="H90" s="2" t="s">
        <v>48</v>
      </c>
      <c r="I90" s="2" t="str" cm="1">
        <f t="array" ref="I90">IFERROR(playerPoints($H90,$F90,$G90,I$1),"")</f>
        <v/>
      </c>
      <c r="J90" s="2" t="str" cm="1">
        <f t="array" ref="J90">IFERROR(playerPoints($H90,$F90,$G90,J$1),"")</f>
        <v/>
      </c>
      <c r="K90" s="2" t="str" cm="1">
        <f t="array" ref="K90">IFERROR(playerPoints($H90,$F90,$G90,K$1),"")</f>
        <v/>
      </c>
      <c r="L90" s="2" t="str" cm="1">
        <f t="array" ref="L90">IFERROR(playerPoints($H90,$F90,$G90,L$1),"")</f>
        <v/>
      </c>
      <c r="M90" s="2" t="str" cm="1">
        <f t="array" ref="M90">IFERROR(playerPoints($H90,$F90,$G90,M$1),"")</f>
        <v/>
      </c>
      <c r="N90" s="2" t="str" cm="1">
        <f t="array" ref="N90">IFERROR(playerPoints($H90,$F90,$G90,N$1),"")</f>
        <v/>
      </c>
      <c r="O90" s="2" t="str" cm="1">
        <f t="array" ref="O90">IFERROR(playerPoints($H90,$F90,$G90,O$1),"")</f>
        <v/>
      </c>
      <c r="Q90" s="2">
        <f t="shared" si="1"/>
        <v>0</v>
      </c>
    </row>
    <row r="91" spans="1:17">
      <c r="A91" s="2">
        <v>90</v>
      </c>
      <c r="B91" s="2" t="s">
        <v>1160</v>
      </c>
      <c r="C91" s="2" t="s">
        <v>553</v>
      </c>
      <c r="D91" s="2" t="s">
        <v>898</v>
      </c>
      <c r="F91" s="2" t="str">
        <f>LOOKUP(D91,Sheet3!A$1:A$32,Sheet3!B$1:B$32)</f>
        <v>BRA</v>
      </c>
      <c r="G91" s="2" t="s">
        <v>2441</v>
      </c>
      <c r="H91" s="2" t="s">
        <v>57</v>
      </c>
      <c r="I91" s="2" t="str" cm="1">
        <f t="array" ref="I91">IFERROR(playerPoints($H91,$F91,$G91,I$1),"")</f>
        <v/>
      </c>
      <c r="J91" s="2" t="str" cm="1">
        <f t="array" ref="J91">IFERROR(playerPoints($H91,$F91,$G91,J$1),"")</f>
        <v/>
      </c>
      <c r="K91" s="2" t="str" cm="1">
        <f t="array" ref="K91">IFERROR(playerPoints($H91,$F91,$G91,K$1),"")</f>
        <v/>
      </c>
      <c r="L91" s="2" t="str" cm="1">
        <f t="array" ref="L91">IFERROR(playerPoints($H91,$F91,$G91,L$1),"")</f>
        <v/>
      </c>
      <c r="M91" s="2" t="str" cm="1">
        <f t="array" ref="M91">IFERROR(playerPoints($H91,$F91,$G91,M$1),"")</f>
        <v/>
      </c>
      <c r="N91" s="2" t="str" cm="1">
        <f t="array" ref="N91">IFERROR(playerPoints($H91,$F91,$G91,N$1),"")</f>
        <v/>
      </c>
      <c r="O91" s="2" t="str" cm="1">
        <f t="array" ref="O91">IFERROR(playerPoints($H91,$F91,$G91,O$1),"")</f>
        <v/>
      </c>
      <c r="Q91" s="2">
        <f t="shared" si="1"/>
        <v>0</v>
      </c>
    </row>
    <row r="92" spans="1:17">
      <c r="A92" s="2">
        <v>91</v>
      </c>
      <c r="B92" s="2" t="s">
        <v>1170</v>
      </c>
      <c r="C92" s="2" t="s">
        <v>1171</v>
      </c>
      <c r="D92" s="2" t="s">
        <v>898</v>
      </c>
      <c r="F92" s="2" t="str">
        <f>LOOKUP(D92,Sheet3!A$1:A$32,Sheet3!B$1:B$32)</f>
        <v>BRA</v>
      </c>
      <c r="G92" s="2" t="s">
        <v>2442</v>
      </c>
      <c r="H92" s="2" t="s">
        <v>57</v>
      </c>
      <c r="I92" s="2" t="str" cm="1">
        <f t="array" ref="I92">IFERROR(playerPoints($H92,$F92,$G92,I$1),"")</f>
        <v/>
      </c>
      <c r="J92" s="2" t="str" cm="1">
        <f t="array" ref="J92">IFERROR(playerPoints($H92,$F92,$G92,J$1),"")</f>
        <v/>
      </c>
      <c r="K92" s="2" t="str" cm="1">
        <f t="array" ref="K92">IFERROR(playerPoints($H92,$F92,$G92,K$1),"")</f>
        <v/>
      </c>
      <c r="L92" s="2" t="str" cm="1">
        <f t="array" ref="L92">IFERROR(playerPoints($H92,$F92,$G92,L$1),"")</f>
        <v/>
      </c>
      <c r="M92" s="2" t="str" cm="1">
        <f t="array" ref="M92">IFERROR(playerPoints($H92,$F92,$G92,M$1),"")</f>
        <v/>
      </c>
      <c r="N92" s="2" t="str" cm="1">
        <f t="array" ref="N92">IFERROR(playerPoints($H92,$F92,$G92,N$1),"")</f>
        <v/>
      </c>
      <c r="O92" s="2" t="str" cm="1">
        <f t="array" ref="O92">IFERROR(playerPoints($H92,$F92,$G92,O$1),"")</f>
        <v/>
      </c>
      <c r="Q92" s="2">
        <f t="shared" si="1"/>
        <v>0</v>
      </c>
    </row>
    <row r="93" spans="1:17">
      <c r="A93" s="2">
        <v>92</v>
      </c>
      <c r="B93" s="2" t="s">
        <v>1160</v>
      </c>
      <c r="C93" s="2" t="s">
        <v>555</v>
      </c>
      <c r="D93" s="2" t="s">
        <v>898</v>
      </c>
      <c r="F93" s="2" t="str">
        <f>LOOKUP(D93,Sheet3!A$1:A$32,Sheet3!B$1:B$32)</f>
        <v>BRA</v>
      </c>
      <c r="G93" s="2" t="s">
        <v>2443</v>
      </c>
      <c r="H93" s="2" t="s">
        <v>57</v>
      </c>
      <c r="I93" s="2" t="str" cm="1">
        <f t="array" ref="I93">IFERROR(playerPoints($H93,$F93,$G93,I$1),"")</f>
        <v/>
      </c>
      <c r="J93" s="2" t="str" cm="1">
        <f t="array" ref="J93">IFERROR(playerPoints($H93,$F93,$G93,J$1),"")</f>
        <v/>
      </c>
      <c r="K93" s="2" t="str" cm="1">
        <f t="array" ref="K93">IFERROR(playerPoints($H93,$F93,$G93,K$1),"")</f>
        <v/>
      </c>
      <c r="L93" s="2" t="str" cm="1">
        <f t="array" ref="L93">IFERROR(playerPoints($H93,$F93,$G93,L$1),"")</f>
        <v/>
      </c>
      <c r="M93" s="2" t="str" cm="1">
        <f t="array" ref="M93">IFERROR(playerPoints($H93,$F93,$G93,M$1),"")</f>
        <v/>
      </c>
      <c r="N93" s="2" t="str" cm="1">
        <f t="array" ref="N93">IFERROR(playerPoints($H93,$F93,$G93,N$1),"")</f>
        <v/>
      </c>
      <c r="O93" s="2" t="str" cm="1">
        <f t="array" ref="O93">IFERROR(playerPoints($H93,$F93,$G93,O$1),"")</f>
        <v/>
      </c>
      <c r="Q93" s="2">
        <f t="shared" si="1"/>
        <v>0</v>
      </c>
    </row>
    <row r="94" spans="1:17">
      <c r="A94" s="2">
        <v>93</v>
      </c>
      <c r="B94" s="2" t="s">
        <v>1160</v>
      </c>
      <c r="C94" s="2" t="s">
        <v>556</v>
      </c>
      <c r="D94" s="2" t="s">
        <v>898</v>
      </c>
      <c r="F94" s="2" t="str">
        <f>LOOKUP(D94,Sheet3!A$1:A$32,Sheet3!B$1:B$32)</f>
        <v>BRA</v>
      </c>
      <c r="G94" s="2" t="s">
        <v>2444</v>
      </c>
      <c r="H94" s="2" t="s">
        <v>57</v>
      </c>
      <c r="I94" s="2" t="str" cm="1">
        <f t="array" ref="I94">IFERROR(playerPoints($H94,$F94,$G94,I$1),"")</f>
        <v/>
      </c>
      <c r="J94" s="2" t="str" cm="1">
        <f t="array" ref="J94">IFERROR(playerPoints($H94,$F94,$G94,J$1),"")</f>
        <v/>
      </c>
      <c r="K94" s="2" t="str" cm="1">
        <f t="array" ref="K94">IFERROR(playerPoints($H94,$F94,$G94,K$1),"")</f>
        <v/>
      </c>
      <c r="L94" s="2" t="str" cm="1">
        <f t="array" ref="L94">IFERROR(playerPoints($H94,$F94,$G94,L$1),"")</f>
        <v/>
      </c>
      <c r="M94" s="2" t="str" cm="1">
        <f t="array" ref="M94">IFERROR(playerPoints($H94,$F94,$G94,M$1),"")</f>
        <v/>
      </c>
      <c r="N94" s="2" t="str" cm="1">
        <f t="array" ref="N94">IFERROR(playerPoints($H94,$F94,$G94,N$1),"")</f>
        <v/>
      </c>
      <c r="O94" s="2" t="str" cm="1">
        <f t="array" ref="O94">IFERROR(playerPoints($H94,$F94,$G94,O$1),"")</f>
        <v/>
      </c>
      <c r="Q94" s="2">
        <f t="shared" si="1"/>
        <v>0</v>
      </c>
    </row>
    <row r="95" spans="1:17">
      <c r="A95" s="2">
        <v>94</v>
      </c>
      <c r="B95" s="2" t="s">
        <v>1172</v>
      </c>
      <c r="C95" s="2" t="s">
        <v>1173</v>
      </c>
      <c r="D95" s="2" t="s">
        <v>898</v>
      </c>
      <c r="F95" s="2" t="str">
        <f>LOOKUP(D95,Sheet3!A$1:A$32,Sheet3!B$1:B$32)</f>
        <v>BRA</v>
      </c>
      <c r="G95" s="2" t="s">
        <v>2445</v>
      </c>
      <c r="H95" s="2" t="s">
        <v>57</v>
      </c>
      <c r="I95" s="2" t="str" cm="1">
        <f t="array" ref="I95">IFERROR(playerPoints($H95,$F95,$G95,I$1),"")</f>
        <v/>
      </c>
      <c r="J95" s="2" t="str" cm="1">
        <f t="array" ref="J95">IFERROR(playerPoints($H95,$F95,$G95,J$1),"")</f>
        <v/>
      </c>
      <c r="K95" s="2" t="str" cm="1">
        <f t="array" ref="K95">IFERROR(playerPoints($H95,$F95,$G95,K$1),"")</f>
        <v/>
      </c>
      <c r="L95" s="2" t="str" cm="1">
        <f t="array" ref="L95">IFERROR(playerPoints($H95,$F95,$G95,L$1),"")</f>
        <v/>
      </c>
      <c r="M95" s="2" t="str" cm="1">
        <f t="array" ref="M95">IFERROR(playerPoints($H95,$F95,$G95,M$1),"")</f>
        <v/>
      </c>
      <c r="N95" s="2" t="str" cm="1">
        <f t="array" ref="N95">IFERROR(playerPoints($H95,$F95,$G95,N$1),"")</f>
        <v/>
      </c>
      <c r="O95" s="2" t="str" cm="1">
        <f t="array" ref="O95">IFERROR(playerPoints($H95,$F95,$G95,O$1),"")</f>
        <v/>
      </c>
      <c r="Q95" s="2">
        <f t="shared" si="1"/>
        <v>0</v>
      </c>
    </row>
    <row r="96" spans="1:17">
      <c r="A96" s="2">
        <v>95</v>
      </c>
      <c r="B96" s="2" t="s">
        <v>1174</v>
      </c>
      <c r="C96" s="2" t="s">
        <v>1175</v>
      </c>
      <c r="D96" s="2" t="s">
        <v>898</v>
      </c>
      <c r="F96" s="2" t="str">
        <f>LOOKUP(D96,Sheet3!A$1:A$32,Sheet3!B$1:B$32)</f>
        <v>BRA</v>
      </c>
      <c r="G96" s="2" t="s">
        <v>2446</v>
      </c>
      <c r="H96" s="2" t="s">
        <v>57</v>
      </c>
      <c r="I96" s="2" t="str" cm="1">
        <f t="array" ref="I96">IFERROR(playerPoints($H96,$F96,$G96,I$1),"")</f>
        <v/>
      </c>
      <c r="J96" s="2" t="str" cm="1">
        <f t="array" ref="J96">IFERROR(playerPoints($H96,$F96,$G96,J$1),"")</f>
        <v/>
      </c>
      <c r="K96" s="2" t="str" cm="1">
        <f t="array" ref="K96">IFERROR(playerPoints($H96,$F96,$G96,K$1),"")</f>
        <v/>
      </c>
      <c r="L96" s="2" t="str" cm="1">
        <f t="array" ref="L96">IFERROR(playerPoints($H96,$F96,$G96,L$1),"")</f>
        <v/>
      </c>
      <c r="M96" s="2" t="str" cm="1">
        <f t="array" ref="M96">IFERROR(playerPoints($H96,$F96,$G96,M$1),"")</f>
        <v/>
      </c>
      <c r="N96" s="2" t="str" cm="1">
        <f t="array" ref="N96">IFERROR(playerPoints($H96,$F96,$G96,N$1),"")</f>
        <v/>
      </c>
      <c r="O96" s="2" t="str" cm="1">
        <f t="array" ref="O96">IFERROR(playerPoints($H96,$F96,$G96,O$1),"")</f>
        <v/>
      </c>
      <c r="Q96" s="2">
        <f t="shared" si="1"/>
        <v>0</v>
      </c>
    </row>
    <row r="97" spans="1:17">
      <c r="A97" s="2">
        <v>96</v>
      </c>
      <c r="B97" s="2" t="s">
        <v>1160</v>
      </c>
      <c r="C97" s="2" t="s">
        <v>559</v>
      </c>
      <c r="D97" s="2" t="s">
        <v>898</v>
      </c>
      <c r="F97" s="2" t="str">
        <f>LOOKUP(D97,Sheet3!A$1:A$32,Sheet3!B$1:B$32)</f>
        <v>BRA</v>
      </c>
      <c r="G97" s="2" t="s">
        <v>2447</v>
      </c>
      <c r="H97" s="2" t="s">
        <v>66</v>
      </c>
      <c r="I97" s="2" t="str" cm="1">
        <f t="array" ref="I97">IFERROR(playerPoints($H97,$F97,$G97,I$1),"")</f>
        <v/>
      </c>
      <c r="J97" s="2" t="str" cm="1">
        <f t="array" ref="J97">IFERROR(playerPoints($H97,$F97,$G97,J$1),"")</f>
        <v/>
      </c>
      <c r="K97" s="2" t="str" cm="1">
        <f t="array" ref="K97">IFERROR(playerPoints($H97,$F97,$G97,K$1),"")</f>
        <v/>
      </c>
      <c r="L97" s="2" t="str" cm="1">
        <f t="array" ref="L97">IFERROR(playerPoints($H97,$F97,$G97,L$1),"")</f>
        <v/>
      </c>
      <c r="M97" s="2" t="str" cm="1">
        <f t="array" ref="M97">IFERROR(playerPoints($H97,$F97,$G97,M$1),"")</f>
        <v/>
      </c>
      <c r="N97" s="2" t="str" cm="1">
        <f t="array" ref="N97">IFERROR(playerPoints($H97,$F97,$G97,N$1),"")</f>
        <v/>
      </c>
      <c r="O97" s="2" t="str" cm="1">
        <f t="array" ref="O97">IFERROR(playerPoints($H97,$F97,$G97,O$1),"")</f>
        <v/>
      </c>
      <c r="Q97" s="2">
        <f t="shared" si="1"/>
        <v>0</v>
      </c>
    </row>
    <row r="98" spans="1:17">
      <c r="A98" s="2">
        <v>97</v>
      </c>
      <c r="B98" s="2" t="s">
        <v>1160</v>
      </c>
      <c r="C98" s="2" t="s">
        <v>560</v>
      </c>
      <c r="D98" s="2" t="s">
        <v>898</v>
      </c>
      <c r="F98" s="2" t="str">
        <f>LOOKUP(D98,Sheet3!A$1:A$32,Sheet3!B$1:B$32)</f>
        <v>BRA</v>
      </c>
      <c r="G98" s="2" t="s">
        <v>2448</v>
      </c>
      <c r="H98" s="2" t="s">
        <v>66</v>
      </c>
      <c r="I98" s="2" t="str" cm="1">
        <f t="array" ref="I98">IFERROR(playerPoints($H98,$F98,$G98,I$1),"")</f>
        <v/>
      </c>
      <c r="J98" s="2" t="str" cm="1">
        <f t="array" ref="J98">IFERROR(playerPoints($H98,$F98,$G98,J$1),"")</f>
        <v/>
      </c>
      <c r="K98" s="2" t="str" cm="1">
        <f t="array" ref="K98">IFERROR(playerPoints($H98,$F98,$G98,K$1),"")</f>
        <v/>
      </c>
      <c r="L98" s="2" t="str" cm="1">
        <f t="array" ref="L98">IFERROR(playerPoints($H98,$F98,$G98,L$1),"")</f>
        <v/>
      </c>
      <c r="M98" s="2" t="str" cm="1">
        <f t="array" ref="M98">IFERROR(playerPoints($H98,$F98,$G98,M$1),"")</f>
        <v/>
      </c>
      <c r="N98" s="2" t="str" cm="1">
        <f t="array" ref="N98">IFERROR(playerPoints($H98,$F98,$G98,N$1),"")</f>
        <v/>
      </c>
      <c r="O98" s="2" t="str" cm="1">
        <f t="array" ref="O98">IFERROR(playerPoints($H98,$F98,$G98,O$1),"")</f>
        <v/>
      </c>
      <c r="Q98" s="2">
        <f t="shared" si="1"/>
        <v>0</v>
      </c>
    </row>
    <row r="99" spans="1:17">
      <c r="A99" s="2">
        <v>98</v>
      </c>
      <c r="B99" s="2" t="s">
        <v>1160</v>
      </c>
      <c r="C99" s="2" t="s">
        <v>561</v>
      </c>
      <c r="D99" s="2" t="s">
        <v>898</v>
      </c>
      <c r="F99" s="2" t="str">
        <f>LOOKUP(D99,Sheet3!A$1:A$32,Sheet3!B$1:B$32)</f>
        <v>BRA</v>
      </c>
      <c r="G99" s="2" t="s">
        <v>2449</v>
      </c>
      <c r="H99" s="2" t="s">
        <v>66</v>
      </c>
      <c r="I99" s="2" t="str" cm="1">
        <f t="array" ref="I99">IFERROR(playerPoints($H99,$F99,$G99,I$1),"")</f>
        <v/>
      </c>
      <c r="J99" s="2" t="str" cm="1">
        <f t="array" ref="J99">IFERROR(playerPoints($H99,$F99,$G99,J$1),"")</f>
        <v/>
      </c>
      <c r="K99" s="2" t="str" cm="1">
        <f t="array" ref="K99">IFERROR(playerPoints($H99,$F99,$G99,K$1),"")</f>
        <v/>
      </c>
      <c r="L99" s="2" t="str" cm="1">
        <f t="array" ref="L99">IFERROR(playerPoints($H99,$F99,$G99,L$1),"")</f>
        <v/>
      </c>
      <c r="M99" s="2" t="str" cm="1">
        <f t="array" ref="M99">IFERROR(playerPoints($H99,$F99,$G99,M$1),"")</f>
        <v/>
      </c>
      <c r="N99" s="2" t="str" cm="1">
        <f t="array" ref="N99">IFERROR(playerPoints($H99,$F99,$G99,N$1),"")</f>
        <v/>
      </c>
      <c r="O99" s="2" t="str" cm="1">
        <f t="array" ref="O99">IFERROR(playerPoints($H99,$F99,$G99,O$1),"")</f>
        <v/>
      </c>
      <c r="Q99" s="2">
        <f t="shared" si="1"/>
        <v>0</v>
      </c>
    </row>
    <row r="100" spans="1:17">
      <c r="A100" s="2">
        <v>99</v>
      </c>
      <c r="B100" s="2" t="s">
        <v>1176</v>
      </c>
      <c r="C100" s="2" t="s">
        <v>1177</v>
      </c>
      <c r="D100" s="2" t="s">
        <v>898</v>
      </c>
      <c r="F100" s="2" t="str">
        <f>LOOKUP(D100,Sheet3!A$1:A$32,Sheet3!B$1:B$32)</f>
        <v>BRA</v>
      </c>
      <c r="G100" s="2" t="s">
        <v>2450</v>
      </c>
      <c r="H100" s="2" t="s">
        <v>66</v>
      </c>
      <c r="I100" s="2" t="str" cm="1">
        <f t="array" ref="I100">IFERROR(playerPoints($H100,$F100,$G100,I$1),"")</f>
        <v/>
      </c>
      <c r="J100" s="2" t="str" cm="1">
        <f t="array" ref="J100">IFERROR(playerPoints($H100,$F100,$G100,J$1),"")</f>
        <v/>
      </c>
      <c r="K100" s="2" t="str" cm="1">
        <f t="array" ref="K100">IFERROR(playerPoints($H100,$F100,$G100,K$1),"")</f>
        <v/>
      </c>
      <c r="L100" s="2" t="str" cm="1">
        <f t="array" ref="L100">IFERROR(playerPoints($H100,$F100,$G100,L$1),"")</f>
        <v/>
      </c>
      <c r="M100" s="2" t="str" cm="1">
        <f t="array" ref="M100">IFERROR(playerPoints($H100,$F100,$G100,M$1),"")</f>
        <v/>
      </c>
      <c r="N100" s="2" t="str" cm="1">
        <f t="array" ref="N100">IFERROR(playerPoints($H100,$F100,$G100,N$1),"")</f>
        <v/>
      </c>
      <c r="O100" s="2" t="str" cm="1">
        <f t="array" ref="O100">IFERROR(playerPoints($H100,$F100,$G100,O$1),"")</f>
        <v/>
      </c>
      <c r="Q100" s="2">
        <f t="shared" si="1"/>
        <v>0</v>
      </c>
    </row>
    <row r="101" spans="1:17">
      <c r="A101" s="2">
        <v>100</v>
      </c>
      <c r="B101" s="2" t="s">
        <v>1160</v>
      </c>
      <c r="C101" s="2" t="s">
        <v>563</v>
      </c>
      <c r="D101" s="2" t="s">
        <v>898</v>
      </c>
      <c r="F101" s="2" t="str">
        <f>LOOKUP(D101,Sheet3!A$1:A$32,Sheet3!B$1:B$32)</f>
        <v>BRA</v>
      </c>
      <c r="G101" s="2" t="s">
        <v>2451</v>
      </c>
      <c r="H101" s="2" t="s">
        <v>66</v>
      </c>
      <c r="I101" s="2" t="str" cm="1">
        <f t="array" ref="I101">IFERROR(playerPoints($H101,$F101,$G101,I$1),"")</f>
        <v/>
      </c>
      <c r="J101" s="2" t="str" cm="1">
        <f t="array" ref="J101">IFERROR(playerPoints($H101,$F101,$G101,J$1),"")</f>
        <v/>
      </c>
      <c r="K101" s="2" t="str" cm="1">
        <f t="array" ref="K101">IFERROR(playerPoints($H101,$F101,$G101,K$1),"")</f>
        <v/>
      </c>
      <c r="L101" s="2" t="str" cm="1">
        <f t="array" ref="L101">IFERROR(playerPoints($H101,$F101,$G101,L$1),"")</f>
        <v/>
      </c>
      <c r="M101" s="2" t="str" cm="1">
        <f t="array" ref="M101">IFERROR(playerPoints($H101,$F101,$G101,M$1),"")</f>
        <v/>
      </c>
      <c r="N101" s="2" t="str" cm="1">
        <f t="array" ref="N101">IFERROR(playerPoints($H101,$F101,$G101,N$1),"")</f>
        <v/>
      </c>
      <c r="O101" s="2" t="str" cm="1">
        <f t="array" ref="O101">IFERROR(playerPoints($H101,$F101,$G101,O$1),"")</f>
        <v/>
      </c>
      <c r="Q101" s="2">
        <f t="shared" si="1"/>
        <v>0</v>
      </c>
    </row>
    <row r="102" spans="1:17">
      <c r="A102" s="2">
        <v>101</v>
      </c>
      <c r="B102" s="2" t="s">
        <v>1178</v>
      </c>
      <c r="C102" s="2" t="s">
        <v>1179</v>
      </c>
      <c r="D102" s="2" t="s">
        <v>898</v>
      </c>
      <c r="F102" s="2" t="str">
        <f>LOOKUP(D102,Sheet3!A$1:A$32,Sheet3!B$1:B$32)</f>
        <v>BRA</v>
      </c>
      <c r="G102" s="2" t="s">
        <v>2452</v>
      </c>
      <c r="H102" s="2" t="s">
        <v>66</v>
      </c>
      <c r="I102" s="2" t="str" cm="1">
        <f t="array" ref="I102">IFERROR(playerPoints($H102,$F102,$G102,I$1),"")</f>
        <v/>
      </c>
      <c r="J102" s="2" t="str" cm="1">
        <f t="array" ref="J102">IFERROR(playerPoints($H102,$F102,$G102,J$1),"")</f>
        <v/>
      </c>
      <c r="K102" s="2" t="str" cm="1">
        <f t="array" ref="K102">IFERROR(playerPoints($H102,$F102,$G102,K$1),"")</f>
        <v/>
      </c>
      <c r="L102" s="2" t="str" cm="1">
        <f t="array" ref="L102">IFERROR(playerPoints($H102,$F102,$G102,L$1),"")</f>
        <v/>
      </c>
      <c r="M102" s="2" t="str" cm="1">
        <f t="array" ref="M102">IFERROR(playerPoints($H102,$F102,$G102,M$1),"")</f>
        <v/>
      </c>
      <c r="N102" s="2" t="str" cm="1">
        <f t="array" ref="N102">IFERROR(playerPoints($H102,$F102,$G102,N$1),"")</f>
        <v/>
      </c>
      <c r="O102" s="2" t="str" cm="1">
        <f t="array" ref="O102">IFERROR(playerPoints($H102,$F102,$G102,O$1),"")</f>
        <v/>
      </c>
      <c r="Q102" s="2">
        <f t="shared" si="1"/>
        <v>0</v>
      </c>
    </row>
    <row r="103" spans="1:17">
      <c r="A103" s="2">
        <v>102</v>
      </c>
      <c r="B103" s="2" t="s">
        <v>1160</v>
      </c>
      <c r="C103" s="2" t="s">
        <v>565</v>
      </c>
      <c r="D103" s="2" t="s">
        <v>898</v>
      </c>
      <c r="F103" s="2" t="str">
        <f>LOOKUP(D103,Sheet3!A$1:A$32,Sheet3!B$1:B$32)</f>
        <v>BRA</v>
      </c>
      <c r="G103" s="2" t="s">
        <v>2453</v>
      </c>
      <c r="H103" s="2" t="s">
        <v>66</v>
      </c>
      <c r="I103" s="2" t="str" cm="1">
        <f t="array" ref="I103">IFERROR(playerPoints($H103,$F103,$G103,I$1),"")</f>
        <v/>
      </c>
      <c r="J103" s="2" t="str" cm="1">
        <f t="array" ref="J103">IFERROR(playerPoints($H103,$F103,$G103,J$1),"")</f>
        <v/>
      </c>
      <c r="K103" s="2" t="str" cm="1">
        <f t="array" ref="K103">IFERROR(playerPoints($H103,$F103,$G103,K$1),"")</f>
        <v/>
      </c>
      <c r="L103" s="2" t="str" cm="1">
        <f t="array" ref="L103">IFERROR(playerPoints($H103,$F103,$G103,L$1),"")</f>
        <v/>
      </c>
      <c r="M103" s="2" t="str" cm="1">
        <f t="array" ref="M103">IFERROR(playerPoints($H103,$F103,$G103,M$1),"")</f>
        <v/>
      </c>
      <c r="N103" s="2" t="str" cm="1">
        <f t="array" ref="N103">IFERROR(playerPoints($H103,$F103,$G103,N$1),"")</f>
        <v/>
      </c>
      <c r="O103" s="2" t="str" cm="1">
        <f t="array" ref="O103">IFERROR(playerPoints($H103,$F103,$G103,O$1),"")</f>
        <v/>
      </c>
      <c r="Q103" s="2">
        <f t="shared" si="1"/>
        <v>0</v>
      </c>
    </row>
    <row r="104" spans="1:17">
      <c r="A104" s="2">
        <v>103</v>
      </c>
      <c r="B104" s="2" t="s">
        <v>1160</v>
      </c>
      <c r="C104" s="2" t="s">
        <v>566</v>
      </c>
      <c r="D104" s="2" t="s">
        <v>898</v>
      </c>
      <c r="F104" s="2" t="str">
        <f>LOOKUP(D104,Sheet3!A$1:A$32,Sheet3!B$1:B$32)</f>
        <v>BRA</v>
      </c>
      <c r="G104" s="2" t="s">
        <v>2454</v>
      </c>
      <c r="H104" s="2" t="s">
        <v>66</v>
      </c>
      <c r="I104" s="2" t="str" cm="1">
        <f t="array" ref="I104">IFERROR(playerPoints($H104,$F104,$G104,I$1),"")</f>
        <v/>
      </c>
      <c r="J104" s="2" t="str" cm="1">
        <f t="array" ref="J104">IFERROR(playerPoints($H104,$F104,$G104,J$1),"")</f>
        <v/>
      </c>
      <c r="K104" s="2" t="str" cm="1">
        <f t="array" ref="K104">IFERROR(playerPoints($H104,$F104,$G104,K$1),"")</f>
        <v/>
      </c>
      <c r="L104" s="2" t="str" cm="1">
        <f t="array" ref="L104">IFERROR(playerPoints($H104,$F104,$G104,L$1),"")</f>
        <v/>
      </c>
      <c r="M104" s="2" t="str" cm="1">
        <f t="array" ref="M104">IFERROR(playerPoints($H104,$F104,$G104,M$1),"")</f>
        <v/>
      </c>
      <c r="N104" s="2" t="str" cm="1">
        <f t="array" ref="N104">IFERROR(playerPoints($H104,$F104,$G104,N$1),"")</f>
        <v/>
      </c>
      <c r="O104" s="2" t="str" cm="1">
        <f t="array" ref="O104">IFERROR(playerPoints($H104,$F104,$G104,O$1),"")</f>
        <v/>
      </c>
      <c r="Q104" s="2">
        <f t="shared" si="1"/>
        <v>0</v>
      </c>
    </row>
    <row r="105" spans="1:17">
      <c r="A105" s="2">
        <v>104</v>
      </c>
      <c r="B105" s="2" t="s">
        <v>1176</v>
      </c>
      <c r="C105" s="2" t="s">
        <v>1180</v>
      </c>
      <c r="D105" s="2" t="s">
        <v>898</v>
      </c>
      <c r="F105" s="2" t="str">
        <f>LOOKUP(D105,Sheet3!A$1:A$32,Sheet3!B$1:B$32)</f>
        <v>BRA</v>
      </c>
      <c r="G105" s="2" t="s">
        <v>2455</v>
      </c>
      <c r="H105" s="2" t="s">
        <v>66</v>
      </c>
      <c r="I105" s="2" t="str" cm="1">
        <f t="array" ref="I105">IFERROR(playerPoints($H105,$F105,$G105,I$1),"")</f>
        <v/>
      </c>
      <c r="J105" s="2" t="str" cm="1">
        <f t="array" ref="J105">IFERROR(playerPoints($H105,$F105,$G105,J$1),"")</f>
        <v/>
      </c>
      <c r="K105" s="2" t="str" cm="1">
        <f t="array" ref="K105">IFERROR(playerPoints($H105,$F105,$G105,K$1),"")</f>
        <v/>
      </c>
      <c r="L105" s="2" t="str" cm="1">
        <f t="array" ref="L105">IFERROR(playerPoints($H105,$F105,$G105,L$1),"")</f>
        <v/>
      </c>
      <c r="M105" s="2" t="str" cm="1">
        <f t="array" ref="M105">IFERROR(playerPoints($H105,$F105,$G105,M$1),"")</f>
        <v/>
      </c>
      <c r="N105" s="2" t="str" cm="1">
        <f t="array" ref="N105">IFERROR(playerPoints($H105,$F105,$G105,N$1),"")</f>
        <v/>
      </c>
      <c r="O105" s="2" t="str" cm="1">
        <f t="array" ref="O105">IFERROR(playerPoints($H105,$F105,$G105,O$1),"")</f>
        <v/>
      </c>
      <c r="Q105" s="2">
        <f t="shared" si="1"/>
        <v>0</v>
      </c>
    </row>
    <row r="106" spans="1:17">
      <c r="A106" s="2">
        <v>105</v>
      </c>
      <c r="B106" s="2" t="s">
        <v>1113</v>
      </c>
      <c r="C106" s="2" t="s">
        <v>1181</v>
      </c>
      <c r="D106" s="2" t="s">
        <v>899</v>
      </c>
      <c r="F106" s="2" t="str">
        <f>LOOKUP(D106,Sheet3!A$1:A$32,Sheet3!B$1:B$32)</f>
        <v>CRN</v>
      </c>
      <c r="G106" s="2" t="s">
        <v>2456</v>
      </c>
      <c r="H106" s="2" t="s">
        <v>44</v>
      </c>
      <c r="I106" s="2" t="str" cm="1">
        <f t="array" ref="I106">IFERROR(playerPoints($H106,$F106,$G106,I$1),"")</f>
        <v/>
      </c>
      <c r="J106" s="2" t="str" cm="1">
        <f t="array" ref="J106">IFERROR(playerPoints($H106,$F106,$G106,J$1),"")</f>
        <v/>
      </c>
      <c r="K106" s="2" t="str" cm="1">
        <f t="array" ref="K106">IFERROR(playerPoints($H106,$F106,$G106,K$1),"")</f>
        <v/>
      </c>
      <c r="L106" s="2" t="str" cm="1">
        <f t="array" ref="L106">IFERROR(playerPoints($H106,$F106,$G106,L$1),"")</f>
        <v/>
      </c>
      <c r="M106" s="2" t="str" cm="1">
        <f t="array" ref="M106">IFERROR(playerPoints($H106,$F106,$G106,M$1),"")</f>
        <v/>
      </c>
      <c r="N106" s="2" t="str" cm="1">
        <f t="array" ref="N106">IFERROR(playerPoints($H106,$F106,$G106,N$1),"")</f>
        <v/>
      </c>
      <c r="O106" s="2" t="str" cm="1">
        <f t="array" ref="O106">IFERROR(playerPoints($H106,$F106,$G106,O$1),"")</f>
        <v/>
      </c>
      <c r="Q106" s="2">
        <f t="shared" si="1"/>
        <v>0</v>
      </c>
    </row>
    <row r="107" spans="1:17">
      <c r="A107" s="2">
        <v>106</v>
      </c>
      <c r="B107" s="2" t="s">
        <v>1182</v>
      </c>
      <c r="C107" s="2" t="s">
        <v>1183</v>
      </c>
      <c r="D107" s="2" t="s">
        <v>899</v>
      </c>
      <c r="F107" s="2" t="str">
        <f>LOOKUP(D107,Sheet3!A$1:A$32,Sheet3!B$1:B$32)</f>
        <v>CRN</v>
      </c>
      <c r="G107" s="2" t="s">
        <v>2457</v>
      </c>
      <c r="H107" s="2" t="s">
        <v>44</v>
      </c>
      <c r="I107" s="2" t="str" cm="1">
        <f t="array" ref="I107">IFERROR(playerPoints($H107,$F107,$G107,I$1),"")</f>
        <v/>
      </c>
      <c r="J107" s="2" t="str" cm="1">
        <f t="array" ref="J107">IFERROR(playerPoints($H107,$F107,$G107,J$1),"")</f>
        <v/>
      </c>
      <c r="K107" s="2" t="str" cm="1">
        <f t="array" ref="K107">IFERROR(playerPoints($H107,$F107,$G107,K$1),"")</f>
        <v/>
      </c>
      <c r="L107" s="2" t="str" cm="1">
        <f t="array" ref="L107">IFERROR(playerPoints($H107,$F107,$G107,L$1),"")</f>
        <v/>
      </c>
      <c r="M107" s="2" t="str" cm="1">
        <f t="array" ref="M107">IFERROR(playerPoints($H107,$F107,$G107,M$1),"")</f>
        <v/>
      </c>
      <c r="N107" s="2" t="str" cm="1">
        <f t="array" ref="N107">IFERROR(playerPoints($H107,$F107,$G107,N$1),"")</f>
        <v/>
      </c>
      <c r="O107" s="2" t="str" cm="1">
        <f t="array" ref="O107">IFERROR(playerPoints($H107,$F107,$G107,O$1),"")</f>
        <v/>
      </c>
      <c r="Q107" s="2">
        <f t="shared" si="1"/>
        <v>0</v>
      </c>
    </row>
    <row r="108" spans="1:17">
      <c r="A108" s="2">
        <v>107</v>
      </c>
      <c r="B108" s="2" t="s">
        <v>1184</v>
      </c>
      <c r="C108" s="2" t="s">
        <v>1141</v>
      </c>
      <c r="D108" s="2" t="s">
        <v>899</v>
      </c>
      <c r="F108" s="2" t="str">
        <f>LOOKUP(D108,Sheet3!A$1:A$32,Sheet3!B$1:B$32)</f>
        <v>CRN</v>
      </c>
      <c r="G108" s="2" t="s">
        <v>2420</v>
      </c>
      <c r="H108" s="2" t="s">
        <v>44</v>
      </c>
      <c r="I108" s="2" t="str" cm="1">
        <f t="array" ref="I108">IFERROR(playerPoints($H108,$F108,$G108,I$1),"")</f>
        <v/>
      </c>
      <c r="J108" s="2" t="str" cm="1">
        <f t="array" ref="J108">IFERROR(playerPoints($H108,$F108,$G108,J$1),"")</f>
        <v/>
      </c>
      <c r="K108" s="2" t="str" cm="1">
        <f t="array" ref="K108">IFERROR(playerPoints($H108,$F108,$G108,K$1),"")</f>
        <v/>
      </c>
      <c r="L108" s="2" t="str" cm="1">
        <f t="array" ref="L108">IFERROR(playerPoints($H108,$F108,$G108,L$1),"")</f>
        <v/>
      </c>
      <c r="M108" s="2" t="str" cm="1">
        <f t="array" ref="M108">IFERROR(playerPoints($H108,$F108,$G108,M$1),"")</f>
        <v/>
      </c>
      <c r="N108" s="2" t="str" cm="1">
        <f t="array" ref="N108">IFERROR(playerPoints($H108,$F108,$G108,N$1),"")</f>
        <v/>
      </c>
      <c r="O108" s="2" t="str" cm="1">
        <f t="array" ref="O108">IFERROR(playerPoints($H108,$F108,$G108,O$1),"")</f>
        <v/>
      </c>
      <c r="Q108" s="2">
        <f t="shared" si="1"/>
        <v>0</v>
      </c>
    </row>
    <row r="109" spans="1:17">
      <c r="A109" s="2">
        <v>108</v>
      </c>
      <c r="B109" s="2" t="s">
        <v>1185</v>
      </c>
      <c r="C109" s="2" t="s">
        <v>1186</v>
      </c>
      <c r="D109" s="2" t="s">
        <v>899</v>
      </c>
      <c r="F109" s="2" t="str">
        <f>LOOKUP(D109,Sheet3!A$1:A$32,Sheet3!B$1:B$32)</f>
        <v>CRN</v>
      </c>
      <c r="G109" s="2" t="s">
        <v>2458</v>
      </c>
      <c r="H109" s="2" t="s">
        <v>48</v>
      </c>
      <c r="I109" s="2" t="str" cm="1">
        <f t="array" ref="I109">IFERROR(playerPoints($H109,$F109,$G109,I$1),"")</f>
        <v/>
      </c>
      <c r="J109" s="2" t="str" cm="1">
        <f t="array" ref="J109">IFERROR(playerPoints($H109,$F109,$G109,J$1),"")</f>
        <v/>
      </c>
      <c r="K109" s="2" t="str" cm="1">
        <f t="array" ref="K109">IFERROR(playerPoints($H109,$F109,$G109,K$1),"")</f>
        <v/>
      </c>
      <c r="L109" s="2" t="str" cm="1">
        <f t="array" ref="L109">IFERROR(playerPoints($H109,$F109,$G109,L$1),"")</f>
        <v/>
      </c>
      <c r="M109" s="2" t="str" cm="1">
        <f t="array" ref="M109">IFERROR(playerPoints($H109,$F109,$G109,M$1),"")</f>
        <v/>
      </c>
      <c r="N109" s="2" t="str" cm="1">
        <f t="array" ref="N109">IFERROR(playerPoints($H109,$F109,$G109,N$1),"")</f>
        <v/>
      </c>
      <c r="O109" s="2" t="str" cm="1">
        <f t="array" ref="O109">IFERROR(playerPoints($H109,$F109,$G109,O$1),"")</f>
        <v/>
      </c>
      <c r="Q109" s="2">
        <f t="shared" si="1"/>
        <v>0</v>
      </c>
    </row>
    <row r="110" spans="1:17">
      <c r="A110" s="2">
        <v>109</v>
      </c>
      <c r="B110" s="2" t="s">
        <v>1187</v>
      </c>
      <c r="C110" s="2" t="s">
        <v>1188</v>
      </c>
      <c r="D110" s="2" t="s">
        <v>899</v>
      </c>
      <c r="F110" s="2" t="str">
        <f>LOOKUP(D110,Sheet3!A$1:A$32,Sheet3!B$1:B$32)</f>
        <v>CRN</v>
      </c>
      <c r="G110" s="2" t="s">
        <v>2459</v>
      </c>
      <c r="H110" s="2" t="s">
        <v>48</v>
      </c>
      <c r="I110" s="2" t="str" cm="1">
        <f t="array" ref="I110">IFERROR(playerPoints($H110,$F110,$G110,I$1),"")</f>
        <v/>
      </c>
      <c r="J110" s="2" t="str" cm="1">
        <f t="array" ref="J110">IFERROR(playerPoints($H110,$F110,$G110,J$1),"")</f>
        <v/>
      </c>
      <c r="K110" s="2" t="str" cm="1">
        <f t="array" ref="K110">IFERROR(playerPoints($H110,$F110,$G110,K$1),"")</f>
        <v/>
      </c>
      <c r="L110" s="2" t="str" cm="1">
        <f t="array" ref="L110">IFERROR(playerPoints($H110,$F110,$G110,L$1),"")</f>
        <v/>
      </c>
      <c r="M110" s="2" t="str" cm="1">
        <f t="array" ref="M110">IFERROR(playerPoints($H110,$F110,$G110,M$1),"")</f>
        <v/>
      </c>
      <c r="N110" s="2" t="str" cm="1">
        <f t="array" ref="N110">IFERROR(playerPoints($H110,$F110,$G110,N$1),"")</f>
        <v/>
      </c>
      <c r="O110" s="2" t="str" cm="1">
        <f t="array" ref="O110">IFERROR(playerPoints($H110,$F110,$G110,O$1),"")</f>
        <v/>
      </c>
      <c r="Q110" s="2">
        <f t="shared" si="1"/>
        <v>0</v>
      </c>
    </row>
    <row r="111" spans="1:17">
      <c r="A111" s="2">
        <v>110</v>
      </c>
      <c r="B111" s="2" t="s">
        <v>1189</v>
      </c>
      <c r="C111" s="2" t="s">
        <v>1190</v>
      </c>
      <c r="D111" s="2" t="s">
        <v>899</v>
      </c>
      <c r="F111" s="2" t="str">
        <f>LOOKUP(D111,Sheet3!A$1:A$32,Sheet3!B$1:B$32)</f>
        <v>CRN</v>
      </c>
      <c r="G111" s="2" t="s">
        <v>2460</v>
      </c>
      <c r="H111" s="2" t="s">
        <v>48</v>
      </c>
      <c r="I111" s="2" t="str" cm="1">
        <f t="array" ref="I111">IFERROR(playerPoints($H111,$F111,$G111,I$1),"")</f>
        <v/>
      </c>
      <c r="J111" s="2" t="str" cm="1">
        <f t="array" ref="J111">IFERROR(playerPoints($H111,$F111,$G111,J$1),"")</f>
        <v/>
      </c>
      <c r="K111" s="2" t="str" cm="1">
        <f t="array" ref="K111">IFERROR(playerPoints($H111,$F111,$G111,K$1),"")</f>
        <v/>
      </c>
      <c r="L111" s="2" t="str" cm="1">
        <f t="array" ref="L111">IFERROR(playerPoints($H111,$F111,$G111,L$1),"")</f>
        <v/>
      </c>
      <c r="M111" s="2" t="str" cm="1">
        <f t="array" ref="M111">IFERROR(playerPoints($H111,$F111,$G111,M$1),"")</f>
        <v/>
      </c>
      <c r="N111" s="2" t="str" cm="1">
        <f t="array" ref="N111">IFERROR(playerPoints($H111,$F111,$G111,N$1),"")</f>
        <v/>
      </c>
      <c r="O111" s="2" t="str" cm="1">
        <f t="array" ref="O111">IFERROR(playerPoints($H111,$F111,$G111,O$1),"")</f>
        <v/>
      </c>
      <c r="Q111" s="2">
        <f t="shared" si="1"/>
        <v>0</v>
      </c>
    </row>
    <row r="112" spans="1:17">
      <c r="A112" s="2">
        <v>111</v>
      </c>
      <c r="B112" s="2" t="s">
        <v>1191</v>
      </c>
      <c r="C112" s="2" t="s">
        <v>1192</v>
      </c>
      <c r="D112" s="2" t="s">
        <v>899</v>
      </c>
      <c r="F112" s="2" t="str">
        <f>LOOKUP(D112,Sheet3!A$1:A$32,Sheet3!B$1:B$32)</f>
        <v>CRN</v>
      </c>
      <c r="G112" s="2" t="s">
        <v>2461</v>
      </c>
      <c r="H112" s="2" t="s">
        <v>48</v>
      </c>
      <c r="I112" s="2" t="str" cm="1">
        <f t="array" ref="I112">IFERROR(playerPoints($H112,$F112,$G112,I$1),"")</f>
        <v/>
      </c>
      <c r="J112" s="2" t="str" cm="1">
        <f t="array" ref="J112">IFERROR(playerPoints($H112,$F112,$G112,J$1),"")</f>
        <v/>
      </c>
      <c r="K112" s="2" t="str" cm="1">
        <f t="array" ref="K112">IFERROR(playerPoints($H112,$F112,$G112,K$1),"")</f>
        <v/>
      </c>
      <c r="L112" s="2" t="str" cm="1">
        <f t="array" ref="L112">IFERROR(playerPoints($H112,$F112,$G112,L$1),"")</f>
        <v/>
      </c>
      <c r="M112" s="2" t="str" cm="1">
        <f t="array" ref="M112">IFERROR(playerPoints($H112,$F112,$G112,M$1),"")</f>
        <v/>
      </c>
      <c r="N112" s="2" t="str" cm="1">
        <f t="array" ref="N112">IFERROR(playerPoints($H112,$F112,$G112,N$1),"")</f>
        <v/>
      </c>
      <c r="O112" s="2" t="str" cm="1">
        <f t="array" ref="O112">IFERROR(playerPoints($H112,$F112,$G112,O$1),"")</f>
        <v/>
      </c>
      <c r="Q112" s="2">
        <f t="shared" si="1"/>
        <v>0</v>
      </c>
    </row>
    <row r="113" spans="1:17">
      <c r="A113" s="2">
        <v>112</v>
      </c>
      <c r="B113" s="2" t="s">
        <v>1193</v>
      </c>
      <c r="C113" s="2" t="s">
        <v>1194</v>
      </c>
      <c r="D113" s="2" t="s">
        <v>899</v>
      </c>
      <c r="F113" s="2" t="str">
        <f>LOOKUP(D113,Sheet3!A$1:A$32,Sheet3!B$1:B$32)</f>
        <v>CRN</v>
      </c>
      <c r="G113" s="2" t="s">
        <v>2462</v>
      </c>
      <c r="H113" s="2" t="s">
        <v>48</v>
      </c>
      <c r="I113" s="2" t="str" cm="1">
        <f t="array" ref="I113">IFERROR(playerPoints($H113,$F113,$G113,I$1),"")</f>
        <v/>
      </c>
      <c r="J113" s="2" t="str" cm="1">
        <f t="array" ref="J113">IFERROR(playerPoints($H113,$F113,$G113,J$1),"")</f>
        <v/>
      </c>
      <c r="K113" s="2" t="str" cm="1">
        <f t="array" ref="K113">IFERROR(playerPoints($H113,$F113,$G113,K$1),"")</f>
        <v/>
      </c>
      <c r="L113" s="2" t="str" cm="1">
        <f t="array" ref="L113">IFERROR(playerPoints($H113,$F113,$G113,L$1),"")</f>
        <v/>
      </c>
      <c r="M113" s="2" t="str" cm="1">
        <f t="array" ref="M113">IFERROR(playerPoints($H113,$F113,$G113,M$1),"")</f>
        <v/>
      </c>
      <c r="N113" s="2" t="str" cm="1">
        <f t="array" ref="N113">IFERROR(playerPoints($H113,$F113,$G113,N$1),"")</f>
        <v/>
      </c>
      <c r="O113" s="2" t="str" cm="1">
        <f t="array" ref="O113">IFERROR(playerPoints($H113,$F113,$G113,O$1),"")</f>
        <v/>
      </c>
      <c r="Q113" s="2">
        <f t="shared" si="1"/>
        <v>0</v>
      </c>
    </row>
    <row r="114" spans="1:17">
      <c r="A114" s="2">
        <v>113</v>
      </c>
      <c r="B114" s="2" t="s">
        <v>1048</v>
      </c>
      <c r="C114" s="2" t="s">
        <v>1195</v>
      </c>
      <c r="D114" s="2" t="s">
        <v>899</v>
      </c>
      <c r="F114" s="2" t="str">
        <f>LOOKUP(D114,Sheet3!A$1:A$32,Sheet3!B$1:B$32)</f>
        <v>CRN</v>
      </c>
      <c r="G114" s="2" t="s">
        <v>2463</v>
      </c>
      <c r="H114" s="2" t="s">
        <v>48</v>
      </c>
      <c r="I114" s="2" t="str" cm="1">
        <f t="array" ref="I114">IFERROR(playerPoints($H114,$F114,$G114,I$1),"")</f>
        <v/>
      </c>
      <c r="J114" s="2" t="str" cm="1">
        <f t="array" ref="J114">IFERROR(playerPoints($H114,$F114,$G114,J$1),"")</f>
        <v/>
      </c>
      <c r="K114" s="2" t="str" cm="1">
        <f t="array" ref="K114">IFERROR(playerPoints($H114,$F114,$G114,K$1),"")</f>
        <v/>
      </c>
      <c r="L114" s="2" t="str" cm="1">
        <f t="array" ref="L114">IFERROR(playerPoints($H114,$F114,$G114,L$1),"")</f>
        <v/>
      </c>
      <c r="M114" s="2" t="str" cm="1">
        <f t="array" ref="M114">IFERROR(playerPoints($H114,$F114,$G114,M$1),"")</f>
        <v/>
      </c>
      <c r="N114" s="2" t="str" cm="1">
        <f t="array" ref="N114">IFERROR(playerPoints($H114,$F114,$G114,N$1),"")</f>
        <v/>
      </c>
      <c r="O114" s="2" t="str" cm="1">
        <f t="array" ref="O114">IFERROR(playerPoints($H114,$F114,$G114,O$1),"")</f>
        <v/>
      </c>
      <c r="Q114" s="2">
        <f t="shared" si="1"/>
        <v>0</v>
      </c>
    </row>
    <row r="115" spans="1:17">
      <c r="A115" s="2">
        <v>114</v>
      </c>
      <c r="B115" s="2" t="s">
        <v>1196</v>
      </c>
      <c r="C115" s="2" t="s">
        <v>1197</v>
      </c>
      <c r="D115" s="2" t="s">
        <v>899</v>
      </c>
      <c r="F115" s="2" t="str">
        <f>LOOKUP(D115,Sheet3!A$1:A$32,Sheet3!B$1:B$32)</f>
        <v>CRN</v>
      </c>
      <c r="G115" s="2" t="s">
        <v>2464</v>
      </c>
      <c r="H115" s="2" t="s">
        <v>48</v>
      </c>
      <c r="I115" s="2" t="str" cm="1">
        <f t="array" ref="I115">IFERROR(playerPoints($H115,$F115,$G115,I$1),"")</f>
        <v/>
      </c>
      <c r="J115" s="2" t="str" cm="1">
        <f t="array" ref="J115">IFERROR(playerPoints($H115,$F115,$G115,J$1),"")</f>
        <v/>
      </c>
      <c r="K115" s="2" t="str" cm="1">
        <f t="array" ref="K115">IFERROR(playerPoints($H115,$F115,$G115,K$1),"")</f>
        <v/>
      </c>
      <c r="L115" s="2" t="str" cm="1">
        <f t="array" ref="L115">IFERROR(playerPoints($H115,$F115,$G115,L$1),"")</f>
        <v/>
      </c>
      <c r="M115" s="2" t="str" cm="1">
        <f t="array" ref="M115">IFERROR(playerPoints($H115,$F115,$G115,M$1),"")</f>
        <v/>
      </c>
      <c r="N115" s="2" t="str" cm="1">
        <f t="array" ref="N115">IFERROR(playerPoints($H115,$F115,$G115,N$1),"")</f>
        <v/>
      </c>
      <c r="O115" s="2" t="str" cm="1">
        <f t="array" ref="O115">IFERROR(playerPoints($H115,$F115,$G115,O$1),"")</f>
        <v/>
      </c>
      <c r="Q115" s="2">
        <f t="shared" si="1"/>
        <v>0</v>
      </c>
    </row>
    <row r="116" spans="1:17">
      <c r="A116" s="2">
        <v>115</v>
      </c>
      <c r="B116" s="2" t="s">
        <v>1198</v>
      </c>
      <c r="C116" s="2" t="s">
        <v>1199</v>
      </c>
      <c r="D116" s="2" t="s">
        <v>899</v>
      </c>
      <c r="F116" s="2" t="str">
        <f>LOOKUP(D116,Sheet3!A$1:A$32,Sheet3!B$1:B$32)</f>
        <v>CRN</v>
      </c>
      <c r="G116" s="2" t="s">
        <v>2465</v>
      </c>
      <c r="H116" s="2" t="s">
        <v>57</v>
      </c>
      <c r="I116" s="2" t="str" cm="1">
        <f t="array" ref="I116">IFERROR(playerPoints($H116,$F116,$G116,I$1),"")</f>
        <v/>
      </c>
      <c r="J116" s="2" t="str" cm="1">
        <f t="array" ref="J116">IFERROR(playerPoints($H116,$F116,$G116,J$1),"")</f>
        <v/>
      </c>
      <c r="K116" s="2" t="str" cm="1">
        <f t="array" ref="K116">IFERROR(playerPoints($H116,$F116,$G116,K$1),"")</f>
        <v/>
      </c>
      <c r="L116" s="2" t="str" cm="1">
        <f t="array" ref="L116">IFERROR(playerPoints($H116,$F116,$G116,L$1),"")</f>
        <v/>
      </c>
      <c r="M116" s="2" t="str" cm="1">
        <f t="array" ref="M116">IFERROR(playerPoints($H116,$F116,$G116,M$1),"")</f>
        <v/>
      </c>
      <c r="N116" s="2" t="str" cm="1">
        <f t="array" ref="N116">IFERROR(playerPoints($H116,$F116,$G116,N$1),"")</f>
        <v/>
      </c>
      <c r="O116" s="2" t="str" cm="1">
        <f t="array" ref="O116">IFERROR(playerPoints($H116,$F116,$G116,O$1),"")</f>
        <v/>
      </c>
      <c r="Q116" s="2">
        <f t="shared" si="1"/>
        <v>0</v>
      </c>
    </row>
    <row r="117" spans="1:17">
      <c r="A117" s="2">
        <v>116</v>
      </c>
      <c r="B117" s="2" t="s">
        <v>1200</v>
      </c>
      <c r="C117" s="2" t="s">
        <v>1201</v>
      </c>
      <c r="D117" s="2" t="s">
        <v>899</v>
      </c>
      <c r="F117" s="2" t="str">
        <f>LOOKUP(D117,Sheet3!A$1:A$32,Sheet3!B$1:B$32)</f>
        <v>CRN</v>
      </c>
      <c r="G117" s="2" t="s">
        <v>2466</v>
      </c>
      <c r="H117" s="2" t="s">
        <v>57</v>
      </c>
      <c r="I117" s="2" t="str" cm="1">
        <f t="array" ref="I117">IFERROR(playerPoints($H117,$F117,$G117,I$1),"")</f>
        <v/>
      </c>
      <c r="J117" s="2" t="str" cm="1">
        <f t="array" ref="J117">IFERROR(playerPoints($H117,$F117,$G117,J$1),"")</f>
        <v/>
      </c>
      <c r="K117" s="2" t="str" cm="1">
        <f t="array" ref="K117">IFERROR(playerPoints($H117,$F117,$G117,K$1),"")</f>
        <v/>
      </c>
      <c r="L117" s="2" t="str" cm="1">
        <f t="array" ref="L117">IFERROR(playerPoints($H117,$F117,$G117,L$1),"")</f>
        <v/>
      </c>
      <c r="M117" s="2" t="str" cm="1">
        <f t="array" ref="M117">IFERROR(playerPoints($H117,$F117,$G117,M$1),"")</f>
        <v/>
      </c>
      <c r="N117" s="2" t="str" cm="1">
        <f t="array" ref="N117">IFERROR(playerPoints($H117,$F117,$G117,N$1),"")</f>
        <v/>
      </c>
      <c r="O117" s="2" t="str" cm="1">
        <f t="array" ref="O117">IFERROR(playerPoints($H117,$F117,$G117,O$1),"")</f>
        <v/>
      </c>
      <c r="Q117" s="2">
        <f t="shared" si="1"/>
        <v>0</v>
      </c>
    </row>
    <row r="118" spans="1:17">
      <c r="A118" s="2">
        <v>117</v>
      </c>
      <c r="B118" s="2" t="s">
        <v>1185</v>
      </c>
      <c r="C118" s="2" t="s">
        <v>1202</v>
      </c>
      <c r="D118" s="2" t="s">
        <v>899</v>
      </c>
      <c r="F118" s="2" t="str">
        <f>LOOKUP(D118,Sheet3!A$1:A$32,Sheet3!B$1:B$32)</f>
        <v>CRN</v>
      </c>
      <c r="G118" s="2" t="s">
        <v>2467</v>
      </c>
      <c r="H118" s="2" t="s">
        <v>57</v>
      </c>
      <c r="I118" s="2" t="str" cm="1">
        <f t="array" ref="I118">IFERROR(playerPoints($H118,$F118,$G118,I$1),"")</f>
        <v/>
      </c>
      <c r="J118" s="2" t="str" cm="1">
        <f t="array" ref="J118">IFERROR(playerPoints($H118,$F118,$G118,J$1),"")</f>
        <v/>
      </c>
      <c r="K118" s="2" t="str" cm="1">
        <f t="array" ref="K118">IFERROR(playerPoints($H118,$F118,$G118,K$1),"")</f>
        <v/>
      </c>
      <c r="L118" s="2" t="str" cm="1">
        <f t="array" ref="L118">IFERROR(playerPoints($H118,$F118,$G118,L$1),"")</f>
        <v/>
      </c>
      <c r="M118" s="2" t="str" cm="1">
        <f t="array" ref="M118">IFERROR(playerPoints($H118,$F118,$G118,M$1),"")</f>
        <v/>
      </c>
      <c r="N118" s="2" t="str" cm="1">
        <f t="array" ref="N118">IFERROR(playerPoints($H118,$F118,$G118,N$1),"")</f>
        <v/>
      </c>
      <c r="O118" s="2" t="str" cm="1">
        <f t="array" ref="O118">IFERROR(playerPoints($H118,$F118,$G118,O$1),"")</f>
        <v/>
      </c>
      <c r="Q118" s="2">
        <f t="shared" si="1"/>
        <v>0</v>
      </c>
    </row>
    <row r="119" spans="1:17">
      <c r="A119" s="2">
        <v>118</v>
      </c>
      <c r="B119" s="2" t="s">
        <v>1203</v>
      </c>
      <c r="C119" s="2" t="s">
        <v>1204</v>
      </c>
      <c r="D119" s="2" t="s">
        <v>899</v>
      </c>
      <c r="F119" s="2" t="str">
        <f>LOOKUP(D119,Sheet3!A$1:A$32,Sheet3!B$1:B$32)</f>
        <v>CRN</v>
      </c>
      <c r="G119" s="2" t="s">
        <v>2468</v>
      </c>
      <c r="H119" s="2" t="s">
        <v>57</v>
      </c>
      <c r="I119" s="2" t="str" cm="1">
        <f t="array" ref="I119">IFERROR(playerPoints($H119,$F119,$G119,I$1),"")</f>
        <v/>
      </c>
      <c r="J119" s="2" t="str" cm="1">
        <f t="array" ref="J119">IFERROR(playerPoints($H119,$F119,$G119,J$1),"")</f>
        <v/>
      </c>
      <c r="K119" s="2" t="str" cm="1">
        <f t="array" ref="K119">IFERROR(playerPoints($H119,$F119,$G119,K$1),"")</f>
        <v/>
      </c>
      <c r="L119" s="2" t="str" cm="1">
        <f t="array" ref="L119">IFERROR(playerPoints($H119,$F119,$G119,L$1),"")</f>
        <v/>
      </c>
      <c r="M119" s="2" t="str" cm="1">
        <f t="array" ref="M119">IFERROR(playerPoints($H119,$F119,$G119,M$1),"")</f>
        <v/>
      </c>
      <c r="N119" s="2" t="str" cm="1">
        <f t="array" ref="N119">IFERROR(playerPoints($H119,$F119,$G119,N$1),"")</f>
        <v/>
      </c>
      <c r="O119" s="2" t="str" cm="1">
        <f t="array" ref="O119">IFERROR(playerPoints($H119,$F119,$G119,O$1),"")</f>
        <v/>
      </c>
      <c r="Q119" s="2">
        <f t="shared" si="1"/>
        <v>0</v>
      </c>
    </row>
    <row r="120" spans="1:17">
      <c r="A120" s="2">
        <v>119</v>
      </c>
      <c r="B120" s="2" t="s">
        <v>1205</v>
      </c>
      <c r="C120" s="2" t="s">
        <v>1206</v>
      </c>
      <c r="D120" s="2" t="s">
        <v>899</v>
      </c>
      <c r="F120" s="2" t="str">
        <f>LOOKUP(D120,Sheet3!A$1:A$32,Sheet3!B$1:B$32)</f>
        <v>CRN</v>
      </c>
      <c r="G120" s="2" t="s">
        <v>2469</v>
      </c>
      <c r="H120" s="2" t="s">
        <v>57</v>
      </c>
      <c r="I120" s="2" t="str" cm="1">
        <f t="array" ref="I120">IFERROR(playerPoints($H120,$F120,$G120,I$1),"")</f>
        <v/>
      </c>
      <c r="J120" s="2" t="str" cm="1">
        <f t="array" ref="J120">IFERROR(playerPoints($H120,$F120,$G120,J$1),"")</f>
        <v/>
      </c>
      <c r="K120" s="2" t="str" cm="1">
        <f t="array" ref="K120">IFERROR(playerPoints($H120,$F120,$G120,K$1),"")</f>
        <v/>
      </c>
      <c r="L120" s="2" t="str" cm="1">
        <f t="array" ref="L120">IFERROR(playerPoints($H120,$F120,$G120,L$1),"")</f>
        <v/>
      </c>
      <c r="M120" s="2" t="str" cm="1">
        <f t="array" ref="M120">IFERROR(playerPoints($H120,$F120,$G120,M$1),"")</f>
        <v/>
      </c>
      <c r="N120" s="2" t="str" cm="1">
        <f t="array" ref="N120">IFERROR(playerPoints($H120,$F120,$G120,N$1),"")</f>
        <v/>
      </c>
      <c r="O120" s="2" t="str" cm="1">
        <f t="array" ref="O120">IFERROR(playerPoints($H120,$F120,$G120,O$1),"")</f>
        <v/>
      </c>
      <c r="Q120" s="2">
        <f t="shared" si="1"/>
        <v>0</v>
      </c>
    </row>
    <row r="121" spans="1:17">
      <c r="A121" s="2">
        <v>120</v>
      </c>
      <c r="B121" s="2" t="s">
        <v>1207</v>
      </c>
      <c r="C121" s="2" t="s">
        <v>1208</v>
      </c>
      <c r="D121" s="2" t="s">
        <v>899</v>
      </c>
      <c r="F121" s="2" t="str">
        <f>LOOKUP(D121,Sheet3!A$1:A$32,Sheet3!B$1:B$32)</f>
        <v>CRN</v>
      </c>
      <c r="G121" s="2" t="s">
        <v>2470</v>
      </c>
      <c r="H121" s="2" t="s">
        <v>57</v>
      </c>
      <c r="I121" s="2" t="str" cm="1">
        <f t="array" ref="I121">IFERROR(playerPoints($H121,$F121,$G121,I$1),"")</f>
        <v/>
      </c>
      <c r="J121" s="2" t="str" cm="1">
        <f t="array" ref="J121">IFERROR(playerPoints($H121,$F121,$G121,J$1),"")</f>
        <v/>
      </c>
      <c r="K121" s="2" t="str" cm="1">
        <f t="array" ref="K121">IFERROR(playerPoints($H121,$F121,$G121,K$1),"")</f>
        <v/>
      </c>
      <c r="L121" s="2" t="str" cm="1">
        <f t="array" ref="L121">IFERROR(playerPoints($H121,$F121,$G121,L$1),"")</f>
        <v/>
      </c>
      <c r="M121" s="2" t="str" cm="1">
        <f t="array" ref="M121">IFERROR(playerPoints($H121,$F121,$G121,M$1),"")</f>
        <v/>
      </c>
      <c r="N121" s="2" t="str" cm="1">
        <f t="array" ref="N121">IFERROR(playerPoints($H121,$F121,$G121,N$1),"")</f>
        <v/>
      </c>
      <c r="O121" s="2" t="str" cm="1">
        <f t="array" ref="O121">IFERROR(playerPoints($H121,$F121,$G121,O$1),"")</f>
        <v/>
      </c>
      <c r="Q121" s="2">
        <f t="shared" si="1"/>
        <v>0</v>
      </c>
    </row>
    <row r="122" spans="1:17">
      <c r="A122" s="2">
        <v>121</v>
      </c>
      <c r="B122" s="2" t="s">
        <v>1209</v>
      </c>
      <c r="C122" s="2" t="s">
        <v>1210</v>
      </c>
      <c r="D122" s="2" t="s">
        <v>899</v>
      </c>
      <c r="F122" s="2" t="str">
        <f>LOOKUP(D122,Sheet3!A$1:A$32,Sheet3!B$1:B$32)</f>
        <v>CRN</v>
      </c>
      <c r="G122" s="2" t="s">
        <v>2471</v>
      </c>
      <c r="H122" s="2" t="s">
        <v>57</v>
      </c>
      <c r="I122" s="2" t="str" cm="1">
        <f t="array" ref="I122">IFERROR(playerPoints($H122,$F122,$G122,I$1),"")</f>
        <v/>
      </c>
      <c r="J122" s="2" t="str" cm="1">
        <f t="array" ref="J122">IFERROR(playerPoints($H122,$F122,$G122,J$1),"")</f>
        <v/>
      </c>
      <c r="K122" s="2" t="str" cm="1">
        <f t="array" ref="K122">IFERROR(playerPoints($H122,$F122,$G122,K$1),"")</f>
        <v/>
      </c>
      <c r="L122" s="2" t="str" cm="1">
        <f t="array" ref="L122">IFERROR(playerPoints($H122,$F122,$G122,L$1),"")</f>
        <v/>
      </c>
      <c r="M122" s="2" t="str" cm="1">
        <f t="array" ref="M122">IFERROR(playerPoints($H122,$F122,$G122,M$1),"")</f>
        <v/>
      </c>
      <c r="N122" s="2" t="str" cm="1">
        <f t="array" ref="N122">IFERROR(playerPoints($H122,$F122,$G122,N$1),"")</f>
        <v/>
      </c>
      <c r="O122" s="2" t="str" cm="1">
        <f t="array" ref="O122">IFERROR(playerPoints($H122,$F122,$G122,O$1),"")</f>
        <v/>
      </c>
      <c r="Q122" s="2">
        <f t="shared" si="1"/>
        <v>0</v>
      </c>
    </row>
    <row r="123" spans="1:17">
      <c r="A123" s="2">
        <v>122</v>
      </c>
      <c r="B123" s="2" t="s">
        <v>1100</v>
      </c>
      <c r="C123" s="2" t="s">
        <v>1211</v>
      </c>
      <c r="D123" s="2" t="s">
        <v>899</v>
      </c>
      <c r="F123" s="2" t="str">
        <f>LOOKUP(D123,Sheet3!A$1:A$32,Sheet3!B$1:B$32)</f>
        <v>CRN</v>
      </c>
      <c r="G123" s="2" t="s">
        <v>2472</v>
      </c>
      <c r="H123" s="2" t="s">
        <v>57</v>
      </c>
      <c r="I123" s="2" t="str" cm="1">
        <f t="array" ref="I123">IFERROR(playerPoints($H123,$F123,$G123,I$1),"")</f>
        <v/>
      </c>
      <c r="J123" s="2" t="str" cm="1">
        <f t="array" ref="J123">IFERROR(playerPoints($H123,$F123,$G123,J$1),"")</f>
        <v/>
      </c>
      <c r="K123" s="2" t="str" cm="1">
        <f t="array" ref="K123">IFERROR(playerPoints($H123,$F123,$G123,K$1),"")</f>
        <v/>
      </c>
      <c r="L123" s="2" t="str" cm="1">
        <f t="array" ref="L123">IFERROR(playerPoints($H123,$F123,$G123,L$1),"")</f>
        <v/>
      </c>
      <c r="M123" s="2" t="str" cm="1">
        <f t="array" ref="M123">IFERROR(playerPoints($H123,$F123,$G123,M$1),"")</f>
        <v/>
      </c>
      <c r="N123" s="2" t="str" cm="1">
        <f t="array" ref="N123">IFERROR(playerPoints($H123,$F123,$G123,N$1),"")</f>
        <v/>
      </c>
      <c r="O123" s="2" t="str" cm="1">
        <f t="array" ref="O123">IFERROR(playerPoints($H123,$F123,$G123,O$1),"")</f>
        <v/>
      </c>
      <c r="Q123" s="2">
        <f t="shared" si="1"/>
        <v>0</v>
      </c>
    </row>
    <row r="124" spans="1:17">
      <c r="A124" s="2">
        <v>123</v>
      </c>
      <c r="B124" s="2" t="s">
        <v>1212</v>
      </c>
      <c r="C124" s="2" t="s">
        <v>1213</v>
      </c>
      <c r="D124" s="2" t="s">
        <v>899</v>
      </c>
      <c r="F124" s="2" t="str">
        <f>LOOKUP(D124,Sheet3!A$1:A$32,Sheet3!B$1:B$32)</f>
        <v>CRN</v>
      </c>
      <c r="G124" s="2" t="s">
        <v>2473</v>
      </c>
      <c r="H124" s="2" t="s">
        <v>57</v>
      </c>
      <c r="I124" s="2" t="str" cm="1">
        <f t="array" ref="I124">IFERROR(playerPoints($H124,$F124,$G124,I$1),"")</f>
        <v/>
      </c>
      <c r="J124" s="2" t="str" cm="1">
        <f t="array" ref="J124">IFERROR(playerPoints($H124,$F124,$G124,J$1),"")</f>
        <v/>
      </c>
      <c r="K124" s="2" t="str" cm="1">
        <f t="array" ref="K124">IFERROR(playerPoints($H124,$F124,$G124,K$1),"")</f>
        <v/>
      </c>
      <c r="L124" s="2" t="str" cm="1">
        <f t="array" ref="L124">IFERROR(playerPoints($H124,$F124,$G124,L$1),"")</f>
        <v/>
      </c>
      <c r="M124" s="2" t="str" cm="1">
        <f t="array" ref="M124">IFERROR(playerPoints($H124,$F124,$G124,M$1),"")</f>
        <v/>
      </c>
      <c r="N124" s="2" t="str" cm="1">
        <f t="array" ref="N124">IFERROR(playerPoints($H124,$F124,$G124,N$1),"")</f>
        <v/>
      </c>
      <c r="O124" s="2" t="str" cm="1">
        <f t="array" ref="O124">IFERROR(playerPoints($H124,$F124,$G124,O$1),"")</f>
        <v/>
      </c>
      <c r="Q124" s="2">
        <f t="shared" si="1"/>
        <v>0</v>
      </c>
    </row>
    <row r="125" spans="1:17">
      <c r="A125" s="2">
        <v>124</v>
      </c>
      <c r="B125" s="2" t="s">
        <v>1189</v>
      </c>
      <c r="C125" s="2" t="s">
        <v>1214</v>
      </c>
      <c r="D125" s="2" t="s">
        <v>899</v>
      </c>
      <c r="F125" s="2" t="str">
        <f>LOOKUP(D125,Sheet3!A$1:A$32,Sheet3!B$1:B$32)</f>
        <v>CRN</v>
      </c>
      <c r="G125" s="2" t="s">
        <v>2474</v>
      </c>
      <c r="H125" s="2" t="s">
        <v>57</v>
      </c>
      <c r="I125" s="2" t="str" cm="1">
        <f t="array" ref="I125">IFERROR(playerPoints($H125,$F125,$G125,I$1),"")</f>
        <v/>
      </c>
      <c r="J125" s="2" t="str" cm="1">
        <f t="array" ref="J125">IFERROR(playerPoints($H125,$F125,$G125,J$1),"")</f>
        <v/>
      </c>
      <c r="K125" s="2" t="str" cm="1">
        <f t="array" ref="K125">IFERROR(playerPoints($H125,$F125,$G125,K$1),"")</f>
        <v/>
      </c>
      <c r="L125" s="2" t="str" cm="1">
        <f t="array" ref="L125">IFERROR(playerPoints($H125,$F125,$G125,L$1),"")</f>
        <v/>
      </c>
      <c r="M125" s="2" t="str" cm="1">
        <f t="array" ref="M125">IFERROR(playerPoints($H125,$F125,$G125,M$1),"")</f>
        <v/>
      </c>
      <c r="N125" s="2" t="str" cm="1">
        <f t="array" ref="N125">IFERROR(playerPoints($H125,$F125,$G125,N$1),"")</f>
        <v/>
      </c>
      <c r="O125" s="2" t="str" cm="1">
        <f t="array" ref="O125">IFERROR(playerPoints($H125,$F125,$G125,O$1),"")</f>
        <v/>
      </c>
      <c r="Q125" s="2">
        <f t="shared" si="1"/>
        <v>0</v>
      </c>
    </row>
    <row r="126" spans="1:17">
      <c r="A126" s="2">
        <v>125</v>
      </c>
      <c r="B126" s="2" t="s">
        <v>1215</v>
      </c>
      <c r="C126" s="2" t="s">
        <v>1216</v>
      </c>
      <c r="D126" s="2" t="s">
        <v>899</v>
      </c>
      <c r="F126" s="2" t="str">
        <f>LOOKUP(D126,Sheet3!A$1:A$32,Sheet3!B$1:B$32)</f>
        <v>CRN</v>
      </c>
      <c r="G126" s="2" t="s">
        <v>2475</v>
      </c>
      <c r="H126" s="2" t="s">
        <v>66</v>
      </c>
      <c r="I126" s="2" t="str" cm="1">
        <f t="array" ref="I126">IFERROR(playerPoints($H126,$F126,$G126,I$1),"")</f>
        <v/>
      </c>
      <c r="J126" s="2" t="str" cm="1">
        <f t="array" ref="J126">IFERROR(playerPoints($H126,$F126,$G126,J$1),"")</f>
        <v/>
      </c>
      <c r="K126" s="2" t="str" cm="1">
        <f t="array" ref="K126">IFERROR(playerPoints($H126,$F126,$G126,K$1),"")</f>
        <v/>
      </c>
      <c r="L126" s="2" t="str" cm="1">
        <f t="array" ref="L126">IFERROR(playerPoints($H126,$F126,$G126,L$1),"")</f>
        <v/>
      </c>
      <c r="M126" s="2" t="str" cm="1">
        <f t="array" ref="M126">IFERROR(playerPoints($H126,$F126,$G126,M$1),"")</f>
        <v/>
      </c>
      <c r="N126" s="2" t="str" cm="1">
        <f t="array" ref="N126">IFERROR(playerPoints($H126,$F126,$G126,N$1),"")</f>
        <v/>
      </c>
      <c r="O126" s="2" t="str" cm="1">
        <f t="array" ref="O126">IFERROR(playerPoints($H126,$F126,$G126,O$1),"")</f>
        <v/>
      </c>
      <c r="Q126" s="2">
        <f t="shared" si="1"/>
        <v>0</v>
      </c>
    </row>
    <row r="127" spans="1:17">
      <c r="A127" s="2">
        <v>126</v>
      </c>
      <c r="B127" s="2" t="s">
        <v>1217</v>
      </c>
      <c r="C127" s="2" t="s">
        <v>1218</v>
      </c>
      <c r="D127" s="2" t="s">
        <v>899</v>
      </c>
      <c r="F127" s="2" t="str">
        <f>LOOKUP(D127,Sheet3!A$1:A$32,Sheet3!B$1:B$32)</f>
        <v>CRN</v>
      </c>
      <c r="G127" s="2" t="s">
        <v>2476</v>
      </c>
      <c r="H127" s="2" t="s">
        <v>66</v>
      </c>
      <c r="I127" s="2" t="str" cm="1">
        <f t="array" ref="I127">IFERROR(playerPoints($H127,$F127,$G127,I$1),"")</f>
        <v/>
      </c>
      <c r="J127" s="2" t="str" cm="1">
        <f t="array" ref="J127">IFERROR(playerPoints($H127,$F127,$G127,J$1),"")</f>
        <v/>
      </c>
      <c r="K127" s="2" t="str" cm="1">
        <f t="array" ref="K127">IFERROR(playerPoints($H127,$F127,$G127,K$1),"")</f>
        <v/>
      </c>
      <c r="L127" s="2" t="str" cm="1">
        <f t="array" ref="L127">IFERROR(playerPoints($H127,$F127,$G127,L$1),"")</f>
        <v/>
      </c>
      <c r="M127" s="2" t="str" cm="1">
        <f t="array" ref="M127">IFERROR(playerPoints($H127,$F127,$G127,M$1),"")</f>
        <v/>
      </c>
      <c r="N127" s="2" t="str" cm="1">
        <f t="array" ref="N127">IFERROR(playerPoints($H127,$F127,$G127,N$1),"")</f>
        <v/>
      </c>
      <c r="O127" s="2" t="str" cm="1">
        <f t="array" ref="O127">IFERROR(playerPoints($H127,$F127,$G127,O$1),"")</f>
        <v/>
      </c>
      <c r="Q127" s="2">
        <f t="shared" si="1"/>
        <v>0</v>
      </c>
    </row>
    <row r="128" spans="1:17">
      <c r="A128" s="2">
        <v>127</v>
      </c>
      <c r="B128" s="2" t="s">
        <v>1219</v>
      </c>
      <c r="C128" s="2" t="s">
        <v>1220</v>
      </c>
      <c r="D128" s="2" t="s">
        <v>899</v>
      </c>
      <c r="F128" s="2" t="str">
        <f>LOOKUP(D128,Sheet3!A$1:A$32,Sheet3!B$1:B$32)</f>
        <v>CRN</v>
      </c>
      <c r="G128" s="2" t="s">
        <v>2477</v>
      </c>
      <c r="H128" s="2" t="s">
        <v>66</v>
      </c>
      <c r="I128" s="2" t="str" cm="1">
        <f t="array" ref="I128">IFERROR(playerPoints($H128,$F128,$G128,I$1),"")</f>
        <v/>
      </c>
      <c r="J128" s="2" t="str" cm="1">
        <f t="array" ref="J128">IFERROR(playerPoints($H128,$F128,$G128,J$1),"")</f>
        <v/>
      </c>
      <c r="K128" s="2" t="str" cm="1">
        <f t="array" ref="K128">IFERROR(playerPoints($H128,$F128,$G128,K$1),"")</f>
        <v/>
      </c>
      <c r="L128" s="2" t="str" cm="1">
        <f t="array" ref="L128">IFERROR(playerPoints($H128,$F128,$G128,L$1),"")</f>
        <v/>
      </c>
      <c r="M128" s="2" t="str" cm="1">
        <f t="array" ref="M128">IFERROR(playerPoints($H128,$F128,$G128,M$1),"")</f>
        <v/>
      </c>
      <c r="N128" s="2" t="str" cm="1">
        <f t="array" ref="N128">IFERROR(playerPoints($H128,$F128,$G128,N$1),"")</f>
        <v/>
      </c>
      <c r="O128" s="2" t="str" cm="1">
        <f t="array" ref="O128">IFERROR(playerPoints($H128,$F128,$G128,O$1),"")</f>
        <v/>
      </c>
      <c r="Q128" s="2">
        <f t="shared" si="1"/>
        <v>0</v>
      </c>
    </row>
    <row r="129" spans="1:17">
      <c r="A129" s="2">
        <v>128</v>
      </c>
      <c r="B129" s="2" t="s">
        <v>1221</v>
      </c>
      <c r="C129" s="2" t="s">
        <v>1222</v>
      </c>
      <c r="D129" s="2" t="s">
        <v>899</v>
      </c>
      <c r="F129" s="2" t="str">
        <f>LOOKUP(D129,Sheet3!A$1:A$32,Sheet3!B$1:B$32)</f>
        <v>CRN</v>
      </c>
      <c r="G129" s="2" t="s">
        <v>2478</v>
      </c>
      <c r="H129" s="2" t="s">
        <v>66</v>
      </c>
      <c r="I129" s="2" t="str" cm="1">
        <f t="array" ref="I129">IFERROR(playerPoints($H129,$F129,$G129,I$1),"")</f>
        <v/>
      </c>
      <c r="J129" s="2" t="str" cm="1">
        <f t="array" ref="J129">IFERROR(playerPoints($H129,$F129,$G129,J$1),"")</f>
        <v/>
      </c>
      <c r="K129" s="2" t="str" cm="1">
        <f t="array" ref="K129">IFERROR(playerPoints($H129,$F129,$G129,K$1),"")</f>
        <v/>
      </c>
      <c r="L129" s="2" t="str" cm="1">
        <f t="array" ref="L129">IFERROR(playerPoints($H129,$F129,$G129,L$1),"")</f>
        <v/>
      </c>
      <c r="M129" s="2" t="str" cm="1">
        <f t="array" ref="M129">IFERROR(playerPoints($H129,$F129,$G129,M$1),"")</f>
        <v/>
      </c>
      <c r="N129" s="2" t="str" cm="1">
        <f t="array" ref="N129">IFERROR(playerPoints($H129,$F129,$G129,N$1),"")</f>
        <v/>
      </c>
      <c r="O129" s="2" t="str" cm="1">
        <f t="array" ref="O129">IFERROR(playerPoints($H129,$F129,$G129,O$1),"")</f>
        <v/>
      </c>
      <c r="Q129" s="2">
        <f t="shared" si="1"/>
        <v>0</v>
      </c>
    </row>
    <row r="130" spans="1:17">
      <c r="A130" s="2">
        <v>129</v>
      </c>
      <c r="B130" s="2" t="s">
        <v>1223</v>
      </c>
      <c r="C130" s="2" t="s">
        <v>1224</v>
      </c>
      <c r="D130" s="2" t="s">
        <v>899</v>
      </c>
      <c r="F130" s="2" t="str">
        <f>LOOKUP(D130,Sheet3!A$1:A$32,Sheet3!B$1:B$32)</f>
        <v>CRN</v>
      </c>
      <c r="G130" s="2" t="s">
        <v>2479</v>
      </c>
      <c r="H130" s="2" t="s">
        <v>66</v>
      </c>
      <c r="I130" s="2" t="str" cm="1">
        <f t="array" ref="I130">IFERROR(playerPoints($H130,$F130,$G130,I$1),"")</f>
        <v/>
      </c>
      <c r="J130" s="2" t="str" cm="1">
        <f t="array" ref="J130">IFERROR(playerPoints($H130,$F130,$G130,J$1),"")</f>
        <v/>
      </c>
      <c r="K130" s="2" t="str" cm="1">
        <f t="array" ref="K130">IFERROR(playerPoints($H130,$F130,$G130,K$1),"")</f>
        <v/>
      </c>
      <c r="L130" s="2" t="str" cm="1">
        <f t="array" ref="L130">IFERROR(playerPoints($H130,$F130,$G130,L$1),"")</f>
        <v/>
      </c>
      <c r="M130" s="2" t="str" cm="1">
        <f t="array" ref="M130">IFERROR(playerPoints($H130,$F130,$G130,M$1),"")</f>
        <v/>
      </c>
      <c r="N130" s="2" t="str" cm="1">
        <f t="array" ref="N130">IFERROR(playerPoints($H130,$F130,$G130,N$1),"")</f>
        <v/>
      </c>
      <c r="O130" s="2" t="str" cm="1">
        <f t="array" ref="O130">IFERROR(playerPoints($H130,$F130,$G130,O$1),"")</f>
        <v/>
      </c>
      <c r="Q130" s="2">
        <f t="shared" si="1"/>
        <v>0</v>
      </c>
    </row>
    <row r="131" spans="1:17">
      <c r="A131" s="2">
        <v>130</v>
      </c>
      <c r="B131" s="2" t="s">
        <v>1225</v>
      </c>
      <c r="C131" s="2" t="s">
        <v>1226</v>
      </c>
      <c r="D131" s="2" t="s">
        <v>899</v>
      </c>
      <c r="F131" s="2" t="str">
        <f>LOOKUP(D131,Sheet3!A$1:A$32,Sheet3!B$1:B$32)</f>
        <v>CRN</v>
      </c>
      <c r="G131" s="2" t="s">
        <v>2480</v>
      </c>
      <c r="H131" s="2" t="s">
        <v>66</v>
      </c>
      <c r="I131" s="2" t="str" cm="1">
        <f t="array" ref="I131">IFERROR(playerPoints($H131,$F131,$G131,I$1),"")</f>
        <v/>
      </c>
      <c r="J131" s="2" t="str" cm="1">
        <f t="array" ref="J131">IFERROR(playerPoints($H131,$F131,$G131,J$1),"")</f>
        <v/>
      </c>
      <c r="K131" s="2" t="str" cm="1">
        <f t="array" ref="K131">IFERROR(playerPoints($H131,$F131,$G131,K$1),"")</f>
        <v/>
      </c>
      <c r="L131" s="2" t="str" cm="1">
        <f t="array" ref="L131">IFERROR(playerPoints($H131,$F131,$G131,L$1),"")</f>
        <v/>
      </c>
      <c r="M131" s="2" t="str" cm="1">
        <f t="array" ref="M131">IFERROR(playerPoints($H131,$F131,$G131,M$1),"")</f>
        <v/>
      </c>
      <c r="N131" s="2" t="str" cm="1">
        <f t="array" ref="N131">IFERROR(playerPoints($H131,$F131,$G131,N$1),"")</f>
        <v/>
      </c>
      <c r="O131" s="2" t="str" cm="1">
        <f t="array" ref="O131">IFERROR(playerPoints($H131,$F131,$G131,O$1),"")</f>
        <v/>
      </c>
      <c r="Q131" s="2">
        <f t="shared" ref="Q131:Q194" si="2">SUM(I131:O131)</f>
        <v>0</v>
      </c>
    </row>
    <row r="132" spans="1:17">
      <c r="A132" s="2">
        <v>131</v>
      </c>
      <c r="B132" s="2" t="s">
        <v>1227</v>
      </c>
      <c r="C132" s="2" t="s">
        <v>1228</v>
      </c>
      <c r="D132" s="2" t="s">
        <v>900</v>
      </c>
      <c r="F132" s="2" t="str">
        <f>LOOKUP(D132,Sheet3!A$1:A$32,Sheet3!B$1:B$32)</f>
        <v>CAN</v>
      </c>
      <c r="G132" s="2" t="s">
        <v>2481</v>
      </c>
      <c r="H132" s="2" t="s">
        <v>44</v>
      </c>
      <c r="I132" s="2" t="str" cm="1">
        <f t="array" ref="I132">IFERROR(playerPoints($H132,$F132,$G132,I$1),"")</f>
        <v/>
      </c>
      <c r="J132" s="2" t="str" cm="1">
        <f t="array" ref="J132">IFERROR(playerPoints($H132,$F132,$G132,J$1),"")</f>
        <v/>
      </c>
      <c r="K132" s="2" t="str" cm="1">
        <f t="array" ref="K132">IFERROR(playerPoints($H132,$F132,$G132,K$1),"")</f>
        <v/>
      </c>
      <c r="L132" s="2" t="str" cm="1">
        <f t="array" ref="L132">IFERROR(playerPoints($H132,$F132,$G132,L$1),"")</f>
        <v/>
      </c>
      <c r="M132" s="2" t="str" cm="1">
        <f t="array" ref="M132">IFERROR(playerPoints($H132,$F132,$G132,M$1),"")</f>
        <v/>
      </c>
      <c r="N132" s="2" t="str" cm="1">
        <f t="array" ref="N132">IFERROR(playerPoints($H132,$F132,$G132,N$1),"")</f>
        <v/>
      </c>
      <c r="O132" s="2" t="str" cm="1">
        <f t="array" ref="O132">IFERROR(playerPoints($H132,$F132,$G132,O$1),"")</f>
        <v/>
      </c>
      <c r="Q132" s="2">
        <f t="shared" si="2"/>
        <v>0</v>
      </c>
    </row>
    <row r="133" spans="1:17">
      <c r="A133" s="2">
        <v>132</v>
      </c>
      <c r="B133" s="2" t="s">
        <v>1229</v>
      </c>
      <c r="C133" s="2" t="s">
        <v>1230</v>
      </c>
      <c r="D133" s="2" t="s">
        <v>900</v>
      </c>
      <c r="F133" s="2" t="str">
        <f>LOOKUP(D133,Sheet3!A$1:A$32,Sheet3!B$1:B$32)</f>
        <v>CAN</v>
      </c>
      <c r="G133" s="2" t="s">
        <v>2482</v>
      </c>
      <c r="H133" s="2" t="s">
        <v>44</v>
      </c>
      <c r="I133" s="2" t="str" cm="1">
        <f t="array" ref="I133">IFERROR(playerPoints($H133,$F133,$G133,I$1),"")</f>
        <v/>
      </c>
      <c r="J133" s="2" t="str" cm="1">
        <f t="array" ref="J133">IFERROR(playerPoints($H133,$F133,$G133,J$1),"")</f>
        <v/>
      </c>
      <c r="K133" s="2" t="str" cm="1">
        <f t="array" ref="K133">IFERROR(playerPoints($H133,$F133,$G133,K$1),"")</f>
        <v/>
      </c>
      <c r="L133" s="2" t="str" cm="1">
        <f t="array" ref="L133">IFERROR(playerPoints($H133,$F133,$G133,L$1),"")</f>
        <v/>
      </c>
      <c r="M133" s="2" t="str" cm="1">
        <f t="array" ref="M133">IFERROR(playerPoints($H133,$F133,$G133,M$1),"")</f>
        <v/>
      </c>
      <c r="N133" s="2" t="str" cm="1">
        <f t="array" ref="N133">IFERROR(playerPoints($H133,$F133,$G133,N$1),"")</f>
        <v/>
      </c>
      <c r="O133" s="2" t="str" cm="1">
        <f t="array" ref="O133">IFERROR(playerPoints($H133,$F133,$G133,O$1),"")</f>
        <v/>
      </c>
      <c r="Q133" s="2">
        <f t="shared" si="2"/>
        <v>0</v>
      </c>
    </row>
    <row r="134" spans="1:17">
      <c r="A134" s="2">
        <v>133</v>
      </c>
      <c r="B134" s="2" t="s">
        <v>1231</v>
      </c>
      <c r="C134" s="2" t="s">
        <v>1232</v>
      </c>
      <c r="D134" s="2" t="s">
        <v>900</v>
      </c>
      <c r="F134" s="2" t="str">
        <f>LOOKUP(D134,Sheet3!A$1:A$32,Sheet3!B$1:B$32)</f>
        <v>CAN</v>
      </c>
      <c r="G134" s="2" t="s">
        <v>2483</v>
      </c>
      <c r="H134" s="2" t="s">
        <v>44</v>
      </c>
      <c r="I134" s="2" t="str" cm="1">
        <f t="array" ref="I134">IFERROR(playerPoints($H134,$F134,$G134,I$1),"")</f>
        <v/>
      </c>
      <c r="J134" s="2" t="str" cm="1">
        <f t="array" ref="J134">IFERROR(playerPoints($H134,$F134,$G134,J$1),"")</f>
        <v/>
      </c>
      <c r="K134" s="2" t="str" cm="1">
        <f t="array" ref="K134">IFERROR(playerPoints($H134,$F134,$G134,K$1),"")</f>
        <v/>
      </c>
      <c r="L134" s="2" t="str" cm="1">
        <f t="array" ref="L134">IFERROR(playerPoints($H134,$F134,$G134,L$1),"")</f>
        <v/>
      </c>
      <c r="M134" s="2" t="str" cm="1">
        <f t="array" ref="M134">IFERROR(playerPoints($H134,$F134,$G134,M$1),"")</f>
        <v/>
      </c>
      <c r="N134" s="2" t="str" cm="1">
        <f t="array" ref="N134">IFERROR(playerPoints($H134,$F134,$G134,N$1),"")</f>
        <v/>
      </c>
      <c r="O134" s="2" t="str" cm="1">
        <f t="array" ref="O134">IFERROR(playerPoints($H134,$F134,$G134,O$1),"")</f>
        <v/>
      </c>
      <c r="Q134" s="2">
        <f t="shared" si="2"/>
        <v>0</v>
      </c>
    </row>
    <row r="135" spans="1:17">
      <c r="A135" s="2">
        <v>134</v>
      </c>
      <c r="B135" s="2" t="s">
        <v>1233</v>
      </c>
      <c r="C135" s="2" t="s">
        <v>1234</v>
      </c>
      <c r="D135" s="2" t="s">
        <v>900</v>
      </c>
      <c r="F135" s="2" t="str">
        <f>LOOKUP(D135,Sheet3!A$1:A$32,Sheet3!B$1:B$32)</f>
        <v>CAN</v>
      </c>
      <c r="G135" s="2" t="s">
        <v>2484</v>
      </c>
      <c r="H135" s="2" t="s">
        <v>48</v>
      </c>
      <c r="I135" s="2" t="str" cm="1">
        <f t="array" ref="I135">IFERROR(playerPoints($H135,$F135,$G135,I$1),"")</f>
        <v/>
      </c>
      <c r="J135" s="2" t="str" cm="1">
        <f t="array" ref="J135">IFERROR(playerPoints($H135,$F135,$G135,J$1),"")</f>
        <v/>
      </c>
      <c r="K135" s="2" t="str" cm="1">
        <f t="array" ref="K135">IFERROR(playerPoints($H135,$F135,$G135,K$1),"")</f>
        <v/>
      </c>
      <c r="L135" s="2" t="str" cm="1">
        <f t="array" ref="L135">IFERROR(playerPoints($H135,$F135,$G135,L$1),"")</f>
        <v/>
      </c>
      <c r="M135" s="2" t="str" cm="1">
        <f t="array" ref="M135">IFERROR(playerPoints($H135,$F135,$G135,M$1),"")</f>
        <v/>
      </c>
      <c r="N135" s="2" t="str" cm="1">
        <f t="array" ref="N135">IFERROR(playerPoints($H135,$F135,$G135,N$1),"")</f>
        <v/>
      </c>
      <c r="O135" s="2" t="str" cm="1">
        <f t="array" ref="O135">IFERROR(playerPoints($H135,$F135,$G135,O$1),"")</f>
        <v/>
      </c>
      <c r="Q135" s="2">
        <f t="shared" si="2"/>
        <v>0</v>
      </c>
    </row>
    <row r="136" spans="1:17">
      <c r="A136" s="2">
        <v>135</v>
      </c>
      <c r="B136" s="2" t="s">
        <v>1235</v>
      </c>
      <c r="C136" s="2" t="s">
        <v>1236</v>
      </c>
      <c r="D136" s="2" t="s">
        <v>900</v>
      </c>
      <c r="F136" s="2" t="str">
        <f>LOOKUP(D136,Sheet3!A$1:A$32,Sheet3!B$1:B$32)</f>
        <v>CAN</v>
      </c>
      <c r="G136" s="2" t="s">
        <v>2485</v>
      </c>
      <c r="H136" s="2" t="s">
        <v>48</v>
      </c>
      <c r="I136" s="2" t="str" cm="1">
        <f t="array" ref="I136">IFERROR(playerPoints($H136,$F136,$G136,I$1),"")</f>
        <v/>
      </c>
      <c r="J136" s="2" t="str" cm="1">
        <f t="array" ref="J136">IFERROR(playerPoints($H136,$F136,$G136,J$1),"")</f>
        <v/>
      </c>
      <c r="K136" s="2" t="str" cm="1">
        <f t="array" ref="K136">IFERROR(playerPoints($H136,$F136,$G136,K$1),"")</f>
        <v/>
      </c>
      <c r="L136" s="2" t="str" cm="1">
        <f t="array" ref="L136">IFERROR(playerPoints($H136,$F136,$G136,L$1),"")</f>
        <v/>
      </c>
      <c r="M136" s="2" t="str" cm="1">
        <f t="array" ref="M136">IFERROR(playerPoints($H136,$F136,$G136,M$1),"")</f>
        <v/>
      </c>
      <c r="N136" s="2" t="str" cm="1">
        <f t="array" ref="N136">IFERROR(playerPoints($H136,$F136,$G136,N$1),"")</f>
        <v/>
      </c>
      <c r="O136" s="2" t="str" cm="1">
        <f t="array" ref="O136">IFERROR(playerPoints($H136,$F136,$G136,O$1),"")</f>
        <v/>
      </c>
      <c r="Q136" s="2">
        <f t="shared" si="2"/>
        <v>0</v>
      </c>
    </row>
    <row r="137" spans="1:17">
      <c r="A137" s="2">
        <v>136</v>
      </c>
      <c r="B137" s="2" t="s">
        <v>1237</v>
      </c>
      <c r="C137" s="2" t="s">
        <v>1238</v>
      </c>
      <c r="D137" s="2" t="s">
        <v>900</v>
      </c>
      <c r="F137" s="2" t="str">
        <f>LOOKUP(D137,Sheet3!A$1:A$32,Sheet3!B$1:B$32)</f>
        <v>CAN</v>
      </c>
      <c r="G137" s="2" t="s">
        <v>2486</v>
      </c>
      <c r="H137" s="2" t="s">
        <v>48</v>
      </c>
      <c r="I137" s="2" t="str" cm="1">
        <f t="array" ref="I137">IFERROR(playerPoints($H137,$F137,$G137,I$1),"")</f>
        <v/>
      </c>
      <c r="J137" s="2" t="str" cm="1">
        <f t="array" ref="J137">IFERROR(playerPoints($H137,$F137,$G137,J$1),"")</f>
        <v/>
      </c>
      <c r="K137" s="2" t="str" cm="1">
        <f t="array" ref="K137">IFERROR(playerPoints($H137,$F137,$G137,K$1),"")</f>
        <v/>
      </c>
      <c r="L137" s="2" t="str" cm="1">
        <f t="array" ref="L137">IFERROR(playerPoints($H137,$F137,$G137,L$1),"")</f>
        <v/>
      </c>
      <c r="M137" s="2" t="str" cm="1">
        <f t="array" ref="M137">IFERROR(playerPoints($H137,$F137,$G137,M$1),"")</f>
        <v/>
      </c>
      <c r="N137" s="2" t="str" cm="1">
        <f t="array" ref="N137">IFERROR(playerPoints($H137,$F137,$G137,N$1),"")</f>
        <v/>
      </c>
      <c r="O137" s="2" t="str" cm="1">
        <f t="array" ref="O137">IFERROR(playerPoints($H137,$F137,$G137,O$1),"")</f>
        <v/>
      </c>
      <c r="Q137" s="2">
        <f t="shared" si="2"/>
        <v>0</v>
      </c>
    </row>
    <row r="138" spans="1:17">
      <c r="A138" s="2">
        <v>137</v>
      </c>
      <c r="B138" s="2" t="s">
        <v>1239</v>
      </c>
      <c r="C138" s="2" t="s">
        <v>1240</v>
      </c>
      <c r="D138" s="2" t="s">
        <v>900</v>
      </c>
      <c r="F138" s="2" t="str">
        <f>LOOKUP(D138,Sheet3!A$1:A$32,Sheet3!B$1:B$32)</f>
        <v>CAN</v>
      </c>
      <c r="G138" s="2" t="s">
        <v>2487</v>
      </c>
      <c r="H138" s="2" t="s">
        <v>48</v>
      </c>
      <c r="I138" s="2" t="str" cm="1">
        <f t="array" ref="I138">IFERROR(playerPoints($H138,$F138,$G138,I$1),"")</f>
        <v/>
      </c>
      <c r="J138" s="2" t="str" cm="1">
        <f t="array" ref="J138">IFERROR(playerPoints($H138,$F138,$G138,J$1),"")</f>
        <v/>
      </c>
      <c r="K138" s="2" t="str" cm="1">
        <f t="array" ref="K138">IFERROR(playerPoints($H138,$F138,$G138,K$1),"")</f>
        <v/>
      </c>
      <c r="L138" s="2" t="str" cm="1">
        <f t="array" ref="L138">IFERROR(playerPoints($H138,$F138,$G138,L$1),"")</f>
        <v/>
      </c>
      <c r="M138" s="2" t="str" cm="1">
        <f t="array" ref="M138">IFERROR(playerPoints($H138,$F138,$G138,M$1),"")</f>
        <v/>
      </c>
      <c r="N138" s="2" t="str" cm="1">
        <f t="array" ref="N138">IFERROR(playerPoints($H138,$F138,$G138,N$1),"")</f>
        <v/>
      </c>
      <c r="O138" s="2" t="str" cm="1">
        <f t="array" ref="O138">IFERROR(playerPoints($H138,$F138,$G138,O$1),"")</f>
        <v/>
      </c>
      <c r="Q138" s="2">
        <f t="shared" si="2"/>
        <v>0</v>
      </c>
    </row>
    <row r="139" spans="1:17">
      <c r="A139" s="2">
        <v>138</v>
      </c>
      <c r="B139" s="2" t="s">
        <v>1241</v>
      </c>
      <c r="C139" s="2" t="s">
        <v>1242</v>
      </c>
      <c r="D139" s="2" t="s">
        <v>900</v>
      </c>
      <c r="F139" s="2" t="str">
        <f>LOOKUP(D139,Sheet3!A$1:A$32,Sheet3!B$1:B$32)</f>
        <v>CAN</v>
      </c>
      <c r="G139" s="2" t="s">
        <v>2488</v>
      </c>
      <c r="H139" s="2" t="s">
        <v>48</v>
      </c>
      <c r="I139" s="2" t="str" cm="1">
        <f t="array" ref="I139">IFERROR(playerPoints($H139,$F139,$G139,I$1),"")</f>
        <v/>
      </c>
      <c r="J139" s="2" t="str" cm="1">
        <f t="array" ref="J139">IFERROR(playerPoints($H139,$F139,$G139,J$1),"")</f>
        <v/>
      </c>
      <c r="K139" s="2" t="str" cm="1">
        <f t="array" ref="K139">IFERROR(playerPoints($H139,$F139,$G139,K$1),"")</f>
        <v/>
      </c>
      <c r="L139" s="2" t="str" cm="1">
        <f t="array" ref="L139">IFERROR(playerPoints($H139,$F139,$G139,L$1),"")</f>
        <v/>
      </c>
      <c r="M139" s="2" t="str" cm="1">
        <f t="array" ref="M139">IFERROR(playerPoints($H139,$F139,$G139,M$1),"")</f>
        <v/>
      </c>
      <c r="N139" s="2" t="str" cm="1">
        <f t="array" ref="N139">IFERROR(playerPoints($H139,$F139,$G139,N$1),"")</f>
        <v/>
      </c>
      <c r="O139" s="2" t="str" cm="1">
        <f t="array" ref="O139">IFERROR(playerPoints($H139,$F139,$G139,O$1),"")</f>
        <v/>
      </c>
      <c r="Q139" s="2">
        <f t="shared" si="2"/>
        <v>0</v>
      </c>
    </row>
    <row r="140" spans="1:17">
      <c r="A140" s="2">
        <v>139</v>
      </c>
      <c r="B140" s="2" t="s">
        <v>1243</v>
      </c>
      <c r="C140" s="2" t="s">
        <v>1244</v>
      </c>
      <c r="D140" s="2" t="s">
        <v>900</v>
      </c>
      <c r="F140" s="2" t="str">
        <f>LOOKUP(D140,Sheet3!A$1:A$32,Sheet3!B$1:B$32)</f>
        <v>CAN</v>
      </c>
      <c r="G140" s="2" t="s">
        <v>2489</v>
      </c>
      <c r="H140" s="2" t="s">
        <v>48</v>
      </c>
      <c r="I140" s="2" t="str" cm="1">
        <f t="array" ref="I140">IFERROR(playerPoints($H140,$F140,$G140,I$1),"")</f>
        <v/>
      </c>
      <c r="J140" s="2" t="str" cm="1">
        <f t="array" ref="J140">IFERROR(playerPoints($H140,$F140,$G140,J$1),"")</f>
        <v/>
      </c>
      <c r="K140" s="2" t="str" cm="1">
        <f t="array" ref="K140">IFERROR(playerPoints($H140,$F140,$G140,K$1),"")</f>
        <v/>
      </c>
      <c r="L140" s="2" t="str" cm="1">
        <f t="array" ref="L140">IFERROR(playerPoints($H140,$F140,$G140,L$1),"")</f>
        <v/>
      </c>
      <c r="M140" s="2" t="str" cm="1">
        <f t="array" ref="M140">IFERROR(playerPoints($H140,$F140,$G140,M$1),"")</f>
        <v/>
      </c>
      <c r="N140" s="2" t="str" cm="1">
        <f t="array" ref="N140">IFERROR(playerPoints($H140,$F140,$G140,N$1),"")</f>
        <v/>
      </c>
      <c r="O140" s="2" t="str" cm="1">
        <f t="array" ref="O140">IFERROR(playerPoints($H140,$F140,$G140,O$1),"")</f>
        <v/>
      </c>
      <c r="Q140" s="2">
        <f t="shared" si="2"/>
        <v>0</v>
      </c>
    </row>
    <row r="141" spans="1:17">
      <c r="A141" s="2">
        <v>140</v>
      </c>
      <c r="B141" s="2" t="s">
        <v>1082</v>
      </c>
      <c r="C141" s="2" t="s">
        <v>1245</v>
      </c>
      <c r="D141" s="2" t="s">
        <v>900</v>
      </c>
      <c r="F141" s="2" t="str">
        <f>LOOKUP(D141,Sheet3!A$1:A$32,Sheet3!B$1:B$32)</f>
        <v>CAN</v>
      </c>
      <c r="G141" s="2" t="s">
        <v>2490</v>
      </c>
      <c r="H141" s="2" t="s">
        <v>48</v>
      </c>
      <c r="I141" s="2" t="str" cm="1">
        <f t="array" ref="I141">IFERROR(playerPoints($H141,$F141,$G141,I$1),"")</f>
        <v/>
      </c>
      <c r="J141" s="2" t="str" cm="1">
        <f t="array" ref="J141">IFERROR(playerPoints($H141,$F141,$G141,J$1),"")</f>
        <v/>
      </c>
      <c r="K141" s="2" t="str" cm="1">
        <f t="array" ref="K141">IFERROR(playerPoints($H141,$F141,$G141,K$1),"")</f>
        <v/>
      </c>
      <c r="L141" s="2" t="str" cm="1">
        <f t="array" ref="L141">IFERROR(playerPoints($H141,$F141,$G141,L$1),"")</f>
        <v/>
      </c>
      <c r="M141" s="2" t="str" cm="1">
        <f t="array" ref="M141">IFERROR(playerPoints($H141,$F141,$G141,M$1),"")</f>
        <v/>
      </c>
      <c r="N141" s="2" t="str" cm="1">
        <f t="array" ref="N141">IFERROR(playerPoints($H141,$F141,$G141,N$1),"")</f>
        <v/>
      </c>
      <c r="O141" s="2" t="str" cm="1">
        <f t="array" ref="O141">IFERROR(playerPoints($H141,$F141,$G141,O$1),"")</f>
        <v/>
      </c>
      <c r="Q141" s="2">
        <f t="shared" si="2"/>
        <v>0</v>
      </c>
    </row>
    <row r="142" spans="1:17">
      <c r="A142" s="2">
        <v>141</v>
      </c>
      <c r="B142" s="2" t="s">
        <v>1207</v>
      </c>
      <c r="C142" s="2" t="s">
        <v>1246</v>
      </c>
      <c r="D142" s="2" t="s">
        <v>900</v>
      </c>
      <c r="F142" s="2" t="str">
        <f>LOOKUP(D142,Sheet3!A$1:A$32,Sheet3!B$1:B$32)</f>
        <v>CAN</v>
      </c>
      <c r="G142" s="2" t="s">
        <v>2491</v>
      </c>
      <c r="H142" s="2" t="s">
        <v>57</v>
      </c>
      <c r="I142" s="2" t="str" cm="1">
        <f t="array" ref="I142">IFERROR(playerPoints($H142,$F142,$G142,I$1),"")</f>
        <v/>
      </c>
      <c r="J142" s="2" t="str" cm="1">
        <f t="array" ref="J142">IFERROR(playerPoints($H142,$F142,$G142,J$1),"")</f>
        <v/>
      </c>
      <c r="K142" s="2" t="str" cm="1">
        <f t="array" ref="K142">IFERROR(playerPoints($H142,$F142,$G142,K$1),"")</f>
        <v/>
      </c>
      <c r="L142" s="2" t="str" cm="1">
        <f t="array" ref="L142">IFERROR(playerPoints($H142,$F142,$G142,L$1),"")</f>
        <v/>
      </c>
      <c r="M142" s="2" t="str" cm="1">
        <f t="array" ref="M142">IFERROR(playerPoints($H142,$F142,$G142,M$1),"")</f>
        <v/>
      </c>
      <c r="N142" s="2" t="str" cm="1">
        <f t="array" ref="N142">IFERROR(playerPoints($H142,$F142,$G142,N$1),"")</f>
        <v/>
      </c>
      <c r="O142" s="2" t="str" cm="1">
        <f t="array" ref="O142">IFERROR(playerPoints($H142,$F142,$G142,O$1),"")</f>
        <v/>
      </c>
      <c r="Q142" s="2">
        <f t="shared" si="2"/>
        <v>0</v>
      </c>
    </row>
    <row r="143" spans="1:17">
      <c r="A143" s="2">
        <v>142</v>
      </c>
      <c r="B143" s="2" t="s">
        <v>1247</v>
      </c>
      <c r="C143" s="2" t="s">
        <v>1248</v>
      </c>
      <c r="D143" s="2" t="s">
        <v>900</v>
      </c>
      <c r="F143" s="2" t="str">
        <f>LOOKUP(D143,Sheet3!A$1:A$32,Sheet3!B$1:B$32)</f>
        <v>CAN</v>
      </c>
      <c r="G143" s="2" t="s">
        <v>2492</v>
      </c>
      <c r="H143" s="2" t="s">
        <v>57</v>
      </c>
      <c r="I143" s="2" t="str" cm="1">
        <f t="array" ref="I143">IFERROR(playerPoints($H143,$F143,$G143,I$1),"")</f>
        <v/>
      </c>
      <c r="J143" s="2" t="str" cm="1">
        <f t="array" ref="J143">IFERROR(playerPoints($H143,$F143,$G143,J$1),"")</f>
        <v/>
      </c>
      <c r="K143" s="2" t="str" cm="1">
        <f t="array" ref="K143">IFERROR(playerPoints($H143,$F143,$G143,K$1),"")</f>
        <v/>
      </c>
      <c r="L143" s="2" t="str" cm="1">
        <f t="array" ref="L143">IFERROR(playerPoints($H143,$F143,$G143,L$1),"")</f>
        <v/>
      </c>
      <c r="M143" s="2" t="str" cm="1">
        <f t="array" ref="M143">IFERROR(playerPoints($H143,$F143,$G143,M$1),"")</f>
        <v/>
      </c>
      <c r="N143" s="2" t="str" cm="1">
        <f t="array" ref="N143">IFERROR(playerPoints($H143,$F143,$G143,N$1),"")</f>
        <v/>
      </c>
      <c r="O143" s="2" t="str" cm="1">
        <f t="array" ref="O143">IFERROR(playerPoints($H143,$F143,$G143,O$1),"")</f>
        <v/>
      </c>
      <c r="Q143" s="2">
        <f t="shared" si="2"/>
        <v>0</v>
      </c>
    </row>
    <row r="144" spans="1:17">
      <c r="A144" s="2">
        <v>143</v>
      </c>
      <c r="B144" s="2" t="s">
        <v>1249</v>
      </c>
      <c r="C144" s="2" t="s">
        <v>1250</v>
      </c>
      <c r="D144" s="2" t="s">
        <v>900</v>
      </c>
      <c r="F144" s="2" t="str">
        <f>LOOKUP(D144,Sheet3!A$1:A$32,Sheet3!B$1:B$32)</f>
        <v>CAN</v>
      </c>
      <c r="G144" s="2" t="s">
        <v>2493</v>
      </c>
      <c r="H144" s="2" t="s">
        <v>57</v>
      </c>
      <c r="I144" s="2" t="str" cm="1">
        <f t="array" ref="I144">IFERROR(playerPoints($H144,$F144,$G144,I$1),"")</f>
        <v/>
      </c>
      <c r="J144" s="2" t="str" cm="1">
        <f t="array" ref="J144">IFERROR(playerPoints($H144,$F144,$G144,J$1),"")</f>
        <v/>
      </c>
      <c r="K144" s="2" t="str" cm="1">
        <f t="array" ref="K144">IFERROR(playerPoints($H144,$F144,$G144,K$1),"")</f>
        <v/>
      </c>
      <c r="L144" s="2" t="str" cm="1">
        <f t="array" ref="L144">IFERROR(playerPoints($H144,$F144,$G144,L$1),"")</f>
        <v/>
      </c>
      <c r="M144" s="2" t="str" cm="1">
        <f t="array" ref="M144">IFERROR(playerPoints($H144,$F144,$G144,M$1),"")</f>
        <v/>
      </c>
      <c r="N144" s="2" t="str" cm="1">
        <f t="array" ref="N144">IFERROR(playerPoints($H144,$F144,$G144,N$1),"")</f>
        <v/>
      </c>
      <c r="O144" s="2" t="str" cm="1">
        <f t="array" ref="O144">IFERROR(playerPoints($H144,$F144,$G144,O$1),"")</f>
        <v/>
      </c>
      <c r="Q144" s="2">
        <f t="shared" si="2"/>
        <v>0</v>
      </c>
    </row>
    <row r="145" spans="1:17">
      <c r="A145" s="2">
        <v>144</v>
      </c>
      <c r="B145" s="2" t="s">
        <v>1251</v>
      </c>
      <c r="C145" s="2" t="s">
        <v>1252</v>
      </c>
      <c r="D145" s="2" t="s">
        <v>900</v>
      </c>
      <c r="F145" s="2" t="str">
        <f>LOOKUP(D145,Sheet3!A$1:A$32,Sheet3!B$1:B$32)</f>
        <v>CAN</v>
      </c>
      <c r="G145" s="2" t="s">
        <v>2494</v>
      </c>
      <c r="H145" s="2" t="s">
        <v>57</v>
      </c>
      <c r="I145" s="2" t="str" cm="1">
        <f t="array" ref="I145">IFERROR(playerPoints($H145,$F145,$G145,I$1),"")</f>
        <v/>
      </c>
      <c r="J145" s="2" t="str" cm="1">
        <f t="array" ref="J145">IFERROR(playerPoints($H145,$F145,$G145,J$1),"")</f>
        <v/>
      </c>
      <c r="K145" s="2" t="str" cm="1">
        <f t="array" ref="K145">IFERROR(playerPoints($H145,$F145,$G145,K$1),"")</f>
        <v/>
      </c>
      <c r="L145" s="2" t="str" cm="1">
        <f t="array" ref="L145">IFERROR(playerPoints($H145,$F145,$G145,L$1),"")</f>
        <v/>
      </c>
      <c r="M145" s="2" t="str" cm="1">
        <f t="array" ref="M145">IFERROR(playerPoints($H145,$F145,$G145,M$1),"")</f>
        <v/>
      </c>
      <c r="N145" s="2" t="str" cm="1">
        <f t="array" ref="N145">IFERROR(playerPoints($H145,$F145,$G145,N$1),"")</f>
        <v/>
      </c>
      <c r="O145" s="2" t="str" cm="1">
        <f t="array" ref="O145">IFERROR(playerPoints($H145,$F145,$G145,O$1),"")</f>
        <v/>
      </c>
      <c r="Q145" s="2">
        <f t="shared" si="2"/>
        <v>0</v>
      </c>
    </row>
    <row r="146" spans="1:17">
      <c r="A146" s="2">
        <v>145</v>
      </c>
      <c r="B146" s="2" t="s">
        <v>1253</v>
      </c>
      <c r="C146" s="2" t="s">
        <v>1254</v>
      </c>
      <c r="D146" s="2" t="s">
        <v>900</v>
      </c>
      <c r="F146" s="2" t="str">
        <f>LOOKUP(D146,Sheet3!A$1:A$32,Sheet3!B$1:B$32)</f>
        <v>CAN</v>
      </c>
      <c r="G146" s="2" t="s">
        <v>2495</v>
      </c>
      <c r="H146" s="2" t="s">
        <v>57</v>
      </c>
      <c r="I146" s="2" t="str" cm="1">
        <f t="array" ref="I146">IFERROR(playerPoints($H146,$F146,$G146,I$1),"")</f>
        <v/>
      </c>
      <c r="J146" s="2" t="str" cm="1">
        <f t="array" ref="J146">IFERROR(playerPoints($H146,$F146,$G146,J$1),"")</f>
        <v/>
      </c>
      <c r="K146" s="2" t="str" cm="1">
        <f t="array" ref="K146">IFERROR(playerPoints($H146,$F146,$G146,K$1),"")</f>
        <v/>
      </c>
      <c r="L146" s="2" t="str" cm="1">
        <f t="array" ref="L146">IFERROR(playerPoints($H146,$F146,$G146,L$1),"")</f>
        <v/>
      </c>
      <c r="M146" s="2" t="str" cm="1">
        <f t="array" ref="M146">IFERROR(playerPoints($H146,$F146,$G146,M$1),"")</f>
        <v/>
      </c>
      <c r="N146" s="2" t="str" cm="1">
        <f t="array" ref="N146">IFERROR(playerPoints($H146,$F146,$G146,N$1),"")</f>
        <v/>
      </c>
      <c r="O146" s="2" t="str" cm="1">
        <f t="array" ref="O146">IFERROR(playerPoints($H146,$F146,$G146,O$1),"")</f>
        <v/>
      </c>
      <c r="Q146" s="2">
        <f t="shared" si="2"/>
        <v>0</v>
      </c>
    </row>
    <row r="147" spans="1:17">
      <c r="A147" s="2">
        <v>146</v>
      </c>
      <c r="B147" s="2" t="s">
        <v>1255</v>
      </c>
      <c r="C147" s="2" t="s">
        <v>1256</v>
      </c>
      <c r="D147" s="2" t="s">
        <v>900</v>
      </c>
      <c r="F147" s="2" t="str">
        <f>LOOKUP(D147,Sheet3!A$1:A$32,Sheet3!B$1:B$32)</f>
        <v>CAN</v>
      </c>
      <c r="G147" s="2" t="s">
        <v>2496</v>
      </c>
      <c r="H147" s="2" t="s">
        <v>57</v>
      </c>
      <c r="I147" s="2" t="str" cm="1">
        <f t="array" ref="I147">IFERROR(playerPoints($H147,$F147,$G147,I$1),"")</f>
        <v/>
      </c>
      <c r="J147" s="2" t="str" cm="1">
        <f t="array" ref="J147">IFERROR(playerPoints($H147,$F147,$G147,J$1),"")</f>
        <v/>
      </c>
      <c r="K147" s="2" t="str" cm="1">
        <f t="array" ref="K147">IFERROR(playerPoints($H147,$F147,$G147,K$1),"")</f>
        <v/>
      </c>
      <c r="L147" s="2" t="str" cm="1">
        <f t="array" ref="L147">IFERROR(playerPoints($H147,$F147,$G147,L$1),"")</f>
        <v/>
      </c>
      <c r="M147" s="2" t="str" cm="1">
        <f t="array" ref="M147">IFERROR(playerPoints($H147,$F147,$G147,M$1),"")</f>
        <v/>
      </c>
      <c r="N147" s="2" t="str" cm="1">
        <f t="array" ref="N147">IFERROR(playerPoints($H147,$F147,$G147,N$1),"")</f>
        <v/>
      </c>
      <c r="O147" s="2" t="str" cm="1">
        <f t="array" ref="O147">IFERROR(playerPoints($H147,$F147,$G147,O$1),"")</f>
        <v/>
      </c>
      <c r="Q147" s="2">
        <f t="shared" si="2"/>
        <v>0</v>
      </c>
    </row>
    <row r="148" spans="1:17">
      <c r="A148" s="2">
        <v>147</v>
      </c>
      <c r="B148" s="2" t="s">
        <v>1257</v>
      </c>
      <c r="C148" s="2" t="s">
        <v>1258</v>
      </c>
      <c r="D148" s="2" t="s">
        <v>900</v>
      </c>
      <c r="F148" s="2" t="str">
        <f>LOOKUP(D148,Sheet3!A$1:A$32,Sheet3!B$1:B$32)</f>
        <v>CAN</v>
      </c>
      <c r="G148" s="2" t="s">
        <v>2497</v>
      </c>
      <c r="H148" s="2" t="s">
        <v>57</v>
      </c>
      <c r="I148" s="2" t="str" cm="1">
        <f t="array" ref="I148">IFERROR(playerPoints($H148,$F148,$G148,I$1),"")</f>
        <v/>
      </c>
      <c r="J148" s="2" t="str" cm="1">
        <f t="array" ref="J148">IFERROR(playerPoints($H148,$F148,$G148,J$1),"")</f>
        <v/>
      </c>
      <c r="K148" s="2" t="str" cm="1">
        <f t="array" ref="K148">IFERROR(playerPoints($H148,$F148,$G148,K$1),"")</f>
        <v/>
      </c>
      <c r="L148" s="2" t="str" cm="1">
        <f t="array" ref="L148">IFERROR(playerPoints($H148,$F148,$G148,L$1),"")</f>
        <v/>
      </c>
      <c r="M148" s="2" t="str" cm="1">
        <f t="array" ref="M148">IFERROR(playerPoints($H148,$F148,$G148,M$1),"")</f>
        <v/>
      </c>
      <c r="N148" s="2" t="str" cm="1">
        <f t="array" ref="N148">IFERROR(playerPoints($H148,$F148,$G148,N$1),"")</f>
        <v/>
      </c>
      <c r="O148" s="2" t="str" cm="1">
        <f t="array" ref="O148">IFERROR(playerPoints($H148,$F148,$G148,O$1),"")</f>
        <v/>
      </c>
      <c r="Q148" s="2">
        <f t="shared" si="2"/>
        <v>0</v>
      </c>
    </row>
    <row r="149" spans="1:17">
      <c r="A149" s="2">
        <v>148</v>
      </c>
      <c r="B149" s="2" t="s">
        <v>1259</v>
      </c>
      <c r="C149" s="2" t="s">
        <v>1260</v>
      </c>
      <c r="D149" s="2" t="s">
        <v>900</v>
      </c>
      <c r="F149" s="2" t="str">
        <f>LOOKUP(D149,Sheet3!A$1:A$32,Sheet3!B$1:B$32)</f>
        <v>CAN</v>
      </c>
      <c r="G149" s="2" t="s">
        <v>2498</v>
      </c>
      <c r="H149" s="2" t="s">
        <v>57</v>
      </c>
      <c r="I149" s="2" t="str" cm="1">
        <f t="array" ref="I149">IFERROR(playerPoints($H149,$F149,$G149,I$1),"")</f>
        <v/>
      </c>
      <c r="J149" s="2" t="str" cm="1">
        <f t="array" ref="J149">IFERROR(playerPoints($H149,$F149,$G149,J$1),"")</f>
        <v/>
      </c>
      <c r="K149" s="2" t="str" cm="1">
        <f t="array" ref="K149">IFERROR(playerPoints($H149,$F149,$G149,K$1),"")</f>
        <v/>
      </c>
      <c r="L149" s="2" t="str" cm="1">
        <f t="array" ref="L149">IFERROR(playerPoints($H149,$F149,$G149,L$1),"")</f>
        <v/>
      </c>
      <c r="M149" s="2" t="str" cm="1">
        <f t="array" ref="M149">IFERROR(playerPoints($H149,$F149,$G149,M$1),"")</f>
        <v/>
      </c>
      <c r="N149" s="2" t="str" cm="1">
        <f t="array" ref="N149">IFERROR(playerPoints($H149,$F149,$G149,N$1),"")</f>
        <v/>
      </c>
      <c r="O149" s="2" t="str" cm="1">
        <f t="array" ref="O149">IFERROR(playerPoints($H149,$F149,$G149,O$1),"")</f>
        <v/>
      </c>
      <c r="Q149" s="2">
        <f t="shared" si="2"/>
        <v>0</v>
      </c>
    </row>
    <row r="150" spans="1:17">
      <c r="A150" s="2">
        <v>149</v>
      </c>
      <c r="B150" s="2" t="s">
        <v>1261</v>
      </c>
      <c r="C150" s="2" t="s">
        <v>1262</v>
      </c>
      <c r="D150" s="2" t="s">
        <v>900</v>
      </c>
      <c r="F150" s="2" t="str">
        <f>LOOKUP(D150,Sheet3!A$1:A$32,Sheet3!B$1:B$32)</f>
        <v>CAN</v>
      </c>
      <c r="G150" s="2" t="s">
        <v>2499</v>
      </c>
      <c r="H150" s="2" t="s">
        <v>57</v>
      </c>
      <c r="I150" s="2" t="str" cm="1">
        <f t="array" ref="I150">IFERROR(playerPoints($H150,$F150,$G150,I$1),"")</f>
        <v/>
      </c>
      <c r="J150" s="2" t="str" cm="1">
        <f t="array" ref="J150">IFERROR(playerPoints($H150,$F150,$G150,J$1),"")</f>
        <v/>
      </c>
      <c r="K150" s="2" t="str" cm="1">
        <f t="array" ref="K150">IFERROR(playerPoints($H150,$F150,$G150,K$1),"")</f>
        <v/>
      </c>
      <c r="L150" s="2" t="str" cm="1">
        <f t="array" ref="L150">IFERROR(playerPoints($H150,$F150,$G150,L$1),"")</f>
        <v/>
      </c>
      <c r="M150" s="2" t="str" cm="1">
        <f t="array" ref="M150">IFERROR(playerPoints($H150,$F150,$G150,M$1),"")</f>
        <v/>
      </c>
      <c r="N150" s="2" t="str" cm="1">
        <f t="array" ref="N150">IFERROR(playerPoints($H150,$F150,$G150,N$1),"")</f>
        <v/>
      </c>
      <c r="O150" s="2" t="str" cm="1">
        <f t="array" ref="O150">IFERROR(playerPoints($H150,$F150,$G150,O$1),"")</f>
        <v/>
      </c>
      <c r="Q150" s="2">
        <f t="shared" si="2"/>
        <v>0</v>
      </c>
    </row>
    <row r="151" spans="1:17">
      <c r="A151" s="2">
        <v>150</v>
      </c>
      <c r="B151" s="2" t="s">
        <v>1170</v>
      </c>
      <c r="C151" s="2" t="s">
        <v>1263</v>
      </c>
      <c r="D151" s="2" t="s">
        <v>900</v>
      </c>
      <c r="F151" s="2" t="str">
        <f>LOOKUP(D151,Sheet3!A$1:A$32,Sheet3!B$1:B$32)</f>
        <v>CAN</v>
      </c>
      <c r="G151" s="2" t="s">
        <v>2500</v>
      </c>
      <c r="H151" s="2" t="s">
        <v>66</v>
      </c>
      <c r="I151" s="2" t="str" cm="1">
        <f t="array" ref="I151">IFERROR(playerPoints($H151,$F151,$G151,I$1),"")</f>
        <v/>
      </c>
      <c r="J151" s="2" t="str" cm="1">
        <f t="array" ref="J151">IFERROR(playerPoints($H151,$F151,$G151,J$1),"")</f>
        <v/>
      </c>
      <c r="K151" s="2" t="str" cm="1">
        <f t="array" ref="K151">IFERROR(playerPoints($H151,$F151,$G151,K$1),"")</f>
        <v/>
      </c>
      <c r="L151" s="2" t="str" cm="1">
        <f t="array" ref="L151">IFERROR(playerPoints($H151,$F151,$G151,L$1),"")</f>
        <v/>
      </c>
      <c r="M151" s="2" t="str" cm="1">
        <f t="array" ref="M151">IFERROR(playerPoints($H151,$F151,$G151,M$1),"")</f>
        <v/>
      </c>
      <c r="N151" s="2" t="str" cm="1">
        <f t="array" ref="N151">IFERROR(playerPoints($H151,$F151,$G151,N$1),"")</f>
        <v/>
      </c>
      <c r="O151" s="2" t="str" cm="1">
        <f t="array" ref="O151">IFERROR(playerPoints($H151,$F151,$G151,O$1),"")</f>
        <v/>
      </c>
      <c r="Q151" s="2">
        <f t="shared" si="2"/>
        <v>0</v>
      </c>
    </row>
    <row r="152" spans="1:17">
      <c r="A152" s="2">
        <v>151</v>
      </c>
      <c r="B152" s="2" t="s">
        <v>1264</v>
      </c>
      <c r="C152" s="2" t="s">
        <v>1265</v>
      </c>
      <c r="D152" s="2" t="s">
        <v>900</v>
      </c>
      <c r="F152" s="2" t="str">
        <f>LOOKUP(D152,Sheet3!A$1:A$32,Sheet3!B$1:B$32)</f>
        <v>CAN</v>
      </c>
      <c r="G152" s="2" t="s">
        <v>2501</v>
      </c>
      <c r="H152" s="2" t="s">
        <v>66</v>
      </c>
      <c r="I152" s="2" t="str" cm="1">
        <f t="array" ref="I152">IFERROR(playerPoints($H152,$F152,$G152,I$1),"")</f>
        <v/>
      </c>
      <c r="J152" s="2" t="str" cm="1">
        <f t="array" ref="J152">IFERROR(playerPoints($H152,$F152,$G152,J$1),"")</f>
        <v/>
      </c>
      <c r="K152" s="2" t="str" cm="1">
        <f t="array" ref="K152">IFERROR(playerPoints($H152,$F152,$G152,K$1),"")</f>
        <v/>
      </c>
      <c r="L152" s="2" t="str" cm="1">
        <f t="array" ref="L152">IFERROR(playerPoints($H152,$F152,$G152,L$1),"")</f>
        <v/>
      </c>
      <c r="M152" s="2" t="str" cm="1">
        <f t="array" ref="M152">IFERROR(playerPoints($H152,$F152,$G152,M$1),"")</f>
        <v/>
      </c>
      <c r="N152" s="2" t="str" cm="1">
        <f t="array" ref="N152">IFERROR(playerPoints($H152,$F152,$G152,N$1),"")</f>
        <v/>
      </c>
      <c r="O152" s="2" t="str" cm="1">
        <f t="array" ref="O152">IFERROR(playerPoints($H152,$F152,$G152,O$1),"")</f>
        <v/>
      </c>
      <c r="Q152" s="2">
        <f t="shared" si="2"/>
        <v>0</v>
      </c>
    </row>
    <row r="153" spans="1:17">
      <c r="A153" s="2">
        <v>152</v>
      </c>
      <c r="B153" s="2" t="s">
        <v>1266</v>
      </c>
      <c r="C153" s="2" t="s">
        <v>1267</v>
      </c>
      <c r="D153" s="2" t="s">
        <v>900</v>
      </c>
      <c r="F153" s="2" t="str">
        <f>LOOKUP(D153,Sheet3!A$1:A$32,Sheet3!B$1:B$32)</f>
        <v>CAN</v>
      </c>
      <c r="G153" s="2" t="s">
        <v>2502</v>
      </c>
      <c r="H153" s="2" t="s">
        <v>66</v>
      </c>
      <c r="I153" s="2" t="str" cm="1">
        <f t="array" ref="I153">IFERROR(playerPoints($H153,$F153,$G153,I$1),"")</f>
        <v/>
      </c>
      <c r="J153" s="2" t="str" cm="1">
        <f t="array" ref="J153">IFERROR(playerPoints($H153,$F153,$G153,J$1),"")</f>
        <v/>
      </c>
      <c r="K153" s="2" t="str" cm="1">
        <f t="array" ref="K153">IFERROR(playerPoints($H153,$F153,$G153,K$1),"")</f>
        <v/>
      </c>
      <c r="L153" s="2" t="str" cm="1">
        <f t="array" ref="L153">IFERROR(playerPoints($H153,$F153,$G153,L$1),"")</f>
        <v/>
      </c>
      <c r="M153" s="2" t="str" cm="1">
        <f t="array" ref="M153">IFERROR(playerPoints($H153,$F153,$G153,M$1),"")</f>
        <v/>
      </c>
      <c r="N153" s="2" t="str" cm="1">
        <f t="array" ref="N153">IFERROR(playerPoints($H153,$F153,$G153,N$1),"")</f>
        <v/>
      </c>
      <c r="O153" s="2" t="str" cm="1">
        <f t="array" ref="O153">IFERROR(playerPoints($H153,$F153,$G153,O$1),"")</f>
        <v/>
      </c>
      <c r="Q153" s="2">
        <f t="shared" si="2"/>
        <v>0</v>
      </c>
    </row>
    <row r="154" spans="1:17">
      <c r="A154" s="2">
        <v>153</v>
      </c>
      <c r="B154" s="2" t="s">
        <v>1268</v>
      </c>
      <c r="C154" s="2" t="s">
        <v>1269</v>
      </c>
      <c r="D154" s="2" t="s">
        <v>900</v>
      </c>
      <c r="F154" s="2" t="str">
        <f>LOOKUP(D154,Sheet3!A$1:A$32,Sheet3!B$1:B$32)</f>
        <v>CAN</v>
      </c>
      <c r="G154" s="2" t="s">
        <v>2503</v>
      </c>
      <c r="H154" s="2" t="s">
        <v>66</v>
      </c>
      <c r="I154" s="2" t="str" cm="1">
        <f t="array" ref="I154">IFERROR(playerPoints($H154,$F154,$G154,I$1),"")</f>
        <v/>
      </c>
      <c r="J154" s="2" t="str" cm="1">
        <f t="array" ref="J154">IFERROR(playerPoints($H154,$F154,$G154,J$1),"")</f>
        <v/>
      </c>
      <c r="K154" s="2" t="str" cm="1">
        <f t="array" ref="K154">IFERROR(playerPoints($H154,$F154,$G154,K$1),"")</f>
        <v/>
      </c>
      <c r="L154" s="2" t="str" cm="1">
        <f t="array" ref="L154">IFERROR(playerPoints($H154,$F154,$G154,L$1),"")</f>
        <v/>
      </c>
      <c r="M154" s="2" t="str" cm="1">
        <f t="array" ref="M154">IFERROR(playerPoints($H154,$F154,$G154,M$1),"")</f>
        <v/>
      </c>
      <c r="N154" s="2" t="str" cm="1">
        <f t="array" ref="N154">IFERROR(playerPoints($H154,$F154,$G154,N$1),"")</f>
        <v/>
      </c>
      <c r="O154" s="2" t="str" cm="1">
        <f t="array" ref="O154">IFERROR(playerPoints($H154,$F154,$G154,O$1),"")</f>
        <v/>
      </c>
      <c r="Q154" s="2">
        <f t="shared" si="2"/>
        <v>0</v>
      </c>
    </row>
    <row r="155" spans="1:17">
      <c r="A155" s="2">
        <v>154</v>
      </c>
      <c r="B155" s="2" t="s">
        <v>1270</v>
      </c>
      <c r="C155" s="2" t="s">
        <v>1271</v>
      </c>
      <c r="D155" s="2" t="s">
        <v>900</v>
      </c>
      <c r="F155" s="2" t="str">
        <f>LOOKUP(D155,Sheet3!A$1:A$32,Sheet3!B$1:B$32)</f>
        <v>CAN</v>
      </c>
      <c r="G155" s="2" t="s">
        <v>2504</v>
      </c>
      <c r="H155" s="2" t="s">
        <v>66</v>
      </c>
      <c r="I155" s="2" t="str" cm="1">
        <f t="array" ref="I155">IFERROR(playerPoints($H155,$F155,$G155,I$1),"")</f>
        <v/>
      </c>
      <c r="J155" s="2" t="str" cm="1">
        <f t="array" ref="J155">IFERROR(playerPoints($H155,$F155,$G155,J$1),"")</f>
        <v/>
      </c>
      <c r="K155" s="2" t="str" cm="1">
        <f t="array" ref="K155">IFERROR(playerPoints($H155,$F155,$G155,K$1),"")</f>
        <v/>
      </c>
      <c r="L155" s="2" t="str" cm="1">
        <f t="array" ref="L155">IFERROR(playerPoints($H155,$F155,$G155,L$1),"")</f>
        <v/>
      </c>
      <c r="M155" s="2" t="str" cm="1">
        <f t="array" ref="M155">IFERROR(playerPoints($H155,$F155,$G155,M$1),"")</f>
        <v/>
      </c>
      <c r="N155" s="2" t="str" cm="1">
        <f t="array" ref="N155">IFERROR(playerPoints($H155,$F155,$G155,N$1),"")</f>
        <v/>
      </c>
      <c r="O155" s="2" t="str" cm="1">
        <f t="array" ref="O155">IFERROR(playerPoints($H155,$F155,$G155,O$1),"")</f>
        <v/>
      </c>
      <c r="Q155" s="2">
        <f t="shared" si="2"/>
        <v>0</v>
      </c>
    </row>
    <row r="156" spans="1:17">
      <c r="A156" s="2">
        <v>155</v>
      </c>
      <c r="B156" s="2" t="s">
        <v>1259</v>
      </c>
      <c r="C156" s="2" t="s">
        <v>1261</v>
      </c>
      <c r="D156" s="2" t="s">
        <v>900</v>
      </c>
      <c r="F156" s="2" t="str">
        <f>LOOKUP(D156,Sheet3!A$1:A$32,Sheet3!B$1:B$32)</f>
        <v>CAN</v>
      </c>
      <c r="G156" s="2" t="s">
        <v>2505</v>
      </c>
      <c r="H156" s="2" t="s">
        <v>66</v>
      </c>
      <c r="I156" s="2" t="str" cm="1">
        <f t="array" ref="I156">IFERROR(playerPoints($H156,$F156,$G156,I$1),"")</f>
        <v/>
      </c>
      <c r="J156" s="2" t="str" cm="1">
        <f t="array" ref="J156">IFERROR(playerPoints($H156,$F156,$G156,J$1),"")</f>
        <v/>
      </c>
      <c r="K156" s="2" t="str" cm="1">
        <f t="array" ref="K156">IFERROR(playerPoints($H156,$F156,$G156,K$1),"")</f>
        <v/>
      </c>
      <c r="L156" s="2" t="str" cm="1">
        <f t="array" ref="L156">IFERROR(playerPoints($H156,$F156,$G156,L$1),"")</f>
        <v/>
      </c>
      <c r="M156" s="2" t="str" cm="1">
        <f t="array" ref="M156">IFERROR(playerPoints($H156,$F156,$G156,M$1),"")</f>
        <v/>
      </c>
      <c r="N156" s="2" t="str" cm="1">
        <f t="array" ref="N156">IFERROR(playerPoints($H156,$F156,$G156,N$1),"")</f>
        <v/>
      </c>
      <c r="O156" s="2" t="str" cm="1">
        <f t="array" ref="O156">IFERROR(playerPoints($H156,$F156,$G156,O$1),"")</f>
        <v/>
      </c>
      <c r="Q156" s="2">
        <f t="shared" si="2"/>
        <v>0</v>
      </c>
    </row>
    <row r="157" spans="1:17">
      <c r="A157" s="2">
        <v>156</v>
      </c>
      <c r="B157" s="2" t="s">
        <v>1249</v>
      </c>
      <c r="C157" s="2" t="s">
        <v>1272</v>
      </c>
      <c r="D157" s="2" t="s">
        <v>900</v>
      </c>
      <c r="F157" s="2" t="str">
        <f>LOOKUP(D157,Sheet3!A$1:A$32,Sheet3!B$1:B$32)</f>
        <v>CAN</v>
      </c>
      <c r="G157" s="2" t="s">
        <v>2506</v>
      </c>
      <c r="H157" s="2" t="s">
        <v>66</v>
      </c>
      <c r="I157" s="2" t="str" cm="1">
        <f t="array" ref="I157">IFERROR(playerPoints($H157,$F157,$G157,I$1),"")</f>
        <v/>
      </c>
      <c r="J157" s="2" t="str" cm="1">
        <f t="array" ref="J157">IFERROR(playerPoints($H157,$F157,$G157,J$1),"")</f>
        <v/>
      </c>
      <c r="K157" s="2" t="str" cm="1">
        <f t="array" ref="K157">IFERROR(playerPoints($H157,$F157,$G157,K$1),"")</f>
        <v/>
      </c>
      <c r="L157" s="2" t="str" cm="1">
        <f t="array" ref="L157">IFERROR(playerPoints($H157,$F157,$G157,L$1),"")</f>
        <v/>
      </c>
      <c r="M157" s="2" t="str" cm="1">
        <f t="array" ref="M157">IFERROR(playerPoints($H157,$F157,$G157,M$1),"")</f>
        <v/>
      </c>
      <c r="N157" s="2" t="str" cm="1">
        <f t="array" ref="N157">IFERROR(playerPoints($H157,$F157,$G157,N$1),"")</f>
        <v/>
      </c>
      <c r="O157" s="2" t="str" cm="1">
        <f t="array" ref="O157">IFERROR(playerPoints($H157,$F157,$G157,O$1),"")</f>
        <v/>
      </c>
      <c r="Q157" s="2">
        <f t="shared" si="2"/>
        <v>0</v>
      </c>
    </row>
    <row r="158" spans="1:17">
      <c r="A158" s="2">
        <v>157</v>
      </c>
      <c r="B158" s="2" t="s">
        <v>1273</v>
      </c>
      <c r="C158" s="2" t="s">
        <v>1274</v>
      </c>
      <c r="D158" s="2" t="s">
        <v>901</v>
      </c>
      <c r="F158" s="2" t="str">
        <f>LOOKUP(D158,Sheet3!A$1:A$32,Sheet3!B$1:B$32)</f>
        <v>CRC</v>
      </c>
      <c r="G158" s="2" t="s">
        <v>2507</v>
      </c>
      <c r="H158" s="2" t="s">
        <v>44</v>
      </c>
      <c r="I158" s="2" t="str" cm="1">
        <f t="array" ref="I158">IFERROR(playerPoints($H158,$F158,$G158,I$1),"")</f>
        <v/>
      </c>
      <c r="J158" s="2" t="str" cm="1">
        <f t="array" ref="J158">IFERROR(playerPoints($H158,$F158,$G158,J$1),"")</f>
        <v/>
      </c>
      <c r="K158" s="2" t="str" cm="1">
        <f t="array" ref="K158">IFERROR(playerPoints($H158,$F158,$G158,K$1),"")</f>
        <v/>
      </c>
      <c r="L158" s="2" t="str" cm="1">
        <f t="array" ref="L158">IFERROR(playerPoints($H158,$F158,$G158,L$1),"")</f>
        <v/>
      </c>
      <c r="M158" s="2" t="str" cm="1">
        <f t="array" ref="M158">IFERROR(playerPoints($H158,$F158,$G158,M$1),"")</f>
        <v/>
      </c>
      <c r="N158" s="2" t="str" cm="1">
        <f t="array" ref="N158">IFERROR(playerPoints($H158,$F158,$G158,N$1),"")</f>
        <v/>
      </c>
      <c r="O158" s="2" t="str" cm="1">
        <f t="array" ref="O158">IFERROR(playerPoints($H158,$F158,$G158,O$1),"")</f>
        <v/>
      </c>
      <c r="Q158" s="2">
        <f t="shared" si="2"/>
        <v>0</v>
      </c>
    </row>
    <row r="159" spans="1:17">
      <c r="A159" s="2">
        <v>158</v>
      </c>
      <c r="B159" s="2" t="s">
        <v>1275</v>
      </c>
      <c r="C159" s="2" t="s">
        <v>1276</v>
      </c>
      <c r="D159" s="2" t="s">
        <v>901</v>
      </c>
      <c r="F159" s="2" t="str">
        <f>LOOKUP(D159,Sheet3!A$1:A$32,Sheet3!B$1:B$32)</f>
        <v>CRC</v>
      </c>
      <c r="G159" s="2" t="s">
        <v>2508</v>
      </c>
      <c r="H159" s="2" t="s">
        <v>44</v>
      </c>
      <c r="I159" s="2" t="str" cm="1">
        <f t="array" ref="I159">IFERROR(playerPoints($H159,$F159,$G159,I$1),"")</f>
        <v/>
      </c>
      <c r="J159" s="2" t="str" cm="1">
        <f t="array" ref="J159">IFERROR(playerPoints($H159,$F159,$G159,J$1),"")</f>
        <v/>
      </c>
      <c r="K159" s="2" t="str" cm="1">
        <f t="array" ref="K159">IFERROR(playerPoints($H159,$F159,$G159,K$1),"")</f>
        <v/>
      </c>
      <c r="L159" s="2" t="str" cm="1">
        <f t="array" ref="L159">IFERROR(playerPoints($H159,$F159,$G159,L$1),"")</f>
        <v/>
      </c>
      <c r="M159" s="2" t="str" cm="1">
        <f t="array" ref="M159">IFERROR(playerPoints($H159,$F159,$G159,M$1),"")</f>
        <v/>
      </c>
      <c r="N159" s="2" t="str" cm="1">
        <f t="array" ref="N159">IFERROR(playerPoints($H159,$F159,$G159,N$1),"")</f>
        <v/>
      </c>
      <c r="O159" s="2" t="str" cm="1">
        <f t="array" ref="O159">IFERROR(playerPoints($H159,$F159,$G159,O$1),"")</f>
        <v/>
      </c>
      <c r="Q159" s="2">
        <f t="shared" si="2"/>
        <v>0</v>
      </c>
    </row>
    <row r="160" spans="1:17">
      <c r="A160" s="2">
        <v>159</v>
      </c>
      <c r="B160" s="2" t="s">
        <v>1277</v>
      </c>
      <c r="C160" s="2" t="s">
        <v>1278</v>
      </c>
      <c r="D160" s="2" t="s">
        <v>901</v>
      </c>
      <c r="F160" s="2" t="str">
        <f>LOOKUP(D160,Sheet3!A$1:A$32,Sheet3!B$1:B$32)</f>
        <v>CRC</v>
      </c>
      <c r="G160" s="2" t="s">
        <v>2509</v>
      </c>
      <c r="H160" s="2" t="s">
        <v>44</v>
      </c>
      <c r="I160" s="2" t="str" cm="1">
        <f t="array" ref="I160">IFERROR(playerPoints($H160,$F160,$G160,I$1),"")</f>
        <v/>
      </c>
      <c r="J160" s="2" t="str" cm="1">
        <f t="array" ref="J160">IFERROR(playerPoints($H160,$F160,$G160,J$1),"")</f>
        <v/>
      </c>
      <c r="K160" s="2" t="str" cm="1">
        <f t="array" ref="K160">IFERROR(playerPoints($H160,$F160,$G160,K$1),"")</f>
        <v/>
      </c>
      <c r="L160" s="2" t="str" cm="1">
        <f t="array" ref="L160">IFERROR(playerPoints($H160,$F160,$G160,L$1),"")</f>
        <v/>
      </c>
      <c r="M160" s="2" t="str" cm="1">
        <f t="array" ref="M160">IFERROR(playerPoints($H160,$F160,$G160,M$1),"")</f>
        <v/>
      </c>
      <c r="N160" s="2" t="str" cm="1">
        <f t="array" ref="N160">IFERROR(playerPoints($H160,$F160,$G160,N$1),"")</f>
        <v/>
      </c>
      <c r="O160" s="2" t="str" cm="1">
        <f t="array" ref="O160">IFERROR(playerPoints($H160,$F160,$G160,O$1),"")</f>
        <v/>
      </c>
      <c r="Q160" s="2">
        <f t="shared" si="2"/>
        <v>0</v>
      </c>
    </row>
    <row r="161" spans="1:17">
      <c r="A161" s="2">
        <v>160</v>
      </c>
      <c r="B161" s="2" t="s">
        <v>1018</v>
      </c>
      <c r="C161" s="2" t="s">
        <v>1279</v>
      </c>
      <c r="D161" s="2" t="s">
        <v>901</v>
      </c>
      <c r="F161" s="2" t="str">
        <f>LOOKUP(D161,Sheet3!A$1:A$32,Sheet3!B$1:B$32)</f>
        <v>CRC</v>
      </c>
      <c r="G161" s="2" t="s">
        <v>2510</v>
      </c>
      <c r="H161" s="2" t="s">
        <v>48</v>
      </c>
      <c r="I161" s="2" t="str" cm="1">
        <f t="array" ref="I161">IFERROR(playerPoints($H161,$F161,$G161,I$1),"")</f>
        <v/>
      </c>
      <c r="J161" s="2" t="str" cm="1">
        <f t="array" ref="J161">IFERROR(playerPoints($H161,$F161,$G161,J$1),"")</f>
        <v/>
      </c>
      <c r="K161" s="2" t="str" cm="1">
        <f t="array" ref="K161">IFERROR(playerPoints($H161,$F161,$G161,K$1),"")</f>
        <v/>
      </c>
      <c r="L161" s="2" t="str" cm="1">
        <f t="array" ref="L161">IFERROR(playerPoints($H161,$F161,$G161,L$1),"")</f>
        <v/>
      </c>
      <c r="M161" s="2" t="str" cm="1">
        <f t="array" ref="M161">IFERROR(playerPoints($H161,$F161,$G161,M$1),"")</f>
        <v/>
      </c>
      <c r="N161" s="2" t="str" cm="1">
        <f t="array" ref="N161">IFERROR(playerPoints($H161,$F161,$G161,N$1),"")</f>
        <v/>
      </c>
      <c r="O161" s="2" t="str" cm="1">
        <f t="array" ref="O161">IFERROR(playerPoints($H161,$F161,$G161,O$1),"")</f>
        <v/>
      </c>
      <c r="Q161" s="2">
        <f t="shared" si="2"/>
        <v>0</v>
      </c>
    </row>
    <row r="162" spans="1:17">
      <c r="A162" s="2">
        <v>161</v>
      </c>
      <c r="B162" s="2" t="s">
        <v>1280</v>
      </c>
      <c r="C162" s="2" t="s">
        <v>1281</v>
      </c>
      <c r="D162" s="2" t="s">
        <v>901</v>
      </c>
      <c r="F162" s="2" t="str">
        <f>LOOKUP(D162,Sheet3!A$1:A$32,Sheet3!B$1:B$32)</f>
        <v>CRC</v>
      </c>
      <c r="G162" s="2" t="s">
        <v>2511</v>
      </c>
      <c r="H162" s="2" t="s">
        <v>48</v>
      </c>
      <c r="I162" s="2" t="str" cm="1">
        <f t="array" ref="I162">IFERROR(playerPoints($H162,$F162,$G162,I$1),"")</f>
        <v/>
      </c>
      <c r="J162" s="2" t="str" cm="1">
        <f t="array" ref="J162">IFERROR(playerPoints($H162,$F162,$G162,J$1),"")</f>
        <v/>
      </c>
      <c r="K162" s="2" t="str" cm="1">
        <f t="array" ref="K162">IFERROR(playerPoints($H162,$F162,$G162,K$1),"")</f>
        <v/>
      </c>
      <c r="L162" s="2" t="str" cm="1">
        <f t="array" ref="L162">IFERROR(playerPoints($H162,$F162,$G162,L$1),"")</f>
        <v/>
      </c>
      <c r="M162" s="2" t="str" cm="1">
        <f t="array" ref="M162">IFERROR(playerPoints($H162,$F162,$G162,M$1),"")</f>
        <v/>
      </c>
      <c r="N162" s="2" t="str" cm="1">
        <f t="array" ref="N162">IFERROR(playerPoints($H162,$F162,$G162,N$1),"")</f>
        <v/>
      </c>
      <c r="O162" s="2" t="str" cm="1">
        <f t="array" ref="O162">IFERROR(playerPoints($H162,$F162,$G162,O$1),"")</f>
        <v/>
      </c>
      <c r="Q162" s="2">
        <f t="shared" si="2"/>
        <v>0</v>
      </c>
    </row>
    <row r="163" spans="1:17">
      <c r="A163" s="2">
        <v>162</v>
      </c>
      <c r="B163" s="2" t="s">
        <v>1282</v>
      </c>
      <c r="C163" s="2" t="s">
        <v>1283</v>
      </c>
      <c r="D163" s="2" t="s">
        <v>901</v>
      </c>
      <c r="F163" s="2" t="str">
        <f>LOOKUP(D163,Sheet3!A$1:A$32,Sheet3!B$1:B$32)</f>
        <v>CRC</v>
      </c>
      <c r="G163" s="2" t="s">
        <v>2512</v>
      </c>
      <c r="H163" s="2" t="s">
        <v>48</v>
      </c>
      <c r="I163" s="2" t="str" cm="1">
        <f t="array" ref="I163">IFERROR(playerPoints($H163,$F163,$G163,I$1),"")</f>
        <v/>
      </c>
      <c r="J163" s="2" t="str" cm="1">
        <f t="array" ref="J163">IFERROR(playerPoints($H163,$F163,$G163,J$1),"")</f>
        <v/>
      </c>
      <c r="K163" s="2" t="str" cm="1">
        <f t="array" ref="K163">IFERROR(playerPoints($H163,$F163,$G163,K$1),"")</f>
        <v/>
      </c>
      <c r="L163" s="2" t="str" cm="1">
        <f t="array" ref="L163">IFERROR(playerPoints($H163,$F163,$G163,L$1),"")</f>
        <v/>
      </c>
      <c r="M163" s="2" t="str" cm="1">
        <f t="array" ref="M163">IFERROR(playerPoints($H163,$F163,$G163,M$1),"")</f>
        <v/>
      </c>
      <c r="N163" s="2" t="str" cm="1">
        <f t="array" ref="N163">IFERROR(playerPoints($H163,$F163,$G163,N$1),"")</f>
        <v/>
      </c>
      <c r="O163" s="2" t="str" cm="1">
        <f t="array" ref="O163">IFERROR(playerPoints($H163,$F163,$G163,O$1),"")</f>
        <v/>
      </c>
      <c r="Q163" s="2">
        <f t="shared" si="2"/>
        <v>0</v>
      </c>
    </row>
    <row r="164" spans="1:17">
      <c r="A164" s="2">
        <v>163</v>
      </c>
      <c r="B164" s="2" t="s">
        <v>1212</v>
      </c>
      <c r="C164" s="2" t="s">
        <v>1284</v>
      </c>
      <c r="D164" s="2" t="s">
        <v>901</v>
      </c>
      <c r="F164" s="2" t="str">
        <f>LOOKUP(D164,Sheet3!A$1:A$32,Sheet3!B$1:B$32)</f>
        <v>CRC</v>
      </c>
      <c r="G164" s="2" t="s">
        <v>2513</v>
      </c>
      <c r="H164" s="2" t="s">
        <v>48</v>
      </c>
      <c r="I164" s="2" t="str" cm="1">
        <f t="array" ref="I164">IFERROR(playerPoints($H164,$F164,$G164,I$1),"")</f>
        <v/>
      </c>
      <c r="J164" s="2" t="str" cm="1">
        <f t="array" ref="J164">IFERROR(playerPoints($H164,$F164,$G164,J$1),"")</f>
        <v/>
      </c>
      <c r="K164" s="2" t="str" cm="1">
        <f t="array" ref="K164">IFERROR(playerPoints($H164,$F164,$G164,K$1),"")</f>
        <v/>
      </c>
      <c r="L164" s="2" t="str" cm="1">
        <f t="array" ref="L164">IFERROR(playerPoints($H164,$F164,$G164,L$1),"")</f>
        <v/>
      </c>
      <c r="M164" s="2" t="str" cm="1">
        <f t="array" ref="M164">IFERROR(playerPoints($H164,$F164,$G164,M$1),"")</f>
        <v/>
      </c>
      <c r="N164" s="2" t="str" cm="1">
        <f t="array" ref="N164">IFERROR(playerPoints($H164,$F164,$G164,N$1),"")</f>
        <v/>
      </c>
      <c r="O164" s="2" t="str" cm="1">
        <f t="array" ref="O164">IFERROR(playerPoints($H164,$F164,$G164,O$1),"")</f>
        <v/>
      </c>
      <c r="Q164" s="2">
        <f t="shared" si="2"/>
        <v>0</v>
      </c>
    </row>
    <row r="165" spans="1:17">
      <c r="A165" s="2">
        <v>164</v>
      </c>
      <c r="B165" s="2" t="s">
        <v>1285</v>
      </c>
      <c r="C165" s="2" t="s">
        <v>1286</v>
      </c>
      <c r="D165" s="2" t="s">
        <v>901</v>
      </c>
      <c r="F165" s="2" t="str">
        <f>LOOKUP(D165,Sheet3!A$1:A$32,Sheet3!B$1:B$32)</f>
        <v>CRC</v>
      </c>
      <c r="G165" s="2" t="s">
        <v>2514</v>
      </c>
      <c r="H165" s="2" t="s">
        <v>48</v>
      </c>
      <c r="I165" s="2" t="str" cm="1">
        <f t="array" ref="I165">IFERROR(playerPoints($H165,$F165,$G165,I$1),"")</f>
        <v/>
      </c>
      <c r="J165" s="2" t="str" cm="1">
        <f t="array" ref="J165">IFERROR(playerPoints($H165,$F165,$G165,J$1),"")</f>
        <v/>
      </c>
      <c r="K165" s="2" t="str" cm="1">
        <f t="array" ref="K165">IFERROR(playerPoints($H165,$F165,$G165,K$1),"")</f>
        <v/>
      </c>
      <c r="L165" s="2" t="str" cm="1">
        <f t="array" ref="L165">IFERROR(playerPoints($H165,$F165,$G165,L$1),"")</f>
        <v/>
      </c>
      <c r="M165" s="2" t="str" cm="1">
        <f t="array" ref="M165">IFERROR(playerPoints($H165,$F165,$G165,M$1),"")</f>
        <v/>
      </c>
      <c r="N165" s="2" t="str" cm="1">
        <f t="array" ref="N165">IFERROR(playerPoints($H165,$F165,$G165,N$1),"")</f>
        <v/>
      </c>
      <c r="O165" s="2" t="str" cm="1">
        <f t="array" ref="O165">IFERROR(playerPoints($H165,$F165,$G165,O$1),"")</f>
        <v/>
      </c>
      <c r="Q165" s="2">
        <f t="shared" si="2"/>
        <v>0</v>
      </c>
    </row>
    <row r="166" spans="1:17">
      <c r="A166" s="2">
        <v>165</v>
      </c>
      <c r="B166" s="2" t="s">
        <v>1287</v>
      </c>
      <c r="C166" s="2" t="s">
        <v>1288</v>
      </c>
      <c r="D166" s="2" t="s">
        <v>901</v>
      </c>
      <c r="F166" s="2" t="str">
        <f>LOOKUP(D166,Sheet3!A$1:A$32,Sheet3!B$1:B$32)</f>
        <v>CRC</v>
      </c>
      <c r="G166" s="2" t="s">
        <v>2515</v>
      </c>
      <c r="H166" s="2" t="s">
        <v>48</v>
      </c>
      <c r="I166" s="2" t="str" cm="1">
        <f t="array" ref="I166">IFERROR(playerPoints($H166,$F166,$G166,I$1),"")</f>
        <v/>
      </c>
      <c r="J166" s="2" t="str" cm="1">
        <f t="array" ref="J166">IFERROR(playerPoints($H166,$F166,$G166,J$1),"")</f>
        <v/>
      </c>
      <c r="K166" s="2" t="str" cm="1">
        <f t="array" ref="K166">IFERROR(playerPoints($H166,$F166,$G166,K$1),"")</f>
        <v/>
      </c>
      <c r="L166" s="2" t="str" cm="1">
        <f t="array" ref="L166">IFERROR(playerPoints($H166,$F166,$G166,L$1),"")</f>
        <v/>
      </c>
      <c r="M166" s="2" t="str" cm="1">
        <f t="array" ref="M166">IFERROR(playerPoints($H166,$F166,$G166,M$1),"")</f>
        <v/>
      </c>
      <c r="N166" s="2" t="str" cm="1">
        <f t="array" ref="N166">IFERROR(playerPoints($H166,$F166,$G166,N$1),"")</f>
        <v/>
      </c>
      <c r="O166" s="2" t="str" cm="1">
        <f t="array" ref="O166">IFERROR(playerPoints($H166,$F166,$G166,O$1),"")</f>
        <v/>
      </c>
      <c r="Q166" s="2">
        <f t="shared" si="2"/>
        <v>0</v>
      </c>
    </row>
    <row r="167" spans="1:17">
      <c r="A167" s="2">
        <v>166</v>
      </c>
      <c r="B167" s="2" t="s">
        <v>1289</v>
      </c>
      <c r="C167" s="2" t="s">
        <v>1290</v>
      </c>
      <c r="D167" s="2" t="s">
        <v>901</v>
      </c>
      <c r="F167" s="2" t="str">
        <f>LOOKUP(D167,Sheet3!A$1:A$32,Sheet3!B$1:B$32)</f>
        <v>CRC</v>
      </c>
      <c r="G167" s="2" t="s">
        <v>2516</v>
      </c>
      <c r="H167" s="2" t="s">
        <v>48</v>
      </c>
      <c r="I167" s="2" t="str" cm="1">
        <f t="array" ref="I167">IFERROR(playerPoints($H167,$F167,$G167,I$1),"")</f>
        <v/>
      </c>
      <c r="J167" s="2" t="str" cm="1">
        <f t="array" ref="J167">IFERROR(playerPoints($H167,$F167,$G167,J$1),"")</f>
        <v/>
      </c>
      <c r="K167" s="2" t="str" cm="1">
        <f t="array" ref="K167">IFERROR(playerPoints($H167,$F167,$G167,K$1),"")</f>
        <v/>
      </c>
      <c r="L167" s="2" t="str" cm="1">
        <f t="array" ref="L167">IFERROR(playerPoints($H167,$F167,$G167,L$1),"")</f>
        <v/>
      </c>
      <c r="M167" s="2" t="str" cm="1">
        <f t="array" ref="M167">IFERROR(playerPoints($H167,$F167,$G167,M$1),"")</f>
        <v/>
      </c>
      <c r="N167" s="2" t="str" cm="1">
        <f t="array" ref="N167">IFERROR(playerPoints($H167,$F167,$G167,N$1),"")</f>
        <v/>
      </c>
      <c r="O167" s="2" t="str" cm="1">
        <f t="array" ref="O167">IFERROR(playerPoints($H167,$F167,$G167,O$1),"")</f>
        <v/>
      </c>
      <c r="Q167" s="2">
        <f t="shared" si="2"/>
        <v>0</v>
      </c>
    </row>
    <row r="168" spans="1:17">
      <c r="A168" s="2">
        <v>167</v>
      </c>
      <c r="B168" s="2" t="s">
        <v>1291</v>
      </c>
      <c r="C168" s="2" t="s">
        <v>1292</v>
      </c>
      <c r="D168" s="2" t="s">
        <v>901</v>
      </c>
      <c r="F168" s="2" t="str">
        <f>LOOKUP(D168,Sheet3!A$1:A$32,Sheet3!B$1:B$32)</f>
        <v>CRC</v>
      </c>
      <c r="G168" s="2" t="s">
        <v>2517</v>
      </c>
      <c r="H168" s="2" t="s">
        <v>48</v>
      </c>
      <c r="I168" s="2" t="str" cm="1">
        <f t="array" ref="I168">IFERROR(playerPoints($H168,$F168,$G168,I$1),"")</f>
        <v/>
      </c>
      <c r="J168" s="2" t="str" cm="1">
        <f t="array" ref="J168">IFERROR(playerPoints($H168,$F168,$G168,J$1),"")</f>
        <v/>
      </c>
      <c r="K168" s="2" t="str" cm="1">
        <f t="array" ref="K168">IFERROR(playerPoints($H168,$F168,$G168,K$1),"")</f>
        <v/>
      </c>
      <c r="L168" s="2" t="str" cm="1">
        <f t="array" ref="L168">IFERROR(playerPoints($H168,$F168,$G168,L$1),"")</f>
        <v/>
      </c>
      <c r="M168" s="2" t="str" cm="1">
        <f t="array" ref="M168">IFERROR(playerPoints($H168,$F168,$G168,M$1),"")</f>
        <v/>
      </c>
      <c r="N168" s="2" t="str" cm="1">
        <f t="array" ref="N168">IFERROR(playerPoints($H168,$F168,$G168,N$1),"")</f>
        <v/>
      </c>
      <c r="O168" s="2" t="str" cm="1">
        <f t="array" ref="O168">IFERROR(playerPoints($H168,$F168,$G168,O$1),"")</f>
        <v/>
      </c>
      <c r="Q168" s="2">
        <f t="shared" si="2"/>
        <v>0</v>
      </c>
    </row>
    <row r="169" spans="1:17">
      <c r="A169" s="2">
        <v>168</v>
      </c>
      <c r="B169" s="2" t="s">
        <v>1293</v>
      </c>
      <c r="C169" s="2" t="s">
        <v>1294</v>
      </c>
      <c r="D169" s="2" t="s">
        <v>901</v>
      </c>
      <c r="F169" s="2" t="str">
        <f>LOOKUP(D169,Sheet3!A$1:A$32,Sheet3!B$1:B$32)</f>
        <v>CRC</v>
      </c>
      <c r="G169" s="2" t="s">
        <v>2518</v>
      </c>
      <c r="H169" s="2" t="s">
        <v>48</v>
      </c>
      <c r="I169" s="2" t="str" cm="1">
        <f t="array" ref="I169">IFERROR(playerPoints($H169,$F169,$G169,I$1),"")</f>
        <v/>
      </c>
      <c r="J169" s="2" t="str" cm="1">
        <f t="array" ref="J169">IFERROR(playerPoints($H169,$F169,$G169,J$1),"")</f>
        <v/>
      </c>
      <c r="K169" s="2" t="str" cm="1">
        <f t="array" ref="K169">IFERROR(playerPoints($H169,$F169,$G169,K$1),"")</f>
        <v/>
      </c>
      <c r="L169" s="2" t="str" cm="1">
        <f t="array" ref="L169">IFERROR(playerPoints($H169,$F169,$G169,L$1),"")</f>
        <v/>
      </c>
      <c r="M169" s="2" t="str" cm="1">
        <f t="array" ref="M169">IFERROR(playerPoints($H169,$F169,$G169,M$1),"")</f>
        <v/>
      </c>
      <c r="N169" s="2" t="str" cm="1">
        <f t="array" ref="N169">IFERROR(playerPoints($H169,$F169,$G169,N$1),"")</f>
        <v/>
      </c>
      <c r="O169" s="2" t="str" cm="1">
        <f t="array" ref="O169">IFERROR(playerPoints($H169,$F169,$G169,O$1),"")</f>
        <v/>
      </c>
      <c r="Q169" s="2">
        <f t="shared" si="2"/>
        <v>0</v>
      </c>
    </row>
    <row r="170" spans="1:17">
      <c r="A170" s="2">
        <v>169</v>
      </c>
      <c r="B170" s="2" t="s">
        <v>1295</v>
      </c>
      <c r="C170" s="2" t="s">
        <v>1296</v>
      </c>
      <c r="D170" s="2" t="s">
        <v>901</v>
      </c>
      <c r="F170" s="2" t="str">
        <f>LOOKUP(D170,Sheet3!A$1:A$32,Sheet3!B$1:B$32)</f>
        <v>CRC</v>
      </c>
      <c r="G170" s="2" t="s">
        <v>2519</v>
      </c>
      <c r="H170" s="2" t="s">
        <v>57</v>
      </c>
      <c r="I170" s="2" t="str" cm="1">
        <f t="array" ref="I170">IFERROR(playerPoints($H170,$F170,$G170,I$1),"")</f>
        <v/>
      </c>
      <c r="J170" s="2" t="str" cm="1">
        <f t="array" ref="J170">IFERROR(playerPoints($H170,$F170,$G170,J$1),"")</f>
        <v/>
      </c>
      <c r="K170" s="2" t="str" cm="1">
        <f t="array" ref="K170">IFERROR(playerPoints($H170,$F170,$G170,K$1),"")</f>
        <v/>
      </c>
      <c r="L170" s="2" t="str" cm="1">
        <f t="array" ref="L170">IFERROR(playerPoints($H170,$F170,$G170,L$1),"")</f>
        <v/>
      </c>
      <c r="M170" s="2" t="str" cm="1">
        <f t="array" ref="M170">IFERROR(playerPoints($H170,$F170,$G170,M$1),"")</f>
        <v/>
      </c>
      <c r="N170" s="2" t="str" cm="1">
        <f t="array" ref="N170">IFERROR(playerPoints($H170,$F170,$G170,N$1),"")</f>
        <v/>
      </c>
      <c r="O170" s="2" t="str" cm="1">
        <f t="array" ref="O170">IFERROR(playerPoints($H170,$F170,$G170,O$1),"")</f>
        <v/>
      </c>
      <c r="Q170" s="2">
        <f t="shared" si="2"/>
        <v>0</v>
      </c>
    </row>
    <row r="171" spans="1:17">
      <c r="A171" s="2">
        <v>170</v>
      </c>
      <c r="B171" s="2" t="s">
        <v>1297</v>
      </c>
      <c r="C171" s="2" t="s">
        <v>1298</v>
      </c>
      <c r="D171" s="2" t="s">
        <v>901</v>
      </c>
      <c r="F171" s="2" t="str">
        <f>LOOKUP(D171,Sheet3!A$1:A$32,Sheet3!B$1:B$32)</f>
        <v>CRC</v>
      </c>
      <c r="G171" s="2" t="s">
        <v>2520</v>
      </c>
      <c r="H171" s="2" t="s">
        <v>57</v>
      </c>
      <c r="I171" s="2" t="str" cm="1">
        <f t="array" ref="I171">IFERROR(playerPoints($H171,$F171,$G171,I$1),"")</f>
        <v/>
      </c>
      <c r="J171" s="2" t="str" cm="1">
        <f t="array" ref="J171">IFERROR(playerPoints($H171,$F171,$G171,J$1),"")</f>
        <v/>
      </c>
      <c r="K171" s="2" t="str" cm="1">
        <f t="array" ref="K171">IFERROR(playerPoints($H171,$F171,$G171,K$1),"")</f>
        <v/>
      </c>
      <c r="L171" s="2" t="str" cm="1">
        <f t="array" ref="L171">IFERROR(playerPoints($H171,$F171,$G171,L$1),"")</f>
        <v/>
      </c>
      <c r="M171" s="2" t="str" cm="1">
        <f t="array" ref="M171">IFERROR(playerPoints($H171,$F171,$G171,M$1),"")</f>
        <v/>
      </c>
      <c r="N171" s="2" t="str" cm="1">
        <f t="array" ref="N171">IFERROR(playerPoints($H171,$F171,$G171,N$1),"")</f>
        <v/>
      </c>
      <c r="O171" s="2" t="str" cm="1">
        <f t="array" ref="O171">IFERROR(playerPoints($H171,$F171,$G171,O$1),"")</f>
        <v/>
      </c>
      <c r="Q171" s="2">
        <f t="shared" si="2"/>
        <v>0</v>
      </c>
    </row>
    <row r="172" spans="1:17">
      <c r="A172" s="2">
        <v>171</v>
      </c>
      <c r="B172" s="2" t="s">
        <v>1299</v>
      </c>
      <c r="C172" s="2" t="s">
        <v>1300</v>
      </c>
      <c r="D172" s="2" t="s">
        <v>901</v>
      </c>
      <c r="F172" s="2" t="str">
        <f>LOOKUP(D172,Sheet3!A$1:A$32,Sheet3!B$1:B$32)</f>
        <v>CRC</v>
      </c>
      <c r="G172" s="2" t="s">
        <v>2521</v>
      </c>
      <c r="H172" s="2" t="s">
        <v>57</v>
      </c>
      <c r="I172" s="2" t="str" cm="1">
        <f t="array" ref="I172">IFERROR(playerPoints($H172,$F172,$G172,I$1),"")</f>
        <v/>
      </c>
      <c r="J172" s="2" t="str" cm="1">
        <f t="array" ref="J172">IFERROR(playerPoints($H172,$F172,$G172,J$1),"")</f>
        <v/>
      </c>
      <c r="K172" s="2" t="str" cm="1">
        <f t="array" ref="K172">IFERROR(playerPoints($H172,$F172,$G172,K$1),"")</f>
        <v/>
      </c>
      <c r="L172" s="2" t="str" cm="1">
        <f t="array" ref="L172">IFERROR(playerPoints($H172,$F172,$G172,L$1),"")</f>
        <v/>
      </c>
      <c r="M172" s="2" t="str" cm="1">
        <f t="array" ref="M172">IFERROR(playerPoints($H172,$F172,$G172,M$1),"")</f>
        <v/>
      </c>
      <c r="N172" s="2" t="str" cm="1">
        <f t="array" ref="N172">IFERROR(playerPoints($H172,$F172,$G172,N$1),"")</f>
        <v/>
      </c>
      <c r="O172" s="2" t="str" cm="1">
        <f t="array" ref="O172">IFERROR(playerPoints($H172,$F172,$G172,O$1),"")</f>
        <v/>
      </c>
      <c r="Q172" s="2">
        <f t="shared" si="2"/>
        <v>0</v>
      </c>
    </row>
    <row r="173" spans="1:17">
      <c r="A173" s="2">
        <v>172</v>
      </c>
      <c r="B173" s="2" t="s">
        <v>1301</v>
      </c>
      <c r="C173" s="2" t="s">
        <v>1302</v>
      </c>
      <c r="D173" s="2" t="s">
        <v>901</v>
      </c>
      <c r="F173" s="2" t="str">
        <f>LOOKUP(D173,Sheet3!A$1:A$32,Sheet3!B$1:B$32)</f>
        <v>CRC</v>
      </c>
      <c r="G173" s="2" t="s">
        <v>2522</v>
      </c>
      <c r="H173" s="2" t="s">
        <v>57</v>
      </c>
      <c r="I173" s="2" t="str" cm="1">
        <f t="array" ref="I173">IFERROR(playerPoints($H173,$F173,$G173,I$1),"")</f>
        <v/>
      </c>
      <c r="J173" s="2" t="str" cm="1">
        <f t="array" ref="J173">IFERROR(playerPoints($H173,$F173,$G173,J$1),"")</f>
        <v/>
      </c>
      <c r="K173" s="2" t="str" cm="1">
        <f t="array" ref="K173">IFERROR(playerPoints($H173,$F173,$G173,K$1),"")</f>
        <v/>
      </c>
      <c r="L173" s="2" t="str" cm="1">
        <f t="array" ref="L173">IFERROR(playerPoints($H173,$F173,$G173,L$1),"")</f>
        <v/>
      </c>
      <c r="M173" s="2" t="str" cm="1">
        <f t="array" ref="M173">IFERROR(playerPoints($H173,$F173,$G173,M$1),"")</f>
        <v/>
      </c>
      <c r="N173" s="2" t="str" cm="1">
        <f t="array" ref="N173">IFERROR(playerPoints($H173,$F173,$G173,N$1),"")</f>
        <v/>
      </c>
      <c r="O173" s="2" t="str" cm="1">
        <f t="array" ref="O173">IFERROR(playerPoints($H173,$F173,$G173,O$1),"")</f>
        <v/>
      </c>
      <c r="Q173" s="2">
        <f t="shared" si="2"/>
        <v>0</v>
      </c>
    </row>
    <row r="174" spans="1:17">
      <c r="A174" s="2">
        <v>173</v>
      </c>
      <c r="B174" s="2" t="s">
        <v>1303</v>
      </c>
      <c r="C174" s="2" t="s">
        <v>1304</v>
      </c>
      <c r="D174" s="2" t="s">
        <v>901</v>
      </c>
      <c r="F174" s="2" t="str">
        <f>LOOKUP(D174,Sheet3!A$1:A$32,Sheet3!B$1:B$32)</f>
        <v>CRC</v>
      </c>
      <c r="G174" s="2" t="s">
        <v>2523</v>
      </c>
      <c r="H174" s="2" t="s">
        <v>57</v>
      </c>
      <c r="I174" s="2" t="str" cm="1">
        <f t="array" ref="I174">IFERROR(playerPoints($H174,$F174,$G174,I$1),"")</f>
        <v/>
      </c>
      <c r="J174" s="2" t="str" cm="1">
        <f t="array" ref="J174">IFERROR(playerPoints($H174,$F174,$G174,J$1),"")</f>
        <v/>
      </c>
      <c r="K174" s="2" t="str" cm="1">
        <f t="array" ref="K174">IFERROR(playerPoints($H174,$F174,$G174,K$1),"")</f>
        <v/>
      </c>
      <c r="L174" s="2" t="str" cm="1">
        <f t="array" ref="L174">IFERROR(playerPoints($H174,$F174,$G174,L$1),"")</f>
        <v/>
      </c>
      <c r="M174" s="2" t="str" cm="1">
        <f t="array" ref="M174">IFERROR(playerPoints($H174,$F174,$G174,M$1),"")</f>
        <v/>
      </c>
      <c r="N174" s="2" t="str" cm="1">
        <f t="array" ref="N174">IFERROR(playerPoints($H174,$F174,$G174,N$1),"")</f>
        <v/>
      </c>
      <c r="O174" s="2" t="str" cm="1">
        <f t="array" ref="O174">IFERROR(playerPoints($H174,$F174,$G174,O$1),"")</f>
        <v/>
      </c>
      <c r="Q174" s="2">
        <f t="shared" si="2"/>
        <v>0</v>
      </c>
    </row>
    <row r="175" spans="1:17">
      <c r="A175" s="2">
        <v>174</v>
      </c>
      <c r="B175" s="2" t="s">
        <v>1305</v>
      </c>
      <c r="C175" s="2" t="s">
        <v>1306</v>
      </c>
      <c r="D175" s="2" t="s">
        <v>901</v>
      </c>
      <c r="F175" s="2" t="str">
        <f>LOOKUP(D175,Sheet3!A$1:A$32,Sheet3!B$1:B$32)</f>
        <v>CRC</v>
      </c>
      <c r="G175" s="2" t="s">
        <v>2524</v>
      </c>
      <c r="H175" s="2" t="s">
        <v>57</v>
      </c>
      <c r="I175" s="2" t="str" cm="1">
        <f t="array" ref="I175">IFERROR(playerPoints($H175,$F175,$G175,I$1),"")</f>
        <v/>
      </c>
      <c r="J175" s="2" t="str" cm="1">
        <f t="array" ref="J175">IFERROR(playerPoints($H175,$F175,$G175,J$1),"")</f>
        <v/>
      </c>
      <c r="K175" s="2" t="str" cm="1">
        <f t="array" ref="K175">IFERROR(playerPoints($H175,$F175,$G175,K$1),"")</f>
        <v/>
      </c>
      <c r="L175" s="2" t="str" cm="1">
        <f t="array" ref="L175">IFERROR(playerPoints($H175,$F175,$G175,L$1),"")</f>
        <v/>
      </c>
      <c r="M175" s="2" t="str" cm="1">
        <f t="array" ref="M175">IFERROR(playerPoints($H175,$F175,$G175,M$1),"")</f>
        <v/>
      </c>
      <c r="N175" s="2" t="str" cm="1">
        <f t="array" ref="N175">IFERROR(playerPoints($H175,$F175,$G175,N$1),"")</f>
        <v/>
      </c>
      <c r="O175" s="2" t="str" cm="1">
        <f t="array" ref="O175">IFERROR(playerPoints($H175,$F175,$G175,O$1),"")</f>
        <v/>
      </c>
      <c r="Q175" s="2">
        <f t="shared" si="2"/>
        <v>0</v>
      </c>
    </row>
    <row r="176" spans="1:17">
      <c r="A176" s="2">
        <v>175</v>
      </c>
      <c r="B176" s="2" t="s">
        <v>1307</v>
      </c>
      <c r="C176" s="2" t="s">
        <v>1308</v>
      </c>
      <c r="D176" s="2" t="s">
        <v>901</v>
      </c>
      <c r="F176" s="2" t="str">
        <f>LOOKUP(D176,Sheet3!A$1:A$32,Sheet3!B$1:B$32)</f>
        <v>CRC</v>
      </c>
      <c r="G176" s="2" t="s">
        <v>2525</v>
      </c>
      <c r="H176" s="2" t="s">
        <v>57</v>
      </c>
      <c r="I176" s="2" t="str" cm="1">
        <f t="array" ref="I176">IFERROR(playerPoints($H176,$F176,$G176,I$1),"")</f>
        <v/>
      </c>
      <c r="J176" s="2" t="str" cm="1">
        <f t="array" ref="J176">IFERROR(playerPoints($H176,$F176,$G176,J$1),"")</f>
        <v/>
      </c>
      <c r="K176" s="2" t="str" cm="1">
        <f t="array" ref="K176">IFERROR(playerPoints($H176,$F176,$G176,K$1),"")</f>
        <v/>
      </c>
      <c r="L176" s="2" t="str" cm="1">
        <f t="array" ref="L176">IFERROR(playerPoints($H176,$F176,$G176,L$1),"")</f>
        <v/>
      </c>
      <c r="M176" s="2" t="str" cm="1">
        <f t="array" ref="M176">IFERROR(playerPoints($H176,$F176,$G176,M$1),"")</f>
        <v/>
      </c>
      <c r="N176" s="2" t="str" cm="1">
        <f t="array" ref="N176">IFERROR(playerPoints($H176,$F176,$G176,N$1),"")</f>
        <v/>
      </c>
      <c r="O176" s="2" t="str" cm="1">
        <f t="array" ref="O176">IFERROR(playerPoints($H176,$F176,$G176,O$1),"")</f>
        <v/>
      </c>
      <c r="Q176" s="2">
        <f t="shared" si="2"/>
        <v>0</v>
      </c>
    </row>
    <row r="177" spans="1:17">
      <c r="A177" s="2">
        <v>176</v>
      </c>
      <c r="B177" s="2" t="s">
        <v>1309</v>
      </c>
      <c r="C177" s="2" t="s">
        <v>1310</v>
      </c>
      <c r="D177" s="2" t="s">
        <v>901</v>
      </c>
      <c r="F177" s="2" t="str">
        <f>LOOKUP(D177,Sheet3!A$1:A$32,Sheet3!B$1:B$32)</f>
        <v>CRC</v>
      </c>
      <c r="G177" s="2" t="s">
        <v>2526</v>
      </c>
      <c r="H177" s="2" t="s">
        <v>57</v>
      </c>
      <c r="I177" s="2" t="str" cm="1">
        <f t="array" ref="I177">IFERROR(playerPoints($H177,$F177,$G177,I$1),"")</f>
        <v/>
      </c>
      <c r="J177" s="2" t="str" cm="1">
        <f t="array" ref="J177">IFERROR(playerPoints($H177,$F177,$G177,J$1),"")</f>
        <v/>
      </c>
      <c r="K177" s="2" t="str" cm="1">
        <f t="array" ref="K177">IFERROR(playerPoints($H177,$F177,$G177,K$1),"")</f>
        <v/>
      </c>
      <c r="L177" s="2" t="str" cm="1">
        <f t="array" ref="L177">IFERROR(playerPoints($H177,$F177,$G177,L$1),"")</f>
        <v/>
      </c>
      <c r="M177" s="2" t="str" cm="1">
        <f t="array" ref="M177">IFERROR(playerPoints($H177,$F177,$G177,M$1),"")</f>
        <v/>
      </c>
      <c r="N177" s="2" t="str" cm="1">
        <f t="array" ref="N177">IFERROR(playerPoints($H177,$F177,$G177,N$1),"")</f>
        <v/>
      </c>
      <c r="O177" s="2" t="str" cm="1">
        <f t="array" ref="O177">IFERROR(playerPoints($H177,$F177,$G177,O$1),"")</f>
        <v/>
      </c>
      <c r="Q177" s="2">
        <f t="shared" si="2"/>
        <v>0</v>
      </c>
    </row>
    <row r="178" spans="1:17">
      <c r="A178" s="2">
        <v>177</v>
      </c>
      <c r="B178" s="2" t="s">
        <v>1311</v>
      </c>
      <c r="C178" s="2" t="s">
        <v>1312</v>
      </c>
      <c r="D178" s="2" t="s">
        <v>901</v>
      </c>
      <c r="F178" s="2" t="str">
        <f>LOOKUP(D178,Sheet3!A$1:A$32,Sheet3!B$1:B$32)</f>
        <v>CRC</v>
      </c>
      <c r="G178" s="2" t="s">
        <v>2527</v>
      </c>
      <c r="H178" s="2" t="s">
        <v>66</v>
      </c>
      <c r="I178" s="2" t="str" cm="1">
        <f t="array" ref="I178">IFERROR(playerPoints($H178,$F178,$G178,I$1),"")</f>
        <v/>
      </c>
      <c r="J178" s="2" t="str" cm="1">
        <f t="array" ref="J178">IFERROR(playerPoints($H178,$F178,$G178,J$1),"")</f>
        <v/>
      </c>
      <c r="K178" s="2" t="str" cm="1">
        <f t="array" ref="K178">IFERROR(playerPoints($H178,$F178,$G178,K$1),"")</f>
        <v/>
      </c>
      <c r="L178" s="2" t="str" cm="1">
        <f t="array" ref="L178">IFERROR(playerPoints($H178,$F178,$G178,L$1),"")</f>
        <v/>
      </c>
      <c r="M178" s="2" t="str" cm="1">
        <f t="array" ref="M178">IFERROR(playerPoints($H178,$F178,$G178,M$1),"")</f>
        <v/>
      </c>
      <c r="N178" s="2" t="str" cm="1">
        <f t="array" ref="N178">IFERROR(playerPoints($H178,$F178,$G178,N$1),"")</f>
        <v/>
      </c>
      <c r="O178" s="2" t="str" cm="1">
        <f t="array" ref="O178">IFERROR(playerPoints($H178,$F178,$G178,O$1),"")</f>
        <v/>
      </c>
      <c r="Q178" s="2">
        <f t="shared" si="2"/>
        <v>0</v>
      </c>
    </row>
    <row r="179" spans="1:17">
      <c r="A179" s="2">
        <v>178</v>
      </c>
      <c r="B179" s="2" t="s">
        <v>1313</v>
      </c>
      <c r="C179" s="2" t="s">
        <v>1314</v>
      </c>
      <c r="D179" s="2" t="s">
        <v>901</v>
      </c>
      <c r="F179" s="2" t="str">
        <f>LOOKUP(D179,Sheet3!A$1:A$32,Sheet3!B$1:B$32)</f>
        <v>CRC</v>
      </c>
      <c r="G179" s="2" t="s">
        <v>2528</v>
      </c>
      <c r="H179" s="2" t="s">
        <v>66</v>
      </c>
      <c r="I179" s="2" t="str" cm="1">
        <f t="array" ref="I179">IFERROR(playerPoints($H179,$F179,$G179,I$1),"")</f>
        <v/>
      </c>
      <c r="J179" s="2" t="str" cm="1">
        <f t="array" ref="J179">IFERROR(playerPoints($H179,$F179,$G179,J$1),"")</f>
        <v/>
      </c>
      <c r="K179" s="2" t="str" cm="1">
        <f t="array" ref="K179">IFERROR(playerPoints($H179,$F179,$G179,K$1),"")</f>
        <v/>
      </c>
      <c r="L179" s="2" t="str" cm="1">
        <f t="array" ref="L179">IFERROR(playerPoints($H179,$F179,$G179,L$1),"")</f>
        <v/>
      </c>
      <c r="M179" s="2" t="str" cm="1">
        <f t="array" ref="M179">IFERROR(playerPoints($H179,$F179,$G179,M$1),"")</f>
        <v/>
      </c>
      <c r="N179" s="2" t="str" cm="1">
        <f t="array" ref="N179">IFERROR(playerPoints($H179,$F179,$G179,N$1),"")</f>
        <v/>
      </c>
      <c r="O179" s="2" t="str" cm="1">
        <f t="array" ref="O179">IFERROR(playerPoints($H179,$F179,$G179,O$1),"")</f>
        <v/>
      </c>
      <c r="Q179" s="2">
        <f t="shared" si="2"/>
        <v>0</v>
      </c>
    </row>
    <row r="180" spans="1:17">
      <c r="A180" s="2">
        <v>179</v>
      </c>
      <c r="B180" s="2" t="s">
        <v>1212</v>
      </c>
      <c r="C180" s="2" t="s">
        <v>1315</v>
      </c>
      <c r="D180" s="2" t="s">
        <v>901</v>
      </c>
      <c r="F180" s="2" t="str">
        <f>LOOKUP(D180,Sheet3!A$1:A$32,Sheet3!B$1:B$32)</f>
        <v>CRC</v>
      </c>
      <c r="G180" s="2" t="s">
        <v>2529</v>
      </c>
      <c r="H180" s="2" t="s">
        <v>66</v>
      </c>
      <c r="I180" s="2" t="str" cm="1">
        <f t="array" ref="I180">IFERROR(playerPoints($H180,$F180,$G180,I$1),"")</f>
        <v/>
      </c>
      <c r="J180" s="2" t="str" cm="1">
        <f t="array" ref="J180">IFERROR(playerPoints($H180,$F180,$G180,J$1),"")</f>
        <v/>
      </c>
      <c r="K180" s="2" t="str" cm="1">
        <f t="array" ref="K180">IFERROR(playerPoints($H180,$F180,$G180,K$1),"")</f>
        <v/>
      </c>
      <c r="L180" s="2" t="str" cm="1">
        <f t="array" ref="L180">IFERROR(playerPoints($H180,$F180,$G180,L$1),"")</f>
        <v/>
      </c>
      <c r="M180" s="2" t="str" cm="1">
        <f t="array" ref="M180">IFERROR(playerPoints($H180,$F180,$G180,M$1),"")</f>
        <v/>
      </c>
      <c r="N180" s="2" t="str" cm="1">
        <f t="array" ref="N180">IFERROR(playerPoints($H180,$F180,$G180,N$1),"")</f>
        <v/>
      </c>
      <c r="O180" s="2" t="str" cm="1">
        <f t="array" ref="O180">IFERROR(playerPoints($H180,$F180,$G180,O$1),"")</f>
        <v/>
      </c>
      <c r="Q180" s="2">
        <f t="shared" si="2"/>
        <v>0</v>
      </c>
    </row>
    <row r="181" spans="1:17">
      <c r="A181" s="2">
        <v>180</v>
      </c>
      <c r="B181" s="2" t="s">
        <v>1082</v>
      </c>
      <c r="C181" s="2" t="s">
        <v>1316</v>
      </c>
      <c r="D181" s="2" t="s">
        <v>901</v>
      </c>
      <c r="F181" s="2" t="str">
        <f>LOOKUP(D181,Sheet3!A$1:A$32,Sheet3!B$1:B$32)</f>
        <v>CRC</v>
      </c>
      <c r="G181" s="2" t="s">
        <v>2530</v>
      </c>
      <c r="H181" s="2" t="s">
        <v>66</v>
      </c>
      <c r="I181" s="2" t="str" cm="1">
        <f t="array" ref="I181">IFERROR(playerPoints($H181,$F181,$G181,I$1),"")</f>
        <v/>
      </c>
      <c r="J181" s="2" t="str" cm="1">
        <f t="array" ref="J181">IFERROR(playerPoints($H181,$F181,$G181,J$1),"")</f>
        <v/>
      </c>
      <c r="K181" s="2" t="str" cm="1">
        <f t="array" ref="K181">IFERROR(playerPoints($H181,$F181,$G181,K$1),"")</f>
        <v/>
      </c>
      <c r="L181" s="2" t="str" cm="1">
        <f t="array" ref="L181">IFERROR(playerPoints($H181,$F181,$G181,L$1),"")</f>
        <v/>
      </c>
      <c r="M181" s="2" t="str" cm="1">
        <f t="array" ref="M181">IFERROR(playerPoints($H181,$F181,$G181,M$1),"")</f>
        <v/>
      </c>
      <c r="N181" s="2" t="str" cm="1">
        <f t="array" ref="N181">IFERROR(playerPoints($H181,$F181,$G181,N$1),"")</f>
        <v/>
      </c>
      <c r="O181" s="2" t="str" cm="1">
        <f t="array" ref="O181">IFERROR(playerPoints($H181,$F181,$G181,O$1),"")</f>
        <v/>
      </c>
      <c r="Q181" s="2">
        <f t="shared" si="2"/>
        <v>0</v>
      </c>
    </row>
    <row r="182" spans="1:17">
      <c r="A182" s="2">
        <v>181</v>
      </c>
      <c r="B182" s="2" t="s">
        <v>1317</v>
      </c>
      <c r="C182" s="2" t="s">
        <v>1318</v>
      </c>
      <c r="D182" s="2" t="s">
        <v>901</v>
      </c>
      <c r="F182" s="2" t="str">
        <f>LOOKUP(D182,Sheet3!A$1:A$32,Sheet3!B$1:B$32)</f>
        <v>CRC</v>
      </c>
      <c r="G182" s="2" t="s">
        <v>2531</v>
      </c>
      <c r="H182" s="2" t="s">
        <v>66</v>
      </c>
      <c r="I182" s="2" t="str" cm="1">
        <f t="array" ref="I182">IFERROR(playerPoints($H182,$F182,$G182,I$1),"")</f>
        <v/>
      </c>
      <c r="J182" s="2" t="str" cm="1">
        <f t="array" ref="J182">IFERROR(playerPoints($H182,$F182,$G182,J$1),"")</f>
        <v/>
      </c>
      <c r="K182" s="2" t="str" cm="1">
        <f t="array" ref="K182">IFERROR(playerPoints($H182,$F182,$G182,K$1),"")</f>
        <v/>
      </c>
      <c r="L182" s="2" t="str" cm="1">
        <f t="array" ref="L182">IFERROR(playerPoints($H182,$F182,$G182,L$1),"")</f>
        <v/>
      </c>
      <c r="M182" s="2" t="str" cm="1">
        <f t="array" ref="M182">IFERROR(playerPoints($H182,$F182,$G182,M$1),"")</f>
        <v/>
      </c>
      <c r="N182" s="2" t="str" cm="1">
        <f t="array" ref="N182">IFERROR(playerPoints($H182,$F182,$G182,N$1),"")</f>
        <v/>
      </c>
      <c r="O182" s="2" t="str" cm="1">
        <f t="array" ref="O182">IFERROR(playerPoints($H182,$F182,$G182,O$1),"")</f>
        <v/>
      </c>
      <c r="Q182" s="2">
        <f t="shared" si="2"/>
        <v>0</v>
      </c>
    </row>
    <row r="183" spans="1:17">
      <c r="A183" s="2">
        <v>182</v>
      </c>
      <c r="B183" s="2" t="s">
        <v>1311</v>
      </c>
      <c r="C183" s="2" t="s">
        <v>1319</v>
      </c>
      <c r="D183" s="2" t="s">
        <v>901</v>
      </c>
      <c r="F183" s="2" t="str">
        <f>LOOKUP(D183,Sheet3!A$1:A$32,Sheet3!B$1:B$32)</f>
        <v>CRC</v>
      </c>
      <c r="G183" s="2" t="s">
        <v>2532</v>
      </c>
      <c r="H183" s="2" t="s">
        <v>66</v>
      </c>
      <c r="I183" s="2" t="str" cm="1">
        <f t="array" ref="I183">IFERROR(playerPoints($H183,$F183,$G183,I$1),"")</f>
        <v/>
      </c>
      <c r="J183" s="2" t="str" cm="1">
        <f t="array" ref="J183">IFERROR(playerPoints($H183,$F183,$G183,J$1),"")</f>
        <v/>
      </c>
      <c r="K183" s="2" t="str" cm="1">
        <f t="array" ref="K183">IFERROR(playerPoints($H183,$F183,$G183,K$1),"")</f>
        <v/>
      </c>
      <c r="L183" s="2" t="str" cm="1">
        <f t="array" ref="L183">IFERROR(playerPoints($H183,$F183,$G183,L$1),"")</f>
        <v/>
      </c>
      <c r="M183" s="2" t="str" cm="1">
        <f t="array" ref="M183">IFERROR(playerPoints($H183,$F183,$G183,M$1),"")</f>
        <v/>
      </c>
      <c r="N183" s="2" t="str" cm="1">
        <f t="array" ref="N183">IFERROR(playerPoints($H183,$F183,$G183,N$1),"")</f>
        <v/>
      </c>
      <c r="O183" s="2" t="str" cm="1">
        <f t="array" ref="O183">IFERROR(playerPoints($H183,$F183,$G183,O$1),"")</f>
        <v/>
      </c>
      <c r="Q183" s="2">
        <f t="shared" si="2"/>
        <v>0</v>
      </c>
    </row>
    <row r="184" spans="1:17">
      <c r="A184" s="2">
        <v>183</v>
      </c>
      <c r="B184" s="2" t="s">
        <v>1320</v>
      </c>
      <c r="C184" s="2" t="s">
        <v>1321</v>
      </c>
      <c r="D184" s="2" t="s">
        <v>902</v>
      </c>
      <c r="F184" s="2" t="str">
        <f>LOOKUP(D184,Sheet3!A$1:A$32,Sheet3!B$1:B$32)</f>
        <v>CRO</v>
      </c>
      <c r="G184" s="2" t="s">
        <v>2533</v>
      </c>
      <c r="H184" s="2" t="s">
        <v>44</v>
      </c>
      <c r="I184" s="2" t="str" cm="1">
        <f t="array" ref="I184">IFERROR(playerPoints($H184,$F184,$G184,I$1),"")</f>
        <v/>
      </c>
      <c r="J184" s="2" t="str" cm="1">
        <f t="array" ref="J184">IFERROR(playerPoints($H184,$F184,$G184,J$1),"")</f>
        <v/>
      </c>
      <c r="K184" s="2" t="str" cm="1">
        <f t="array" ref="K184">IFERROR(playerPoints($H184,$F184,$G184,K$1),"")</f>
        <v/>
      </c>
      <c r="L184" s="2" t="str" cm="1">
        <f t="array" ref="L184">IFERROR(playerPoints($H184,$F184,$G184,L$1),"")</f>
        <v/>
      </c>
      <c r="M184" s="2" t="str" cm="1">
        <f t="array" ref="M184">IFERROR(playerPoints($H184,$F184,$G184,M$1),"")</f>
        <v/>
      </c>
      <c r="N184" s="2" t="str" cm="1">
        <f t="array" ref="N184">IFERROR(playerPoints($H184,$F184,$G184,N$1),"")</f>
        <v/>
      </c>
      <c r="O184" s="2" t="str" cm="1">
        <f t="array" ref="O184">IFERROR(playerPoints($H184,$F184,$G184,O$1),"")</f>
        <v/>
      </c>
      <c r="Q184" s="2">
        <f t="shared" si="2"/>
        <v>0</v>
      </c>
    </row>
    <row r="185" spans="1:17">
      <c r="A185" s="2">
        <v>184</v>
      </c>
      <c r="B185" s="2" t="s">
        <v>1322</v>
      </c>
      <c r="C185" s="2" t="s">
        <v>1323</v>
      </c>
      <c r="D185" s="2" t="s">
        <v>902</v>
      </c>
      <c r="F185" s="2" t="str">
        <f>LOOKUP(D185,Sheet3!A$1:A$32,Sheet3!B$1:B$32)</f>
        <v>CRO</v>
      </c>
      <c r="G185" s="2" t="s">
        <v>2534</v>
      </c>
      <c r="H185" s="2" t="s">
        <v>44</v>
      </c>
      <c r="I185" s="2" t="str" cm="1">
        <f t="array" ref="I185">IFERROR(playerPoints($H185,$F185,$G185,I$1),"")</f>
        <v/>
      </c>
      <c r="J185" s="2" t="str" cm="1">
        <f t="array" ref="J185">IFERROR(playerPoints($H185,$F185,$G185,J$1),"")</f>
        <v/>
      </c>
      <c r="K185" s="2" t="str" cm="1">
        <f t="array" ref="K185">IFERROR(playerPoints($H185,$F185,$G185,K$1),"")</f>
        <v/>
      </c>
      <c r="L185" s="2" t="str" cm="1">
        <f t="array" ref="L185">IFERROR(playerPoints($H185,$F185,$G185,L$1),"")</f>
        <v/>
      </c>
      <c r="M185" s="2" t="str" cm="1">
        <f t="array" ref="M185">IFERROR(playerPoints($H185,$F185,$G185,M$1),"")</f>
        <v/>
      </c>
      <c r="N185" s="2" t="str" cm="1">
        <f t="array" ref="N185">IFERROR(playerPoints($H185,$F185,$G185,N$1),"")</f>
        <v/>
      </c>
      <c r="O185" s="2" t="str" cm="1">
        <f t="array" ref="O185">IFERROR(playerPoints($H185,$F185,$G185,O$1),"")</f>
        <v/>
      </c>
      <c r="Q185" s="2">
        <f t="shared" si="2"/>
        <v>0</v>
      </c>
    </row>
    <row r="186" spans="1:17">
      <c r="A186" s="2">
        <v>185</v>
      </c>
      <c r="B186" s="2" t="s">
        <v>1324</v>
      </c>
      <c r="C186" s="2" t="s">
        <v>1325</v>
      </c>
      <c r="D186" s="2" t="s">
        <v>902</v>
      </c>
      <c r="F186" s="2" t="str">
        <f>LOOKUP(D186,Sheet3!A$1:A$32,Sheet3!B$1:B$32)</f>
        <v>CRO</v>
      </c>
      <c r="G186" s="2" t="s">
        <v>2535</v>
      </c>
      <c r="H186" s="2" t="s">
        <v>44</v>
      </c>
      <c r="I186" s="2" t="str" cm="1">
        <f t="array" ref="I186">IFERROR(playerPoints($H186,$F186,$G186,I$1),"")</f>
        <v/>
      </c>
      <c r="J186" s="2" t="str" cm="1">
        <f t="array" ref="J186">IFERROR(playerPoints($H186,$F186,$G186,J$1),"")</f>
        <v/>
      </c>
      <c r="K186" s="2" t="str" cm="1">
        <f t="array" ref="K186">IFERROR(playerPoints($H186,$F186,$G186,K$1),"")</f>
        <v/>
      </c>
      <c r="L186" s="2" t="str" cm="1">
        <f t="array" ref="L186">IFERROR(playerPoints($H186,$F186,$G186,L$1),"")</f>
        <v/>
      </c>
      <c r="M186" s="2" t="str" cm="1">
        <f t="array" ref="M186">IFERROR(playerPoints($H186,$F186,$G186,M$1),"")</f>
        <v/>
      </c>
      <c r="N186" s="2" t="str" cm="1">
        <f t="array" ref="N186">IFERROR(playerPoints($H186,$F186,$G186,N$1),"")</f>
        <v/>
      </c>
      <c r="O186" s="2" t="str" cm="1">
        <f t="array" ref="O186">IFERROR(playerPoints($H186,$F186,$G186,O$1),"")</f>
        <v/>
      </c>
      <c r="Q186" s="2">
        <f t="shared" si="2"/>
        <v>0</v>
      </c>
    </row>
    <row r="187" spans="1:17">
      <c r="A187" s="2">
        <v>186</v>
      </c>
      <c r="B187" s="2" t="s">
        <v>1326</v>
      </c>
      <c r="C187" s="2" t="s">
        <v>1327</v>
      </c>
      <c r="D187" s="2" t="s">
        <v>902</v>
      </c>
      <c r="F187" s="2" t="str">
        <f>LOOKUP(D187,Sheet3!A$1:A$32,Sheet3!B$1:B$32)</f>
        <v>CRO</v>
      </c>
      <c r="G187" s="2" t="s">
        <v>2536</v>
      </c>
      <c r="H187" s="2" t="s">
        <v>48</v>
      </c>
      <c r="I187" s="2" t="str" cm="1">
        <f t="array" ref="I187">IFERROR(playerPoints($H187,$F187,$G187,I$1),"")</f>
        <v/>
      </c>
      <c r="J187" s="2" t="str" cm="1">
        <f t="array" ref="J187">IFERROR(playerPoints($H187,$F187,$G187,J$1),"")</f>
        <v/>
      </c>
      <c r="K187" s="2" t="str" cm="1">
        <f t="array" ref="K187">IFERROR(playerPoints($H187,$F187,$G187,K$1),"")</f>
        <v/>
      </c>
      <c r="L187" s="2" t="str" cm="1">
        <f t="array" ref="L187">IFERROR(playerPoints($H187,$F187,$G187,L$1),"")</f>
        <v/>
      </c>
      <c r="M187" s="2" t="str" cm="1">
        <f t="array" ref="M187">IFERROR(playerPoints($H187,$F187,$G187,M$1),"")</f>
        <v/>
      </c>
      <c r="N187" s="2" t="str" cm="1">
        <f t="array" ref="N187">IFERROR(playerPoints($H187,$F187,$G187,N$1),"")</f>
        <v/>
      </c>
      <c r="O187" s="2" t="str" cm="1">
        <f t="array" ref="O187">IFERROR(playerPoints($H187,$F187,$G187,O$1),"")</f>
        <v/>
      </c>
      <c r="Q187" s="2">
        <f t="shared" si="2"/>
        <v>0</v>
      </c>
    </row>
    <row r="188" spans="1:17">
      <c r="A188" s="2">
        <v>187</v>
      </c>
      <c r="B188" s="2" t="s">
        <v>1328</v>
      </c>
      <c r="C188" s="2" t="s">
        <v>1329</v>
      </c>
      <c r="D188" s="2" t="s">
        <v>902</v>
      </c>
      <c r="F188" s="2" t="str">
        <f>LOOKUP(D188,Sheet3!A$1:A$32,Sheet3!B$1:B$32)</f>
        <v>CRO</v>
      </c>
      <c r="G188" s="2" t="s">
        <v>2537</v>
      </c>
      <c r="H188" s="2" t="s">
        <v>48</v>
      </c>
      <c r="I188" s="2" t="str" cm="1">
        <f t="array" ref="I188">IFERROR(playerPoints($H188,$F188,$G188,I$1),"")</f>
        <v/>
      </c>
      <c r="J188" s="2" t="str" cm="1">
        <f t="array" ref="J188">IFERROR(playerPoints($H188,$F188,$G188,J$1),"")</f>
        <v/>
      </c>
      <c r="K188" s="2" t="str" cm="1">
        <f t="array" ref="K188">IFERROR(playerPoints($H188,$F188,$G188,K$1),"")</f>
        <v/>
      </c>
      <c r="L188" s="2" t="str" cm="1">
        <f t="array" ref="L188">IFERROR(playerPoints($H188,$F188,$G188,L$1),"")</f>
        <v/>
      </c>
      <c r="M188" s="2" t="str" cm="1">
        <f t="array" ref="M188">IFERROR(playerPoints($H188,$F188,$G188,M$1),"")</f>
        <v/>
      </c>
      <c r="N188" s="2" t="str" cm="1">
        <f t="array" ref="N188">IFERROR(playerPoints($H188,$F188,$G188,N$1),"")</f>
        <v/>
      </c>
      <c r="O188" s="2" t="str" cm="1">
        <f t="array" ref="O188">IFERROR(playerPoints($H188,$F188,$G188,O$1),"")</f>
        <v/>
      </c>
      <c r="Q188" s="2">
        <f t="shared" si="2"/>
        <v>0</v>
      </c>
    </row>
    <row r="189" spans="1:17">
      <c r="A189" s="2">
        <v>188</v>
      </c>
      <c r="B189" s="2" t="s">
        <v>1100</v>
      </c>
      <c r="C189" s="2" t="s">
        <v>1330</v>
      </c>
      <c r="D189" s="2" t="s">
        <v>902</v>
      </c>
      <c r="F189" s="2" t="str">
        <f>LOOKUP(D189,Sheet3!A$1:A$32,Sheet3!B$1:B$32)</f>
        <v>CRO</v>
      </c>
      <c r="G189" s="2" t="s">
        <v>2538</v>
      </c>
      <c r="H189" s="2" t="s">
        <v>48</v>
      </c>
      <c r="I189" s="2" t="str" cm="1">
        <f t="array" ref="I189">IFERROR(playerPoints($H189,$F189,$G189,I$1),"")</f>
        <v/>
      </c>
      <c r="J189" s="2" t="str" cm="1">
        <f t="array" ref="J189">IFERROR(playerPoints($H189,$F189,$G189,J$1),"")</f>
        <v/>
      </c>
      <c r="K189" s="2" t="str" cm="1">
        <f t="array" ref="K189">IFERROR(playerPoints($H189,$F189,$G189,K$1),"")</f>
        <v/>
      </c>
      <c r="L189" s="2" t="str" cm="1">
        <f t="array" ref="L189">IFERROR(playerPoints($H189,$F189,$G189,L$1),"")</f>
        <v/>
      </c>
      <c r="M189" s="2" t="str" cm="1">
        <f t="array" ref="M189">IFERROR(playerPoints($H189,$F189,$G189,M$1),"")</f>
        <v/>
      </c>
      <c r="N189" s="2" t="str" cm="1">
        <f t="array" ref="N189">IFERROR(playerPoints($H189,$F189,$G189,N$1),"")</f>
        <v/>
      </c>
      <c r="O189" s="2" t="str" cm="1">
        <f t="array" ref="O189">IFERROR(playerPoints($H189,$F189,$G189,O$1),"")</f>
        <v/>
      </c>
      <c r="Q189" s="2">
        <f t="shared" si="2"/>
        <v>0</v>
      </c>
    </row>
    <row r="190" spans="1:17">
      <c r="A190" s="2">
        <v>189</v>
      </c>
      <c r="B190" s="2" t="s">
        <v>1331</v>
      </c>
      <c r="C190" s="2" t="s">
        <v>1332</v>
      </c>
      <c r="D190" s="2" t="s">
        <v>902</v>
      </c>
      <c r="F190" s="2" t="str">
        <f>LOOKUP(D190,Sheet3!A$1:A$32,Sheet3!B$1:B$32)</f>
        <v>CRO</v>
      </c>
      <c r="G190" s="2" t="s">
        <v>2539</v>
      </c>
      <c r="H190" s="2" t="s">
        <v>48</v>
      </c>
      <c r="I190" s="2" t="str" cm="1">
        <f t="array" ref="I190">IFERROR(playerPoints($H190,$F190,$G190,I$1),"")</f>
        <v/>
      </c>
      <c r="J190" s="2" t="str" cm="1">
        <f t="array" ref="J190">IFERROR(playerPoints($H190,$F190,$G190,J$1),"")</f>
        <v/>
      </c>
      <c r="K190" s="2" t="str" cm="1">
        <f t="array" ref="K190">IFERROR(playerPoints($H190,$F190,$G190,K$1),"")</f>
        <v/>
      </c>
      <c r="L190" s="2" t="str" cm="1">
        <f t="array" ref="L190">IFERROR(playerPoints($H190,$F190,$G190,L$1),"")</f>
        <v/>
      </c>
      <c r="M190" s="2" t="str" cm="1">
        <f t="array" ref="M190">IFERROR(playerPoints($H190,$F190,$G190,M$1),"")</f>
        <v/>
      </c>
      <c r="N190" s="2" t="str" cm="1">
        <f t="array" ref="N190">IFERROR(playerPoints($H190,$F190,$G190,N$1),"")</f>
        <v/>
      </c>
      <c r="O190" s="2" t="str" cm="1">
        <f t="array" ref="O190">IFERROR(playerPoints($H190,$F190,$G190,O$1),"")</f>
        <v/>
      </c>
      <c r="Q190" s="2">
        <f t="shared" si="2"/>
        <v>0</v>
      </c>
    </row>
    <row r="191" spans="1:17">
      <c r="A191" s="2">
        <v>190</v>
      </c>
      <c r="B191" s="2" t="s">
        <v>1328</v>
      </c>
      <c r="C191" s="2" t="s">
        <v>1333</v>
      </c>
      <c r="D191" s="2" t="s">
        <v>902</v>
      </c>
      <c r="F191" s="2" t="str">
        <f>LOOKUP(D191,Sheet3!A$1:A$32,Sheet3!B$1:B$32)</f>
        <v>CRO</v>
      </c>
      <c r="G191" s="2" t="s">
        <v>2540</v>
      </c>
      <c r="H191" s="2" t="s">
        <v>48</v>
      </c>
      <c r="I191" s="2" t="str" cm="1">
        <f t="array" ref="I191">IFERROR(playerPoints($H191,$F191,$G191,I$1),"")</f>
        <v/>
      </c>
      <c r="J191" s="2" t="str" cm="1">
        <f t="array" ref="J191">IFERROR(playerPoints($H191,$F191,$G191,J$1),"")</f>
        <v/>
      </c>
      <c r="K191" s="2" t="str" cm="1">
        <f t="array" ref="K191">IFERROR(playerPoints($H191,$F191,$G191,K$1),"")</f>
        <v/>
      </c>
      <c r="L191" s="2" t="str" cm="1">
        <f t="array" ref="L191">IFERROR(playerPoints($H191,$F191,$G191,L$1),"")</f>
        <v/>
      </c>
      <c r="M191" s="2" t="str" cm="1">
        <f t="array" ref="M191">IFERROR(playerPoints($H191,$F191,$G191,M$1),"")</f>
        <v/>
      </c>
      <c r="N191" s="2" t="str" cm="1">
        <f t="array" ref="N191">IFERROR(playerPoints($H191,$F191,$G191,N$1),"")</f>
        <v/>
      </c>
      <c r="O191" s="2" t="str" cm="1">
        <f t="array" ref="O191">IFERROR(playerPoints($H191,$F191,$G191,O$1),"")</f>
        <v/>
      </c>
      <c r="Q191" s="2">
        <f t="shared" si="2"/>
        <v>0</v>
      </c>
    </row>
    <row r="192" spans="1:17">
      <c r="A192" s="2">
        <v>191</v>
      </c>
      <c r="B192" s="2" t="s">
        <v>1334</v>
      </c>
      <c r="C192" s="2" t="s">
        <v>1335</v>
      </c>
      <c r="D192" s="2" t="s">
        <v>902</v>
      </c>
      <c r="F192" s="2" t="str">
        <f>LOOKUP(D192,Sheet3!A$1:A$32,Sheet3!B$1:B$32)</f>
        <v>CRO</v>
      </c>
      <c r="G192" s="2" t="s">
        <v>2541</v>
      </c>
      <c r="H192" s="2" t="s">
        <v>48</v>
      </c>
      <c r="I192" s="2" t="str" cm="1">
        <f t="array" ref="I192">IFERROR(playerPoints($H192,$F192,$G192,I$1),"")</f>
        <v/>
      </c>
      <c r="J192" s="2" t="str" cm="1">
        <f t="array" ref="J192">IFERROR(playerPoints($H192,$F192,$G192,J$1),"")</f>
        <v/>
      </c>
      <c r="K192" s="2" t="str" cm="1">
        <f t="array" ref="K192">IFERROR(playerPoints($H192,$F192,$G192,K$1),"")</f>
        <v/>
      </c>
      <c r="L192" s="2" t="str" cm="1">
        <f t="array" ref="L192">IFERROR(playerPoints($H192,$F192,$G192,L$1),"")</f>
        <v/>
      </c>
      <c r="M192" s="2" t="str" cm="1">
        <f t="array" ref="M192">IFERROR(playerPoints($H192,$F192,$G192,M$1),"")</f>
        <v/>
      </c>
      <c r="N192" s="2" t="str" cm="1">
        <f t="array" ref="N192">IFERROR(playerPoints($H192,$F192,$G192,N$1),"")</f>
        <v/>
      </c>
      <c r="O192" s="2" t="str" cm="1">
        <f t="array" ref="O192">IFERROR(playerPoints($H192,$F192,$G192,O$1),"")</f>
        <v/>
      </c>
      <c r="Q192" s="2">
        <f t="shared" si="2"/>
        <v>0</v>
      </c>
    </row>
    <row r="193" spans="1:17">
      <c r="A193" s="2">
        <v>192</v>
      </c>
      <c r="B193" s="2" t="s">
        <v>1336</v>
      </c>
      <c r="C193" s="2" t="s">
        <v>1337</v>
      </c>
      <c r="D193" s="2" t="s">
        <v>902</v>
      </c>
      <c r="F193" s="2" t="str">
        <f>LOOKUP(D193,Sheet3!A$1:A$32,Sheet3!B$1:B$32)</f>
        <v>CRO</v>
      </c>
      <c r="G193" s="2" t="s">
        <v>2542</v>
      </c>
      <c r="H193" s="2" t="s">
        <v>48</v>
      </c>
      <c r="I193" s="2" t="str" cm="1">
        <f t="array" ref="I193">IFERROR(playerPoints($H193,$F193,$G193,I$1),"")</f>
        <v/>
      </c>
      <c r="J193" s="2" t="str" cm="1">
        <f t="array" ref="J193">IFERROR(playerPoints($H193,$F193,$G193,J$1),"")</f>
        <v/>
      </c>
      <c r="K193" s="2" t="str" cm="1">
        <f t="array" ref="K193">IFERROR(playerPoints($H193,$F193,$G193,K$1),"")</f>
        <v/>
      </c>
      <c r="L193" s="2" t="str" cm="1">
        <f t="array" ref="L193">IFERROR(playerPoints($H193,$F193,$G193,L$1),"")</f>
        <v/>
      </c>
      <c r="M193" s="2" t="str" cm="1">
        <f t="array" ref="M193">IFERROR(playerPoints($H193,$F193,$G193,M$1),"")</f>
        <v/>
      </c>
      <c r="N193" s="2" t="str" cm="1">
        <f t="array" ref="N193">IFERROR(playerPoints($H193,$F193,$G193,N$1),"")</f>
        <v/>
      </c>
      <c r="O193" s="2" t="str" cm="1">
        <f t="array" ref="O193">IFERROR(playerPoints($H193,$F193,$G193,O$1),"")</f>
        <v/>
      </c>
      <c r="Q193" s="2">
        <f t="shared" si="2"/>
        <v>0</v>
      </c>
    </row>
    <row r="194" spans="1:17">
      <c r="A194" s="2">
        <v>193</v>
      </c>
      <c r="B194" s="2" t="s">
        <v>1326</v>
      </c>
      <c r="C194" s="2" t="s">
        <v>1338</v>
      </c>
      <c r="D194" s="2" t="s">
        <v>902</v>
      </c>
      <c r="F194" s="2" t="str">
        <f>LOOKUP(D194,Sheet3!A$1:A$32,Sheet3!B$1:B$32)</f>
        <v>CRO</v>
      </c>
      <c r="G194" s="2" t="s">
        <v>2543</v>
      </c>
      <c r="H194" s="2" t="s">
        <v>48</v>
      </c>
      <c r="I194" s="2" t="str" cm="1">
        <f t="array" ref="I194">IFERROR(playerPoints($H194,$F194,$G194,I$1),"")</f>
        <v/>
      </c>
      <c r="J194" s="2" t="str" cm="1">
        <f t="array" ref="J194">IFERROR(playerPoints($H194,$F194,$G194,J$1),"")</f>
        <v/>
      </c>
      <c r="K194" s="2" t="str" cm="1">
        <f t="array" ref="K194">IFERROR(playerPoints($H194,$F194,$G194,K$1),"")</f>
        <v/>
      </c>
      <c r="L194" s="2" t="str" cm="1">
        <f t="array" ref="L194">IFERROR(playerPoints($H194,$F194,$G194,L$1),"")</f>
        <v/>
      </c>
      <c r="M194" s="2" t="str" cm="1">
        <f t="array" ref="M194">IFERROR(playerPoints($H194,$F194,$G194,M$1),"")</f>
        <v/>
      </c>
      <c r="N194" s="2" t="str" cm="1">
        <f t="array" ref="N194">IFERROR(playerPoints($H194,$F194,$G194,N$1),"")</f>
        <v/>
      </c>
      <c r="O194" s="2" t="str" cm="1">
        <f t="array" ref="O194">IFERROR(playerPoints($H194,$F194,$G194,O$1),"")</f>
        <v/>
      </c>
      <c r="Q194" s="2">
        <f t="shared" si="2"/>
        <v>0</v>
      </c>
    </row>
    <row r="195" spans="1:17">
      <c r="A195" s="2">
        <v>194</v>
      </c>
      <c r="B195" s="2" t="s">
        <v>1326</v>
      </c>
      <c r="C195" s="2" t="s">
        <v>1339</v>
      </c>
      <c r="D195" s="2" t="s">
        <v>902</v>
      </c>
      <c r="F195" s="2" t="str">
        <f>LOOKUP(D195,Sheet3!A$1:A$32,Sheet3!B$1:B$32)</f>
        <v>CRO</v>
      </c>
      <c r="G195" s="2" t="s">
        <v>2544</v>
      </c>
      <c r="H195" s="2" t="s">
        <v>48</v>
      </c>
      <c r="I195" s="2" t="str" cm="1">
        <f t="array" ref="I195">IFERROR(playerPoints($H195,$F195,$G195,I$1),"")</f>
        <v/>
      </c>
      <c r="J195" s="2" t="str" cm="1">
        <f t="array" ref="J195">IFERROR(playerPoints($H195,$F195,$G195,J$1),"")</f>
        <v/>
      </c>
      <c r="K195" s="2" t="str" cm="1">
        <f t="array" ref="K195">IFERROR(playerPoints($H195,$F195,$G195,K$1),"")</f>
        <v/>
      </c>
      <c r="L195" s="2" t="str" cm="1">
        <f t="array" ref="L195">IFERROR(playerPoints($H195,$F195,$G195,L$1),"")</f>
        <v/>
      </c>
      <c r="M195" s="2" t="str" cm="1">
        <f t="array" ref="M195">IFERROR(playerPoints($H195,$F195,$G195,M$1),"")</f>
        <v/>
      </c>
      <c r="N195" s="2" t="str" cm="1">
        <f t="array" ref="N195">IFERROR(playerPoints($H195,$F195,$G195,N$1),"")</f>
        <v/>
      </c>
      <c r="O195" s="2" t="str" cm="1">
        <f t="array" ref="O195">IFERROR(playerPoints($H195,$F195,$G195,O$1),"")</f>
        <v/>
      </c>
      <c r="Q195" s="2">
        <f t="shared" ref="Q195:Q258" si="3">SUM(I195:O195)</f>
        <v>0</v>
      </c>
    </row>
    <row r="196" spans="1:17">
      <c r="A196" s="2">
        <v>195</v>
      </c>
      <c r="B196" s="2" t="s">
        <v>1340</v>
      </c>
      <c r="C196" s="2" t="s">
        <v>1341</v>
      </c>
      <c r="D196" s="2" t="s">
        <v>902</v>
      </c>
      <c r="F196" s="2" t="str">
        <f>LOOKUP(D196,Sheet3!A$1:A$32,Sheet3!B$1:B$32)</f>
        <v>CRO</v>
      </c>
      <c r="G196" s="2" t="s">
        <v>2545</v>
      </c>
      <c r="H196" s="2" t="s">
        <v>57</v>
      </c>
      <c r="I196" s="2" t="str" cm="1">
        <f t="array" ref="I196">IFERROR(playerPoints($H196,$F196,$G196,I$1),"")</f>
        <v/>
      </c>
      <c r="J196" s="2" t="str" cm="1">
        <f t="array" ref="J196">IFERROR(playerPoints($H196,$F196,$G196,J$1),"")</f>
        <v/>
      </c>
      <c r="K196" s="2" t="str" cm="1">
        <f t="array" ref="K196">IFERROR(playerPoints($H196,$F196,$G196,K$1),"")</f>
        <v/>
      </c>
      <c r="L196" s="2" t="str" cm="1">
        <f t="array" ref="L196">IFERROR(playerPoints($H196,$F196,$G196,L$1),"")</f>
        <v/>
      </c>
      <c r="M196" s="2" t="str" cm="1">
        <f t="array" ref="M196">IFERROR(playerPoints($H196,$F196,$G196,M$1),"")</f>
        <v/>
      </c>
      <c r="N196" s="2" t="str" cm="1">
        <f t="array" ref="N196">IFERROR(playerPoints($H196,$F196,$G196,N$1),"")</f>
        <v/>
      </c>
      <c r="O196" s="2" t="str" cm="1">
        <f t="array" ref="O196">IFERROR(playerPoints($H196,$F196,$G196,O$1),"")</f>
        <v/>
      </c>
      <c r="Q196" s="2">
        <f t="shared" si="3"/>
        <v>0</v>
      </c>
    </row>
    <row r="197" spans="1:17">
      <c r="A197" s="2">
        <v>196</v>
      </c>
      <c r="B197" s="2" t="s">
        <v>1342</v>
      </c>
      <c r="C197" s="2" t="s">
        <v>1343</v>
      </c>
      <c r="D197" s="2" t="s">
        <v>902</v>
      </c>
      <c r="F197" s="2" t="str">
        <f>LOOKUP(D197,Sheet3!A$1:A$32,Sheet3!B$1:B$32)</f>
        <v>CRO</v>
      </c>
      <c r="G197" s="2" t="s">
        <v>2546</v>
      </c>
      <c r="H197" s="2" t="s">
        <v>57</v>
      </c>
      <c r="I197" s="2" t="str" cm="1">
        <f t="array" ref="I197">IFERROR(playerPoints($H197,$F197,$G197,I$1),"")</f>
        <v/>
      </c>
      <c r="J197" s="2" t="str" cm="1">
        <f t="array" ref="J197">IFERROR(playerPoints($H197,$F197,$G197,J$1),"")</f>
        <v/>
      </c>
      <c r="K197" s="2" t="str" cm="1">
        <f t="array" ref="K197">IFERROR(playerPoints($H197,$F197,$G197,K$1),"")</f>
        <v/>
      </c>
      <c r="L197" s="2" t="str" cm="1">
        <f t="array" ref="L197">IFERROR(playerPoints($H197,$F197,$G197,L$1),"")</f>
        <v/>
      </c>
      <c r="M197" s="2" t="str" cm="1">
        <f t="array" ref="M197">IFERROR(playerPoints($H197,$F197,$G197,M$1),"")</f>
        <v/>
      </c>
      <c r="N197" s="2" t="str" cm="1">
        <f t="array" ref="N197">IFERROR(playerPoints($H197,$F197,$G197,N$1),"")</f>
        <v/>
      </c>
      <c r="O197" s="2" t="str" cm="1">
        <f t="array" ref="O197">IFERROR(playerPoints($H197,$F197,$G197,O$1),"")</f>
        <v/>
      </c>
      <c r="Q197" s="2">
        <f t="shared" si="3"/>
        <v>0</v>
      </c>
    </row>
    <row r="198" spans="1:17">
      <c r="A198" s="2">
        <v>197</v>
      </c>
      <c r="B198" s="2" t="s">
        <v>1344</v>
      </c>
      <c r="C198" s="2" t="s">
        <v>1345</v>
      </c>
      <c r="D198" s="2" t="s">
        <v>902</v>
      </c>
      <c r="F198" s="2" t="str">
        <f>LOOKUP(D198,Sheet3!A$1:A$32,Sheet3!B$1:B$32)</f>
        <v>CRO</v>
      </c>
      <c r="G198" s="2" t="s">
        <v>2547</v>
      </c>
      <c r="H198" s="2" t="s">
        <v>57</v>
      </c>
      <c r="I198" s="2" t="str" cm="1">
        <f t="array" ref="I198">IFERROR(playerPoints($H198,$F198,$G198,I$1),"")</f>
        <v/>
      </c>
      <c r="J198" s="2" t="str" cm="1">
        <f t="array" ref="J198">IFERROR(playerPoints($H198,$F198,$G198,J$1),"")</f>
        <v/>
      </c>
      <c r="K198" s="2" t="str" cm="1">
        <f t="array" ref="K198">IFERROR(playerPoints($H198,$F198,$G198,K$1),"")</f>
        <v/>
      </c>
      <c r="L198" s="2" t="str" cm="1">
        <f t="array" ref="L198">IFERROR(playerPoints($H198,$F198,$G198,L$1),"")</f>
        <v/>
      </c>
      <c r="M198" s="2" t="str" cm="1">
        <f t="array" ref="M198">IFERROR(playerPoints($H198,$F198,$G198,M$1),"")</f>
        <v/>
      </c>
      <c r="N198" s="2" t="str" cm="1">
        <f t="array" ref="N198">IFERROR(playerPoints($H198,$F198,$G198,N$1),"")</f>
        <v/>
      </c>
      <c r="O198" s="2" t="str" cm="1">
        <f t="array" ref="O198">IFERROR(playerPoints($H198,$F198,$G198,O$1),"")</f>
        <v/>
      </c>
      <c r="Q198" s="2">
        <f t="shared" si="3"/>
        <v>0</v>
      </c>
    </row>
    <row r="199" spans="1:17">
      <c r="A199" s="2">
        <v>198</v>
      </c>
      <c r="B199" s="2" t="s">
        <v>1346</v>
      </c>
      <c r="C199" s="2" t="s">
        <v>1347</v>
      </c>
      <c r="D199" s="2" t="s">
        <v>902</v>
      </c>
      <c r="F199" s="2" t="str">
        <f>LOOKUP(D199,Sheet3!A$1:A$32,Sheet3!B$1:B$32)</f>
        <v>CRO</v>
      </c>
      <c r="G199" s="2" t="s">
        <v>2548</v>
      </c>
      <c r="H199" s="2" t="s">
        <v>57</v>
      </c>
      <c r="I199" s="2" t="str" cm="1">
        <f t="array" ref="I199">IFERROR(playerPoints($H199,$F199,$G199,I$1),"")</f>
        <v/>
      </c>
      <c r="J199" s="2" t="str" cm="1">
        <f t="array" ref="J199">IFERROR(playerPoints($H199,$F199,$G199,J$1),"")</f>
        <v/>
      </c>
      <c r="K199" s="2" t="str" cm="1">
        <f t="array" ref="K199">IFERROR(playerPoints($H199,$F199,$G199,K$1),"")</f>
        <v/>
      </c>
      <c r="L199" s="2" t="str" cm="1">
        <f t="array" ref="L199">IFERROR(playerPoints($H199,$F199,$G199,L$1),"")</f>
        <v/>
      </c>
      <c r="M199" s="2" t="str" cm="1">
        <f t="array" ref="M199">IFERROR(playerPoints($H199,$F199,$G199,M$1),"")</f>
        <v/>
      </c>
      <c r="N199" s="2" t="str" cm="1">
        <f t="array" ref="N199">IFERROR(playerPoints($H199,$F199,$G199,N$1),"")</f>
        <v/>
      </c>
      <c r="O199" s="2" t="str" cm="1">
        <f t="array" ref="O199">IFERROR(playerPoints($H199,$F199,$G199,O$1),"")</f>
        <v/>
      </c>
      <c r="Q199" s="2">
        <f t="shared" si="3"/>
        <v>0</v>
      </c>
    </row>
    <row r="200" spans="1:17">
      <c r="A200" s="2">
        <v>199</v>
      </c>
      <c r="B200" s="2" t="s">
        <v>1348</v>
      </c>
      <c r="C200" s="2" t="s">
        <v>1349</v>
      </c>
      <c r="D200" s="2" t="s">
        <v>902</v>
      </c>
      <c r="F200" s="2" t="str">
        <f>LOOKUP(D200,Sheet3!A$1:A$32,Sheet3!B$1:B$32)</f>
        <v>CRO</v>
      </c>
      <c r="G200" s="2" t="s">
        <v>2549</v>
      </c>
      <c r="H200" s="2" t="s">
        <v>57</v>
      </c>
      <c r="I200" s="2" t="str" cm="1">
        <f t="array" ref="I200">IFERROR(playerPoints($H200,$F200,$G200,I$1),"")</f>
        <v/>
      </c>
      <c r="J200" s="2" t="str" cm="1">
        <f t="array" ref="J200">IFERROR(playerPoints($H200,$F200,$G200,J$1),"")</f>
        <v/>
      </c>
      <c r="K200" s="2" t="str" cm="1">
        <f t="array" ref="K200">IFERROR(playerPoints($H200,$F200,$G200,K$1),"")</f>
        <v/>
      </c>
      <c r="L200" s="2" t="str" cm="1">
        <f t="array" ref="L200">IFERROR(playerPoints($H200,$F200,$G200,L$1),"")</f>
        <v/>
      </c>
      <c r="M200" s="2" t="str" cm="1">
        <f t="array" ref="M200">IFERROR(playerPoints($H200,$F200,$G200,M$1),"")</f>
        <v/>
      </c>
      <c r="N200" s="2" t="str" cm="1">
        <f t="array" ref="N200">IFERROR(playerPoints($H200,$F200,$G200,N$1),"")</f>
        <v/>
      </c>
      <c r="O200" s="2" t="str" cm="1">
        <f t="array" ref="O200">IFERROR(playerPoints($H200,$F200,$G200,O$1),"")</f>
        <v/>
      </c>
      <c r="Q200" s="2">
        <f t="shared" si="3"/>
        <v>0</v>
      </c>
    </row>
    <row r="201" spans="1:17">
      <c r="A201" s="2">
        <v>200</v>
      </c>
      <c r="B201" s="2" t="s">
        <v>1350</v>
      </c>
      <c r="C201" s="2" t="s">
        <v>1351</v>
      </c>
      <c r="D201" s="2" t="s">
        <v>902</v>
      </c>
      <c r="F201" s="2" t="str">
        <f>LOOKUP(D201,Sheet3!A$1:A$32,Sheet3!B$1:B$32)</f>
        <v>CRO</v>
      </c>
      <c r="G201" s="2" t="s">
        <v>2550</v>
      </c>
      <c r="H201" s="2" t="s">
        <v>57</v>
      </c>
      <c r="I201" s="2" t="str" cm="1">
        <f t="array" ref="I201">IFERROR(playerPoints($H201,$F201,$G201,I$1),"")</f>
        <v/>
      </c>
      <c r="J201" s="2" t="str" cm="1">
        <f t="array" ref="J201">IFERROR(playerPoints($H201,$F201,$G201,J$1),"")</f>
        <v/>
      </c>
      <c r="K201" s="2" t="str" cm="1">
        <f t="array" ref="K201">IFERROR(playerPoints($H201,$F201,$G201,K$1),"")</f>
        <v/>
      </c>
      <c r="L201" s="2" t="str" cm="1">
        <f t="array" ref="L201">IFERROR(playerPoints($H201,$F201,$G201,L$1),"")</f>
        <v/>
      </c>
      <c r="M201" s="2" t="str" cm="1">
        <f t="array" ref="M201">IFERROR(playerPoints($H201,$F201,$G201,M$1),"")</f>
        <v/>
      </c>
      <c r="N201" s="2" t="str" cm="1">
        <f t="array" ref="N201">IFERROR(playerPoints($H201,$F201,$G201,N$1),"")</f>
        <v/>
      </c>
      <c r="O201" s="2" t="str" cm="1">
        <f t="array" ref="O201">IFERROR(playerPoints($H201,$F201,$G201,O$1),"")</f>
        <v/>
      </c>
      <c r="Q201" s="2">
        <f t="shared" si="3"/>
        <v>0</v>
      </c>
    </row>
    <row r="202" spans="1:17">
      <c r="A202" s="2">
        <v>201</v>
      </c>
      <c r="B202" s="2" t="s">
        <v>1352</v>
      </c>
      <c r="C202" s="2" t="s">
        <v>1353</v>
      </c>
      <c r="D202" s="2" t="s">
        <v>902</v>
      </c>
      <c r="F202" s="2" t="str">
        <f>LOOKUP(D202,Sheet3!A$1:A$32,Sheet3!B$1:B$32)</f>
        <v>CRO</v>
      </c>
      <c r="G202" s="2" t="s">
        <v>2551</v>
      </c>
      <c r="H202" s="2" t="s">
        <v>57</v>
      </c>
      <c r="I202" s="2" t="str" cm="1">
        <f t="array" ref="I202">IFERROR(playerPoints($H202,$F202,$G202,I$1),"")</f>
        <v/>
      </c>
      <c r="J202" s="2" t="str" cm="1">
        <f t="array" ref="J202">IFERROR(playerPoints($H202,$F202,$G202,J$1),"")</f>
        <v/>
      </c>
      <c r="K202" s="2" t="str" cm="1">
        <f t="array" ref="K202">IFERROR(playerPoints($H202,$F202,$G202,K$1),"")</f>
        <v/>
      </c>
      <c r="L202" s="2" t="str" cm="1">
        <f t="array" ref="L202">IFERROR(playerPoints($H202,$F202,$G202,L$1),"")</f>
        <v/>
      </c>
      <c r="M202" s="2" t="str" cm="1">
        <f t="array" ref="M202">IFERROR(playerPoints($H202,$F202,$G202,M$1),"")</f>
        <v/>
      </c>
      <c r="N202" s="2" t="str" cm="1">
        <f t="array" ref="N202">IFERROR(playerPoints($H202,$F202,$G202,N$1),"")</f>
        <v/>
      </c>
      <c r="O202" s="2" t="str" cm="1">
        <f t="array" ref="O202">IFERROR(playerPoints($H202,$F202,$G202,O$1),"")</f>
        <v/>
      </c>
      <c r="Q202" s="2">
        <f t="shared" si="3"/>
        <v>0</v>
      </c>
    </row>
    <row r="203" spans="1:17">
      <c r="A203" s="2">
        <v>202</v>
      </c>
      <c r="B203" s="2" t="s">
        <v>1346</v>
      </c>
      <c r="C203" s="2" t="s">
        <v>1354</v>
      </c>
      <c r="D203" s="2" t="s">
        <v>902</v>
      </c>
      <c r="F203" s="2" t="str">
        <f>LOOKUP(D203,Sheet3!A$1:A$32,Sheet3!B$1:B$32)</f>
        <v>CRO</v>
      </c>
      <c r="G203" s="2" t="s">
        <v>2552</v>
      </c>
      <c r="H203" s="2" t="s">
        <v>57</v>
      </c>
      <c r="I203" s="2" t="str" cm="1">
        <f t="array" ref="I203">IFERROR(playerPoints($H203,$F203,$G203,I$1),"")</f>
        <v/>
      </c>
      <c r="J203" s="2" t="str" cm="1">
        <f t="array" ref="J203">IFERROR(playerPoints($H203,$F203,$G203,J$1),"")</f>
        <v/>
      </c>
      <c r="K203" s="2" t="str" cm="1">
        <f t="array" ref="K203">IFERROR(playerPoints($H203,$F203,$G203,K$1),"")</f>
        <v/>
      </c>
      <c r="L203" s="2" t="str" cm="1">
        <f t="array" ref="L203">IFERROR(playerPoints($H203,$F203,$G203,L$1),"")</f>
        <v/>
      </c>
      <c r="M203" s="2" t="str" cm="1">
        <f t="array" ref="M203">IFERROR(playerPoints($H203,$F203,$G203,M$1),"")</f>
        <v/>
      </c>
      <c r="N203" s="2" t="str" cm="1">
        <f t="array" ref="N203">IFERROR(playerPoints($H203,$F203,$G203,N$1),"")</f>
        <v/>
      </c>
      <c r="O203" s="2" t="str" cm="1">
        <f t="array" ref="O203">IFERROR(playerPoints($H203,$F203,$G203,O$1),"")</f>
        <v/>
      </c>
      <c r="Q203" s="2">
        <f t="shared" si="3"/>
        <v>0</v>
      </c>
    </row>
    <row r="204" spans="1:17">
      <c r="A204" s="2">
        <v>203</v>
      </c>
      <c r="B204" s="2" t="s">
        <v>1355</v>
      </c>
      <c r="C204" s="2" t="s">
        <v>1356</v>
      </c>
      <c r="D204" s="2" t="s">
        <v>902</v>
      </c>
      <c r="F204" s="2" t="str">
        <f>LOOKUP(D204,Sheet3!A$1:A$32,Sheet3!B$1:B$32)</f>
        <v>CRO</v>
      </c>
      <c r="G204" s="2" t="s">
        <v>2553</v>
      </c>
      <c r="H204" s="2" t="s">
        <v>57</v>
      </c>
      <c r="I204" s="2" t="str" cm="1">
        <f t="array" ref="I204">IFERROR(playerPoints($H204,$F204,$G204,I$1),"")</f>
        <v/>
      </c>
      <c r="J204" s="2" t="str" cm="1">
        <f t="array" ref="J204">IFERROR(playerPoints($H204,$F204,$G204,J$1),"")</f>
        <v/>
      </c>
      <c r="K204" s="2" t="str" cm="1">
        <f t="array" ref="K204">IFERROR(playerPoints($H204,$F204,$G204,K$1),"")</f>
        <v/>
      </c>
      <c r="L204" s="2" t="str" cm="1">
        <f t="array" ref="L204">IFERROR(playerPoints($H204,$F204,$G204,L$1),"")</f>
        <v/>
      </c>
      <c r="M204" s="2" t="str" cm="1">
        <f t="array" ref="M204">IFERROR(playerPoints($H204,$F204,$G204,M$1),"")</f>
        <v/>
      </c>
      <c r="N204" s="2" t="str" cm="1">
        <f t="array" ref="N204">IFERROR(playerPoints($H204,$F204,$G204,N$1),"")</f>
        <v/>
      </c>
      <c r="O204" s="2" t="str" cm="1">
        <f t="array" ref="O204">IFERROR(playerPoints($H204,$F204,$G204,O$1),"")</f>
        <v/>
      </c>
      <c r="Q204" s="2">
        <f t="shared" si="3"/>
        <v>0</v>
      </c>
    </row>
    <row r="205" spans="1:17">
      <c r="A205" s="2">
        <v>204</v>
      </c>
      <c r="B205" s="2" t="s">
        <v>1357</v>
      </c>
      <c r="C205" s="2" t="s">
        <v>1358</v>
      </c>
      <c r="D205" s="2" t="s">
        <v>902</v>
      </c>
      <c r="F205" s="2" t="str">
        <f>LOOKUP(D205,Sheet3!A$1:A$32,Sheet3!B$1:B$32)</f>
        <v>CRO</v>
      </c>
      <c r="G205" s="2" t="s">
        <v>2554</v>
      </c>
      <c r="H205" s="2" t="s">
        <v>66</v>
      </c>
      <c r="I205" s="2" t="str" cm="1">
        <f t="array" ref="I205">IFERROR(playerPoints($H205,$F205,$G205,I$1),"")</f>
        <v/>
      </c>
      <c r="J205" s="2" t="str" cm="1">
        <f t="array" ref="J205">IFERROR(playerPoints($H205,$F205,$G205,J$1),"")</f>
        <v/>
      </c>
      <c r="K205" s="2" t="str" cm="1">
        <f t="array" ref="K205">IFERROR(playerPoints($H205,$F205,$G205,K$1),"")</f>
        <v/>
      </c>
      <c r="L205" s="2" t="str" cm="1">
        <f t="array" ref="L205">IFERROR(playerPoints($H205,$F205,$G205,L$1),"")</f>
        <v/>
      </c>
      <c r="M205" s="2" t="str" cm="1">
        <f t="array" ref="M205">IFERROR(playerPoints($H205,$F205,$G205,M$1),"")</f>
        <v/>
      </c>
      <c r="N205" s="2" t="str" cm="1">
        <f t="array" ref="N205">IFERROR(playerPoints($H205,$F205,$G205,N$1),"")</f>
        <v/>
      </c>
      <c r="O205" s="2" t="str" cm="1">
        <f t="array" ref="O205">IFERROR(playerPoints($H205,$F205,$G205,O$1),"")</f>
        <v/>
      </c>
      <c r="Q205" s="2">
        <f t="shared" si="3"/>
        <v>0</v>
      </c>
    </row>
    <row r="206" spans="1:17">
      <c r="A206" s="2">
        <v>205</v>
      </c>
      <c r="B206" s="2" t="s">
        <v>1359</v>
      </c>
      <c r="C206" s="2" t="s">
        <v>1360</v>
      </c>
      <c r="D206" s="2" t="s">
        <v>902</v>
      </c>
      <c r="F206" s="2" t="str">
        <f>LOOKUP(D206,Sheet3!A$1:A$32,Sheet3!B$1:B$32)</f>
        <v>CRO</v>
      </c>
      <c r="G206" s="2" t="s">
        <v>2555</v>
      </c>
      <c r="H206" s="2" t="s">
        <v>66</v>
      </c>
      <c r="I206" s="2" t="str" cm="1">
        <f t="array" ref="I206">IFERROR(playerPoints($H206,$F206,$G206,I$1),"")</f>
        <v/>
      </c>
      <c r="J206" s="2" t="str" cm="1">
        <f t="array" ref="J206">IFERROR(playerPoints($H206,$F206,$G206,J$1),"")</f>
        <v/>
      </c>
      <c r="K206" s="2" t="str" cm="1">
        <f t="array" ref="K206">IFERROR(playerPoints($H206,$F206,$G206,K$1),"")</f>
        <v/>
      </c>
      <c r="L206" s="2" t="str" cm="1">
        <f t="array" ref="L206">IFERROR(playerPoints($H206,$F206,$G206,L$1),"")</f>
        <v/>
      </c>
      <c r="M206" s="2" t="str" cm="1">
        <f t="array" ref="M206">IFERROR(playerPoints($H206,$F206,$G206,M$1),"")</f>
        <v/>
      </c>
      <c r="N206" s="2" t="str" cm="1">
        <f t="array" ref="N206">IFERROR(playerPoints($H206,$F206,$G206,N$1),"")</f>
        <v/>
      </c>
      <c r="O206" s="2" t="str" cm="1">
        <f t="array" ref="O206">IFERROR(playerPoints($H206,$F206,$G206,O$1),"")</f>
        <v/>
      </c>
      <c r="Q206" s="2">
        <f t="shared" si="3"/>
        <v>0</v>
      </c>
    </row>
    <row r="207" spans="1:17">
      <c r="A207" s="2">
        <v>206</v>
      </c>
      <c r="B207" s="2" t="s">
        <v>1172</v>
      </c>
      <c r="C207" s="2" t="s">
        <v>1361</v>
      </c>
      <c r="D207" s="2" t="s">
        <v>902</v>
      </c>
      <c r="F207" s="2" t="str">
        <f>LOOKUP(D207,Sheet3!A$1:A$32,Sheet3!B$1:B$32)</f>
        <v>CRO</v>
      </c>
      <c r="G207" s="2" t="s">
        <v>2556</v>
      </c>
      <c r="H207" s="2" t="s">
        <v>66</v>
      </c>
      <c r="I207" s="2" t="str" cm="1">
        <f t="array" ref="I207">IFERROR(playerPoints($H207,$F207,$G207,I$1),"")</f>
        <v/>
      </c>
      <c r="J207" s="2" t="str" cm="1">
        <f t="array" ref="J207">IFERROR(playerPoints($H207,$F207,$G207,J$1),"")</f>
        <v/>
      </c>
      <c r="K207" s="2" t="str" cm="1">
        <f t="array" ref="K207">IFERROR(playerPoints($H207,$F207,$G207,K$1),"")</f>
        <v/>
      </c>
      <c r="L207" s="2" t="str" cm="1">
        <f t="array" ref="L207">IFERROR(playerPoints($H207,$F207,$G207,L$1),"")</f>
        <v/>
      </c>
      <c r="M207" s="2" t="str" cm="1">
        <f t="array" ref="M207">IFERROR(playerPoints($H207,$F207,$G207,M$1),"")</f>
        <v/>
      </c>
      <c r="N207" s="2" t="str" cm="1">
        <f t="array" ref="N207">IFERROR(playerPoints($H207,$F207,$G207,N$1),"")</f>
        <v/>
      </c>
      <c r="O207" s="2" t="str" cm="1">
        <f t="array" ref="O207">IFERROR(playerPoints($H207,$F207,$G207,O$1),"")</f>
        <v/>
      </c>
      <c r="Q207" s="2">
        <f t="shared" si="3"/>
        <v>0</v>
      </c>
    </row>
    <row r="208" spans="1:17">
      <c r="A208" s="2">
        <v>207</v>
      </c>
      <c r="B208" s="2" t="s">
        <v>1362</v>
      </c>
      <c r="C208" s="2" t="s">
        <v>1363</v>
      </c>
      <c r="D208" s="2" t="s">
        <v>902</v>
      </c>
      <c r="F208" s="2" t="str">
        <f>LOOKUP(D208,Sheet3!A$1:A$32,Sheet3!B$1:B$32)</f>
        <v>CRO</v>
      </c>
      <c r="G208" s="2" t="s">
        <v>2557</v>
      </c>
      <c r="H208" s="2" t="s">
        <v>66</v>
      </c>
      <c r="I208" s="2" t="str" cm="1">
        <f t="array" ref="I208">IFERROR(playerPoints($H208,$F208,$G208,I$1),"")</f>
        <v/>
      </c>
      <c r="J208" s="2" t="str" cm="1">
        <f t="array" ref="J208">IFERROR(playerPoints($H208,$F208,$G208,J$1),"")</f>
        <v/>
      </c>
      <c r="K208" s="2" t="str" cm="1">
        <f t="array" ref="K208">IFERROR(playerPoints($H208,$F208,$G208,K$1),"")</f>
        <v/>
      </c>
      <c r="L208" s="2" t="str" cm="1">
        <f t="array" ref="L208">IFERROR(playerPoints($H208,$F208,$G208,L$1),"")</f>
        <v/>
      </c>
      <c r="M208" s="2" t="str" cm="1">
        <f t="array" ref="M208">IFERROR(playerPoints($H208,$F208,$G208,M$1),"")</f>
        <v/>
      </c>
      <c r="N208" s="2" t="str" cm="1">
        <f t="array" ref="N208">IFERROR(playerPoints($H208,$F208,$G208,N$1),"")</f>
        <v/>
      </c>
      <c r="O208" s="2" t="str" cm="1">
        <f t="array" ref="O208">IFERROR(playerPoints($H208,$F208,$G208,O$1),"")</f>
        <v/>
      </c>
      <c r="Q208" s="2">
        <f t="shared" si="3"/>
        <v>0</v>
      </c>
    </row>
    <row r="209" spans="1:17">
      <c r="A209" s="2">
        <v>208</v>
      </c>
      <c r="B209" s="2" t="s">
        <v>1364</v>
      </c>
      <c r="C209" s="2" t="s">
        <v>1365</v>
      </c>
      <c r="D209" s="2" t="s">
        <v>902</v>
      </c>
      <c r="F209" s="2" t="str">
        <f>LOOKUP(D209,Sheet3!A$1:A$32,Sheet3!B$1:B$32)</f>
        <v>CRO</v>
      </c>
      <c r="G209" s="2" t="s">
        <v>2558</v>
      </c>
      <c r="H209" s="2" t="s">
        <v>66</v>
      </c>
      <c r="I209" s="2" t="str" cm="1">
        <f t="array" ref="I209">IFERROR(playerPoints($H209,$F209,$G209,I$1),"")</f>
        <v/>
      </c>
      <c r="J209" s="2" t="str" cm="1">
        <f t="array" ref="J209">IFERROR(playerPoints($H209,$F209,$G209,J$1),"")</f>
        <v/>
      </c>
      <c r="K209" s="2" t="str" cm="1">
        <f t="array" ref="K209">IFERROR(playerPoints($H209,$F209,$G209,K$1),"")</f>
        <v/>
      </c>
      <c r="L209" s="2" t="str" cm="1">
        <f t="array" ref="L209">IFERROR(playerPoints($H209,$F209,$G209,L$1),"")</f>
        <v/>
      </c>
      <c r="M209" s="2" t="str" cm="1">
        <f t="array" ref="M209">IFERROR(playerPoints($H209,$F209,$G209,M$1),"")</f>
        <v/>
      </c>
      <c r="N209" s="2" t="str" cm="1">
        <f t="array" ref="N209">IFERROR(playerPoints($H209,$F209,$G209,N$1),"")</f>
        <v/>
      </c>
      <c r="O209" s="2" t="str" cm="1">
        <f t="array" ref="O209">IFERROR(playerPoints($H209,$F209,$G209,O$1),"")</f>
        <v/>
      </c>
      <c r="Q209" s="2">
        <f t="shared" si="3"/>
        <v>0</v>
      </c>
    </row>
    <row r="210" spans="1:17">
      <c r="A210" s="2">
        <v>209</v>
      </c>
      <c r="B210" s="2" t="s">
        <v>1366</v>
      </c>
      <c r="C210" s="2" t="s">
        <v>1367</v>
      </c>
      <c r="D210" s="2" t="s">
        <v>903</v>
      </c>
      <c r="F210" s="2" t="str">
        <f>LOOKUP(D210,Sheet3!A$1:A$32,Sheet3!B$1:B$32)</f>
        <v>DEN</v>
      </c>
      <c r="G210" s="2" t="s">
        <v>2559</v>
      </c>
      <c r="H210" s="2" t="s">
        <v>44</v>
      </c>
      <c r="I210" s="2" t="str" cm="1">
        <f t="array" ref="I210">IFERROR(playerPoints($H210,$F210,$G210,I$1),"")</f>
        <v/>
      </c>
      <c r="J210" s="2" t="str" cm="1">
        <f t="array" ref="J210">IFERROR(playerPoints($H210,$F210,$G210,J$1),"")</f>
        <v/>
      </c>
      <c r="K210" s="2" t="str" cm="1">
        <f t="array" ref="K210">IFERROR(playerPoints($H210,$F210,$G210,K$1),"")</f>
        <v/>
      </c>
      <c r="L210" s="2" t="str" cm="1">
        <f t="array" ref="L210">IFERROR(playerPoints($H210,$F210,$G210,L$1),"")</f>
        <v/>
      </c>
      <c r="M210" s="2" t="str" cm="1">
        <f t="array" ref="M210">IFERROR(playerPoints($H210,$F210,$G210,M$1),"")</f>
        <v/>
      </c>
      <c r="N210" s="2" t="str" cm="1">
        <f t="array" ref="N210">IFERROR(playerPoints($H210,$F210,$G210,N$1),"")</f>
        <v/>
      </c>
      <c r="O210" s="2" t="str" cm="1">
        <f t="array" ref="O210">IFERROR(playerPoints($H210,$F210,$G210,O$1),"")</f>
        <v/>
      </c>
      <c r="Q210" s="2">
        <f t="shared" si="3"/>
        <v>0</v>
      </c>
    </row>
    <row r="211" spans="1:17">
      <c r="A211" s="2">
        <v>210</v>
      </c>
      <c r="B211" s="2" t="s">
        <v>1368</v>
      </c>
      <c r="C211" s="2" t="s">
        <v>1369</v>
      </c>
      <c r="D211" s="2" t="s">
        <v>903</v>
      </c>
      <c r="F211" s="2" t="str">
        <f>LOOKUP(D211,Sheet3!A$1:A$32,Sheet3!B$1:B$32)</f>
        <v>DEN</v>
      </c>
      <c r="G211" s="2" t="s">
        <v>2560</v>
      </c>
      <c r="H211" s="2" t="s">
        <v>44</v>
      </c>
      <c r="I211" s="2" t="str" cm="1">
        <f t="array" ref="I211">IFERROR(playerPoints($H211,$F211,$G211,I$1),"")</f>
        <v/>
      </c>
      <c r="J211" s="2" t="str" cm="1">
        <f t="array" ref="J211">IFERROR(playerPoints($H211,$F211,$G211,J$1),"")</f>
        <v/>
      </c>
      <c r="K211" s="2" t="str" cm="1">
        <f t="array" ref="K211">IFERROR(playerPoints($H211,$F211,$G211,K$1),"")</f>
        <v/>
      </c>
      <c r="L211" s="2" t="str" cm="1">
        <f t="array" ref="L211">IFERROR(playerPoints($H211,$F211,$G211,L$1),"")</f>
        <v/>
      </c>
      <c r="M211" s="2" t="str" cm="1">
        <f t="array" ref="M211">IFERROR(playerPoints($H211,$F211,$G211,M$1),"")</f>
        <v/>
      </c>
      <c r="N211" s="2" t="str" cm="1">
        <f t="array" ref="N211">IFERROR(playerPoints($H211,$F211,$G211,N$1),"")</f>
        <v/>
      </c>
      <c r="O211" s="2" t="str" cm="1">
        <f t="array" ref="O211">IFERROR(playerPoints($H211,$F211,$G211,O$1),"")</f>
        <v/>
      </c>
      <c r="Q211" s="2">
        <f t="shared" si="3"/>
        <v>0</v>
      </c>
    </row>
    <row r="212" spans="1:17">
      <c r="A212" s="2">
        <v>211</v>
      </c>
      <c r="B212" s="2" t="s">
        <v>1370</v>
      </c>
      <c r="C212" s="2" t="s">
        <v>1371</v>
      </c>
      <c r="D212" s="2" t="s">
        <v>903</v>
      </c>
      <c r="F212" s="2" t="str">
        <f>LOOKUP(D212,Sheet3!A$1:A$32,Sheet3!B$1:B$32)</f>
        <v>DEN</v>
      </c>
      <c r="G212" s="2" t="s">
        <v>2561</v>
      </c>
      <c r="H212" s="2" t="s">
        <v>44</v>
      </c>
      <c r="I212" s="2" t="str" cm="1">
        <f t="array" ref="I212">IFERROR(playerPoints($H212,$F212,$G212,I$1),"")</f>
        <v/>
      </c>
      <c r="J212" s="2" t="str" cm="1">
        <f t="array" ref="J212">IFERROR(playerPoints($H212,$F212,$G212,J$1),"")</f>
        <v/>
      </c>
      <c r="K212" s="2" t="str" cm="1">
        <f t="array" ref="K212">IFERROR(playerPoints($H212,$F212,$G212,K$1),"")</f>
        <v/>
      </c>
      <c r="L212" s="2" t="str" cm="1">
        <f t="array" ref="L212">IFERROR(playerPoints($H212,$F212,$G212,L$1),"")</f>
        <v/>
      </c>
      <c r="M212" s="2" t="str" cm="1">
        <f t="array" ref="M212">IFERROR(playerPoints($H212,$F212,$G212,M$1),"")</f>
        <v/>
      </c>
      <c r="N212" s="2" t="str" cm="1">
        <f t="array" ref="N212">IFERROR(playerPoints($H212,$F212,$G212,N$1),"")</f>
        <v/>
      </c>
      <c r="O212" s="2" t="str" cm="1">
        <f t="array" ref="O212">IFERROR(playerPoints($H212,$F212,$G212,O$1),"")</f>
        <v/>
      </c>
      <c r="Q212" s="2">
        <f t="shared" si="3"/>
        <v>0</v>
      </c>
    </row>
    <row r="213" spans="1:17">
      <c r="A213" s="2">
        <v>212</v>
      </c>
      <c r="B213" s="2" t="s">
        <v>1372</v>
      </c>
      <c r="C213" s="2" t="s">
        <v>1373</v>
      </c>
      <c r="D213" s="2" t="s">
        <v>903</v>
      </c>
      <c r="F213" s="2" t="str">
        <f>LOOKUP(D213,Sheet3!A$1:A$32,Sheet3!B$1:B$32)</f>
        <v>DEN</v>
      </c>
      <c r="G213" s="2" t="s">
        <v>2562</v>
      </c>
      <c r="H213" s="2" t="s">
        <v>48</v>
      </c>
      <c r="I213" s="2" t="str" cm="1">
        <f t="array" ref="I213">IFERROR(playerPoints($H213,$F213,$G213,I$1),"")</f>
        <v/>
      </c>
      <c r="J213" s="2" t="str" cm="1">
        <f t="array" ref="J213">IFERROR(playerPoints($H213,$F213,$G213,J$1),"")</f>
        <v/>
      </c>
      <c r="K213" s="2" t="str" cm="1">
        <f t="array" ref="K213">IFERROR(playerPoints($H213,$F213,$G213,K$1),"")</f>
        <v/>
      </c>
      <c r="L213" s="2" t="str" cm="1">
        <f t="array" ref="L213">IFERROR(playerPoints($H213,$F213,$G213,L$1),"")</f>
        <v/>
      </c>
      <c r="M213" s="2" t="str" cm="1">
        <f t="array" ref="M213">IFERROR(playerPoints($H213,$F213,$G213,M$1),"")</f>
        <v/>
      </c>
      <c r="N213" s="2" t="str" cm="1">
        <f t="array" ref="N213">IFERROR(playerPoints($H213,$F213,$G213,N$1),"")</f>
        <v/>
      </c>
      <c r="O213" s="2" t="str" cm="1">
        <f t="array" ref="O213">IFERROR(playerPoints($H213,$F213,$G213,O$1),"")</f>
        <v/>
      </c>
      <c r="Q213" s="2">
        <f t="shared" si="3"/>
        <v>0</v>
      </c>
    </row>
    <row r="214" spans="1:17">
      <c r="A214" s="2">
        <v>213</v>
      </c>
      <c r="B214" s="2" t="s">
        <v>1374</v>
      </c>
      <c r="C214" s="2" t="s">
        <v>1375</v>
      </c>
      <c r="D214" s="2" t="s">
        <v>903</v>
      </c>
      <c r="F214" s="2" t="str">
        <f>LOOKUP(D214,Sheet3!A$1:A$32,Sheet3!B$1:B$32)</f>
        <v>DEN</v>
      </c>
      <c r="G214" s="2" t="s">
        <v>2563</v>
      </c>
      <c r="H214" s="2" t="s">
        <v>48</v>
      </c>
      <c r="I214" s="2" t="str" cm="1">
        <f t="array" ref="I214">IFERROR(playerPoints($H214,$F214,$G214,I$1),"")</f>
        <v/>
      </c>
      <c r="J214" s="2" t="str" cm="1">
        <f t="array" ref="J214">IFERROR(playerPoints($H214,$F214,$G214,J$1),"")</f>
        <v/>
      </c>
      <c r="K214" s="2" t="str" cm="1">
        <f t="array" ref="K214">IFERROR(playerPoints($H214,$F214,$G214,K$1),"")</f>
        <v/>
      </c>
      <c r="L214" s="2" t="str" cm="1">
        <f t="array" ref="L214">IFERROR(playerPoints($H214,$F214,$G214,L$1),"")</f>
        <v/>
      </c>
      <c r="M214" s="2" t="str" cm="1">
        <f t="array" ref="M214">IFERROR(playerPoints($H214,$F214,$G214,M$1),"")</f>
        <v/>
      </c>
      <c r="N214" s="2" t="str" cm="1">
        <f t="array" ref="N214">IFERROR(playerPoints($H214,$F214,$G214,N$1),"")</f>
        <v/>
      </c>
      <c r="O214" s="2" t="str" cm="1">
        <f t="array" ref="O214">IFERROR(playerPoints($H214,$F214,$G214,O$1),"")</f>
        <v/>
      </c>
      <c r="Q214" s="2">
        <f t="shared" si="3"/>
        <v>0</v>
      </c>
    </row>
    <row r="215" spans="1:17">
      <c r="A215" s="2">
        <v>214</v>
      </c>
      <c r="B215" s="2" t="s">
        <v>1113</v>
      </c>
      <c r="C215" s="2" t="s">
        <v>1376</v>
      </c>
      <c r="D215" s="2" t="s">
        <v>903</v>
      </c>
      <c r="F215" s="2" t="str">
        <f>LOOKUP(D215,Sheet3!A$1:A$32,Sheet3!B$1:B$32)</f>
        <v>DEN</v>
      </c>
      <c r="G215" s="2" t="s">
        <v>2564</v>
      </c>
      <c r="H215" s="2" t="s">
        <v>48</v>
      </c>
      <c r="I215" s="2" t="str" cm="1">
        <f t="array" ref="I215">IFERROR(playerPoints($H215,$F215,$G215,I$1),"")</f>
        <v/>
      </c>
      <c r="J215" s="2" t="str" cm="1">
        <f t="array" ref="J215">IFERROR(playerPoints($H215,$F215,$G215,J$1),"")</f>
        <v/>
      </c>
      <c r="K215" s="2" t="str" cm="1">
        <f t="array" ref="K215">IFERROR(playerPoints($H215,$F215,$G215,K$1),"")</f>
        <v/>
      </c>
      <c r="L215" s="2" t="str" cm="1">
        <f t="array" ref="L215">IFERROR(playerPoints($H215,$F215,$G215,L$1),"")</f>
        <v/>
      </c>
      <c r="M215" s="2" t="str" cm="1">
        <f t="array" ref="M215">IFERROR(playerPoints($H215,$F215,$G215,M$1),"")</f>
        <v/>
      </c>
      <c r="N215" s="2" t="str" cm="1">
        <f t="array" ref="N215">IFERROR(playerPoints($H215,$F215,$G215,N$1),"")</f>
        <v/>
      </c>
      <c r="O215" s="2" t="str" cm="1">
        <f t="array" ref="O215">IFERROR(playerPoints($H215,$F215,$G215,O$1),"")</f>
        <v/>
      </c>
      <c r="Q215" s="2">
        <f t="shared" si="3"/>
        <v>0</v>
      </c>
    </row>
    <row r="216" spans="1:17">
      <c r="A216" s="2">
        <v>215</v>
      </c>
      <c r="B216" s="2" t="s">
        <v>1377</v>
      </c>
      <c r="C216" s="2" t="s">
        <v>1378</v>
      </c>
      <c r="D216" s="2" t="s">
        <v>903</v>
      </c>
      <c r="F216" s="2" t="str">
        <f>LOOKUP(D216,Sheet3!A$1:A$32,Sheet3!B$1:B$32)</f>
        <v>DEN</v>
      </c>
      <c r="G216" s="2" t="s">
        <v>2565</v>
      </c>
      <c r="H216" s="2" t="s">
        <v>48</v>
      </c>
      <c r="I216" s="2" t="str" cm="1">
        <f t="array" ref="I216">IFERROR(playerPoints($H216,$F216,$G216,I$1),"")</f>
        <v/>
      </c>
      <c r="J216" s="2" t="str" cm="1">
        <f t="array" ref="J216">IFERROR(playerPoints($H216,$F216,$G216,J$1),"")</f>
        <v/>
      </c>
      <c r="K216" s="2" t="str" cm="1">
        <f t="array" ref="K216">IFERROR(playerPoints($H216,$F216,$G216,K$1),"")</f>
        <v/>
      </c>
      <c r="L216" s="2" t="str" cm="1">
        <f t="array" ref="L216">IFERROR(playerPoints($H216,$F216,$G216,L$1),"")</f>
        <v/>
      </c>
      <c r="M216" s="2" t="str" cm="1">
        <f t="array" ref="M216">IFERROR(playerPoints($H216,$F216,$G216,M$1),"")</f>
        <v/>
      </c>
      <c r="N216" s="2" t="str" cm="1">
        <f t="array" ref="N216">IFERROR(playerPoints($H216,$F216,$G216,N$1),"")</f>
        <v/>
      </c>
      <c r="O216" s="2" t="str" cm="1">
        <f t="array" ref="O216">IFERROR(playerPoints($H216,$F216,$G216,O$1),"")</f>
        <v/>
      </c>
      <c r="Q216" s="2">
        <f t="shared" si="3"/>
        <v>0</v>
      </c>
    </row>
    <row r="217" spans="1:17">
      <c r="A217" s="2">
        <v>216</v>
      </c>
      <c r="B217" s="2" t="s">
        <v>1379</v>
      </c>
      <c r="C217" s="2" t="s">
        <v>1369</v>
      </c>
      <c r="D217" s="2" t="s">
        <v>903</v>
      </c>
      <c r="F217" s="2" t="str">
        <f>LOOKUP(D217,Sheet3!A$1:A$32,Sheet3!B$1:B$32)</f>
        <v>DEN</v>
      </c>
      <c r="G217" s="2" t="s">
        <v>2566</v>
      </c>
      <c r="H217" s="2" t="s">
        <v>48</v>
      </c>
      <c r="I217" s="2" t="str" cm="1">
        <f t="array" ref="I217">IFERROR(playerPoints($H217,$F217,$G217,I$1),"")</f>
        <v/>
      </c>
      <c r="J217" s="2" t="str" cm="1">
        <f t="array" ref="J217">IFERROR(playerPoints($H217,$F217,$G217,J$1),"")</f>
        <v/>
      </c>
      <c r="K217" s="2" t="str" cm="1">
        <f t="array" ref="K217">IFERROR(playerPoints($H217,$F217,$G217,K$1),"")</f>
        <v/>
      </c>
      <c r="L217" s="2" t="str" cm="1">
        <f t="array" ref="L217">IFERROR(playerPoints($H217,$F217,$G217,L$1),"")</f>
        <v/>
      </c>
      <c r="M217" s="2" t="str" cm="1">
        <f t="array" ref="M217">IFERROR(playerPoints($H217,$F217,$G217,M$1),"")</f>
        <v/>
      </c>
      <c r="N217" s="2" t="str" cm="1">
        <f t="array" ref="N217">IFERROR(playerPoints($H217,$F217,$G217,N$1),"")</f>
        <v/>
      </c>
      <c r="O217" s="2" t="str" cm="1">
        <f t="array" ref="O217">IFERROR(playerPoints($H217,$F217,$G217,O$1),"")</f>
        <v/>
      </c>
      <c r="Q217" s="2">
        <f t="shared" si="3"/>
        <v>0</v>
      </c>
    </row>
    <row r="218" spans="1:17">
      <c r="A218" s="2">
        <v>217</v>
      </c>
      <c r="B218" s="2" t="s">
        <v>1380</v>
      </c>
      <c r="C218" s="2" t="s">
        <v>1381</v>
      </c>
      <c r="D218" s="2" t="s">
        <v>903</v>
      </c>
      <c r="F218" s="2" t="str">
        <f>LOOKUP(D218,Sheet3!A$1:A$32,Sheet3!B$1:B$32)</f>
        <v>DEN</v>
      </c>
      <c r="G218" s="2" t="s">
        <v>2567</v>
      </c>
      <c r="H218" s="2" t="s">
        <v>48</v>
      </c>
      <c r="I218" s="2" t="str" cm="1">
        <f t="array" ref="I218">IFERROR(playerPoints($H218,$F218,$G218,I$1),"")</f>
        <v/>
      </c>
      <c r="J218" s="2" t="str" cm="1">
        <f t="array" ref="J218">IFERROR(playerPoints($H218,$F218,$G218,J$1),"")</f>
        <v/>
      </c>
      <c r="K218" s="2" t="str" cm="1">
        <f t="array" ref="K218">IFERROR(playerPoints($H218,$F218,$G218,K$1),"")</f>
        <v/>
      </c>
      <c r="L218" s="2" t="str" cm="1">
        <f t="array" ref="L218">IFERROR(playerPoints($H218,$F218,$G218,L$1),"")</f>
        <v/>
      </c>
      <c r="M218" s="2" t="str" cm="1">
        <f t="array" ref="M218">IFERROR(playerPoints($H218,$F218,$G218,M$1),"")</f>
        <v/>
      </c>
      <c r="N218" s="2" t="str" cm="1">
        <f t="array" ref="N218">IFERROR(playerPoints($H218,$F218,$G218,N$1),"")</f>
        <v/>
      </c>
      <c r="O218" s="2" t="str" cm="1">
        <f t="array" ref="O218">IFERROR(playerPoints($H218,$F218,$G218,O$1),"")</f>
        <v/>
      </c>
      <c r="Q218" s="2">
        <f t="shared" si="3"/>
        <v>0</v>
      </c>
    </row>
    <row r="219" spans="1:17">
      <c r="A219" s="2">
        <v>218</v>
      </c>
      <c r="B219" s="2" t="s">
        <v>1382</v>
      </c>
      <c r="C219" s="2" t="s">
        <v>1383</v>
      </c>
      <c r="D219" s="2" t="s">
        <v>903</v>
      </c>
      <c r="F219" s="2" t="str">
        <f>LOOKUP(D219,Sheet3!A$1:A$32,Sheet3!B$1:B$32)</f>
        <v>DEN</v>
      </c>
      <c r="G219" s="2" t="s">
        <v>2568</v>
      </c>
      <c r="H219" s="2" t="s">
        <v>48</v>
      </c>
      <c r="I219" s="2" t="str" cm="1">
        <f t="array" ref="I219">IFERROR(playerPoints($H219,$F219,$G219,I$1),"")</f>
        <v/>
      </c>
      <c r="J219" s="2" t="str" cm="1">
        <f t="array" ref="J219">IFERROR(playerPoints($H219,$F219,$G219,J$1),"")</f>
        <v/>
      </c>
      <c r="K219" s="2" t="str" cm="1">
        <f t="array" ref="K219">IFERROR(playerPoints($H219,$F219,$G219,K$1),"")</f>
        <v/>
      </c>
      <c r="L219" s="2" t="str" cm="1">
        <f t="array" ref="L219">IFERROR(playerPoints($H219,$F219,$G219,L$1),"")</f>
        <v/>
      </c>
      <c r="M219" s="2" t="str" cm="1">
        <f t="array" ref="M219">IFERROR(playerPoints($H219,$F219,$G219,M$1),"")</f>
        <v/>
      </c>
      <c r="N219" s="2" t="str" cm="1">
        <f t="array" ref="N219">IFERROR(playerPoints($H219,$F219,$G219,N$1),"")</f>
        <v/>
      </c>
      <c r="O219" s="2" t="str" cm="1">
        <f t="array" ref="O219">IFERROR(playerPoints($H219,$F219,$G219,O$1),"")</f>
        <v/>
      </c>
      <c r="Q219" s="2">
        <f t="shared" si="3"/>
        <v>0</v>
      </c>
    </row>
    <row r="220" spans="1:17">
      <c r="A220" s="2">
        <v>219</v>
      </c>
      <c r="B220" s="2" t="s">
        <v>1384</v>
      </c>
      <c r="C220" s="2" t="s">
        <v>1385</v>
      </c>
      <c r="D220" s="2" t="s">
        <v>903</v>
      </c>
      <c r="F220" s="2" t="str">
        <f>LOOKUP(D220,Sheet3!A$1:A$32,Sheet3!B$1:B$32)</f>
        <v>DEN</v>
      </c>
      <c r="G220" s="2" t="s">
        <v>2569</v>
      </c>
      <c r="H220" s="2" t="s">
        <v>48</v>
      </c>
      <c r="I220" s="2" t="str" cm="1">
        <f t="array" ref="I220">IFERROR(playerPoints($H220,$F220,$G220,I$1),"")</f>
        <v/>
      </c>
      <c r="J220" s="2" t="str" cm="1">
        <f t="array" ref="J220">IFERROR(playerPoints($H220,$F220,$G220,J$1),"")</f>
        <v/>
      </c>
      <c r="K220" s="2" t="str" cm="1">
        <f t="array" ref="K220">IFERROR(playerPoints($H220,$F220,$G220,K$1),"")</f>
        <v/>
      </c>
      <c r="L220" s="2" t="str" cm="1">
        <f t="array" ref="L220">IFERROR(playerPoints($H220,$F220,$G220,L$1),"")</f>
        <v/>
      </c>
      <c r="M220" s="2" t="str" cm="1">
        <f t="array" ref="M220">IFERROR(playerPoints($H220,$F220,$G220,M$1),"")</f>
        <v/>
      </c>
      <c r="N220" s="2" t="str" cm="1">
        <f t="array" ref="N220">IFERROR(playerPoints($H220,$F220,$G220,N$1),"")</f>
        <v/>
      </c>
      <c r="O220" s="2" t="str" cm="1">
        <f t="array" ref="O220">IFERROR(playerPoints($H220,$F220,$G220,O$1),"")</f>
        <v/>
      </c>
      <c r="Q220" s="2">
        <f t="shared" si="3"/>
        <v>0</v>
      </c>
    </row>
    <row r="221" spans="1:17">
      <c r="A221" s="2">
        <v>220</v>
      </c>
      <c r="B221" s="2" t="s">
        <v>1386</v>
      </c>
      <c r="C221" s="2" t="s">
        <v>1387</v>
      </c>
      <c r="D221" s="2" t="s">
        <v>903</v>
      </c>
      <c r="F221" s="2" t="str">
        <f>LOOKUP(D221,Sheet3!A$1:A$32,Sheet3!B$1:B$32)</f>
        <v>DEN</v>
      </c>
      <c r="G221" s="2" t="s">
        <v>2570</v>
      </c>
      <c r="H221" s="2" t="s">
        <v>57</v>
      </c>
      <c r="I221" s="2" t="str" cm="1">
        <f t="array" ref="I221">IFERROR(playerPoints($H221,$F221,$G221,I$1),"")</f>
        <v/>
      </c>
      <c r="J221" s="2" t="str" cm="1">
        <f t="array" ref="J221">IFERROR(playerPoints($H221,$F221,$G221,J$1),"")</f>
        <v/>
      </c>
      <c r="K221" s="2" t="str" cm="1">
        <f t="array" ref="K221">IFERROR(playerPoints($H221,$F221,$G221,K$1),"")</f>
        <v/>
      </c>
      <c r="L221" s="2" t="str" cm="1">
        <f t="array" ref="L221">IFERROR(playerPoints($H221,$F221,$G221,L$1),"")</f>
        <v/>
      </c>
      <c r="M221" s="2" t="str" cm="1">
        <f t="array" ref="M221">IFERROR(playerPoints($H221,$F221,$G221,M$1),"")</f>
        <v/>
      </c>
      <c r="N221" s="2" t="str" cm="1">
        <f t="array" ref="N221">IFERROR(playerPoints($H221,$F221,$G221,N$1),"")</f>
        <v/>
      </c>
      <c r="O221" s="2" t="str" cm="1">
        <f t="array" ref="O221">IFERROR(playerPoints($H221,$F221,$G221,O$1),"")</f>
        <v/>
      </c>
      <c r="Q221" s="2">
        <f t="shared" si="3"/>
        <v>0</v>
      </c>
    </row>
    <row r="222" spans="1:17">
      <c r="A222" s="2">
        <v>221</v>
      </c>
      <c r="B222" s="2" t="s">
        <v>1080</v>
      </c>
      <c r="C222" s="2" t="s">
        <v>1388</v>
      </c>
      <c r="D222" s="2" t="s">
        <v>903</v>
      </c>
      <c r="F222" s="2" t="str">
        <f>LOOKUP(D222,Sheet3!A$1:A$32,Sheet3!B$1:B$32)</f>
        <v>DEN</v>
      </c>
      <c r="G222" s="2" t="s">
        <v>2571</v>
      </c>
      <c r="H222" s="2" t="s">
        <v>57</v>
      </c>
      <c r="I222" s="2" t="str" cm="1">
        <f t="array" ref="I222">IFERROR(playerPoints($H222,$F222,$G222,I$1),"")</f>
        <v/>
      </c>
      <c r="J222" s="2" t="str" cm="1">
        <f t="array" ref="J222">IFERROR(playerPoints($H222,$F222,$G222,J$1),"")</f>
        <v/>
      </c>
      <c r="K222" s="2" t="str" cm="1">
        <f t="array" ref="K222">IFERROR(playerPoints($H222,$F222,$G222,K$1),"")</f>
        <v/>
      </c>
      <c r="L222" s="2" t="str" cm="1">
        <f t="array" ref="L222">IFERROR(playerPoints($H222,$F222,$G222,L$1),"")</f>
        <v/>
      </c>
      <c r="M222" s="2" t="str" cm="1">
        <f t="array" ref="M222">IFERROR(playerPoints($H222,$F222,$G222,M$1),"")</f>
        <v/>
      </c>
      <c r="N222" s="2" t="str" cm="1">
        <f t="array" ref="N222">IFERROR(playerPoints($H222,$F222,$G222,N$1),"")</f>
        <v/>
      </c>
      <c r="O222" s="2" t="str" cm="1">
        <f t="array" ref="O222">IFERROR(playerPoints($H222,$F222,$G222,O$1),"")</f>
        <v/>
      </c>
      <c r="Q222" s="2">
        <f t="shared" si="3"/>
        <v>0</v>
      </c>
    </row>
    <row r="223" spans="1:17">
      <c r="A223" s="2">
        <v>222</v>
      </c>
      <c r="B223" s="2" t="s">
        <v>1219</v>
      </c>
      <c r="C223" s="2" t="s">
        <v>1389</v>
      </c>
      <c r="D223" s="2" t="s">
        <v>903</v>
      </c>
      <c r="F223" s="2" t="str">
        <f>LOOKUP(D223,Sheet3!A$1:A$32,Sheet3!B$1:B$32)</f>
        <v>DEN</v>
      </c>
      <c r="G223" s="2" t="s">
        <v>2572</v>
      </c>
      <c r="H223" s="2" t="s">
        <v>57</v>
      </c>
      <c r="I223" s="2" t="str" cm="1">
        <f t="array" ref="I223">IFERROR(playerPoints($H223,$F223,$G223,I$1),"")</f>
        <v/>
      </c>
      <c r="J223" s="2" t="str" cm="1">
        <f t="array" ref="J223">IFERROR(playerPoints($H223,$F223,$G223,J$1),"")</f>
        <v/>
      </c>
      <c r="K223" s="2" t="str" cm="1">
        <f t="array" ref="K223">IFERROR(playerPoints($H223,$F223,$G223,K$1),"")</f>
        <v/>
      </c>
      <c r="L223" s="2" t="str" cm="1">
        <f t="array" ref="L223">IFERROR(playerPoints($H223,$F223,$G223,L$1),"")</f>
        <v/>
      </c>
      <c r="M223" s="2" t="str" cm="1">
        <f t="array" ref="M223">IFERROR(playerPoints($H223,$F223,$G223,M$1),"")</f>
        <v/>
      </c>
      <c r="N223" s="2" t="str" cm="1">
        <f t="array" ref="N223">IFERROR(playerPoints($H223,$F223,$G223,N$1),"")</f>
        <v/>
      </c>
      <c r="O223" s="2" t="str" cm="1">
        <f t="array" ref="O223">IFERROR(playerPoints($H223,$F223,$G223,O$1),"")</f>
        <v/>
      </c>
      <c r="Q223" s="2">
        <f t="shared" si="3"/>
        <v>0</v>
      </c>
    </row>
    <row r="224" spans="1:17">
      <c r="A224" s="2">
        <v>223</v>
      </c>
      <c r="B224" s="2" t="s">
        <v>1390</v>
      </c>
      <c r="C224" s="2" t="s">
        <v>1391</v>
      </c>
      <c r="D224" s="2" t="s">
        <v>903</v>
      </c>
      <c r="F224" s="2" t="str">
        <f>LOOKUP(D224,Sheet3!A$1:A$32,Sheet3!B$1:B$32)</f>
        <v>DEN</v>
      </c>
      <c r="G224" s="2" t="s">
        <v>2573</v>
      </c>
      <c r="H224" s="2" t="s">
        <v>57</v>
      </c>
      <c r="I224" s="2" t="str" cm="1">
        <f t="array" ref="I224">IFERROR(playerPoints($H224,$F224,$G224,I$1),"")</f>
        <v/>
      </c>
      <c r="J224" s="2" t="str" cm="1">
        <f t="array" ref="J224">IFERROR(playerPoints($H224,$F224,$G224,J$1),"")</f>
        <v/>
      </c>
      <c r="K224" s="2" t="str" cm="1">
        <f t="array" ref="K224">IFERROR(playerPoints($H224,$F224,$G224,K$1),"")</f>
        <v/>
      </c>
      <c r="L224" s="2" t="str" cm="1">
        <f t="array" ref="L224">IFERROR(playerPoints($H224,$F224,$G224,L$1),"")</f>
        <v/>
      </c>
      <c r="M224" s="2" t="str" cm="1">
        <f t="array" ref="M224">IFERROR(playerPoints($H224,$F224,$G224,M$1),"")</f>
        <v/>
      </c>
      <c r="N224" s="2" t="str" cm="1">
        <f t="array" ref="N224">IFERROR(playerPoints($H224,$F224,$G224,N$1),"")</f>
        <v/>
      </c>
      <c r="O224" s="2" t="str" cm="1">
        <f t="array" ref="O224">IFERROR(playerPoints($H224,$F224,$G224,O$1),"")</f>
        <v/>
      </c>
      <c r="Q224" s="2">
        <f t="shared" si="3"/>
        <v>0</v>
      </c>
    </row>
    <row r="225" spans="1:17">
      <c r="A225" s="2">
        <v>224</v>
      </c>
      <c r="B225" s="2" t="s">
        <v>1219</v>
      </c>
      <c r="C225" s="2" t="s">
        <v>1392</v>
      </c>
      <c r="D225" s="2" t="s">
        <v>903</v>
      </c>
      <c r="F225" s="2" t="str">
        <f>LOOKUP(D225,Sheet3!A$1:A$32,Sheet3!B$1:B$32)</f>
        <v>DEN</v>
      </c>
      <c r="G225" s="2" t="s">
        <v>2574</v>
      </c>
      <c r="H225" s="2" t="s">
        <v>57</v>
      </c>
      <c r="I225" s="2" t="str" cm="1">
        <f t="array" ref="I225">IFERROR(playerPoints($H225,$F225,$G225,I$1),"")</f>
        <v/>
      </c>
      <c r="J225" s="2" t="str" cm="1">
        <f t="array" ref="J225">IFERROR(playerPoints($H225,$F225,$G225,J$1),"")</f>
        <v/>
      </c>
      <c r="K225" s="2" t="str" cm="1">
        <f t="array" ref="K225">IFERROR(playerPoints($H225,$F225,$G225,K$1),"")</f>
        <v/>
      </c>
      <c r="L225" s="2" t="str" cm="1">
        <f t="array" ref="L225">IFERROR(playerPoints($H225,$F225,$G225,L$1),"")</f>
        <v/>
      </c>
      <c r="M225" s="2" t="str" cm="1">
        <f t="array" ref="M225">IFERROR(playerPoints($H225,$F225,$G225,M$1),"")</f>
        <v/>
      </c>
      <c r="N225" s="2" t="str" cm="1">
        <f t="array" ref="N225">IFERROR(playerPoints($H225,$F225,$G225,N$1),"")</f>
        <v/>
      </c>
      <c r="O225" s="2" t="str" cm="1">
        <f t="array" ref="O225">IFERROR(playerPoints($H225,$F225,$G225,O$1),"")</f>
        <v/>
      </c>
      <c r="Q225" s="2">
        <f t="shared" si="3"/>
        <v>0</v>
      </c>
    </row>
    <row r="226" spans="1:17">
      <c r="A226" s="2">
        <v>225</v>
      </c>
      <c r="B226" s="2" t="s">
        <v>1295</v>
      </c>
      <c r="C226" s="2" t="s">
        <v>1393</v>
      </c>
      <c r="D226" s="2" t="s">
        <v>903</v>
      </c>
      <c r="F226" s="2" t="str">
        <f>LOOKUP(D226,Sheet3!A$1:A$32,Sheet3!B$1:B$32)</f>
        <v>DEN</v>
      </c>
      <c r="G226" s="2" t="s">
        <v>2575</v>
      </c>
      <c r="H226" s="2" t="s">
        <v>57</v>
      </c>
      <c r="I226" s="2" t="str" cm="1">
        <f t="array" ref="I226">IFERROR(playerPoints($H226,$F226,$G226,I$1),"")</f>
        <v/>
      </c>
      <c r="J226" s="2" t="str" cm="1">
        <f t="array" ref="J226">IFERROR(playerPoints($H226,$F226,$G226,J$1),"")</f>
        <v/>
      </c>
      <c r="K226" s="2" t="str" cm="1">
        <f t="array" ref="K226">IFERROR(playerPoints($H226,$F226,$G226,K$1),"")</f>
        <v/>
      </c>
      <c r="L226" s="2" t="str" cm="1">
        <f t="array" ref="L226">IFERROR(playerPoints($H226,$F226,$G226,L$1),"")</f>
        <v/>
      </c>
      <c r="M226" s="2" t="str" cm="1">
        <f t="array" ref="M226">IFERROR(playerPoints($H226,$F226,$G226,M$1),"")</f>
        <v/>
      </c>
      <c r="N226" s="2" t="str" cm="1">
        <f t="array" ref="N226">IFERROR(playerPoints($H226,$F226,$G226,N$1),"")</f>
        <v/>
      </c>
      <c r="O226" s="2" t="str" cm="1">
        <f t="array" ref="O226">IFERROR(playerPoints($H226,$F226,$G226,O$1),"")</f>
        <v/>
      </c>
      <c r="Q226" s="2">
        <f t="shared" si="3"/>
        <v>0</v>
      </c>
    </row>
    <row r="227" spans="1:17">
      <c r="A227" s="2">
        <v>226</v>
      </c>
      <c r="B227" s="2" t="s">
        <v>1394</v>
      </c>
      <c r="C227" s="2" t="s">
        <v>1395</v>
      </c>
      <c r="D227" s="2" t="s">
        <v>903</v>
      </c>
      <c r="F227" s="2" t="str">
        <f>LOOKUP(D227,Sheet3!A$1:A$32,Sheet3!B$1:B$32)</f>
        <v>DEN</v>
      </c>
      <c r="G227" s="2" t="s">
        <v>2576</v>
      </c>
      <c r="H227" s="2" t="s">
        <v>57</v>
      </c>
      <c r="I227" s="2" t="str" cm="1">
        <f t="array" ref="I227">IFERROR(playerPoints($H227,$F227,$G227,I$1),"")</f>
        <v/>
      </c>
      <c r="J227" s="2" t="str" cm="1">
        <f t="array" ref="J227">IFERROR(playerPoints($H227,$F227,$G227,J$1),"")</f>
        <v/>
      </c>
      <c r="K227" s="2" t="str" cm="1">
        <f t="array" ref="K227">IFERROR(playerPoints($H227,$F227,$G227,K$1),"")</f>
        <v/>
      </c>
      <c r="L227" s="2" t="str" cm="1">
        <f t="array" ref="L227">IFERROR(playerPoints($H227,$F227,$G227,L$1),"")</f>
        <v/>
      </c>
      <c r="M227" s="2" t="str" cm="1">
        <f t="array" ref="M227">IFERROR(playerPoints($H227,$F227,$G227,M$1),"")</f>
        <v/>
      </c>
      <c r="N227" s="2" t="str" cm="1">
        <f t="array" ref="N227">IFERROR(playerPoints($H227,$F227,$G227,N$1),"")</f>
        <v/>
      </c>
      <c r="O227" s="2" t="str" cm="1">
        <f t="array" ref="O227">IFERROR(playerPoints($H227,$F227,$G227,O$1),"")</f>
        <v/>
      </c>
      <c r="Q227" s="2">
        <f t="shared" si="3"/>
        <v>0</v>
      </c>
    </row>
    <row r="228" spans="1:17">
      <c r="A228" s="2">
        <v>227</v>
      </c>
      <c r="B228" s="2" t="s">
        <v>1396</v>
      </c>
      <c r="C228" s="2" t="s">
        <v>1397</v>
      </c>
      <c r="D228" s="2" t="s">
        <v>903</v>
      </c>
      <c r="F228" s="2" t="str">
        <f>LOOKUP(D228,Sheet3!A$1:A$32,Sheet3!B$1:B$32)</f>
        <v>DEN</v>
      </c>
      <c r="G228" s="2" t="s">
        <v>2577</v>
      </c>
      <c r="H228" s="2" t="s">
        <v>57</v>
      </c>
      <c r="I228" s="2" t="str" cm="1">
        <f t="array" ref="I228">IFERROR(playerPoints($H228,$F228,$G228,I$1),"")</f>
        <v/>
      </c>
      <c r="J228" s="2" t="str" cm="1">
        <f t="array" ref="J228">IFERROR(playerPoints($H228,$F228,$G228,J$1),"")</f>
        <v/>
      </c>
      <c r="K228" s="2" t="str" cm="1">
        <f t="array" ref="K228">IFERROR(playerPoints($H228,$F228,$G228,K$1),"")</f>
        <v/>
      </c>
      <c r="L228" s="2" t="str" cm="1">
        <f t="array" ref="L228">IFERROR(playerPoints($H228,$F228,$G228,L$1),"")</f>
        <v/>
      </c>
      <c r="M228" s="2" t="str" cm="1">
        <f t="array" ref="M228">IFERROR(playerPoints($H228,$F228,$G228,M$1),"")</f>
        <v/>
      </c>
      <c r="N228" s="2" t="str" cm="1">
        <f t="array" ref="N228">IFERROR(playerPoints($H228,$F228,$G228,N$1),"")</f>
        <v/>
      </c>
      <c r="O228" s="2" t="str" cm="1">
        <f t="array" ref="O228">IFERROR(playerPoints($H228,$F228,$G228,O$1),"")</f>
        <v/>
      </c>
      <c r="Q228" s="2">
        <f t="shared" si="3"/>
        <v>0</v>
      </c>
    </row>
    <row r="229" spans="1:17">
      <c r="A229" s="2">
        <v>228</v>
      </c>
      <c r="B229" s="2" t="s">
        <v>1100</v>
      </c>
      <c r="C229" s="2" t="s">
        <v>1398</v>
      </c>
      <c r="D229" s="2" t="s">
        <v>903</v>
      </c>
      <c r="F229" s="2" t="str">
        <f>LOOKUP(D229,Sheet3!A$1:A$32,Sheet3!B$1:B$32)</f>
        <v>DEN</v>
      </c>
      <c r="G229" s="2" t="s">
        <v>2578</v>
      </c>
      <c r="H229" s="2" t="s">
        <v>66</v>
      </c>
      <c r="I229" s="2" t="str" cm="1">
        <f t="array" ref="I229">IFERROR(playerPoints($H229,$F229,$G229,I$1),"")</f>
        <v/>
      </c>
      <c r="J229" s="2" t="str" cm="1">
        <f t="array" ref="J229">IFERROR(playerPoints($H229,$F229,$G229,J$1),"")</f>
        <v/>
      </c>
      <c r="K229" s="2" t="str" cm="1">
        <f t="array" ref="K229">IFERROR(playerPoints($H229,$F229,$G229,K$1),"")</f>
        <v/>
      </c>
      <c r="L229" s="2" t="str" cm="1">
        <f t="array" ref="L229">IFERROR(playerPoints($H229,$F229,$G229,L$1),"")</f>
        <v/>
      </c>
      <c r="M229" s="2" t="str" cm="1">
        <f t="array" ref="M229">IFERROR(playerPoints($H229,$F229,$G229,M$1),"")</f>
        <v/>
      </c>
      <c r="N229" s="2" t="str" cm="1">
        <f t="array" ref="N229">IFERROR(playerPoints($H229,$F229,$G229,N$1),"")</f>
        <v/>
      </c>
      <c r="O229" s="2" t="str" cm="1">
        <f t="array" ref="O229">IFERROR(playerPoints($H229,$F229,$G229,O$1),"")</f>
        <v/>
      </c>
      <c r="Q229" s="2">
        <f t="shared" si="3"/>
        <v>0</v>
      </c>
    </row>
    <row r="230" spans="1:17">
      <c r="A230" s="2">
        <v>229</v>
      </c>
      <c r="B230" s="2" t="s">
        <v>1379</v>
      </c>
      <c r="C230" s="2" t="s">
        <v>1399</v>
      </c>
      <c r="D230" s="2" t="s">
        <v>903</v>
      </c>
      <c r="F230" s="2" t="str">
        <f>LOOKUP(D230,Sheet3!A$1:A$32,Sheet3!B$1:B$32)</f>
        <v>DEN</v>
      </c>
      <c r="G230" s="2" t="s">
        <v>2579</v>
      </c>
      <c r="H230" s="2" t="s">
        <v>66</v>
      </c>
      <c r="I230" s="2" t="str" cm="1">
        <f t="array" ref="I230">IFERROR(playerPoints($H230,$F230,$G230,I$1),"")</f>
        <v/>
      </c>
      <c r="J230" s="2" t="str" cm="1">
        <f t="array" ref="J230">IFERROR(playerPoints($H230,$F230,$G230,J$1),"")</f>
        <v/>
      </c>
      <c r="K230" s="2" t="str" cm="1">
        <f t="array" ref="K230">IFERROR(playerPoints($H230,$F230,$G230,K$1),"")</f>
        <v/>
      </c>
      <c r="L230" s="2" t="str" cm="1">
        <f t="array" ref="L230">IFERROR(playerPoints($H230,$F230,$G230,L$1),"")</f>
        <v/>
      </c>
      <c r="M230" s="2" t="str" cm="1">
        <f t="array" ref="M230">IFERROR(playerPoints($H230,$F230,$G230,M$1),"")</f>
        <v/>
      </c>
      <c r="N230" s="2" t="str" cm="1">
        <f t="array" ref="N230">IFERROR(playerPoints($H230,$F230,$G230,N$1),"")</f>
        <v/>
      </c>
      <c r="O230" s="2" t="str" cm="1">
        <f t="array" ref="O230">IFERROR(playerPoints($H230,$F230,$G230,O$1),"")</f>
        <v/>
      </c>
      <c r="Q230" s="2">
        <f t="shared" si="3"/>
        <v>0</v>
      </c>
    </row>
    <row r="231" spans="1:17">
      <c r="A231" s="2">
        <v>230</v>
      </c>
      <c r="B231" s="2" t="s">
        <v>1366</v>
      </c>
      <c r="C231" s="2" t="s">
        <v>1400</v>
      </c>
      <c r="D231" s="2" t="s">
        <v>903</v>
      </c>
      <c r="F231" s="2" t="str">
        <f>LOOKUP(D231,Sheet3!A$1:A$32,Sheet3!B$1:B$32)</f>
        <v>DEN</v>
      </c>
      <c r="G231" s="2" t="s">
        <v>2580</v>
      </c>
      <c r="H231" s="2" t="s">
        <v>66</v>
      </c>
      <c r="I231" s="2" t="str" cm="1">
        <f t="array" ref="I231">IFERROR(playerPoints($H231,$F231,$G231,I$1),"")</f>
        <v/>
      </c>
      <c r="J231" s="2" t="str" cm="1">
        <f t="array" ref="J231">IFERROR(playerPoints($H231,$F231,$G231,J$1),"")</f>
        <v/>
      </c>
      <c r="K231" s="2" t="str" cm="1">
        <f t="array" ref="K231">IFERROR(playerPoints($H231,$F231,$G231,K$1),"")</f>
        <v/>
      </c>
      <c r="L231" s="2" t="str" cm="1">
        <f t="array" ref="L231">IFERROR(playerPoints($H231,$F231,$G231,L$1),"")</f>
        <v/>
      </c>
      <c r="M231" s="2" t="str" cm="1">
        <f t="array" ref="M231">IFERROR(playerPoints($H231,$F231,$G231,M$1),"")</f>
        <v/>
      </c>
      <c r="N231" s="2" t="str" cm="1">
        <f t="array" ref="N231">IFERROR(playerPoints($H231,$F231,$G231,N$1),"")</f>
        <v/>
      </c>
      <c r="O231" s="2" t="str" cm="1">
        <f t="array" ref="O231">IFERROR(playerPoints($H231,$F231,$G231,O$1),"")</f>
        <v/>
      </c>
      <c r="Q231" s="2">
        <f t="shared" si="3"/>
        <v>0</v>
      </c>
    </row>
    <row r="232" spans="1:17">
      <c r="A232" s="2">
        <v>231</v>
      </c>
      <c r="B232" s="2" t="s">
        <v>1401</v>
      </c>
      <c r="C232" s="2" t="s">
        <v>1402</v>
      </c>
      <c r="D232" s="2" t="s">
        <v>903</v>
      </c>
      <c r="F232" s="2" t="str">
        <f>LOOKUP(D232,Sheet3!A$1:A$32,Sheet3!B$1:B$32)</f>
        <v>DEN</v>
      </c>
      <c r="G232" s="2" t="s">
        <v>2581</v>
      </c>
      <c r="H232" s="2" t="s">
        <v>66</v>
      </c>
      <c r="I232" s="2" t="str" cm="1">
        <f t="array" ref="I232">IFERROR(playerPoints($H232,$F232,$G232,I$1),"")</f>
        <v/>
      </c>
      <c r="J232" s="2" t="str" cm="1">
        <f t="array" ref="J232">IFERROR(playerPoints($H232,$F232,$G232,J$1),"")</f>
        <v/>
      </c>
      <c r="K232" s="2" t="str" cm="1">
        <f t="array" ref="K232">IFERROR(playerPoints($H232,$F232,$G232,K$1),"")</f>
        <v/>
      </c>
      <c r="L232" s="2" t="str" cm="1">
        <f t="array" ref="L232">IFERROR(playerPoints($H232,$F232,$G232,L$1),"")</f>
        <v/>
      </c>
      <c r="M232" s="2" t="str" cm="1">
        <f t="array" ref="M232">IFERROR(playerPoints($H232,$F232,$G232,M$1),"")</f>
        <v/>
      </c>
      <c r="N232" s="2" t="str" cm="1">
        <f t="array" ref="N232">IFERROR(playerPoints($H232,$F232,$G232,N$1),"")</f>
        <v/>
      </c>
      <c r="O232" s="2" t="str" cm="1">
        <f t="array" ref="O232">IFERROR(playerPoints($H232,$F232,$G232,O$1),"")</f>
        <v/>
      </c>
      <c r="Q232" s="2">
        <f t="shared" si="3"/>
        <v>0</v>
      </c>
    </row>
    <row r="233" spans="1:17">
      <c r="A233" s="2">
        <v>232</v>
      </c>
      <c r="B233" s="2" t="s">
        <v>1403</v>
      </c>
      <c r="C233" s="2" t="s">
        <v>1404</v>
      </c>
      <c r="D233" s="2" t="s">
        <v>903</v>
      </c>
      <c r="F233" s="2" t="str">
        <f>LOOKUP(D233,Sheet3!A$1:A$32,Sheet3!B$1:B$32)</f>
        <v>DEN</v>
      </c>
      <c r="G233" s="2" t="s">
        <v>2582</v>
      </c>
      <c r="H233" s="2" t="s">
        <v>66</v>
      </c>
      <c r="I233" s="2" t="str" cm="1">
        <f t="array" ref="I233">IFERROR(playerPoints($H233,$F233,$G233,I$1),"")</f>
        <v/>
      </c>
      <c r="J233" s="2" t="str" cm="1">
        <f t="array" ref="J233">IFERROR(playerPoints($H233,$F233,$G233,J$1),"")</f>
        <v/>
      </c>
      <c r="K233" s="2" t="str" cm="1">
        <f t="array" ref="K233">IFERROR(playerPoints($H233,$F233,$G233,K$1),"")</f>
        <v/>
      </c>
      <c r="L233" s="2" t="str" cm="1">
        <f t="array" ref="L233">IFERROR(playerPoints($H233,$F233,$G233,L$1),"")</f>
        <v/>
      </c>
      <c r="M233" s="2" t="str" cm="1">
        <f t="array" ref="M233">IFERROR(playerPoints($H233,$F233,$G233,M$1),"")</f>
        <v/>
      </c>
      <c r="N233" s="2" t="str" cm="1">
        <f t="array" ref="N233">IFERROR(playerPoints($H233,$F233,$G233,N$1),"")</f>
        <v/>
      </c>
      <c r="O233" s="2" t="str" cm="1">
        <f t="array" ref="O233">IFERROR(playerPoints($H233,$F233,$G233,O$1),"")</f>
        <v/>
      </c>
      <c r="Q233" s="2">
        <f t="shared" si="3"/>
        <v>0</v>
      </c>
    </row>
    <row r="234" spans="1:17">
      <c r="A234" s="2">
        <v>233</v>
      </c>
      <c r="B234" s="2" t="s">
        <v>1379</v>
      </c>
      <c r="C234" s="2" t="s">
        <v>1244</v>
      </c>
      <c r="D234" s="2" t="s">
        <v>903</v>
      </c>
      <c r="F234" s="2" t="str">
        <f>LOOKUP(D234,Sheet3!A$1:A$32,Sheet3!B$1:B$32)</f>
        <v>DEN</v>
      </c>
      <c r="G234" s="2" t="s">
        <v>2583</v>
      </c>
      <c r="H234" s="2" t="s">
        <v>66</v>
      </c>
      <c r="I234" s="2" t="str" cm="1">
        <f t="array" ref="I234">IFERROR(playerPoints($H234,$F234,$G234,I$1),"")</f>
        <v/>
      </c>
      <c r="J234" s="2" t="str" cm="1">
        <f t="array" ref="J234">IFERROR(playerPoints($H234,$F234,$G234,J$1),"")</f>
        <v/>
      </c>
      <c r="K234" s="2" t="str" cm="1">
        <f t="array" ref="K234">IFERROR(playerPoints($H234,$F234,$G234,K$1),"")</f>
        <v/>
      </c>
      <c r="L234" s="2" t="str" cm="1">
        <f t="array" ref="L234">IFERROR(playerPoints($H234,$F234,$G234,L$1),"")</f>
        <v/>
      </c>
      <c r="M234" s="2" t="str" cm="1">
        <f t="array" ref="M234">IFERROR(playerPoints($H234,$F234,$G234,M$1),"")</f>
        <v/>
      </c>
      <c r="N234" s="2" t="str" cm="1">
        <f t="array" ref="N234">IFERROR(playerPoints($H234,$F234,$G234,N$1),"")</f>
        <v/>
      </c>
      <c r="O234" s="2" t="str" cm="1">
        <f t="array" ref="O234">IFERROR(playerPoints($H234,$F234,$G234,O$1),"")</f>
        <v/>
      </c>
      <c r="Q234" s="2">
        <f t="shared" si="3"/>
        <v>0</v>
      </c>
    </row>
    <row r="235" spans="1:17">
      <c r="A235" s="2">
        <v>234</v>
      </c>
      <c r="B235" s="2" t="s">
        <v>1405</v>
      </c>
      <c r="C235" s="2" t="s">
        <v>1406</v>
      </c>
      <c r="D235" s="2" t="s">
        <v>903</v>
      </c>
      <c r="F235" s="2" t="str">
        <f>LOOKUP(D235,Sheet3!A$1:A$32,Sheet3!B$1:B$32)</f>
        <v>DEN</v>
      </c>
      <c r="G235" s="2" t="s">
        <v>2584</v>
      </c>
      <c r="H235" s="2" t="s">
        <v>66</v>
      </c>
      <c r="I235" s="2" t="str" cm="1">
        <f t="array" ref="I235">IFERROR(playerPoints($H235,$F235,$G235,I$1),"")</f>
        <v/>
      </c>
      <c r="J235" s="2" t="str" cm="1">
        <f t="array" ref="J235">IFERROR(playerPoints($H235,$F235,$G235,J$1),"")</f>
        <v/>
      </c>
      <c r="K235" s="2" t="str" cm="1">
        <f t="array" ref="K235">IFERROR(playerPoints($H235,$F235,$G235,K$1),"")</f>
        <v/>
      </c>
      <c r="L235" s="2" t="str" cm="1">
        <f t="array" ref="L235">IFERROR(playerPoints($H235,$F235,$G235,L$1),"")</f>
        <v/>
      </c>
      <c r="M235" s="2" t="str" cm="1">
        <f t="array" ref="M235">IFERROR(playerPoints($H235,$F235,$G235,M$1),"")</f>
        <v/>
      </c>
      <c r="N235" s="2" t="str" cm="1">
        <f t="array" ref="N235">IFERROR(playerPoints($H235,$F235,$G235,N$1),"")</f>
        <v/>
      </c>
      <c r="O235" s="2" t="str" cm="1">
        <f t="array" ref="O235">IFERROR(playerPoints($H235,$F235,$G235,O$1),"")</f>
        <v/>
      </c>
      <c r="Q235" s="2">
        <f t="shared" si="3"/>
        <v>0</v>
      </c>
    </row>
    <row r="236" spans="1:17">
      <c r="A236" s="2">
        <v>235</v>
      </c>
      <c r="B236" s="2" t="s">
        <v>1407</v>
      </c>
      <c r="C236" s="2" t="s">
        <v>1408</v>
      </c>
      <c r="D236" s="2" t="s">
        <v>904</v>
      </c>
      <c r="F236" s="2" t="str">
        <f>LOOKUP(D236,Sheet3!A$1:A$32,Sheet3!B$1:B$32)</f>
        <v>ECU</v>
      </c>
      <c r="G236" s="2" t="s">
        <v>2585</v>
      </c>
      <c r="H236" s="2" t="s">
        <v>44</v>
      </c>
      <c r="I236" s="2" t="str" cm="1">
        <f t="array" ref="I236">IFERROR(playerPoints($H236,$F236,$G236,I$1),"")</f>
        <v/>
      </c>
      <c r="J236" s="2" t="str" cm="1">
        <f t="array" ref="J236">IFERROR(playerPoints($H236,$F236,$G236,J$1),"")</f>
        <v/>
      </c>
      <c r="K236" s="2" t="str" cm="1">
        <f t="array" ref="K236">IFERROR(playerPoints($H236,$F236,$G236,K$1),"")</f>
        <v/>
      </c>
      <c r="L236" s="2" t="str" cm="1">
        <f t="array" ref="L236">IFERROR(playerPoints($H236,$F236,$G236,L$1),"")</f>
        <v/>
      </c>
      <c r="M236" s="2" t="str" cm="1">
        <f t="array" ref="M236">IFERROR(playerPoints($H236,$F236,$G236,M$1),"")</f>
        <v/>
      </c>
      <c r="N236" s="2" t="str" cm="1">
        <f t="array" ref="N236">IFERROR(playerPoints($H236,$F236,$G236,N$1),"")</f>
        <v/>
      </c>
      <c r="O236" s="2" t="str" cm="1">
        <f t="array" ref="O236">IFERROR(playerPoints($H236,$F236,$G236,O$1),"")</f>
        <v/>
      </c>
      <c r="Q236" s="2">
        <f t="shared" si="3"/>
        <v>0</v>
      </c>
    </row>
    <row r="237" spans="1:17">
      <c r="A237" s="2">
        <v>236</v>
      </c>
      <c r="B237" s="2" t="s">
        <v>1409</v>
      </c>
      <c r="C237" s="2" t="s">
        <v>1410</v>
      </c>
      <c r="D237" s="2" t="s">
        <v>904</v>
      </c>
      <c r="F237" s="2" t="str">
        <f>LOOKUP(D237,Sheet3!A$1:A$32,Sheet3!B$1:B$32)</f>
        <v>ECU</v>
      </c>
      <c r="G237" s="2" t="s">
        <v>2586</v>
      </c>
      <c r="H237" s="2" t="s">
        <v>44</v>
      </c>
      <c r="I237" s="2" t="str" cm="1">
        <f t="array" ref="I237">IFERROR(playerPoints($H237,$F237,$G237,I$1),"")</f>
        <v/>
      </c>
      <c r="J237" s="2" t="str" cm="1">
        <f t="array" ref="J237">IFERROR(playerPoints($H237,$F237,$G237,J$1),"")</f>
        <v/>
      </c>
      <c r="K237" s="2" t="str" cm="1">
        <f t="array" ref="K237">IFERROR(playerPoints($H237,$F237,$G237,K$1),"")</f>
        <v/>
      </c>
      <c r="L237" s="2" t="str" cm="1">
        <f t="array" ref="L237">IFERROR(playerPoints($H237,$F237,$G237,L$1),"")</f>
        <v/>
      </c>
      <c r="M237" s="2" t="str" cm="1">
        <f t="array" ref="M237">IFERROR(playerPoints($H237,$F237,$G237,M$1),"")</f>
        <v/>
      </c>
      <c r="N237" s="2" t="str" cm="1">
        <f t="array" ref="N237">IFERROR(playerPoints($H237,$F237,$G237,N$1),"")</f>
        <v/>
      </c>
      <c r="O237" s="2" t="str" cm="1">
        <f t="array" ref="O237">IFERROR(playerPoints($H237,$F237,$G237,O$1),"")</f>
        <v/>
      </c>
      <c r="Q237" s="2">
        <f t="shared" si="3"/>
        <v>0</v>
      </c>
    </row>
    <row r="238" spans="1:17">
      <c r="A238" s="2">
        <v>237</v>
      </c>
      <c r="B238" s="2" t="s">
        <v>1384</v>
      </c>
      <c r="C238" s="2" t="s">
        <v>1411</v>
      </c>
      <c r="D238" s="2" t="s">
        <v>904</v>
      </c>
      <c r="F238" s="2" t="str">
        <f>LOOKUP(D238,Sheet3!A$1:A$32,Sheet3!B$1:B$32)</f>
        <v>ECU</v>
      </c>
      <c r="G238" s="2" t="s">
        <v>2587</v>
      </c>
      <c r="H238" s="2" t="s">
        <v>44</v>
      </c>
      <c r="I238" s="2" t="str" cm="1">
        <f t="array" ref="I238">IFERROR(playerPoints($H238,$F238,$G238,I$1),"")</f>
        <v/>
      </c>
      <c r="J238" s="2" t="str" cm="1">
        <f t="array" ref="J238">IFERROR(playerPoints($H238,$F238,$G238,J$1),"")</f>
        <v/>
      </c>
      <c r="K238" s="2" t="str" cm="1">
        <f t="array" ref="K238">IFERROR(playerPoints($H238,$F238,$G238,K$1),"")</f>
        <v/>
      </c>
      <c r="L238" s="2" t="str" cm="1">
        <f t="array" ref="L238">IFERROR(playerPoints($H238,$F238,$G238,L$1),"")</f>
        <v/>
      </c>
      <c r="M238" s="2" t="str" cm="1">
        <f t="array" ref="M238">IFERROR(playerPoints($H238,$F238,$G238,M$1),"")</f>
        <v/>
      </c>
      <c r="N238" s="2" t="str" cm="1">
        <f t="array" ref="N238">IFERROR(playerPoints($H238,$F238,$G238,N$1),"")</f>
        <v/>
      </c>
      <c r="O238" s="2" t="str" cm="1">
        <f t="array" ref="O238">IFERROR(playerPoints($H238,$F238,$G238,O$1),"")</f>
        <v/>
      </c>
      <c r="Q238" s="2">
        <f t="shared" si="3"/>
        <v>0</v>
      </c>
    </row>
    <row r="239" spans="1:17">
      <c r="A239" s="2">
        <v>238</v>
      </c>
      <c r="B239" s="2" t="s">
        <v>1412</v>
      </c>
      <c r="C239" s="2" t="s">
        <v>1302</v>
      </c>
      <c r="D239" s="2" t="s">
        <v>904</v>
      </c>
      <c r="F239" s="2" t="str">
        <f>LOOKUP(D239,Sheet3!A$1:A$32,Sheet3!B$1:B$32)</f>
        <v>ECU</v>
      </c>
      <c r="G239" s="2" t="s">
        <v>2588</v>
      </c>
      <c r="H239" s="2" t="s">
        <v>48</v>
      </c>
      <c r="I239" s="2" t="str" cm="1">
        <f t="array" ref="I239">IFERROR(playerPoints($H239,$F239,$G239,I$1),"")</f>
        <v/>
      </c>
      <c r="J239" s="2" t="str" cm="1">
        <f t="array" ref="J239">IFERROR(playerPoints($H239,$F239,$G239,J$1),"")</f>
        <v/>
      </c>
      <c r="K239" s="2" t="str" cm="1">
        <f t="array" ref="K239">IFERROR(playerPoints($H239,$F239,$G239,K$1),"")</f>
        <v/>
      </c>
      <c r="L239" s="2" t="str" cm="1">
        <f t="array" ref="L239">IFERROR(playerPoints($H239,$F239,$G239,L$1),"")</f>
        <v/>
      </c>
      <c r="M239" s="2" t="str" cm="1">
        <f t="array" ref="M239">IFERROR(playerPoints($H239,$F239,$G239,M$1),"")</f>
        <v/>
      </c>
      <c r="N239" s="2" t="str" cm="1">
        <f t="array" ref="N239">IFERROR(playerPoints($H239,$F239,$G239,N$1),"")</f>
        <v/>
      </c>
      <c r="O239" s="2" t="str" cm="1">
        <f t="array" ref="O239">IFERROR(playerPoints($H239,$F239,$G239,O$1),"")</f>
        <v/>
      </c>
      <c r="Q239" s="2">
        <f t="shared" si="3"/>
        <v>0</v>
      </c>
    </row>
    <row r="240" spans="1:17">
      <c r="A240" s="2">
        <v>239</v>
      </c>
      <c r="B240" s="2" t="s">
        <v>1413</v>
      </c>
      <c r="C240" s="2" t="s">
        <v>1414</v>
      </c>
      <c r="D240" s="2" t="s">
        <v>904</v>
      </c>
      <c r="F240" s="2" t="str">
        <f>LOOKUP(D240,Sheet3!A$1:A$32,Sheet3!B$1:B$32)</f>
        <v>ECU</v>
      </c>
      <c r="G240" s="2" t="s">
        <v>2589</v>
      </c>
      <c r="H240" s="2" t="s">
        <v>48</v>
      </c>
      <c r="I240" s="2" t="str" cm="1">
        <f t="array" ref="I240">IFERROR(playerPoints($H240,$F240,$G240,I$1),"")</f>
        <v/>
      </c>
      <c r="J240" s="2" t="str" cm="1">
        <f t="array" ref="J240">IFERROR(playerPoints($H240,$F240,$G240,J$1),"")</f>
        <v/>
      </c>
      <c r="K240" s="2" t="str" cm="1">
        <f t="array" ref="K240">IFERROR(playerPoints($H240,$F240,$G240,K$1),"")</f>
        <v/>
      </c>
      <c r="L240" s="2" t="str" cm="1">
        <f t="array" ref="L240">IFERROR(playerPoints($H240,$F240,$G240,L$1),"")</f>
        <v/>
      </c>
      <c r="M240" s="2" t="str" cm="1">
        <f t="array" ref="M240">IFERROR(playerPoints($H240,$F240,$G240,M$1),"")</f>
        <v/>
      </c>
      <c r="N240" s="2" t="str" cm="1">
        <f t="array" ref="N240">IFERROR(playerPoints($H240,$F240,$G240,N$1),"")</f>
        <v/>
      </c>
      <c r="O240" s="2" t="str" cm="1">
        <f t="array" ref="O240">IFERROR(playerPoints($H240,$F240,$G240,O$1),"")</f>
        <v/>
      </c>
      <c r="Q240" s="2">
        <f t="shared" si="3"/>
        <v>0</v>
      </c>
    </row>
    <row r="241" spans="1:17">
      <c r="A241" s="2">
        <v>240</v>
      </c>
      <c r="B241" s="2" t="s">
        <v>1405</v>
      </c>
      <c r="C241" s="2" t="s">
        <v>1415</v>
      </c>
      <c r="D241" s="2" t="s">
        <v>904</v>
      </c>
      <c r="F241" s="2" t="str">
        <f>LOOKUP(D241,Sheet3!A$1:A$32,Sheet3!B$1:B$32)</f>
        <v>ECU</v>
      </c>
      <c r="G241" s="2" t="s">
        <v>2590</v>
      </c>
      <c r="H241" s="2" t="s">
        <v>48</v>
      </c>
      <c r="I241" s="2" t="str" cm="1">
        <f t="array" ref="I241">IFERROR(playerPoints($H241,$F241,$G241,I$1),"")</f>
        <v/>
      </c>
      <c r="J241" s="2" t="str" cm="1">
        <f t="array" ref="J241">IFERROR(playerPoints($H241,$F241,$G241,J$1),"")</f>
        <v/>
      </c>
      <c r="K241" s="2" t="str" cm="1">
        <f t="array" ref="K241">IFERROR(playerPoints($H241,$F241,$G241,K$1),"")</f>
        <v/>
      </c>
      <c r="L241" s="2" t="str" cm="1">
        <f t="array" ref="L241">IFERROR(playerPoints($H241,$F241,$G241,L$1),"")</f>
        <v/>
      </c>
      <c r="M241" s="2" t="str" cm="1">
        <f t="array" ref="M241">IFERROR(playerPoints($H241,$F241,$G241,M$1),"")</f>
        <v/>
      </c>
      <c r="N241" s="2" t="str" cm="1">
        <f t="array" ref="N241">IFERROR(playerPoints($H241,$F241,$G241,N$1),"")</f>
        <v/>
      </c>
      <c r="O241" s="2" t="str" cm="1">
        <f t="array" ref="O241">IFERROR(playerPoints($H241,$F241,$G241,O$1),"")</f>
        <v/>
      </c>
      <c r="Q241" s="2">
        <f t="shared" si="3"/>
        <v>0</v>
      </c>
    </row>
    <row r="242" spans="1:17">
      <c r="A242" s="2">
        <v>241</v>
      </c>
      <c r="B242" s="2" t="s">
        <v>1416</v>
      </c>
      <c r="C242" s="2" t="s">
        <v>1417</v>
      </c>
      <c r="D242" s="2" t="s">
        <v>904</v>
      </c>
      <c r="F242" s="2" t="str">
        <f>LOOKUP(D242,Sheet3!A$1:A$32,Sheet3!B$1:B$32)</f>
        <v>ECU</v>
      </c>
      <c r="G242" s="2" t="s">
        <v>2591</v>
      </c>
      <c r="H242" s="2" t="s">
        <v>48</v>
      </c>
      <c r="I242" s="2" t="str" cm="1">
        <f t="array" ref="I242">IFERROR(playerPoints($H242,$F242,$G242,I$1),"")</f>
        <v/>
      </c>
      <c r="J242" s="2" t="str" cm="1">
        <f t="array" ref="J242">IFERROR(playerPoints($H242,$F242,$G242,J$1),"")</f>
        <v/>
      </c>
      <c r="K242" s="2" t="str" cm="1">
        <f t="array" ref="K242">IFERROR(playerPoints($H242,$F242,$G242,K$1),"")</f>
        <v/>
      </c>
      <c r="L242" s="2" t="str" cm="1">
        <f t="array" ref="L242">IFERROR(playerPoints($H242,$F242,$G242,L$1),"")</f>
        <v/>
      </c>
      <c r="M242" s="2" t="str" cm="1">
        <f t="array" ref="M242">IFERROR(playerPoints($H242,$F242,$G242,M$1),"")</f>
        <v/>
      </c>
      <c r="N242" s="2" t="str" cm="1">
        <f t="array" ref="N242">IFERROR(playerPoints($H242,$F242,$G242,N$1),"")</f>
        <v/>
      </c>
      <c r="O242" s="2" t="str" cm="1">
        <f t="array" ref="O242">IFERROR(playerPoints($H242,$F242,$G242,O$1),"")</f>
        <v/>
      </c>
      <c r="Q242" s="2">
        <f t="shared" si="3"/>
        <v>0</v>
      </c>
    </row>
    <row r="243" spans="1:17">
      <c r="A243" s="2">
        <v>242</v>
      </c>
      <c r="B243" s="2" t="s">
        <v>1418</v>
      </c>
      <c r="C243" s="2" t="s">
        <v>1419</v>
      </c>
      <c r="D243" s="2" t="s">
        <v>904</v>
      </c>
      <c r="F243" s="2" t="str">
        <f>LOOKUP(D243,Sheet3!A$1:A$32,Sheet3!B$1:B$32)</f>
        <v>ECU</v>
      </c>
      <c r="G243" s="2" t="s">
        <v>2592</v>
      </c>
      <c r="H243" s="2" t="s">
        <v>48</v>
      </c>
      <c r="I243" s="2" t="str" cm="1">
        <f t="array" ref="I243">IFERROR(playerPoints($H243,$F243,$G243,I$1),"")</f>
        <v/>
      </c>
      <c r="J243" s="2" t="str" cm="1">
        <f t="array" ref="J243">IFERROR(playerPoints($H243,$F243,$G243,J$1),"")</f>
        <v/>
      </c>
      <c r="K243" s="2" t="str" cm="1">
        <f t="array" ref="K243">IFERROR(playerPoints($H243,$F243,$G243,K$1),"")</f>
        <v/>
      </c>
      <c r="L243" s="2" t="str" cm="1">
        <f t="array" ref="L243">IFERROR(playerPoints($H243,$F243,$G243,L$1),"")</f>
        <v/>
      </c>
      <c r="M243" s="2" t="str" cm="1">
        <f t="array" ref="M243">IFERROR(playerPoints($H243,$F243,$G243,M$1),"")</f>
        <v/>
      </c>
      <c r="N243" s="2" t="str" cm="1">
        <f t="array" ref="N243">IFERROR(playerPoints($H243,$F243,$G243,N$1),"")</f>
        <v/>
      </c>
      <c r="O243" s="2" t="str" cm="1">
        <f t="array" ref="O243">IFERROR(playerPoints($H243,$F243,$G243,O$1),"")</f>
        <v/>
      </c>
      <c r="Q243" s="2">
        <f t="shared" si="3"/>
        <v>0</v>
      </c>
    </row>
    <row r="244" spans="1:17">
      <c r="A244" s="2">
        <v>243</v>
      </c>
      <c r="B244" s="2" t="s">
        <v>1420</v>
      </c>
      <c r="C244" s="2" t="s">
        <v>1421</v>
      </c>
      <c r="D244" s="2" t="s">
        <v>904</v>
      </c>
      <c r="F244" s="2" t="str">
        <f>LOOKUP(D244,Sheet3!A$1:A$32,Sheet3!B$1:B$32)</f>
        <v>ECU</v>
      </c>
      <c r="G244" s="2" t="s">
        <v>2593</v>
      </c>
      <c r="H244" s="2" t="s">
        <v>48</v>
      </c>
      <c r="I244" s="2" t="str" cm="1">
        <f t="array" ref="I244">IFERROR(playerPoints($H244,$F244,$G244,I$1),"")</f>
        <v/>
      </c>
      <c r="J244" s="2" t="str" cm="1">
        <f t="array" ref="J244">IFERROR(playerPoints($H244,$F244,$G244,J$1),"")</f>
        <v/>
      </c>
      <c r="K244" s="2" t="str" cm="1">
        <f t="array" ref="K244">IFERROR(playerPoints($H244,$F244,$G244,K$1),"")</f>
        <v/>
      </c>
      <c r="L244" s="2" t="str" cm="1">
        <f t="array" ref="L244">IFERROR(playerPoints($H244,$F244,$G244,L$1),"")</f>
        <v/>
      </c>
      <c r="M244" s="2" t="str" cm="1">
        <f t="array" ref="M244">IFERROR(playerPoints($H244,$F244,$G244,M$1),"")</f>
        <v/>
      </c>
      <c r="N244" s="2" t="str" cm="1">
        <f t="array" ref="N244">IFERROR(playerPoints($H244,$F244,$G244,N$1),"")</f>
        <v/>
      </c>
      <c r="O244" s="2" t="str" cm="1">
        <f t="array" ref="O244">IFERROR(playerPoints($H244,$F244,$G244,O$1),"")</f>
        <v/>
      </c>
      <c r="Q244" s="2">
        <f t="shared" si="3"/>
        <v>0</v>
      </c>
    </row>
    <row r="245" spans="1:17">
      <c r="A245" s="2">
        <v>244</v>
      </c>
      <c r="B245" s="2" t="s">
        <v>1422</v>
      </c>
      <c r="C245" s="2" t="s">
        <v>1423</v>
      </c>
      <c r="D245" s="2" t="s">
        <v>904</v>
      </c>
      <c r="F245" s="2" t="str">
        <f>LOOKUP(D245,Sheet3!A$1:A$32,Sheet3!B$1:B$32)</f>
        <v>ECU</v>
      </c>
      <c r="G245" s="2" t="s">
        <v>2594</v>
      </c>
      <c r="H245" s="2" t="s">
        <v>48</v>
      </c>
      <c r="I245" s="2" t="str" cm="1">
        <f t="array" ref="I245">IFERROR(playerPoints($H245,$F245,$G245,I$1),"")</f>
        <v/>
      </c>
      <c r="J245" s="2" t="str" cm="1">
        <f t="array" ref="J245">IFERROR(playerPoints($H245,$F245,$G245,J$1),"")</f>
        <v/>
      </c>
      <c r="K245" s="2" t="str" cm="1">
        <f t="array" ref="K245">IFERROR(playerPoints($H245,$F245,$G245,K$1),"")</f>
        <v/>
      </c>
      <c r="L245" s="2" t="str" cm="1">
        <f t="array" ref="L245">IFERROR(playerPoints($H245,$F245,$G245,L$1),"")</f>
        <v/>
      </c>
      <c r="M245" s="2" t="str" cm="1">
        <f t="array" ref="M245">IFERROR(playerPoints($H245,$F245,$G245,M$1),"")</f>
        <v/>
      </c>
      <c r="N245" s="2" t="str" cm="1">
        <f t="array" ref="N245">IFERROR(playerPoints($H245,$F245,$G245,N$1),"")</f>
        <v/>
      </c>
      <c r="O245" s="2" t="str" cm="1">
        <f t="array" ref="O245">IFERROR(playerPoints($H245,$F245,$G245,O$1),"")</f>
        <v/>
      </c>
      <c r="Q245" s="2">
        <f t="shared" si="3"/>
        <v>0</v>
      </c>
    </row>
    <row r="246" spans="1:17">
      <c r="A246" s="2">
        <v>245</v>
      </c>
      <c r="B246" s="2" t="s">
        <v>1424</v>
      </c>
      <c r="C246" s="2" t="s">
        <v>1041</v>
      </c>
      <c r="D246" s="2" t="s">
        <v>904</v>
      </c>
      <c r="F246" s="2" t="str">
        <f>LOOKUP(D246,Sheet3!A$1:A$32,Sheet3!B$1:B$32)</f>
        <v>ECU</v>
      </c>
      <c r="G246" s="2" t="s">
        <v>2595</v>
      </c>
      <c r="H246" s="2" t="s">
        <v>48</v>
      </c>
      <c r="I246" s="2" t="str" cm="1">
        <f t="array" ref="I246">IFERROR(playerPoints($H246,$F246,$G246,I$1),"")</f>
        <v/>
      </c>
      <c r="J246" s="2" t="str" cm="1">
        <f t="array" ref="J246">IFERROR(playerPoints($H246,$F246,$G246,J$1),"")</f>
        <v/>
      </c>
      <c r="K246" s="2" t="str" cm="1">
        <f t="array" ref="K246">IFERROR(playerPoints($H246,$F246,$G246,K$1),"")</f>
        <v/>
      </c>
      <c r="L246" s="2" t="str" cm="1">
        <f t="array" ref="L246">IFERROR(playerPoints($H246,$F246,$G246,L$1),"")</f>
        <v/>
      </c>
      <c r="M246" s="2" t="str" cm="1">
        <f t="array" ref="M246">IFERROR(playerPoints($H246,$F246,$G246,M$1),"")</f>
        <v/>
      </c>
      <c r="N246" s="2" t="str" cm="1">
        <f t="array" ref="N246">IFERROR(playerPoints($H246,$F246,$G246,N$1),"")</f>
        <v/>
      </c>
      <c r="O246" s="2" t="str" cm="1">
        <f t="array" ref="O246">IFERROR(playerPoints($H246,$F246,$G246,O$1),"")</f>
        <v/>
      </c>
      <c r="Q246" s="2">
        <f t="shared" si="3"/>
        <v>0</v>
      </c>
    </row>
    <row r="247" spans="1:17">
      <c r="A247" s="2">
        <v>246</v>
      </c>
      <c r="B247" s="2" t="s">
        <v>1094</v>
      </c>
      <c r="C247" s="2" t="s">
        <v>1425</v>
      </c>
      <c r="D247" s="2" t="s">
        <v>904</v>
      </c>
      <c r="F247" s="2" t="str">
        <f>LOOKUP(D247,Sheet3!A$1:A$32,Sheet3!B$1:B$32)</f>
        <v>ECU</v>
      </c>
      <c r="G247" s="2" t="s">
        <v>2596</v>
      </c>
      <c r="H247" s="2" t="s">
        <v>48</v>
      </c>
      <c r="I247" s="2" t="str" cm="1">
        <f t="array" ref="I247">IFERROR(playerPoints($H247,$F247,$G247,I$1),"")</f>
        <v/>
      </c>
      <c r="J247" s="2" t="str" cm="1">
        <f t="array" ref="J247">IFERROR(playerPoints($H247,$F247,$G247,J$1),"")</f>
        <v/>
      </c>
      <c r="K247" s="2" t="str" cm="1">
        <f t="array" ref="K247">IFERROR(playerPoints($H247,$F247,$G247,K$1),"")</f>
        <v/>
      </c>
      <c r="L247" s="2" t="str" cm="1">
        <f t="array" ref="L247">IFERROR(playerPoints($H247,$F247,$G247,L$1),"")</f>
        <v/>
      </c>
      <c r="M247" s="2" t="str" cm="1">
        <f t="array" ref="M247">IFERROR(playerPoints($H247,$F247,$G247,M$1),"")</f>
        <v/>
      </c>
      <c r="N247" s="2" t="str" cm="1">
        <f t="array" ref="N247">IFERROR(playerPoints($H247,$F247,$G247,N$1),"")</f>
        <v/>
      </c>
      <c r="O247" s="2" t="str" cm="1">
        <f t="array" ref="O247">IFERROR(playerPoints($H247,$F247,$G247,O$1),"")</f>
        <v/>
      </c>
      <c r="Q247" s="2">
        <f t="shared" si="3"/>
        <v>0</v>
      </c>
    </row>
    <row r="248" spans="1:17">
      <c r="A248" s="2">
        <v>247</v>
      </c>
      <c r="B248" s="2" t="s">
        <v>1426</v>
      </c>
      <c r="C248" s="2" t="s">
        <v>1427</v>
      </c>
      <c r="D248" s="2" t="s">
        <v>904</v>
      </c>
      <c r="F248" s="2" t="str">
        <f>LOOKUP(D248,Sheet3!A$1:A$32,Sheet3!B$1:B$32)</f>
        <v>ECU</v>
      </c>
      <c r="G248" s="2" t="s">
        <v>2597</v>
      </c>
      <c r="H248" s="2" t="s">
        <v>57</v>
      </c>
      <c r="I248" s="2" t="str" cm="1">
        <f t="array" ref="I248">IFERROR(playerPoints($H248,$F248,$G248,I$1),"")</f>
        <v/>
      </c>
      <c r="J248" s="2" t="str" cm="1">
        <f t="array" ref="J248">IFERROR(playerPoints($H248,$F248,$G248,J$1),"")</f>
        <v/>
      </c>
      <c r="K248" s="2" t="str" cm="1">
        <f t="array" ref="K248">IFERROR(playerPoints($H248,$F248,$G248,K$1),"")</f>
        <v/>
      </c>
      <c r="L248" s="2" t="str" cm="1">
        <f t="array" ref="L248">IFERROR(playerPoints($H248,$F248,$G248,L$1),"")</f>
        <v/>
      </c>
      <c r="M248" s="2" t="str" cm="1">
        <f t="array" ref="M248">IFERROR(playerPoints($H248,$F248,$G248,M$1),"")</f>
        <v/>
      </c>
      <c r="N248" s="2" t="str" cm="1">
        <f t="array" ref="N248">IFERROR(playerPoints($H248,$F248,$G248,N$1),"")</f>
        <v/>
      </c>
      <c r="O248" s="2" t="str" cm="1">
        <f t="array" ref="O248">IFERROR(playerPoints($H248,$F248,$G248,O$1),"")</f>
        <v/>
      </c>
      <c r="Q248" s="2">
        <f t="shared" si="3"/>
        <v>0</v>
      </c>
    </row>
    <row r="249" spans="1:17">
      <c r="A249" s="2">
        <v>248</v>
      </c>
      <c r="B249" s="2" t="s">
        <v>1287</v>
      </c>
      <c r="C249" s="2" t="s">
        <v>1428</v>
      </c>
      <c r="D249" s="2" t="s">
        <v>904</v>
      </c>
      <c r="F249" s="2" t="str">
        <f>LOOKUP(D249,Sheet3!A$1:A$32,Sheet3!B$1:B$32)</f>
        <v>ECU</v>
      </c>
      <c r="G249" s="2" t="s">
        <v>2598</v>
      </c>
      <c r="H249" s="2" t="s">
        <v>57</v>
      </c>
      <c r="I249" s="2" t="str" cm="1">
        <f t="array" ref="I249">IFERROR(playerPoints($H249,$F249,$G249,I$1),"")</f>
        <v/>
      </c>
      <c r="J249" s="2" t="str" cm="1">
        <f t="array" ref="J249">IFERROR(playerPoints($H249,$F249,$G249,J$1),"")</f>
        <v/>
      </c>
      <c r="K249" s="2" t="str" cm="1">
        <f t="array" ref="K249">IFERROR(playerPoints($H249,$F249,$G249,K$1),"")</f>
        <v/>
      </c>
      <c r="L249" s="2" t="str" cm="1">
        <f t="array" ref="L249">IFERROR(playerPoints($H249,$F249,$G249,L$1),"")</f>
        <v/>
      </c>
      <c r="M249" s="2" t="str" cm="1">
        <f t="array" ref="M249">IFERROR(playerPoints($H249,$F249,$G249,M$1),"")</f>
        <v/>
      </c>
      <c r="N249" s="2" t="str" cm="1">
        <f t="array" ref="N249">IFERROR(playerPoints($H249,$F249,$G249,N$1),"")</f>
        <v/>
      </c>
      <c r="O249" s="2" t="str" cm="1">
        <f t="array" ref="O249">IFERROR(playerPoints($H249,$F249,$G249,O$1),"")</f>
        <v/>
      </c>
      <c r="Q249" s="2">
        <f t="shared" si="3"/>
        <v>0</v>
      </c>
    </row>
    <row r="250" spans="1:17">
      <c r="A250" s="2">
        <v>249</v>
      </c>
      <c r="B250" s="2" t="s">
        <v>1429</v>
      </c>
      <c r="C250" s="2" t="s">
        <v>1423</v>
      </c>
      <c r="D250" s="2" t="s">
        <v>904</v>
      </c>
      <c r="F250" s="2" t="str">
        <f>LOOKUP(D250,Sheet3!A$1:A$32,Sheet3!B$1:B$32)</f>
        <v>ECU</v>
      </c>
      <c r="G250" s="2" t="s">
        <v>2594</v>
      </c>
      <c r="H250" s="2" t="s">
        <v>57</v>
      </c>
      <c r="I250" s="2" t="str" cm="1">
        <f t="array" ref="I250">IFERROR(playerPoints($H250,$F250,$G250,I$1),"")</f>
        <v/>
      </c>
      <c r="J250" s="2" t="str" cm="1">
        <f t="array" ref="J250">IFERROR(playerPoints($H250,$F250,$G250,J$1),"")</f>
        <v/>
      </c>
      <c r="K250" s="2" t="str" cm="1">
        <f t="array" ref="K250">IFERROR(playerPoints($H250,$F250,$G250,K$1),"")</f>
        <v/>
      </c>
      <c r="L250" s="2" t="str" cm="1">
        <f t="array" ref="L250">IFERROR(playerPoints($H250,$F250,$G250,L$1),"")</f>
        <v/>
      </c>
      <c r="M250" s="2" t="str" cm="1">
        <f t="array" ref="M250">IFERROR(playerPoints($H250,$F250,$G250,M$1),"")</f>
        <v/>
      </c>
      <c r="N250" s="2" t="str" cm="1">
        <f t="array" ref="N250">IFERROR(playerPoints($H250,$F250,$G250,N$1),"")</f>
        <v/>
      </c>
      <c r="O250" s="2" t="str" cm="1">
        <f t="array" ref="O250">IFERROR(playerPoints($H250,$F250,$G250,O$1),"")</f>
        <v/>
      </c>
      <c r="Q250" s="2">
        <f t="shared" si="3"/>
        <v>0</v>
      </c>
    </row>
    <row r="251" spans="1:17">
      <c r="A251" s="2">
        <v>250</v>
      </c>
      <c r="B251" s="2" t="s">
        <v>1430</v>
      </c>
      <c r="C251" s="2" t="s">
        <v>1431</v>
      </c>
      <c r="D251" s="2" t="s">
        <v>904</v>
      </c>
      <c r="F251" s="2" t="str">
        <f>LOOKUP(D251,Sheet3!A$1:A$32,Sheet3!B$1:B$32)</f>
        <v>ECU</v>
      </c>
      <c r="G251" s="2" t="s">
        <v>2599</v>
      </c>
      <c r="H251" s="2" t="s">
        <v>57</v>
      </c>
      <c r="I251" s="2" t="str" cm="1">
        <f t="array" ref="I251">IFERROR(playerPoints($H251,$F251,$G251,I$1),"")</f>
        <v/>
      </c>
      <c r="J251" s="2" t="str" cm="1">
        <f t="array" ref="J251">IFERROR(playerPoints($H251,$F251,$G251,J$1),"")</f>
        <v/>
      </c>
      <c r="K251" s="2" t="str" cm="1">
        <f t="array" ref="K251">IFERROR(playerPoints($H251,$F251,$G251,K$1),"")</f>
        <v/>
      </c>
      <c r="L251" s="2" t="str" cm="1">
        <f t="array" ref="L251">IFERROR(playerPoints($H251,$F251,$G251,L$1),"")</f>
        <v/>
      </c>
      <c r="M251" s="2" t="str" cm="1">
        <f t="array" ref="M251">IFERROR(playerPoints($H251,$F251,$G251,M$1),"")</f>
        <v/>
      </c>
      <c r="N251" s="2" t="str" cm="1">
        <f t="array" ref="N251">IFERROR(playerPoints($H251,$F251,$G251,N$1),"")</f>
        <v/>
      </c>
      <c r="O251" s="2" t="str" cm="1">
        <f t="array" ref="O251">IFERROR(playerPoints($H251,$F251,$G251,O$1),"")</f>
        <v/>
      </c>
      <c r="Q251" s="2">
        <f t="shared" si="3"/>
        <v>0</v>
      </c>
    </row>
    <row r="252" spans="1:17">
      <c r="A252" s="2">
        <v>251</v>
      </c>
      <c r="B252" s="2" t="s">
        <v>1432</v>
      </c>
      <c r="C252" s="2" t="s">
        <v>1433</v>
      </c>
      <c r="D252" s="2" t="s">
        <v>904</v>
      </c>
      <c r="F252" s="2" t="str">
        <f>LOOKUP(D252,Sheet3!A$1:A$32,Sheet3!B$1:B$32)</f>
        <v>ECU</v>
      </c>
      <c r="G252" s="2" t="s">
        <v>2600</v>
      </c>
      <c r="H252" s="2" t="s">
        <v>57</v>
      </c>
      <c r="I252" s="2" t="str" cm="1">
        <f t="array" ref="I252">IFERROR(playerPoints($H252,$F252,$G252,I$1),"")</f>
        <v/>
      </c>
      <c r="J252" s="2" t="str" cm="1">
        <f t="array" ref="J252">IFERROR(playerPoints($H252,$F252,$G252,J$1),"")</f>
        <v/>
      </c>
      <c r="K252" s="2" t="str" cm="1">
        <f t="array" ref="K252">IFERROR(playerPoints($H252,$F252,$G252,K$1),"")</f>
        <v/>
      </c>
      <c r="L252" s="2" t="str" cm="1">
        <f t="array" ref="L252">IFERROR(playerPoints($H252,$F252,$G252,L$1),"")</f>
        <v/>
      </c>
      <c r="M252" s="2" t="str" cm="1">
        <f t="array" ref="M252">IFERROR(playerPoints($H252,$F252,$G252,M$1),"")</f>
        <v/>
      </c>
      <c r="N252" s="2" t="str" cm="1">
        <f t="array" ref="N252">IFERROR(playerPoints($H252,$F252,$G252,N$1),"")</f>
        <v/>
      </c>
      <c r="O252" s="2" t="str" cm="1">
        <f t="array" ref="O252">IFERROR(playerPoints($H252,$F252,$G252,O$1),"")</f>
        <v/>
      </c>
      <c r="Q252" s="2">
        <f t="shared" si="3"/>
        <v>0</v>
      </c>
    </row>
    <row r="253" spans="1:17">
      <c r="A253" s="2">
        <v>252</v>
      </c>
      <c r="B253" s="2" t="s">
        <v>1434</v>
      </c>
      <c r="C253" s="2" t="s">
        <v>1012</v>
      </c>
      <c r="D253" s="2" t="s">
        <v>904</v>
      </c>
      <c r="F253" s="2" t="str">
        <f>LOOKUP(D253,Sheet3!A$1:A$32,Sheet3!B$1:B$32)</f>
        <v>ECU</v>
      </c>
      <c r="G253" s="2" t="s">
        <v>2601</v>
      </c>
      <c r="H253" s="2" t="s">
        <v>57</v>
      </c>
      <c r="I253" s="2" t="str" cm="1">
        <f t="array" ref="I253">IFERROR(playerPoints($H253,$F253,$G253,I$1),"")</f>
        <v/>
      </c>
      <c r="J253" s="2" t="str" cm="1">
        <f t="array" ref="J253">IFERROR(playerPoints($H253,$F253,$G253,J$1),"")</f>
        <v/>
      </c>
      <c r="K253" s="2" t="str" cm="1">
        <f t="array" ref="K253">IFERROR(playerPoints($H253,$F253,$G253,K$1),"")</f>
        <v/>
      </c>
      <c r="L253" s="2" t="str" cm="1">
        <f t="array" ref="L253">IFERROR(playerPoints($H253,$F253,$G253,L$1),"")</f>
        <v/>
      </c>
      <c r="M253" s="2" t="str" cm="1">
        <f t="array" ref="M253">IFERROR(playerPoints($H253,$F253,$G253,M$1),"")</f>
        <v/>
      </c>
      <c r="N253" s="2" t="str" cm="1">
        <f t="array" ref="N253">IFERROR(playerPoints($H253,$F253,$G253,N$1),"")</f>
        <v/>
      </c>
      <c r="O253" s="2" t="str" cm="1">
        <f t="array" ref="O253">IFERROR(playerPoints($H253,$F253,$G253,O$1),"")</f>
        <v/>
      </c>
      <c r="Q253" s="2">
        <f t="shared" si="3"/>
        <v>0</v>
      </c>
    </row>
    <row r="254" spans="1:17">
      <c r="A254" s="2">
        <v>253</v>
      </c>
      <c r="B254" s="2" t="s">
        <v>1409</v>
      </c>
      <c r="C254" s="2" t="s">
        <v>1435</v>
      </c>
      <c r="D254" s="2" t="s">
        <v>904</v>
      </c>
      <c r="F254" s="2" t="str">
        <f>LOOKUP(D254,Sheet3!A$1:A$32,Sheet3!B$1:B$32)</f>
        <v>ECU</v>
      </c>
      <c r="G254" s="2" t="s">
        <v>2602</v>
      </c>
      <c r="H254" s="2" t="s">
        <v>57</v>
      </c>
      <c r="I254" s="2" t="str" cm="1">
        <f t="array" ref="I254">IFERROR(playerPoints($H254,$F254,$G254,I$1),"")</f>
        <v/>
      </c>
      <c r="J254" s="2" t="str" cm="1">
        <f t="array" ref="J254">IFERROR(playerPoints($H254,$F254,$G254,J$1),"")</f>
        <v/>
      </c>
      <c r="K254" s="2" t="str" cm="1">
        <f t="array" ref="K254">IFERROR(playerPoints($H254,$F254,$G254,K$1),"")</f>
        <v/>
      </c>
      <c r="L254" s="2" t="str" cm="1">
        <f t="array" ref="L254">IFERROR(playerPoints($H254,$F254,$G254,L$1),"")</f>
        <v/>
      </c>
      <c r="M254" s="2" t="str" cm="1">
        <f t="array" ref="M254">IFERROR(playerPoints($H254,$F254,$G254,M$1),"")</f>
        <v/>
      </c>
      <c r="N254" s="2" t="str" cm="1">
        <f t="array" ref="N254">IFERROR(playerPoints($H254,$F254,$G254,N$1),"")</f>
        <v/>
      </c>
      <c r="O254" s="2" t="str" cm="1">
        <f t="array" ref="O254">IFERROR(playerPoints($H254,$F254,$G254,O$1),"")</f>
        <v/>
      </c>
      <c r="Q254" s="2">
        <f t="shared" si="3"/>
        <v>0</v>
      </c>
    </row>
    <row r="255" spans="1:17">
      <c r="A255" s="2">
        <v>254</v>
      </c>
      <c r="B255" s="2" t="s">
        <v>1132</v>
      </c>
      <c r="C255" s="2" t="s">
        <v>1045</v>
      </c>
      <c r="D255" s="2" t="s">
        <v>904</v>
      </c>
      <c r="F255" s="2" t="str">
        <f>LOOKUP(D255,Sheet3!A$1:A$32,Sheet3!B$1:B$32)</f>
        <v>ECU</v>
      </c>
      <c r="G255" s="2" t="s">
        <v>2603</v>
      </c>
      <c r="H255" s="2" t="s">
        <v>57</v>
      </c>
      <c r="I255" s="2" t="str" cm="1">
        <f t="array" ref="I255">IFERROR(playerPoints($H255,$F255,$G255,I$1),"")</f>
        <v/>
      </c>
      <c r="J255" s="2" t="str" cm="1">
        <f t="array" ref="J255">IFERROR(playerPoints($H255,$F255,$G255,J$1),"")</f>
        <v/>
      </c>
      <c r="K255" s="2" t="str" cm="1">
        <f t="array" ref="K255">IFERROR(playerPoints($H255,$F255,$G255,K$1),"")</f>
        <v/>
      </c>
      <c r="L255" s="2" t="str" cm="1">
        <f t="array" ref="L255">IFERROR(playerPoints($H255,$F255,$G255,L$1),"")</f>
        <v/>
      </c>
      <c r="M255" s="2" t="str" cm="1">
        <f t="array" ref="M255">IFERROR(playerPoints($H255,$F255,$G255,M$1),"")</f>
        <v/>
      </c>
      <c r="N255" s="2" t="str" cm="1">
        <f t="array" ref="N255">IFERROR(playerPoints($H255,$F255,$G255,N$1),"")</f>
        <v/>
      </c>
      <c r="O255" s="2" t="str" cm="1">
        <f t="array" ref="O255">IFERROR(playerPoints($H255,$F255,$G255,O$1),"")</f>
        <v/>
      </c>
      <c r="Q255" s="2">
        <f t="shared" si="3"/>
        <v>0</v>
      </c>
    </row>
    <row r="256" spans="1:17">
      <c r="A256" s="2">
        <v>255</v>
      </c>
      <c r="B256" s="2" t="s">
        <v>1436</v>
      </c>
      <c r="C256" s="2" t="s">
        <v>1437</v>
      </c>
      <c r="D256" s="2" t="s">
        <v>904</v>
      </c>
      <c r="F256" s="2" t="str">
        <f>LOOKUP(D256,Sheet3!A$1:A$32,Sheet3!B$1:B$32)</f>
        <v>ECU</v>
      </c>
      <c r="G256" s="2" t="s">
        <v>2604</v>
      </c>
      <c r="H256" s="2" t="s">
        <v>66</v>
      </c>
      <c r="I256" s="2" t="str" cm="1">
        <f t="array" ref="I256">IFERROR(playerPoints($H256,$F256,$G256,I$1),"")</f>
        <v/>
      </c>
      <c r="J256" s="2" t="str" cm="1">
        <f t="array" ref="J256">IFERROR(playerPoints($H256,$F256,$G256,J$1),"")</f>
        <v/>
      </c>
      <c r="K256" s="2" t="str" cm="1">
        <f t="array" ref="K256">IFERROR(playerPoints($H256,$F256,$G256,K$1),"")</f>
        <v/>
      </c>
      <c r="L256" s="2" t="str" cm="1">
        <f t="array" ref="L256">IFERROR(playerPoints($H256,$F256,$G256,L$1),"")</f>
        <v/>
      </c>
      <c r="M256" s="2" t="str" cm="1">
        <f t="array" ref="M256">IFERROR(playerPoints($H256,$F256,$G256,M$1),"")</f>
        <v/>
      </c>
      <c r="N256" s="2" t="str" cm="1">
        <f t="array" ref="N256">IFERROR(playerPoints($H256,$F256,$G256,N$1),"")</f>
        <v/>
      </c>
      <c r="O256" s="2" t="str" cm="1">
        <f t="array" ref="O256">IFERROR(playerPoints($H256,$F256,$G256,O$1),"")</f>
        <v/>
      </c>
      <c r="Q256" s="2">
        <f t="shared" si="3"/>
        <v>0</v>
      </c>
    </row>
    <row r="257" spans="1:17">
      <c r="A257" s="2">
        <v>256</v>
      </c>
      <c r="B257" s="2" t="s">
        <v>1438</v>
      </c>
      <c r="C257" s="2" t="s">
        <v>1439</v>
      </c>
      <c r="D257" s="2" t="s">
        <v>904</v>
      </c>
      <c r="F257" s="2" t="str">
        <f>LOOKUP(D257,Sheet3!A$1:A$32,Sheet3!B$1:B$32)</f>
        <v>ECU</v>
      </c>
      <c r="G257" s="2" t="s">
        <v>916</v>
      </c>
      <c r="H257" s="2" t="s">
        <v>66</v>
      </c>
      <c r="I257" s="2" t="str" cm="1">
        <f t="array" ref="I257">IFERROR(playerPoints($H257,$F257,$G257,I$1),"")</f>
        <v/>
      </c>
      <c r="J257" s="2" t="str" cm="1">
        <f t="array" ref="J257">IFERROR(playerPoints($H257,$F257,$G257,J$1),"")</f>
        <v/>
      </c>
      <c r="K257" s="2" t="str" cm="1">
        <f t="array" ref="K257">IFERROR(playerPoints($H257,$F257,$G257,K$1),"")</f>
        <v/>
      </c>
      <c r="L257" s="2" t="str" cm="1">
        <f t="array" ref="L257">IFERROR(playerPoints($H257,$F257,$G257,L$1),"")</f>
        <v/>
      </c>
      <c r="M257" s="2" t="str" cm="1">
        <f t="array" ref="M257">IFERROR(playerPoints($H257,$F257,$G257,M$1),"")</f>
        <v/>
      </c>
      <c r="N257" s="2" t="str" cm="1">
        <f t="array" ref="N257">IFERROR(playerPoints($H257,$F257,$G257,N$1),"")</f>
        <v/>
      </c>
      <c r="O257" s="2" t="str" cm="1">
        <f t="array" ref="O257">IFERROR(playerPoints($H257,$F257,$G257,O$1),"")</f>
        <v/>
      </c>
      <c r="Q257" s="2">
        <f t="shared" si="3"/>
        <v>0</v>
      </c>
    </row>
    <row r="258" spans="1:17">
      <c r="A258" s="2">
        <v>257</v>
      </c>
      <c r="B258" s="2" t="s">
        <v>1038</v>
      </c>
      <c r="C258" s="2" t="s">
        <v>1440</v>
      </c>
      <c r="D258" s="2" t="s">
        <v>904</v>
      </c>
      <c r="F258" s="2" t="str">
        <f>LOOKUP(D258,Sheet3!A$1:A$32,Sheet3!B$1:B$32)</f>
        <v>ECU</v>
      </c>
      <c r="G258" s="2" t="s">
        <v>2605</v>
      </c>
      <c r="H258" s="2" t="s">
        <v>66</v>
      </c>
      <c r="I258" s="2" t="str" cm="1">
        <f t="array" ref="I258">IFERROR(playerPoints($H258,$F258,$G258,I$1),"")</f>
        <v/>
      </c>
      <c r="J258" s="2" t="str" cm="1">
        <f t="array" ref="J258">IFERROR(playerPoints($H258,$F258,$G258,J$1),"")</f>
        <v/>
      </c>
      <c r="K258" s="2" t="str" cm="1">
        <f t="array" ref="K258">IFERROR(playerPoints($H258,$F258,$G258,K$1),"")</f>
        <v/>
      </c>
      <c r="L258" s="2" t="str" cm="1">
        <f t="array" ref="L258">IFERROR(playerPoints($H258,$F258,$G258,L$1),"")</f>
        <v/>
      </c>
      <c r="M258" s="2" t="str" cm="1">
        <f t="array" ref="M258">IFERROR(playerPoints($H258,$F258,$G258,M$1),"")</f>
        <v/>
      </c>
      <c r="N258" s="2" t="str" cm="1">
        <f t="array" ref="N258">IFERROR(playerPoints($H258,$F258,$G258,N$1),"")</f>
        <v/>
      </c>
      <c r="O258" s="2" t="str" cm="1">
        <f t="array" ref="O258">IFERROR(playerPoints($H258,$F258,$G258,O$1),"")</f>
        <v/>
      </c>
      <c r="Q258" s="2">
        <f t="shared" si="3"/>
        <v>0</v>
      </c>
    </row>
    <row r="259" spans="1:17">
      <c r="A259" s="2">
        <v>258</v>
      </c>
      <c r="B259" s="2" t="s">
        <v>1441</v>
      </c>
      <c r="C259" s="2" t="s">
        <v>1442</v>
      </c>
      <c r="D259" s="2" t="s">
        <v>904</v>
      </c>
      <c r="F259" s="2" t="str">
        <f>LOOKUP(D259,Sheet3!A$1:A$32,Sheet3!B$1:B$32)</f>
        <v>ECU</v>
      </c>
      <c r="G259" s="2" t="s">
        <v>2606</v>
      </c>
      <c r="H259" s="2" t="s">
        <v>66</v>
      </c>
      <c r="I259" s="2" t="str" cm="1">
        <f t="array" ref="I259">IFERROR(playerPoints($H259,$F259,$G259,I$1),"")</f>
        <v/>
      </c>
      <c r="J259" s="2" t="str" cm="1">
        <f t="array" ref="J259">IFERROR(playerPoints($H259,$F259,$G259,J$1),"")</f>
        <v/>
      </c>
      <c r="K259" s="2" t="str" cm="1">
        <f t="array" ref="K259">IFERROR(playerPoints($H259,$F259,$G259,K$1),"")</f>
        <v/>
      </c>
      <c r="L259" s="2" t="str" cm="1">
        <f t="array" ref="L259">IFERROR(playerPoints($H259,$F259,$G259,L$1),"")</f>
        <v/>
      </c>
      <c r="M259" s="2" t="str" cm="1">
        <f t="array" ref="M259">IFERROR(playerPoints($H259,$F259,$G259,M$1),"")</f>
        <v/>
      </c>
      <c r="N259" s="2" t="str" cm="1">
        <f t="array" ref="N259">IFERROR(playerPoints($H259,$F259,$G259,N$1),"")</f>
        <v/>
      </c>
      <c r="O259" s="2" t="str" cm="1">
        <f t="array" ref="O259">IFERROR(playerPoints($H259,$F259,$G259,O$1),"")</f>
        <v/>
      </c>
      <c r="Q259" s="2">
        <f t="shared" ref="Q259:Q322" si="4">SUM(I259:O259)</f>
        <v>0</v>
      </c>
    </row>
    <row r="260" spans="1:17">
      <c r="A260" s="2">
        <v>259</v>
      </c>
      <c r="B260" s="2" t="s">
        <v>1022</v>
      </c>
      <c r="C260" s="2" t="s">
        <v>1443</v>
      </c>
      <c r="D260" s="2" t="s">
        <v>904</v>
      </c>
      <c r="F260" s="2" t="str">
        <f>LOOKUP(D260,Sheet3!A$1:A$32,Sheet3!B$1:B$32)</f>
        <v>ECU</v>
      </c>
      <c r="G260" s="2" t="s">
        <v>2607</v>
      </c>
      <c r="H260" s="2" t="s">
        <v>66</v>
      </c>
      <c r="I260" s="2" t="str" cm="1">
        <f t="array" ref="I260">IFERROR(playerPoints($H260,$F260,$G260,I$1),"")</f>
        <v/>
      </c>
      <c r="J260" s="2" t="str" cm="1">
        <f t="array" ref="J260">IFERROR(playerPoints($H260,$F260,$G260,J$1),"")</f>
        <v/>
      </c>
      <c r="K260" s="2" t="str" cm="1">
        <f t="array" ref="K260">IFERROR(playerPoints($H260,$F260,$G260,K$1),"")</f>
        <v/>
      </c>
      <c r="L260" s="2" t="str" cm="1">
        <f t="array" ref="L260">IFERROR(playerPoints($H260,$F260,$G260,L$1),"")</f>
        <v/>
      </c>
      <c r="M260" s="2" t="str" cm="1">
        <f t="array" ref="M260">IFERROR(playerPoints($H260,$F260,$G260,M$1),"")</f>
        <v/>
      </c>
      <c r="N260" s="2" t="str" cm="1">
        <f t="array" ref="N260">IFERROR(playerPoints($H260,$F260,$G260,N$1),"")</f>
        <v/>
      </c>
      <c r="O260" s="2" t="str" cm="1">
        <f t="array" ref="O260">IFERROR(playerPoints($H260,$F260,$G260,O$1),"")</f>
        <v/>
      </c>
      <c r="Q260" s="2">
        <f t="shared" si="4"/>
        <v>0</v>
      </c>
    </row>
    <row r="261" spans="1:17">
      <c r="A261" s="2">
        <v>260</v>
      </c>
      <c r="B261" s="2" t="s">
        <v>1444</v>
      </c>
      <c r="C261" s="2" t="s">
        <v>1445</v>
      </c>
      <c r="D261" s="2" t="s">
        <v>904</v>
      </c>
      <c r="F261" s="2" t="str">
        <f>LOOKUP(D261,Sheet3!A$1:A$32,Sheet3!B$1:B$32)</f>
        <v>ECU</v>
      </c>
      <c r="G261" s="2" t="s">
        <v>2608</v>
      </c>
      <c r="H261" s="2" t="s">
        <v>66</v>
      </c>
      <c r="I261" s="2" t="str" cm="1">
        <f t="array" ref="I261">IFERROR(playerPoints($H261,$F261,$G261,I$1),"")</f>
        <v/>
      </c>
      <c r="J261" s="2" t="str" cm="1">
        <f t="array" ref="J261">IFERROR(playerPoints($H261,$F261,$G261,J$1),"")</f>
        <v/>
      </c>
      <c r="K261" s="2" t="str" cm="1">
        <f t="array" ref="K261">IFERROR(playerPoints($H261,$F261,$G261,K$1),"")</f>
        <v/>
      </c>
      <c r="L261" s="2" t="str" cm="1">
        <f t="array" ref="L261">IFERROR(playerPoints($H261,$F261,$G261,L$1),"")</f>
        <v/>
      </c>
      <c r="M261" s="2" t="str" cm="1">
        <f t="array" ref="M261">IFERROR(playerPoints($H261,$F261,$G261,M$1),"")</f>
        <v/>
      </c>
      <c r="N261" s="2" t="str" cm="1">
        <f t="array" ref="N261">IFERROR(playerPoints($H261,$F261,$G261,N$1),"")</f>
        <v/>
      </c>
      <c r="O261" s="2" t="str" cm="1">
        <f t="array" ref="O261">IFERROR(playerPoints($H261,$F261,$G261,O$1),"")</f>
        <v/>
      </c>
      <c r="Q261" s="2">
        <f t="shared" si="4"/>
        <v>0</v>
      </c>
    </row>
    <row r="262" spans="1:17">
      <c r="A262" s="2">
        <v>261</v>
      </c>
      <c r="B262" s="2" t="s">
        <v>1446</v>
      </c>
      <c r="C262" s="2" t="s">
        <v>1447</v>
      </c>
      <c r="D262" s="2" t="s">
        <v>905</v>
      </c>
      <c r="F262" s="2" t="str">
        <f>LOOKUP(D262,Sheet3!A$1:A$32,Sheet3!B$1:B$32)</f>
        <v>ENG</v>
      </c>
      <c r="G262" s="2" t="s">
        <v>2609</v>
      </c>
      <c r="H262" s="2" t="s">
        <v>44</v>
      </c>
      <c r="I262" s="2" t="str" cm="1">
        <f t="array" ref="I262">IFERROR(playerPoints($H262,$F262,$G262,I$1),"")</f>
        <v/>
      </c>
      <c r="J262" s="2" t="str" cm="1">
        <f t="array" ref="J262">IFERROR(playerPoints($H262,$F262,$G262,J$1),"")</f>
        <v/>
      </c>
      <c r="K262" s="2" t="str" cm="1">
        <f t="array" ref="K262">IFERROR(playerPoints($H262,$F262,$G262,K$1),"")</f>
        <v/>
      </c>
      <c r="L262" s="2" t="str" cm="1">
        <f t="array" ref="L262">IFERROR(playerPoints($H262,$F262,$G262,L$1),"")</f>
        <v/>
      </c>
      <c r="M262" s="2" t="str" cm="1">
        <f t="array" ref="M262">IFERROR(playerPoints($H262,$F262,$G262,M$1),"")</f>
        <v/>
      </c>
      <c r="N262" s="2" t="str" cm="1">
        <f t="array" ref="N262">IFERROR(playerPoints($H262,$F262,$G262,N$1),"")</f>
        <v/>
      </c>
      <c r="O262" s="2" t="str" cm="1">
        <f t="array" ref="O262">IFERROR(playerPoints($H262,$F262,$G262,O$1),"")</f>
        <v/>
      </c>
      <c r="Q262" s="2">
        <f t="shared" si="4"/>
        <v>0</v>
      </c>
    </row>
    <row r="263" spans="1:17">
      <c r="A263" s="2">
        <v>262</v>
      </c>
      <c r="B263" s="2" t="s">
        <v>1448</v>
      </c>
      <c r="C263" s="2" t="s">
        <v>1449</v>
      </c>
      <c r="D263" s="2" t="s">
        <v>905</v>
      </c>
      <c r="F263" s="2" t="str">
        <f>LOOKUP(D263,Sheet3!A$1:A$32,Sheet3!B$1:B$32)</f>
        <v>ENG</v>
      </c>
      <c r="G263" s="2" t="s">
        <v>2610</v>
      </c>
      <c r="H263" s="2" t="s">
        <v>44</v>
      </c>
      <c r="I263" s="2" t="str" cm="1">
        <f t="array" ref="I263">IFERROR(playerPoints($H263,$F263,$G263,I$1),"")</f>
        <v/>
      </c>
      <c r="J263" s="2" t="str" cm="1">
        <f t="array" ref="J263">IFERROR(playerPoints($H263,$F263,$G263,J$1),"")</f>
        <v/>
      </c>
      <c r="K263" s="2" t="str" cm="1">
        <f t="array" ref="K263">IFERROR(playerPoints($H263,$F263,$G263,K$1),"")</f>
        <v/>
      </c>
      <c r="L263" s="2" t="str" cm="1">
        <f t="array" ref="L263">IFERROR(playerPoints($H263,$F263,$G263,L$1),"")</f>
        <v/>
      </c>
      <c r="M263" s="2" t="str" cm="1">
        <f t="array" ref="M263">IFERROR(playerPoints($H263,$F263,$G263,M$1),"")</f>
        <v/>
      </c>
      <c r="N263" s="2" t="str" cm="1">
        <f t="array" ref="N263">IFERROR(playerPoints($H263,$F263,$G263,N$1),"")</f>
        <v/>
      </c>
      <c r="O263" s="2" t="str" cm="1">
        <f t="array" ref="O263">IFERROR(playerPoints($H263,$F263,$G263,O$1),"")</f>
        <v/>
      </c>
      <c r="Q263" s="2">
        <f t="shared" si="4"/>
        <v>0</v>
      </c>
    </row>
    <row r="264" spans="1:17">
      <c r="A264" s="2">
        <v>263</v>
      </c>
      <c r="B264" s="2" t="s">
        <v>1088</v>
      </c>
      <c r="C264" s="2" t="s">
        <v>1450</v>
      </c>
      <c r="D264" s="2" t="s">
        <v>905</v>
      </c>
      <c r="F264" s="2" t="str">
        <f>LOOKUP(D264,Sheet3!A$1:A$32,Sheet3!B$1:B$32)</f>
        <v>ENG</v>
      </c>
      <c r="G264" s="2" t="s">
        <v>2611</v>
      </c>
      <c r="H264" s="2" t="s">
        <v>44</v>
      </c>
      <c r="I264" s="2" t="str" cm="1">
        <f t="array" ref="I264">IFERROR(playerPoints($H264,$F264,$G264,I$1),"")</f>
        <v/>
      </c>
      <c r="J264" s="2" t="str" cm="1">
        <f t="array" ref="J264">IFERROR(playerPoints($H264,$F264,$G264,J$1),"")</f>
        <v/>
      </c>
      <c r="K264" s="2" t="str" cm="1">
        <f t="array" ref="K264">IFERROR(playerPoints($H264,$F264,$G264,K$1),"")</f>
        <v/>
      </c>
      <c r="L264" s="2" t="str" cm="1">
        <f t="array" ref="L264">IFERROR(playerPoints($H264,$F264,$G264,L$1),"")</f>
        <v/>
      </c>
      <c r="M264" s="2" t="str" cm="1">
        <f t="array" ref="M264">IFERROR(playerPoints($H264,$F264,$G264,M$1),"")</f>
        <v/>
      </c>
      <c r="N264" s="2" t="str" cm="1">
        <f t="array" ref="N264">IFERROR(playerPoints($H264,$F264,$G264,N$1),"")</f>
        <v/>
      </c>
      <c r="O264" s="2" t="str" cm="1">
        <f t="array" ref="O264">IFERROR(playerPoints($H264,$F264,$G264,O$1),"")</f>
        <v/>
      </c>
      <c r="Q264" s="2">
        <f t="shared" si="4"/>
        <v>0</v>
      </c>
    </row>
    <row r="265" spans="1:17">
      <c r="A265" s="2">
        <v>264</v>
      </c>
      <c r="B265" s="2" t="s">
        <v>1451</v>
      </c>
      <c r="C265" s="2" t="s">
        <v>1452</v>
      </c>
      <c r="D265" s="2" t="s">
        <v>905</v>
      </c>
      <c r="F265" s="2" t="str">
        <f>LOOKUP(D265,Sheet3!A$1:A$32,Sheet3!B$1:B$32)</f>
        <v>ENG</v>
      </c>
      <c r="G265" s="2" t="s">
        <v>2612</v>
      </c>
      <c r="H265" s="2" t="s">
        <v>48</v>
      </c>
      <c r="I265" s="2" t="str" cm="1">
        <f t="array" ref="I265">IFERROR(playerPoints($H265,$F265,$G265,I$1),"")</f>
        <v/>
      </c>
      <c r="J265" s="2" t="str" cm="1">
        <f t="array" ref="J265">IFERROR(playerPoints($H265,$F265,$G265,J$1),"")</f>
        <v/>
      </c>
      <c r="K265" s="2" t="str" cm="1">
        <f t="array" ref="K265">IFERROR(playerPoints($H265,$F265,$G265,K$1),"")</f>
        <v/>
      </c>
      <c r="L265" s="2" t="str" cm="1">
        <f t="array" ref="L265">IFERROR(playerPoints($H265,$F265,$G265,L$1),"")</f>
        <v/>
      </c>
      <c r="M265" s="2" t="str" cm="1">
        <f t="array" ref="M265">IFERROR(playerPoints($H265,$F265,$G265,M$1),"")</f>
        <v/>
      </c>
      <c r="N265" s="2" t="str" cm="1">
        <f t="array" ref="N265">IFERROR(playerPoints($H265,$F265,$G265,N$1),"")</f>
        <v/>
      </c>
      <c r="O265" s="2" t="str" cm="1">
        <f t="array" ref="O265">IFERROR(playerPoints($H265,$F265,$G265,O$1),"")</f>
        <v/>
      </c>
      <c r="Q265" s="2">
        <f t="shared" si="4"/>
        <v>0</v>
      </c>
    </row>
    <row r="266" spans="1:17">
      <c r="A266" s="2">
        <v>265</v>
      </c>
      <c r="B266" s="2" t="s">
        <v>1453</v>
      </c>
      <c r="C266" s="2" t="s">
        <v>1454</v>
      </c>
      <c r="D266" s="2" t="s">
        <v>905</v>
      </c>
      <c r="F266" s="2" t="str">
        <f>LOOKUP(D266,Sheet3!A$1:A$32,Sheet3!B$1:B$32)</f>
        <v>ENG</v>
      </c>
      <c r="G266" s="2" t="s">
        <v>2613</v>
      </c>
      <c r="H266" s="2" t="s">
        <v>48</v>
      </c>
      <c r="I266" s="2" t="str" cm="1">
        <f t="array" ref="I266">IFERROR(playerPoints($H266,$F266,$G266,I$1),"")</f>
        <v/>
      </c>
      <c r="J266" s="2" t="str" cm="1">
        <f t="array" ref="J266">IFERROR(playerPoints($H266,$F266,$G266,J$1),"")</f>
        <v/>
      </c>
      <c r="K266" s="2" t="str" cm="1">
        <f t="array" ref="K266">IFERROR(playerPoints($H266,$F266,$G266,K$1),"")</f>
        <v/>
      </c>
      <c r="L266" s="2" t="str" cm="1">
        <f t="array" ref="L266">IFERROR(playerPoints($H266,$F266,$G266,L$1),"")</f>
        <v/>
      </c>
      <c r="M266" s="2" t="str" cm="1">
        <f t="array" ref="M266">IFERROR(playerPoints($H266,$F266,$G266,M$1),"")</f>
        <v/>
      </c>
      <c r="N266" s="2" t="str" cm="1">
        <f t="array" ref="N266">IFERROR(playerPoints($H266,$F266,$G266,N$1),"")</f>
        <v/>
      </c>
      <c r="O266" s="2" t="str" cm="1">
        <f t="array" ref="O266">IFERROR(playerPoints($H266,$F266,$G266,O$1),"")</f>
        <v/>
      </c>
      <c r="Q266" s="2">
        <f t="shared" si="4"/>
        <v>0</v>
      </c>
    </row>
    <row r="267" spans="1:17">
      <c r="A267" s="2">
        <v>266</v>
      </c>
      <c r="B267" s="2" t="s">
        <v>1455</v>
      </c>
      <c r="C267" s="2" t="s">
        <v>1456</v>
      </c>
      <c r="D267" s="2" t="s">
        <v>905</v>
      </c>
      <c r="F267" s="2" t="str">
        <f>LOOKUP(D267,Sheet3!A$1:A$32,Sheet3!B$1:B$32)</f>
        <v>ENG</v>
      </c>
      <c r="G267" s="2" t="s">
        <v>2614</v>
      </c>
      <c r="H267" s="2" t="s">
        <v>48</v>
      </c>
      <c r="I267" s="2" t="str" cm="1">
        <f t="array" ref="I267">IFERROR(playerPoints($H267,$F267,$G267,I$1),"")</f>
        <v/>
      </c>
      <c r="J267" s="2" t="str" cm="1">
        <f t="array" ref="J267">IFERROR(playerPoints($H267,$F267,$G267,J$1),"")</f>
        <v/>
      </c>
      <c r="K267" s="2" t="str" cm="1">
        <f t="array" ref="K267">IFERROR(playerPoints($H267,$F267,$G267,K$1),"")</f>
        <v/>
      </c>
      <c r="L267" s="2" t="str" cm="1">
        <f t="array" ref="L267">IFERROR(playerPoints($H267,$F267,$G267,L$1),"")</f>
        <v/>
      </c>
      <c r="M267" s="2" t="str" cm="1">
        <f t="array" ref="M267">IFERROR(playerPoints($H267,$F267,$G267,M$1),"")</f>
        <v/>
      </c>
      <c r="N267" s="2" t="str" cm="1">
        <f t="array" ref="N267">IFERROR(playerPoints($H267,$F267,$G267,N$1),"")</f>
        <v/>
      </c>
      <c r="O267" s="2" t="str" cm="1">
        <f t="array" ref="O267">IFERROR(playerPoints($H267,$F267,$G267,O$1),"")</f>
        <v/>
      </c>
      <c r="Q267" s="2">
        <f t="shared" si="4"/>
        <v>0</v>
      </c>
    </row>
    <row r="268" spans="1:17">
      <c r="A268" s="2">
        <v>267</v>
      </c>
      <c r="B268" s="2" t="s">
        <v>1078</v>
      </c>
      <c r="C268" s="2" t="s">
        <v>1457</v>
      </c>
      <c r="D268" s="2" t="s">
        <v>905</v>
      </c>
      <c r="F268" s="2" t="str">
        <f>LOOKUP(D268,Sheet3!A$1:A$32,Sheet3!B$1:B$32)</f>
        <v>ENG</v>
      </c>
      <c r="G268" s="2" t="s">
        <v>2615</v>
      </c>
      <c r="H268" s="2" t="s">
        <v>48</v>
      </c>
      <c r="I268" s="2" t="str" cm="1">
        <f t="array" ref="I268">IFERROR(playerPoints($H268,$F268,$G268,I$1),"")</f>
        <v/>
      </c>
      <c r="J268" s="2" t="str" cm="1">
        <f t="array" ref="J268">IFERROR(playerPoints($H268,$F268,$G268,J$1),"")</f>
        <v/>
      </c>
      <c r="K268" s="2" t="str" cm="1">
        <f t="array" ref="K268">IFERROR(playerPoints($H268,$F268,$G268,K$1),"")</f>
        <v/>
      </c>
      <c r="L268" s="2" t="str" cm="1">
        <f t="array" ref="L268">IFERROR(playerPoints($H268,$F268,$G268,L$1),"")</f>
        <v/>
      </c>
      <c r="M268" s="2" t="str" cm="1">
        <f t="array" ref="M268">IFERROR(playerPoints($H268,$F268,$G268,M$1),"")</f>
        <v/>
      </c>
      <c r="N268" s="2" t="str" cm="1">
        <f t="array" ref="N268">IFERROR(playerPoints($H268,$F268,$G268,N$1),"")</f>
        <v/>
      </c>
      <c r="O268" s="2" t="str" cm="1">
        <f t="array" ref="O268">IFERROR(playerPoints($H268,$F268,$G268,O$1),"")</f>
        <v/>
      </c>
      <c r="Q268" s="2">
        <f t="shared" si="4"/>
        <v>0</v>
      </c>
    </row>
    <row r="269" spans="1:17">
      <c r="A269" s="2">
        <v>268</v>
      </c>
      <c r="B269" s="2" t="s">
        <v>1458</v>
      </c>
      <c r="C269" s="2" t="s">
        <v>1459</v>
      </c>
      <c r="D269" s="2" t="s">
        <v>905</v>
      </c>
      <c r="F269" s="2" t="str">
        <f>LOOKUP(D269,Sheet3!A$1:A$32,Sheet3!B$1:B$32)</f>
        <v>ENG</v>
      </c>
      <c r="G269" s="2" t="s">
        <v>2616</v>
      </c>
      <c r="H269" s="2" t="s">
        <v>48</v>
      </c>
      <c r="I269" s="2" t="str" cm="1">
        <f t="array" ref="I269">IFERROR(playerPoints($H269,$F269,$G269,I$1),"")</f>
        <v/>
      </c>
      <c r="J269" s="2" t="str" cm="1">
        <f t="array" ref="J269">IFERROR(playerPoints($H269,$F269,$G269,J$1),"")</f>
        <v/>
      </c>
      <c r="K269" s="2" t="str" cm="1">
        <f t="array" ref="K269">IFERROR(playerPoints($H269,$F269,$G269,K$1),"")</f>
        <v/>
      </c>
      <c r="L269" s="2" t="str" cm="1">
        <f t="array" ref="L269">IFERROR(playerPoints($H269,$F269,$G269,L$1),"")</f>
        <v/>
      </c>
      <c r="M269" s="2" t="str" cm="1">
        <f t="array" ref="M269">IFERROR(playerPoints($H269,$F269,$G269,M$1),"")</f>
        <v/>
      </c>
      <c r="N269" s="2" t="str" cm="1">
        <f t="array" ref="N269">IFERROR(playerPoints($H269,$F269,$G269,N$1),"")</f>
        <v/>
      </c>
      <c r="O269" s="2" t="str" cm="1">
        <f t="array" ref="O269">IFERROR(playerPoints($H269,$F269,$G269,O$1),"")</f>
        <v/>
      </c>
      <c r="Q269" s="2">
        <f t="shared" si="4"/>
        <v>0</v>
      </c>
    </row>
    <row r="270" spans="1:17">
      <c r="A270" s="2">
        <v>269</v>
      </c>
      <c r="B270" s="2" t="s">
        <v>1223</v>
      </c>
      <c r="C270" s="2" t="s">
        <v>1460</v>
      </c>
      <c r="D270" s="2" t="s">
        <v>905</v>
      </c>
      <c r="F270" s="2" t="str">
        <f>LOOKUP(D270,Sheet3!A$1:A$32,Sheet3!B$1:B$32)</f>
        <v>ENG</v>
      </c>
      <c r="G270" s="2" t="s">
        <v>2617</v>
      </c>
      <c r="H270" s="2" t="s">
        <v>48</v>
      </c>
      <c r="I270" s="2" t="str" cm="1">
        <f t="array" ref="I270">IFERROR(playerPoints($H270,$F270,$G270,I$1),"")</f>
        <v/>
      </c>
      <c r="J270" s="2" t="str" cm="1">
        <f t="array" ref="J270">IFERROR(playerPoints($H270,$F270,$G270,J$1),"")</f>
        <v/>
      </c>
      <c r="K270" s="2" t="str" cm="1">
        <f t="array" ref="K270">IFERROR(playerPoints($H270,$F270,$G270,K$1),"")</f>
        <v/>
      </c>
      <c r="L270" s="2" t="str" cm="1">
        <f t="array" ref="L270">IFERROR(playerPoints($H270,$F270,$G270,L$1),"")</f>
        <v/>
      </c>
      <c r="M270" s="2" t="str" cm="1">
        <f t="array" ref="M270">IFERROR(playerPoints($H270,$F270,$G270,M$1),"")</f>
        <v/>
      </c>
      <c r="N270" s="2" t="str" cm="1">
        <f t="array" ref="N270">IFERROR(playerPoints($H270,$F270,$G270,N$1),"")</f>
        <v/>
      </c>
      <c r="O270" s="2" t="str" cm="1">
        <f t="array" ref="O270">IFERROR(playerPoints($H270,$F270,$G270,O$1),"")</f>
        <v/>
      </c>
      <c r="Q270" s="2">
        <f t="shared" si="4"/>
        <v>0</v>
      </c>
    </row>
    <row r="271" spans="1:17">
      <c r="A271" s="2">
        <v>270</v>
      </c>
      <c r="B271" s="2" t="s">
        <v>1461</v>
      </c>
      <c r="C271" s="2" t="s">
        <v>1462</v>
      </c>
      <c r="D271" s="2" t="s">
        <v>905</v>
      </c>
      <c r="F271" s="2" t="str">
        <f>LOOKUP(D271,Sheet3!A$1:A$32,Sheet3!B$1:B$32)</f>
        <v>ENG</v>
      </c>
      <c r="G271" s="2" t="s">
        <v>2618</v>
      </c>
      <c r="H271" s="2" t="s">
        <v>48</v>
      </c>
      <c r="I271" s="2" t="str" cm="1">
        <f t="array" ref="I271">IFERROR(playerPoints($H271,$F271,$G271,I$1),"")</f>
        <v/>
      </c>
      <c r="J271" s="2" t="str" cm="1">
        <f t="array" ref="J271">IFERROR(playerPoints($H271,$F271,$G271,J$1),"")</f>
        <v/>
      </c>
      <c r="K271" s="2" t="str" cm="1">
        <f t="array" ref="K271">IFERROR(playerPoints($H271,$F271,$G271,K$1),"")</f>
        <v/>
      </c>
      <c r="L271" s="2" t="str" cm="1">
        <f t="array" ref="L271">IFERROR(playerPoints($H271,$F271,$G271,L$1),"")</f>
        <v/>
      </c>
      <c r="M271" s="2" t="str" cm="1">
        <f t="array" ref="M271">IFERROR(playerPoints($H271,$F271,$G271,M$1),"")</f>
        <v/>
      </c>
      <c r="N271" s="2" t="str" cm="1">
        <f t="array" ref="N271">IFERROR(playerPoints($H271,$F271,$G271,N$1),"")</f>
        <v/>
      </c>
      <c r="O271" s="2" t="str" cm="1">
        <f t="array" ref="O271">IFERROR(playerPoints($H271,$F271,$G271,O$1),"")</f>
        <v/>
      </c>
      <c r="Q271" s="2">
        <f t="shared" si="4"/>
        <v>0</v>
      </c>
    </row>
    <row r="272" spans="1:17">
      <c r="A272" s="2">
        <v>271</v>
      </c>
      <c r="B272" s="2" t="s">
        <v>1463</v>
      </c>
      <c r="C272" s="2" t="s">
        <v>1464</v>
      </c>
      <c r="D272" s="2" t="s">
        <v>905</v>
      </c>
      <c r="F272" s="2" t="str">
        <f>LOOKUP(D272,Sheet3!A$1:A$32,Sheet3!B$1:B$32)</f>
        <v>ENG</v>
      </c>
      <c r="G272" s="2" t="s">
        <v>2619</v>
      </c>
      <c r="H272" s="2" t="s">
        <v>48</v>
      </c>
      <c r="I272" s="2" t="str" cm="1">
        <f t="array" ref="I272">IFERROR(playerPoints($H272,$F272,$G272,I$1),"")</f>
        <v/>
      </c>
      <c r="J272" s="2" t="str" cm="1">
        <f t="array" ref="J272">IFERROR(playerPoints($H272,$F272,$G272,J$1),"")</f>
        <v/>
      </c>
      <c r="K272" s="2" t="str" cm="1">
        <f t="array" ref="K272">IFERROR(playerPoints($H272,$F272,$G272,K$1),"")</f>
        <v/>
      </c>
      <c r="L272" s="2" t="str" cm="1">
        <f t="array" ref="L272">IFERROR(playerPoints($H272,$F272,$G272,L$1),"")</f>
        <v/>
      </c>
      <c r="M272" s="2" t="str" cm="1">
        <f t="array" ref="M272">IFERROR(playerPoints($H272,$F272,$G272,M$1),"")</f>
        <v/>
      </c>
      <c r="N272" s="2" t="str" cm="1">
        <f t="array" ref="N272">IFERROR(playerPoints($H272,$F272,$G272,N$1),"")</f>
        <v/>
      </c>
      <c r="O272" s="2" t="str" cm="1">
        <f t="array" ref="O272">IFERROR(playerPoints($H272,$F272,$G272,O$1),"")</f>
        <v/>
      </c>
      <c r="Q272" s="2">
        <f t="shared" si="4"/>
        <v>0</v>
      </c>
    </row>
    <row r="273" spans="1:17">
      <c r="A273" s="2">
        <v>272</v>
      </c>
      <c r="B273" s="2" t="s">
        <v>1465</v>
      </c>
      <c r="C273" s="2" t="s">
        <v>1466</v>
      </c>
      <c r="D273" s="2" t="s">
        <v>905</v>
      </c>
      <c r="F273" s="2" t="str">
        <f>LOOKUP(D273,Sheet3!A$1:A$32,Sheet3!B$1:B$32)</f>
        <v>ENG</v>
      </c>
      <c r="G273" s="2" t="s">
        <v>2620</v>
      </c>
      <c r="H273" s="2" t="s">
        <v>48</v>
      </c>
      <c r="I273" s="2" t="str" cm="1">
        <f t="array" ref="I273">IFERROR(playerPoints($H273,$F273,$G273,I$1),"")</f>
        <v/>
      </c>
      <c r="J273" s="2" t="str" cm="1">
        <f t="array" ref="J273">IFERROR(playerPoints($H273,$F273,$G273,J$1),"")</f>
        <v/>
      </c>
      <c r="K273" s="2" t="str" cm="1">
        <f t="array" ref="K273">IFERROR(playerPoints($H273,$F273,$G273,K$1),"")</f>
        <v/>
      </c>
      <c r="L273" s="2" t="str" cm="1">
        <f t="array" ref="L273">IFERROR(playerPoints($H273,$F273,$G273,L$1),"")</f>
        <v/>
      </c>
      <c r="M273" s="2" t="str" cm="1">
        <f t="array" ref="M273">IFERROR(playerPoints($H273,$F273,$G273,M$1),"")</f>
        <v/>
      </c>
      <c r="N273" s="2" t="str" cm="1">
        <f t="array" ref="N273">IFERROR(playerPoints($H273,$F273,$G273,N$1),"")</f>
        <v/>
      </c>
      <c r="O273" s="2" t="str" cm="1">
        <f t="array" ref="O273">IFERROR(playerPoints($H273,$F273,$G273,O$1),"")</f>
        <v/>
      </c>
      <c r="Q273" s="2">
        <f t="shared" si="4"/>
        <v>0</v>
      </c>
    </row>
    <row r="274" spans="1:17">
      <c r="A274" s="2">
        <v>273</v>
      </c>
      <c r="B274" s="2" t="s">
        <v>1467</v>
      </c>
      <c r="C274" s="2" t="s">
        <v>1468</v>
      </c>
      <c r="D274" s="2" t="s">
        <v>905</v>
      </c>
      <c r="F274" s="2" t="str">
        <f>LOOKUP(D274,Sheet3!A$1:A$32,Sheet3!B$1:B$32)</f>
        <v>ENG</v>
      </c>
      <c r="G274" s="2" t="s">
        <v>2621</v>
      </c>
      <c r="H274" s="2" t="s">
        <v>57</v>
      </c>
      <c r="I274" s="2" t="str" cm="1">
        <f t="array" ref="I274">IFERROR(playerPoints($H274,$F274,$G274,I$1),"")</f>
        <v/>
      </c>
      <c r="J274" s="2" t="str" cm="1">
        <f t="array" ref="J274">IFERROR(playerPoints($H274,$F274,$G274,J$1),"")</f>
        <v/>
      </c>
      <c r="K274" s="2" t="str" cm="1">
        <f t="array" ref="K274">IFERROR(playerPoints($H274,$F274,$G274,K$1),"")</f>
        <v/>
      </c>
      <c r="L274" s="2" t="str" cm="1">
        <f t="array" ref="L274">IFERROR(playerPoints($H274,$F274,$G274,L$1),"")</f>
        <v/>
      </c>
      <c r="M274" s="2" t="str" cm="1">
        <f t="array" ref="M274">IFERROR(playerPoints($H274,$F274,$G274,M$1),"")</f>
        <v/>
      </c>
      <c r="N274" s="2" t="str" cm="1">
        <f t="array" ref="N274">IFERROR(playerPoints($H274,$F274,$G274,N$1),"")</f>
        <v/>
      </c>
      <c r="O274" s="2" t="str" cm="1">
        <f t="array" ref="O274">IFERROR(playerPoints($H274,$F274,$G274,O$1),"")</f>
        <v/>
      </c>
      <c r="Q274" s="2">
        <f t="shared" si="4"/>
        <v>0</v>
      </c>
    </row>
    <row r="275" spans="1:17">
      <c r="A275" s="2">
        <v>274</v>
      </c>
      <c r="B275" s="2" t="s">
        <v>1469</v>
      </c>
      <c r="C275" s="2" t="s">
        <v>1470</v>
      </c>
      <c r="D275" s="2" t="s">
        <v>905</v>
      </c>
      <c r="F275" s="2" t="str">
        <f>LOOKUP(D275,Sheet3!A$1:A$32,Sheet3!B$1:B$32)</f>
        <v>ENG</v>
      </c>
      <c r="G275" s="2" t="s">
        <v>923</v>
      </c>
      <c r="H275" s="2" t="s">
        <v>57</v>
      </c>
      <c r="I275" s="2" t="str" cm="1">
        <f t="array" ref="I275">IFERROR(playerPoints($H275,$F275,$G275,I$1),"")</f>
        <v/>
      </c>
      <c r="J275" s="2" t="str" cm="1">
        <f t="array" ref="J275">IFERROR(playerPoints($H275,$F275,$G275,J$1),"")</f>
        <v/>
      </c>
      <c r="K275" s="2" t="str" cm="1">
        <f t="array" ref="K275">IFERROR(playerPoints($H275,$F275,$G275,K$1),"")</f>
        <v/>
      </c>
      <c r="L275" s="2" t="str" cm="1">
        <f t="array" ref="L275">IFERROR(playerPoints($H275,$F275,$G275,L$1),"")</f>
        <v/>
      </c>
      <c r="M275" s="2" t="str" cm="1">
        <f t="array" ref="M275">IFERROR(playerPoints($H275,$F275,$G275,M$1),"")</f>
        <v/>
      </c>
      <c r="N275" s="2" t="str" cm="1">
        <f t="array" ref="N275">IFERROR(playerPoints($H275,$F275,$G275,N$1),"")</f>
        <v/>
      </c>
      <c r="O275" s="2" t="str" cm="1">
        <f t="array" ref="O275">IFERROR(playerPoints($H275,$F275,$G275,O$1),"")</f>
        <v/>
      </c>
      <c r="Q275" s="2">
        <f t="shared" si="4"/>
        <v>0</v>
      </c>
    </row>
    <row r="276" spans="1:17">
      <c r="A276" s="2">
        <v>275</v>
      </c>
      <c r="B276" s="2" t="s">
        <v>1446</v>
      </c>
      <c r="C276" s="2" t="s">
        <v>1471</v>
      </c>
      <c r="D276" s="2" t="s">
        <v>905</v>
      </c>
      <c r="F276" s="2" t="str">
        <f>LOOKUP(D276,Sheet3!A$1:A$32,Sheet3!B$1:B$32)</f>
        <v>ENG</v>
      </c>
      <c r="G276" s="2" t="s">
        <v>2622</v>
      </c>
      <c r="H276" s="2" t="s">
        <v>57</v>
      </c>
      <c r="I276" s="2" t="str" cm="1">
        <f t="array" ref="I276">IFERROR(playerPoints($H276,$F276,$G276,I$1),"")</f>
        <v/>
      </c>
      <c r="J276" s="2" t="str" cm="1">
        <f t="array" ref="J276">IFERROR(playerPoints($H276,$F276,$G276,J$1),"")</f>
        <v/>
      </c>
      <c r="K276" s="2" t="str" cm="1">
        <f t="array" ref="K276">IFERROR(playerPoints($H276,$F276,$G276,K$1),"")</f>
        <v/>
      </c>
      <c r="L276" s="2" t="str" cm="1">
        <f t="array" ref="L276">IFERROR(playerPoints($H276,$F276,$G276,L$1),"")</f>
        <v/>
      </c>
      <c r="M276" s="2" t="str" cm="1">
        <f t="array" ref="M276">IFERROR(playerPoints($H276,$F276,$G276,M$1),"")</f>
        <v/>
      </c>
      <c r="N276" s="2" t="str" cm="1">
        <f t="array" ref="N276">IFERROR(playerPoints($H276,$F276,$G276,N$1),"")</f>
        <v/>
      </c>
      <c r="O276" s="2" t="str" cm="1">
        <f t="array" ref="O276">IFERROR(playerPoints($H276,$F276,$G276,O$1),"")</f>
        <v/>
      </c>
      <c r="Q276" s="2">
        <f t="shared" si="4"/>
        <v>0</v>
      </c>
    </row>
    <row r="277" spans="1:17">
      <c r="A277" s="2">
        <v>276</v>
      </c>
      <c r="B277" s="2" t="s">
        <v>1472</v>
      </c>
      <c r="C277" s="2" t="s">
        <v>1473</v>
      </c>
      <c r="D277" s="2" t="s">
        <v>905</v>
      </c>
      <c r="F277" s="2" t="str">
        <f>LOOKUP(D277,Sheet3!A$1:A$32,Sheet3!B$1:B$32)</f>
        <v>ENG</v>
      </c>
      <c r="G277" s="2" t="s">
        <v>2623</v>
      </c>
      <c r="H277" s="2" t="s">
        <v>57</v>
      </c>
      <c r="I277" s="2" t="str" cm="1">
        <f t="array" ref="I277">IFERROR(playerPoints($H277,$F277,$G277,I$1),"")</f>
        <v/>
      </c>
      <c r="J277" s="2" t="str" cm="1">
        <f t="array" ref="J277">IFERROR(playerPoints($H277,$F277,$G277,J$1),"")</f>
        <v/>
      </c>
      <c r="K277" s="2" t="str" cm="1">
        <f t="array" ref="K277">IFERROR(playerPoints($H277,$F277,$G277,K$1),"")</f>
        <v/>
      </c>
      <c r="L277" s="2" t="str" cm="1">
        <f t="array" ref="L277">IFERROR(playerPoints($H277,$F277,$G277,L$1),"")</f>
        <v/>
      </c>
      <c r="M277" s="2" t="str" cm="1">
        <f t="array" ref="M277">IFERROR(playerPoints($H277,$F277,$G277,M$1),"")</f>
        <v/>
      </c>
      <c r="N277" s="2" t="str" cm="1">
        <f t="array" ref="N277">IFERROR(playerPoints($H277,$F277,$G277,N$1),"")</f>
        <v/>
      </c>
      <c r="O277" s="2" t="str" cm="1">
        <f t="array" ref="O277">IFERROR(playerPoints($H277,$F277,$G277,O$1),"")</f>
        <v/>
      </c>
      <c r="Q277" s="2">
        <f t="shared" si="4"/>
        <v>0</v>
      </c>
    </row>
    <row r="278" spans="1:17">
      <c r="A278" s="2">
        <v>277</v>
      </c>
      <c r="B278" s="2" t="s">
        <v>1474</v>
      </c>
      <c r="C278" s="2" t="s">
        <v>1475</v>
      </c>
      <c r="D278" s="2" t="s">
        <v>905</v>
      </c>
      <c r="F278" s="2" t="str">
        <f>LOOKUP(D278,Sheet3!A$1:A$32,Sheet3!B$1:B$32)</f>
        <v>ENG</v>
      </c>
      <c r="G278" s="2" t="s">
        <v>920</v>
      </c>
      <c r="H278" s="2" t="s">
        <v>57</v>
      </c>
      <c r="I278" s="2" t="str" cm="1">
        <f t="array" ref="I278">IFERROR(playerPoints($H278,$F278,$G278,I$1),"")</f>
        <v/>
      </c>
      <c r="J278" s="2" t="str" cm="1">
        <f t="array" ref="J278">IFERROR(playerPoints($H278,$F278,$G278,J$1),"")</f>
        <v/>
      </c>
      <c r="K278" s="2" t="str" cm="1">
        <f t="array" ref="K278">IFERROR(playerPoints($H278,$F278,$G278,K$1),"")</f>
        <v/>
      </c>
      <c r="L278" s="2" t="str" cm="1">
        <f t="array" ref="L278">IFERROR(playerPoints($H278,$F278,$G278,L$1),"")</f>
        <v/>
      </c>
      <c r="M278" s="2" t="str" cm="1">
        <f t="array" ref="M278">IFERROR(playerPoints($H278,$F278,$G278,M$1),"")</f>
        <v/>
      </c>
      <c r="N278" s="2" t="str" cm="1">
        <f t="array" ref="N278">IFERROR(playerPoints($H278,$F278,$G278,N$1),"")</f>
        <v/>
      </c>
      <c r="O278" s="2" t="str" cm="1">
        <f t="array" ref="O278">IFERROR(playerPoints($H278,$F278,$G278,O$1),"")</f>
        <v/>
      </c>
      <c r="Q278" s="2">
        <f t="shared" si="4"/>
        <v>0</v>
      </c>
    </row>
    <row r="279" spans="1:17">
      <c r="A279" s="2">
        <v>278</v>
      </c>
      <c r="B279" s="2" t="s">
        <v>1476</v>
      </c>
      <c r="C279" s="2" t="s">
        <v>1477</v>
      </c>
      <c r="D279" s="2" t="s">
        <v>905</v>
      </c>
      <c r="F279" s="2" t="str">
        <f>LOOKUP(D279,Sheet3!A$1:A$32,Sheet3!B$1:B$32)</f>
        <v>ENG</v>
      </c>
      <c r="G279" s="2" t="s">
        <v>2624</v>
      </c>
      <c r="H279" s="2" t="s">
        <v>57</v>
      </c>
      <c r="I279" s="2" t="str" cm="1">
        <f t="array" ref="I279">IFERROR(playerPoints($H279,$F279,$G279,I$1),"")</f>
        <v/>
      </c>
      <c r="J279" s="2" t="str" cm="1">
        <f t="array" ref="J279">IFERROR(playerPoints($H279,$F279,$G279,J$1),"")</f>
        <v/>
      </c>
      <c r="K279" s="2" t="str" cm="1">
        <f t="array" ref="K279">IFERROR(playerPoints($H279,$F279,$G279,K$1),"")</f>
        <v/>
      </c>
      <c r="L279" s="2" t="str" cm="1">
        <f t="array" ref="L279">IFERROR(playerPoints($H279,$F279,$G279,L$1),"")</f>
        <v/>
      </c>
      <c r="M279" s="2" t="str" cm="1">
        <f t="array" ref="M279">IFERROR(playerPoints($H279,$F279,$G279,M$1),"")</f>
        <v/>
      </c>
      <c r="N279" s="2" t="str" cm="1">
        <f t="array" ref="N279">IFERROR(playerPoints($H279,$F279,$G279,N$1),"")</f>
        <v/>
      </c>
      <c r="O279" s="2" t="str" cm="1">
        <f t="array" ref="O279">IFERROR(playerPoints($H279,$F279,$G279,O$1),"")</f>
        <v/>
      </c>
      <c r="Q279" s="2">
        <f t="shared" si="4"/>
        <v>0</v>
      </c>
    </row>
    <row r="280" spans="1:17">
      <c r="A280" s="2">
        <v>279</v>
      </c>
      <c r="B280" s="2" t="s">
        <v>1478</v>
      </c>
      <c r="C280" s="2" t="s">
        <v>1479</v>
      </c>
      <c r="D280" s="2" t="s">
        <v>905</v>
      </c>
      <c r="F280" s="2" t="str">
        <f>LOOKUP(D280,Sheet3!A$1:A$32,Sheet3!B$1:B$32)</f>
        <v>ENG</v>
      </c>
      <c r="G280" s="2" t="s">
        <v>2625</v>
      </c>
      <c r="H280" s="2" t="s">
        <v>57</v>
      </c>
      <c r="I280" s="2" t="str" cm="1">
        <f t="array" ref="I280">IFERROR(playerPoints($H280,$F280,$G280,I$1),"")</f>
        <v/>
      </c>
      <c r="J280" s="2" t="str" cm="1">
        <f t="array" ref="J280">IFERROR(playerPoints($H280,$F280,$G280,J$1),"")</f>
        <v/>
      </c>
      <c r="K280" s="2" t="str" cm="1">
        <f t="array" ref="K280">IFERROR(playerPoints($H280,$F280,$G280,K$1),"")</f>
        <v/>
      </c>
      <c r="L280" s="2" t="str" cm="1">
        <f t="array" ref="L280">IFERROR(playerPoints($H280,$F280,$G280,L$1),"")</f>
        <v/>
      </c>
      <c r="M280" s="2" t="str" cm="1">
        <f t="array" ref="M280">IFERROR(playerPoints($H280,$F280,$G280,M$1),"")</f>
        <v/>
      </c>
      <c r="N280" s="2" t="str" cm="1">
        <f t="array" ref="N280">IFERROR(playerPoints($H280,$F280,$G280,N$1),"")</f>
        <v/>
      </c>
      <c r="O280" s="2" t="str" cm="1">
        <f t="array" ref="O280">IFERROR(playerPoints($H280,$F280,$G280,O$1),"")</f>
        <v/>
      </c>
      <c r="Q280" s="2">
        <f t="shared" si="4"/>
        <v>0</v>
      </c>
    </row>
    <row r="281" spans="1:17">
      <c r="A281" s="2">
        <v>280</v>
      </c>
      <c r="B281" s="2" t="s">
        <v>1480</v>
      </c>
      <c r="C281" s="2" t="s">
        <v>1481</v>
      </c>
      <c r="D281" s="2" t="s">
        <v>905</v>
      </c>
      <c r="F281" s="2" t="str">
        <f>LOOKUP(D281,Sheet3!A$1:A$32,Sheet3!B$1:B$32)</f>
        <v>ENG</v>
      </c>
      <c r="G281" s="2" t="s">
        <v>919</v>
      </c>
      <c r="H281" s="2" t="s">
        <v>57</v>
      </c>
      <c r="I281" s="2" t="str" cm="1">
        <f t="array" ref="I281">IFERROR(playerPoints($H281,$F281,$G281,I$1),"")</f>
        <v/>
      </c>
      <c r="J281" s="2" t="str" cm="1">
        <f t="array" ref="J281">IFERROR(playerPoints($H281,$F281,$G281,J$1),"")</f>
        <v/>
      </c>
      <c r="K281" s="2" t="str" cm="1">
        <f t="array" ref="K281">IFERROR(playerPoints($H281,$F281,$G281,K$1),"")</f>
        <v/>
      </c>
      <c r="L281" s="2" t="str" cm="1">
        <f t="array" ref="L281">IFERROR(playerPoints($H281,$F281,$G281,L$1),"")</f>
        <v/>
      </c>
      <c r="M281" s="2" t="str" cm="1">
        <f t="array" ref="M281">IFERROR(playerPoints($H281,$F281,$G281,M$1),"")</f>
        <v/>
      </c>
      <c r="N281" s="2" t="str" cm="1">
        <f t="array" ref="N281">IFERROR(playerPoints($H281,$F281,$G281,N$1),"")</f>
        <v/>
      </c>
      <c r="O281" s="2" t="str" cm="1">
        <f t="array" ref="O281">IFERROR(playerPoints($H281,$F281,$G281,O$1),"")</f>
        <v/>
      </c>
      <c r="Q281" s="2">
        <f t="shared" si="4"/>
        <v>0</v>
      </c>
    </row>
    <row r="282" spans="1:17">
      <c r="A282" s="2">
        <v>281</v>
      </c>
      <c r="B282" s="2" t="s">
        <v>1229</v>
      </c>
      <c r="C282" s="2" t="s">
        <v>1482</v>
      </c>
      <c r="D282" s="2" t="s">
        <v>905</v>
      </c>
      <c r="F282" s="2" t="str">
        <f>LOOKUP(D282,Sheet3!A$1:A$32,Sheet3!B$1:B$32)</f>
        <v>ENG</v>
      </c>
      <c r="G282" s="2" t="s">
        <v>2626</v>
      </c>
      <c r="H282" s="2" t="s">
        <v>57</v>
      </c>
      <c r="I282" s="2" t="str" cm="1">
        <f t="array" ref="I282">IFERROR(playerPoints($H282,$F282,$G282,I$1),"")</f>
        <v/>
      </c>
      <c r="J282" s="2" t="str" cm="1">
        <f t="array" ref="J282">IFERROR(playerPoints($H282,$F282,$G282,J$1),"")</f>
        <v/>
      </c>
      <c r="K282" s="2" t="str" cm="1">
        <f t="array" ref="K282">IFERROR(playerPoints($H282,$F282,$G282,K$1),"")</f>
        <v/>
      </c>
      <c r="L282" s="2" t="str" cm="1">
        <f t="array" ref="L282">IFERROR(playerPoints($H282,$F282,$G282,L$1),"")</f>
        <v/>
      </c>
      <c r="M282" s="2" t="str" cm="1">
        <f t="array" ref="M282">IFERROR(playerPoints($H282,$F282,$G282,M$1),"")</f>
        <v/>
      </c>
      <c r="N282" s="2" t="str" cm="1">
        <f t="array" ref="N282">IFERROR(playerPoints($H282,$F282,$G282,N$1),"")</f>
        <v/>
      </c>
      <c r="O282" s="2" t="str" cm="1">
        <f t="array" ref="O282">IFERROR(playerPoints($H282,$F282,$G282,O$1),"")</f>
        <v/>
      </c>
      <c r="Q282" s="2">
        <f t="shared" si="4"/>
        <v>0</v>
      </c>
    </row>
    <row r="283" spans="1:17">
      <c r="A283" s="2">
        <v>282</v>
      </c>
      <c r="B283" s="2" t="s">
        <v>1461</v>
      </c>
      <c r="C283" s="2" t="s">
        <v>1483</v>
      </c>
      <c r="D283" s="2" t="s">
        <v>905</v>
      </c>
      <c r="F283" s="2" t="str">
        <f>LOOKUP(D283,Sheet3!A$1:A$32,Sheet3!B$1:B$32)</f>
        <v>ENG</v>
      </c>
      <c r="G283" s="2" t="s">
        <v>2627</v>
      </c>
      <c r="H283" s="2" t="s">
        <v>57</v>
      </c>
      <c r="I283" s="2" t="str" cm="1">
        <f t="array" ref="I283">IFERROR(playerPoints($H283,$F283,$G283,I$1),"")</f>
        <v/>
      </c>
      <c r="J283" s="2" t="str" cm="1">
        <f t="array" ref="J283">IFERROR(playerPoints($H283,$F283,$G283,J$1),"")</f>
        <v/>
      </c>
      <c r="K283" s="2" t="str" cm="1">
        <f t="array" ref="K283">IFERROR(playerPoints($H283,$F283,$G283,K$1),"")</f>
        <v/>
      </c>
      <c r="L283" s="2" t="str" cm="1">
        <f t="array" ref="L283">IFERROR(playerPoints($H283,$F283,$G283,L$1),"")</f>
        <v/>
      </c>
      <c r="M283" s="2" t="str" cm="1">
        <f t="array" ref="M283">IFERROR(playerPoints($H283,$F283,$G283,M$1),"")</f>
        <v/>
      </c>
      <c r="N283" s="2" t="str" cm="1">
        <f t="array" ref="N283">IFERROR(playerPoints($H283,$F283,$G283,N$1),"")</f>
        <v/>
      </c>
      <c r="O283" s="2" t="str" cm="1">
        <f t="array" ref="O283">IFERROR(playerPoints($H283,$F283,$G283,O$1),"")</f>
        <v/>
      </c>
      <c r="Q283" s="2">
        <f t="shared" si="4"/>
        <v>0</v>
      </c>
    </row>
    <row r="284" spans="1:17">
      <c r="A284" s="2">
        <v>283</v>
      </c>
      <c r="B284" s="2" t="s">
        <v>1078</v>
      </c>
      <c r="C284" s="2" t="s">
        <v>1484</v>
      </c>
      <c r="D284" s="2" t="s">
        <v>905</v>
      </c>
      <c r="F284" s="2" t="str">
        <f>LOOKUP(D284,Sheet3!A$1:A$32,Sheet3!B$1:B$32)</f>
        <v>ENG</v>
      </c>
      <c r="G284" s="2" t="s">
        <v>2628</v>
      </c>
      <c r="H284" s="2" t="s">
        <v>66</v>
      </c>
      <c r="I284" s="2" t="str" cm="1">
        <f t="array" ref="I284">IFERROR(playerPoints($H284,$F284,$G284,I$1),"")</f>
        <v/>
      </c>
      <c r="J284" s="2" t="str" cm="1">
        <f t="array" ref="J284">IFERROR(playerPoints($H284,$F284,$G284,J$1),"")</f>
        <v/>
      </c>
      <c r="K284" s="2" t="str" cm="1">
        <f t="array" ref="K284">IFERROR(playerPoints($H284,$F284,$G284,K$1),"")</f>
        <v/>
      </c>
      <c r="L284" s="2" t="str" cm="1">
        <f t="array" ref="L284">IFERROR(playerPoints($H284,$F284,$G284,L$1),"")</f>
        <v/>
      </c>
      <c r="M284" s="2" t="str" cm="1">
        <f t="array" ref="M284">IFERROR(playerPoints($H284,$F284,$G284,M$1),"")</f>
        <v/>
      </c>
      <c r="N284" s="2" t="str" cm="1">
        <f t="array" ref="N284">IFERROR(playerPoints($H284,$F284,$G284,N$1),"")</f>
        <v/>
      </c>
      <c r="O284" s="2" t="str" cm="1">
        <f t="array" ref="O284">IFERROR(playerPoints($H284,$F284,$G284,O$1),"")</f>
        <v/>
      </c>
      <c r="Q284" s="2">
        <f t="shared" si="4"/>
        <v>0</v>
      </c>
    </row>
    <row r="285" spans="1:17">
      <c r="A285" s="2">
        <v>284</v>
      </c>
      <c r="B285" s="2" t="s">
        <v>1485</v>
      </c>
      <c r="C285" s="2" t="s">
        <v>1486</v>
      </c>
      <c r="D285" s="2" t="s">
        <v>905</v>
      </c>
      <c r="F285" s="2" t="str">
        <f>LOOKUP(D285,Sheet3!A$1:A$32,Sheet3!B$1:B$32)</f>
        <v>ENG</v>
      </c>
      <c r="G285" s="2" t="s">
        <v>921</v>
      </c>
      <c r="H285" s="2" t="s">
        <v>66</v>
      </c>
      <c r="I285" s="2" t="str" cm="1">
        <f t="array" ref="I285">IFERROR(playerPoints($H285,$F285,$G285,I$1),"")</f>
        <v/>
      </c>
      <c r="J285" s="2" t="str" cm="1">
        <f t="array" ref="J285">IFERROR(playerPoints($H285,$F285,$G285,J$1),"")</f>
        <v/>
      </c>
      <c r="K285" s="2" t="str" cm="1">
        <f t="array" ref="K285">IFERROR(playerPoints($H285,$F285,$G285,K$1),"")</f>
        <v/>
      </c>
      <c r="L285" s="2" t="str" cm="1">
        <f t="array" ref="L285">IFERROR(playerPoints($H285,$F285,$G285,L$1),"")</f>
        <v/>
      </c>
      <c r="M285" s="2" t="str" cm="1">
        <f t="array" ref="M285">IFERROR(playerPoints($H285,$F285,$G285,M$1),"")</f>
        <v/>
      </c>
      <c r="N285" s="2" t="str" cm="1">
        <f t="array" ref="N285">IFERROR(playerPoints($H285,$F285,$G285,N$1),"")</f>
        <v/>
      </c>
      <c r="O285" s="2" t="str" cm="1">
        <f t="array" ref="O285">IFERROR(playerPoints($H285,$F285,$G285,O$1),"")</f>
        <v/>
      </c>
      <c r="Q285" s="2">
        <f t="shared" si="4"/>
        <v>0</v>
      </c>
    </row>
    <row r="286" spans="1:17">
      <c r="A286" s="2">
        <v>285</v>
      </c>
      <c r="B286" s="2" t="s">
        <v>1487</v>
      </c>
      <c r="C286" s="2" t="s">
        <v>1488</v>
      </c>
      <c r="D286" s="2" t="s">
        <v>905</v>
      </c>
      <c r="F286" s="2" t="str">
        <f>LOOKUP(D286,Sheet3!A$1:A$32,Sheet3!B$1:B$32)</f>
        <v>ENG</v>
      </c>
      <c r="G286" s="2" t="s">
        <v>922</v>
      </c>
      <c r="H286" s="2" t="s">
        <v>66</v>
      </c>
      <c r="I286" s="2" t="str" cm="1">
        <f t="array" ref="I286">IFERROR(playerPoints($H286,$F286,$G286,I$1),"")</f>
        <v/>
      </c>
      <c r="J286" s="2" t="str" cm="1">
        <f t="array" ref="J286">IFERROR(playerPoints($H286,$F286,$G286,J$1),"")</f>
        <v/>
      </c>
      <c r="K286" s="2" t="str" cm="1">
        <f t="array" ref="K286">IFERROR(playerPoints($H286,$F286,$G286,K$1),"")</f>
        <v/>
      </c>
      <c r="L286" s="2" t="str" cm="1">
        <f t="array" ref="L286">IFERROR(playerPoints($H286,$F286,$G286,L$1),"")</f>
        <v/>
      </c>
      <c r="M286" s="2" t="str" cm="1">
        <f t="array" ref="M286">IFERROR(playerPoints($H286,$F286,$G286,M$1),"")</f>
        <v/>
      </c>
      <c r="N286" s="2" t="str" cm="1">
        <f t="array" ref="N286">IFERROR(playerPoints($H286,$F286,$G286,N$1),"")</f>
        <v/>
      </c>
      <c r="O286" s="2" t="str" cm="1">
        <f t="array" ref="O286">IFERROR(playerPoints($H286,$F286,$G286,O$1),"")</f>
        <v/>
      </c>
      <c r="Q286" s="2">
        <f t="shared" si="4"/>
        <v>0</v>
      </c>
    </row>
    <row r="287" spans="1:17">
      <c r="A287" s="2">
        <v>286</v>
      </c>
      <c r="B287" s="2" t="s">
        <v>1489</v>
      </c>
      <c r="C287" s="2" t="s">
        <v>1318</v>
      </c>
      <c r="D287" s="2" t="s">
        <v>905</v>
      </c>
      <c r="F287" s="2" t="str">
        <f>LOOKUP(D287,Sheet3!A$1:A$32,Sheet3!B$1:B$32)</f>
        <v>ENG</v>
      </c>
      <c r="G287" s="2" t="s">
        <v>2629</v>
      </c>
      <c r="H287" s="2" t="s">
        <v>66</v>
      </c>
      <c r="I287" s="2" t="str" cm="1">
        <f t="array" ref="I287">IFERROR(playerPoints($H287,$F287,$G287,I$1),"")</f>
        <v/>
      </c>
      <c r="J287" s="2" t="str" cm="1">
        <f t="array" ref="J287">IFERROR(playerPoints($H287,$F287,$G287,J$1),"")</f>
        <v/>
      </c>
      <c r="K287" s="2" t="str" cm="1">
        <f t="array" ref="K287">IFERROR(playerPoints($H287,$F287,$G287,K$1),"")</f>
        <v/>
      </c>
      <c r="L287" s="2" t="str" cm="1">
        <f t="array" ref="L287">IFERROR(playerPoints($H287,$F287,$G287,L$1),"")</f>
        <v/>
      </c>
      <c r="M287" s="2" t="str" cm="1">
        <f t="array" ref="M287">IFERROR(playerPoints($H287,$F287,$G287,M$1),"")</f>
        <v/>
      </c>
      <c r="N287" s="2" t="str" cm="1">
        <f t="array" ref="N287">IFERROR(playerPoints($H287,$F287,$G287,N$1),"")</f>
        <v/>
      </c>
      <c r="O287" s="2" t="str" cm="1">
        <f t="array" ref="O287">IFERROR(playerPoints($H287,$F287,$G287,O$1),"")</f>
        <v/>
      </c>
      <c r="Q287" s="2">
        <f t="shared" si="4"/>
        <v>0</v>
      </c>
    </row>
    <row r="288" spans="1:17">
      <c r="A288" s="2">
        <v>287</v>
      </c>
      <c r="B288" s="2" t="s">
        <v>1490</v>
      </c>
      <c r="C288" s="2" t="s">
        <v>1491</v>
      </c>
      <c r="D288" s="2" t="s">
        <v>906</v>
      </c>
      <c r="F288" s="2" t="str">
        <f>LOOKUP(D288,Sheet3!A$1:A$32,Sheet3!B$1:B$32)</f>
        <v>FRA</v>
      </c>
      <c r="G288" s="2" t="s">
        <v>2630</v>
      </c>
      <c r="H288" s="2" t="s">
        <v>44</v>
      </c>
      <c r="I288" s="2" t="str" cm="1">
        <f t="array" ref="I288">IFERROR(playerPoints($H288,$F288,$G288,I$1),"")</f>
        <v/>
      </c>
      <c r="J288" s="2" t="str" cm="1">
        <f t="array" ref="J288">IFERROR(playerPoints($H288,$F288,$G288,J$1),"")</f>
        <v/>
      </c>
      <c r="K288" s="2" t="str" cm="1">
        <f t="array" ref="K288">IFERROR(playerPoints($H288,$F288,$G288,K$1),"")</f>
        <v/>
      </c>
      <c r="L288" s="2" t="str" cm="1">
        <f t="array" ref="L288">IFERROR(playerPoints($H288,$F288,$G288,L$1),"")</f>
        <v/>
      </c>
      <c r="M288" s="2" t="str" cm="1">
        <f t="array" ref="M288">IFERROR(playerPoints($H288,$F288,$G288,M$1),"")</f>
        <v/>
      </c>
      <c r="N288" s="2" t="str" cm="1">
        <f t="array" ref="N288">IFERROR(playerPoints($H288,$F288,$G288,N$1),"")</f>
        <v/>
      </c>
      <c r="O288" s="2" t="str" cm="1">
        <f t="array" ref="O288">IFERROR(playerPoints($H288,$F288,$G288,O$1),"")</f>
        <v/>
      </c>
      <c r="Q288" s="2">
        <f t="shared" si="4"/>
        <v>0</v>
      </c>
    </row>
    <row r="289" spans="1:17">
      <c r="A289" s="2">
        <v>288</v>
      </c>
      <c r="B289" s="2" t="s">
        <v>1492</v>
      </c>
      <c r="C289" s="2" t="s">
        <v>1493</v>
      </c>
      <c r="D289" s="2" t="s">
        <v>906</v>
      </c>
      <c r="F289" s="2" t="str">
        <f>LOOKUP(D289,Sheet3!A$1:A$32,Sheet3!B$1:B$32)</f>
        <v>FRA</v>
      </c>
      <c r="G289" s="2" t="s">
        <v>2631</v>
      </c>
      <c r="H289" s="2" t="s">
        <v>44</v>
      </c>
      <c r="I289" s="2" t="str" cm="1">
        <f t="array" ref="I289">IFERROR(playerPoints($H289,$F289,$G289,I$1),"")</f>
        <v/>
      </c>
      <c r="J289" s="2" t="str" cm="1">
        <f t="array" ref="J289">IFERROR(playerPoints($H289,$F289,$G289,J$1),"")</f>
        <v/>
      </c>
      <c r="K289" s="2" t="str" cm="1">
        <f t="array" ref="K289">IFERROR(playerPoints($H289,$F289,$G289,K$1),"")</f>
        <v/>
      </c>
      <c r="L289" s="2" t="str" cm="1">
        <f t="array" ref="L289">IFERROR(playerPoints($H289,$F289,$G289,L$1),"")</f>
        <v/>
      </c>
      <c r="M289" s="2" t="str" cm="1">
        <f t="array" ref="M289">IFERROR(playerPoints($H289,$F289,$G289,M$1),"")</f>
        <v/>
      </c>
      <c r="N289" s="2" t="str" cm="1">
        <f t="array" ref="N289">IFERROR(playerPoints($H289,$F289,$G289,N$1),"")</f>
        <v/>
      </c>
      <c r="O289" s="2" t="str" cm="1">
        <f t="array" ref="O289">IFERROR(playerPoints($H289,$F289,$G289,O$1),"")</f>
        <v/>
      </c>
      <c r="Q289" s="2">
        <f t="shared" si="4"/>
        <v>0</v>
      </c>
    </row>
    <row r="290" spans="1:17">
      <c r="A290" s="2">
        <v>289</v>
      </c>
      <c r="B290" s="2" t="s">
        <v>1494</v>
      </c>
      <c r="C290" s="2" t="s">
        <v>1495</v>
      </c>
      <c r="D290" s="2" t="s">
        <v>906</v>
      </c>
      <c r="F290" s="2" t="str">
        <f>LOOKUP(D290,Sheet3!A$1:A$32,Sheet3!B$1:B$32)</f>
        <v>FRA</v>
      </c>
      <c r="G290" s="2" t="s">
        <v>2632</v>
      </c>
      <c r="H290" s="2" t="s">
        <v>44</v>
      </c>
      <c r="I290" s="2" t="str" cm="1">
        <f t="array" ref="I290">IFERROR(playerPoints($H290,$F290,$G290,I$1),"")</f>
        <v/>
      </c>
      <c r="J290" s="2" t="str" cm="1">
        <f t="array" ref="J290">IFERROR(playerPoints($H290,$F290,$G290,J$1),"")</f>
        <v/>
      </c>
      <c r="K290" s="2" t="str" cm="1">
        <f t="array" ref="K290">IFERROR(playerPoints($H290,$F290,$G290,K$1),"")</f>
        <v/>
      </c>
      <c r="L290" s="2" t="str" cm="1">
        <f t="array" ref="L290">IFERROR(playerPoints($H290,$F290,$G290,L$1),"")</f>
        <v/>
      </c>
      <c r="M290" s="2" t="str" cm="1">
        <f t="array" ref="M290">IFERROR(playerPoints($H290,$F290,$G290,M$1),"")</f>
        <v/>
      </c>
      <c r="N290" s="2" t="str" cm="1">
        <f t="array" ref="N290">IFERROR(playerPoints($H290,$F290,$G290,N$1),"")</f>
        <v/>
      </c>
      <c r="O290" s="2" t="str" cm="1">
        <f t="array" ref="O290">IFERROR(playerPoints($H290,$F290,$G290,O$1),"")</f>
        <v/>
      </c>
      <c r="Q290" s="2">
        <f t="shared" si="4"/>
        <v>0</v>
      </c>
    </row>
    <row r="291" spans="1:17">
      <c r="A291" s="2">
        <v>290</v>
      </c>
      <c r="B291" s="2" t="s">
        <v>1496</v>
      </c>
      <c r="C291" s="2" t="s">
        <v>1497</v>
      </c>
      <c r="D291" s="2" t="s">
        <v>906</v>
      </c>
      <c r="F291" s="2" t="str">
        <f>LOOKUP(D291,Sheet3!A$1:A$32,Sheet3!B$1:B$32)</f>
        <v>FRA</v>
      </c>
      <c r="G291" s="2" t="s">
        <v>2633</v>
      </c>
      <c r="H291" s="2" t="s">
        <v>48</v>
      </c>
      <c r="I291" s="2" t="str" cm="1">
        <f t="array" ref="I291">IFERROR(playerPoints($H291,$F291,$G291,I$1),"")</f>
        <v/>
      </c>
      <c r="J291" s="2" t="str" cm="1">
        <f t="array" ref="J291">IFERROR(playerPoints($H291,$F291,$G291,J$1),"")</f>
        <v/>
      </c>
      <c r="K291" s="2" t="str" cm="1">
        <f t="array" ref="K291">IFERROR(playerPoints($H291,$F291,$G291,K$1),"")</f>
        <v/>
      </c>
      <c r="L291" s="2" t="str" cm="1">
        <f t="array" ref="L291">IFERROR(playerPoints($H291,$F291,$G291,L$1),"")</f>
        <v/>
      </c>
      <c r="M291" s="2" t="str" cm="1">
        <f t="array" ref="M291">IFERROR(playerPoints($H291,$F291,$G291,M$1),"")</f>
        <v/>
      </c>
      <c r="N291" s="2" t="str" cm="1">
        <f t="array" ref="N291">IFERROR(playerPoints($H291,$F291,$G291,N$1),"")</f>
        <v/>
      </c>
      <c r="O291" s="2" t="str" cm="1">
        <f t="array" ref="O291">IFERROR(playerPoints($H291,$F291,$G291,O$1),"")</f>
        <v/>
      </c>
      <c r="Q291" s="2">
        <f t="shared" si="4"/>
        <v>0</v>
      </c>
    </row>
    <row r="292" spans="1:17">
      <c r="A292" s="2">
        <v>291</v>
      </c>
      <c r="B292" s="2" t="s">
        <v>1130</v>
      </c>
      <c r="C292" s="2" t="s">
        <v>1498</v>
      </c>
      <c r="D292" s="2" t="s">
        <v>906</v>
      </c>
      <c r="F292" s="2" t="str">
        <f>LOOKUP(D292,Sheet3!A$1:A$32,Sheet3!B$1:B$32)</f>
        <v>FRA</v>
      </c>
      <c r="G292" s="2" t="s">
        <v>2634</v>
      </c>
      <c r="H292" s="2" t="s">
        <v>48</v>
      </c>
      <c r="I292" s="2" t="str" cm="1">
        <f t="array" ref="I292">IFERROR(playerPoints($H292,$F292,$G292,I$1),"")</f>
        <v/>
      </c>
      <c r="J292" s="2" t="str" cm="1">
        <f t="array" ref="J292">IFERROR(playerPoints($H292,$F292,$G292,J$1),"")</f>
        <v/>
      </c>
      <c r="K292" s="2" t="str" cm="1">
        <f t="array" ref="K292">IFERROR(playerPoints($H292,$F292,$G292,K$1),"")</f>
        <v/>
      </c>
      <c r="L292" s="2" t="str" cm="1">
        <f t="array" ref="L292">IFERROR(playerPoints($H292,$F292,$G292,L$1),"")</f>
        <v/>
      </c>
      <c r="M292" s="2" t="str" cm="1">
        <f t="array" ref="M292">IFERROR(playerPoints($H292,$F292,$G292,M$1),"")</f>
        <v/>
      </c>
      <c r="N292" s="2" t="str" cm="1">
        <f t="array" ref="N292">IFERROR(playerPoints($H292,$F292,$G292,N$1),"")</f>
        <v/>
      </c>
      <c r="O292" s="2" t="str" cm="1">
        <f t="array" ref="O292">IFERROR(playerPoints($H292,$F292,$G292,O$1),"")</f>
        <v/>
      </c>
      <c r="Q292" s="2">
        <f t="shared" si="4"/>
        <v>0</v>
      </c>
    </row>
    <row r="293" spans="1:17">
      <c r="A293" s="2">
        <v>292</v>
      </c>
      <c r="B293" s="2" t="s">
        <v>1499</v>
      </c>
      <c r="C293" s="2" t="s">
        <v>1500</v>
      </c>
      <c r="D293" s="2" t="s">
        <v>906</v>
      </c>
      <c r="F293" s="2" t="str">
        <f>LOOKUP(D293,Sheet3!A$1:A$32,Sheet3!B$1:B$32)</f>
        <v>FRA</v>
      </c>
      <c r="G293" s="2" t="s">
        <v>2635</v>
      </c>
      <c r="H293" s="2" t="s">
        <v>48</v>
      </c>
      <c r="I293" s="2" t="str" cm="1">
        <f t="array" ref="I293">IFERROR(playerPoints($H293,$F293,$G293,I$1),"")</f>
        <v/>
      </c>
      <c r="J293" s="2" t="str" cm="1">
        <f t="array" ref="J293">IFERROR(playerPoints($H293,$F293,$G293,J$1),"")</f>
        <v/>
      </c>
      <c r="K293" s="2" t="str" cm="1">
        <f t="array" ref="K293">IFERROR(playerPoints($H293,$F293,$G293,K$1),"")</f>
        <v/>
      </c>
      <c r="L293" s="2" t="str" cm="1">
        <f t="array" ref="L293">IFERROR(playerPoints($H293,$F293,$G293,L$1),"")</f>
        <v/>
      </c>
      <c r="M293" s="2" t="str" cm="1">
        <f t="array" ref="M293">IFERROR(playerPoints($H293,$F293,$G293,M$1),"")</f>
        <v/>
      </c>
      <c r="N293" s="2" t="str" cm="1">
        <f t="array" ref="N293">IFERROR(playerPoints($H293,$F293,$G293,N$1),"")</f>
        <v/>
      </c>
      <c r="O293" s="2" t="str" cm="1">
        <f t="array" ref="O293">IFERROR(playerPoints($H293,$F293,$G293,O$1),"")</f>
        <v/>
      </c>
      <c r="Q293" s="2">
        <f t="shared" si="4"/>
        <v>0</v>
      </c>
    </row>
    <row r="294" spans="1:17">
      <c r="A294" s="2">
        <v>293</v>
      </c>
      <c r="B294" s="2" t="s">
        <v>1501</v>
      </c>
      <c r="C294" s="2" t="s">
        <v>1502</v>
      </c>
      <c r="D294" s="2" t="s">
        <v>906</v>
      </c>
      <c r="F294" s="2" t="str">
        <f>LOOKUP(D294,Sheet3!A$1:A$32,Sheet3!B$1:B$32)</f>
        <v>FRA</v>
      </c>
      <c r="G294" s="2" t="s">
        <v>2636</v>
      </c>
      <c r="H294" s="2" t="s">
        <v>48</v>
      </c>
      <c r="I294" s="2" t="str" cm="1">
        <f t="array" ref="I294">IFERROR(playerPoints($H294,$F294,$G294,I$1),"")</f>
        <v/>
      </c>
      <c r="J294" s="2" t="str" cm="1">
        <f t="array" ref="J294">IFERROR(playerPoints($H294,$F294,$G294,J$1),"")</f>
        <v/>
      </c>
      <c r="K294" s="2" t="str" cm="1">
        <f t="array" ref="K294">IFERROR(playerPoints($H294,$F294,$G294,K$1),"")</f>
        <v/>
      </c>
      <c r="L294" s="2" t="str" cm="1">
        <f t="array" ref="L294">IFERROR(playerPoints($H294,$F294,$G294,L$1),"")</f>
        <v/>
      </c>
      <c r="M294" s="2" t="str" cm="1">
        <f t="array" ref="M294">IFERROR(playerPoints($H294,$F294,$G294,M$1),"")</f>
        <v/>
      </c>
      <c r="N294" s="2" t="str" cm="1">
        <f t="array" ref="N294">IFERROR(playerPoints($H294,$F294,$G294,N$1),"")</f>
        <v/>
      </c>
      <c r="O294" s="2" t="str" cm="1">
        <f t="array" ref="O294">IFERROR(playerPoints($H294,$F294,$G294,O$1),"")</f>
        <v/>
      </c>
      <c r="Q294" s="2">
        <f t="shared" si="4"/>
        <v>0</v>
      </c>
    </row>
    <row r="295" spans="1:17">
      <c r="A295" s="2">
        <v>294</v>
      </c>
      <c r="B295" s="2" t="s">
        <v>1416</v>
      </c>
      <c r="C295" s="2" t="s">
        <v>1503</v>
      </c>
      <c r="D295" s="2" t="s">
        <v>906</v>
      </c>
      <c r="F295" s="2" t="str">
        <f>LOOKUP(D295,Sheet3!A$1:A$32,Sheet3!B$1:B$32)</f>
        <v>FRA</v>
      </c>
      <c r="G295" s="2" t="s">
        <v>2637</v>
      </c>
      <c r="H295" s="2" t="s">
        <v>48</v>
      </c>
      <c r="I295" s="2" t="str" cm="1">
        <f t="array" ref="I295">IFERROR(playerPoints($H295,$F295,$G295,I$1),"")</f>
        <v/>
      </c>
      <c r="J295" s="2" t="str" cm="1">
        <f t="array" ref="J295">IFERROR(playerPoints($H295,$F295,$G295,J$1),"")</f>
        <v/>
      </c>
      <c r="K295" s="2" t="str" cm="1">
        <f t="array" ref="K295">IFERROR(playerPoints($H295,$F295,$G295,K$1),"")</f>
        <v/>
      </c>
      <c r="L295" s="2" t="str" cm="1">
        <f t="array" ref="L295">IFERROR(playerPoints($H295,$F295,$G295,L$1),"")</f>
        <v/>
      </c>
      <c r="M295" s="2" t="str" cm="1">
        <f t="array" ref="M295">IFERROR(playerPoints($H295,$F295,$G295,M$1),"")</f>
        <v/>
      </c>
      <c r="N295" s="2" t="str" cm="1">
        <f t="array" ref="N295">IFERROR(playerPoints($H295,$F295,$G295,N$1),"")</f>
        <v/>
      </c>
      <c r="O295" s="2" t="str" cm="1">
        <f t="array" ref="O295">IFERROR(playerPoints($H295,$F295,$G295,O$1),"")</f>
        <v/>
      </c>
      <c r="Q295" s="2">
        <f t="shared" si="4"/>
        <v>0</v>
      </c>
    </row>
    <row r="296" spans="1:17">
      <c r="A296" s="2">
        <v>295</v>
      </c>
      <c r="B296" s="2" t="s">
        <v>1504</v>
      </c>
      <c r="C296" s="2" t="s">
        <v>1505</v>
      </c>
      <c r="D296" s="2" t="s">
        <v>906</v>
      </c>
      <c r="F296" s="2" t="str">
        <f>LOOKUP(D296,Sheet3!A$1:A$32,Sheet3!B$1:B$32)</f>
        <v>FRA</v>
      </c>
      <c r="G296" s="2" t="s">
        <v>2638</v>
      </c>
      <c r="H296" s="2" t="s">
        <v>48</v>
      </c>
      <c r="I296" s="2" t="str" cm="1">
        <f t="array" ref="I296">IFERROR(playerPoints($H296,$F296,$G296,I$1),"")</f>
        <v/>
      </c>
      <c r="J296" s="2" t="str" cm="1">
        <f t="array" ref="J296">IFERROR(playerPoints($H296,$F296,$G296,J$1),"")</f>
        <v/>
      </c>
      <c r="K296" s="2" t="str" cm="1">
        <f t="array" ref="K296">IFERROR(playerPoints($H296,$F296,$G296,K$1),"")</f>
        <v/>
      </c>
      <c r="L296" s="2" t="str" cm="1">
        <f t="array" ref="L296">IFERROR(playerPoints($H296,$F296,$G296,L$1),"")</f>
        <v/>
      </c>
      <c r="M296" s="2" t="str" cm="1">
        <f t="array" ref="M296">IFERROR(playerPoints($H296,$F296,$G296,M$1),"")</f>
        <v/>
      </c>
      <c r="N296" s="2" t="str" cm="1">
        <f t="array" ref="N296">IFERROR(playerPoints($H296,$F296,$G296,N$1),"")</f>
        <v/>
      </c>
      <c r="O296" s="2" t="str" cm="1">
        <f t="array" ref="O296">IFERROR(playerPoints($H296,$F296,$G296,O$1),"")</f>
        <v/>
      </c>
      <c r="Q296" s="2">
        <f t="shared" si="4"/>
        <v>0</v>
      </c>
    </row>
    <row r="297" spans="1:17">
      <c r="A297" s="2">
        <v>296</v>
      </c>
      <c r="B297" s="2" t="s">
        <v>1170</v>
      </c>
      <c r="C297" s="2" t="s">
        <v>1319</v>
      </c>
      <c r="D297" s="2" t="s">
        <v>906</v>
      </c>
      <c r="F297" s="2" t="str">
        <f>LOOKUP(D297,Sheet3!A$1:A$32,Sheet3!B$1:B$32)</f>
        <v>FRA</v>
      </c>
      <c r="G297" s="2" t="s">
        <v>2639</v>
      </c>
      <c r="H297" s="2" t="s">
        <v>48</v>
      </c>
      <c r="I297" s="2" t="str" cm="1">
        <f t="array" ref="I297">IFERROR(playerPoints($H297,$F297,$G297,I$1),"")</f>
        <v/>
      </c>
      <c r="J297" s="2" t="str" cm="1">
        <f t="array" ref="J297">IFERROR(playerPoints($H297,$F297,$G297,J$1),"")</f>
        <v/>
      </c>
      <c r="K297" s="2" t="str" cm="1">
        <f t="array" ref="K297">IFERROR(playerPoints($H297,$F297,$G297,K$1),"")</f>
        <v/>
      </c>
      <c r="L297" s="2" t="str" cm="1">
        <f t="array" ref="L297">IFERROR(playerPoints($H297,$F297,$G297,L$1),"")</f>
        <v/>
      </c>
      <c r="M297" s="2" t="str" cm="1">
        <f t="array" ref="M297">IFERROR(playerPoints($H297,$F297,$G297,M$1),"")</f>
        <v/>
      </c>
      <c r="N297" s="2" t="str" cm="1">
        <f t="array" ref="N297">IFERROR(playerPoints($H297,$F297,$G297,N$1),"")</f>
        <v/>
      </c>
      <c r="O297" s="2" t="str" cm="1">
        <f t="array" ref="O297">IFERROR(playerPoints($H297,$F297,$G297,O$1),"")</f>
        <v/>
      </c>
      <c r="Q297" s="2">
        <f t="shared" si="4"/>
        <v>0</v>
      </c>
    </row>
    <row r="298" spans="1:17">
      <c r="A298" s="2">
        <v>297</v>
      </c>
      <c r="B298" s="2" t="s">
        <v>1506</v>
      </c>
      <c r="C298" s="2" t="s">
        <v>1319</v>
      </c>
      <c r="D298" s="2" t="s">
        <v>906</v>
      </c>
      <c r="F298" s="2" t="str">
        <f>LOOKUP(D298,Sheet3!A$1:A$32,Sheet3!B$1:B$32)</f>
        <v>FRA</v>
      </c>
      <c r="G298" s="2" t="s">
        <v>2640</v>
      </c>
      <c r="H298" s="2" t="s">
        <v>48</v>
      </c>
      <c r="I298" s="2" t="str" cm="1">
        <f t="array" ref="I298">IFERROR(playerPoints($H298,$F298,$G298,I$1),"")</f>
        <v/>
      </c>
      <c r="J298" s="2" t="str" cm="1">
        <f t="array" ref="J298">IFERROR(playerPoints($H298,$F298,$G298,J$1),"")</f>
        <v/>
      </c>
      <c r="K298" s="2" t="str" cm="1">
        <f t="array" ref="K298">IFERROR(playerPoints($H298,$F298,$G298,K$1),"")</f>
        <v/>
      </c>
      <c r="L298" s="2" t="str" cm="1">
        <f t="array" ref="L298">IFERROR(playerPoints($H298,$F298,$G298,L$1),"")</f>
        <v/>
      </c>
      <c r="M298" s="2" t="str" cm="1">
        <f t="array" ref="M298">IFERROR(playerPoints($H298,$F298,$G298,M$1),"")</f>
        <v/>
      </c>
      <c r="N298" s="2" t="str" cm="1">
        <f t="array" ref="N298">IFERROR(playerPoints($H298,$F298,$G298,N$1),"")</f>
        <v/>
      </c>
      <c r="O298" s="2" t="str" cm="1">
        <f t="array" ref="O298">IFERROR(playerPoints($H298,$F298,$G298,O$1),"")</f>
        <v/>
      </c>
      <c r="Q298" s="2">
        <f t="shared" si="4"/>
        <v>0</v>
      </c>
    </row>
    <row r="299" spans="1:17">
      <c r="A299" s="2">
        <v>298</v>
      </c>
      <c r="B299" s="2" t="s">
        <v>1507</v>
      </c>
      <c r="C299" s="2" t="s">
        <v>1508</v>
      </c>
      <c r="D299" s="2" t="s">
        <v>906</v>
      </c>
      <c r="F299" s="2" t="str">
        <f>LOOKUP(D299,Sheet3!A$1:A$32,Sheet3!B$1:B$32)</f>
        <v>FRA</v>
      </c>
      <c r="G299" s="2" t="s">
        <v>2641</v>
      </c>
      <c r="H299" s="2" t="s">
        <v>48</v>
      </c>
      <c r="I299" s="2" t="str" cm="1">
        <f t="array" ref="I299">IFERROR(playerPoints($H299,$F299,$G299,I$1),"")</f>
        <v/>
      </c>
      <c r="J299" s="2" t="str" cm="1">
        <f t="array" ref="J299">IFERROR(playerPoints($H299,$F299,$G299,J$1),"")</f>
        <v/>
      </c>
      <c r="K299" s="2" t="str" cm="1">
        <f t="array" ref="K299">IFERROR(playerPoints($H299,$F299,$G299,K$1),"")</f>
        <v/>
      </c>
      <c r="L299" s="2" t="str" cm="1">
        <f t="array" ref="L299">IFERROR(playerPoints($H299,$F299,$G299,L$1),"")</f>
        <v/>
      </c>
      <c r="M299" s="2" t="str" cm="1">
        <f t="array" ref="M299">IFERROR(playerPoints($H299,$F299,$G299,M$1),"")</f>
        <v/>
      </c>
      <c r="N299" s="2" t="str" cm="1">
        <f t="array" ref="N299">IFERROR(playerPoints($H299,$F299,$G299,N$1),"")</f>
        <v/>
      </c>
      <c r="O299" s="2" t="str" cm="1">
        <f t="array" ref="O299">IFERROR(playerPoints($H299,$F299,$G299,O$1),"")</f>
        <v/>
      </c>
      <c r="Q299" s="2">
        <f t="shared" si="4"/>
        <v>0</v>
      </c>
    </row>
    <row r="300" spans="1:17">
      <c r="A300" s="2">
        <v>299</v>
      </c>
      <c r="B300" s="2" t="s">
        <v>1509</v>
      </c>
      <c r="C300" s="2" t="s">
        <v>1510</v>
      </c>
      <c r="D300" s="2" t="s">
        <v>906</v>
      </c>
      <c r="F300" s="2" t="str">
        <f>LOOKUP(D300,Sheet3!A$1:A$32,Sheet3!B$1:B$32)</f>
        <v>FRA</v>
      </c>
      <c r="G300" s="2" t="s">
        <v>2642</v>
      </c>
      <c r="H300" s="2" t="s">
        <v>57</v>
      </c>
      <c r="I300" s="2" t="str" cm="1">
        <f t="array" ref="I300">IFERROR(playerPoints($H300,$F300,$G300,I$1),"")</f>
        <v/>
      </c>
      <c r="J300" s="2" t="str" cm="1">
        <f t="array" ref="J300">IFERROR(playerPoints($H300,$F300,$G300,J$1),"")</f>
        <v/>
      </c>
      <c r="K300" s="2" t="str" cm="1">
        <f t="array" ref="K300">IFERROR(playerPoints($H300,$F300,$G300,K$1),"")</f>
        <v/>
      </c>
      <c r="L300" s="2" t="str" cm="1">
        <f t="array" ref="L300">IFERROR(playerPoints($H300,$F300,$G300,L$1),"")</f>
        <v/>
      </c>
      <c r="M300" s="2" t="str" cm="1">
        <f t="array" ref="M300">IFERROR(playerPoints($H300,$F300,$G300,M$1),"")</f>
        <v/>
      </c>
      <c r="N300" s="2" t="str" cm="1">
        <f t="array" ref="N300">IFERROR(playerPoints($H300,$F300,$G300,N$1),"")</f>
        <v/>
      </c>
      <c r="O300" s="2" t="str" cm="1">
        <f t="array" ref="O300">IFERROR(playerPoints($H300,$F300,$G300,O$1),"")</f>
        <v/>
      </c>
      <c r="Q300" s="2">
        <f t="shared" si="4"/>
        <v>0</v>
      </c>
    </row>
    <row r="301" spans="1:17">
      <c r="A301" s="2">
        <v>300</v>
      </c>
      <c r="B301" s="2" t="s">
        <v>1511</v>
      </c>
      <c r="C301" s="2" t="s">
        <v>1512</v>
      </c>
      <c r="D301" s="2" t="s">
        <v>906</v>
      </c>
      <c r="F301" s="2" t="str">
        <f>LOOKUP(D301,Sheet3!A$1:A$32,Sheet3!B$1:B$32)</f>
        <v>FRA</v>
      </c>
      <c r="G301" s="2" t="s">
        <v>2643</v>
      </c>
      <c r="H301" s="2" t="s">
        <v>57</v>
      </c>
      <c r="I301" s="2" t="str" cm="1">
        <f t="array" ref="I301">IFERROR(playerPoints($H301,$F301,$G301,I$1),"")</f>
        <v/>
      </c>
      <c r="J301" s="2" t="str" cm="1">
        <f t="array" ref="J301">IFERROR(playerPoints($H301,$F301,$G301,J$1),"")</f>
        <v/>
      </c>
      <c r="K301" s="2" t="str" cm="1">
        <f t="array" ref="K301">IFERROR(playerPoints($H301,$F301,$G301,K$1),"")</f>
        <v/>
      </c>
      <c r="L301" s="2" t="str" cm="1">
        <f t="array" ref="L301">IFERROR(playerPoints($H301,$F301,$G301,L$1),"")</f>
        <v/>
      </c>
      <c r="M301" s="2" t="str" cm="1">
        <f t="array" ref="M301">IFERROR(playerPoints($H301,$F301,$G301,M$1),"")</f>
        <v/>
      </c>
      <c r="N301" s="2" t="str" cm="1">
        <f t="array" ref="N301">IFERROR(playerPoints($H301,$F301,$G301,N$1),"")</f>
        <v/>
      </c>
      <c r="O301" s="2" t="str" cm="1">
        <f t="array" ref="O301">IFERROR(playerPoints($H301,$F301,$G301,O$1),"")</f>
        <v/>
      </c>
      <c r="Q301" s="2">
        <f t="shared" si="4"/>
        <v>0</v>
      </c>
    </row>
    <row r="302" spans="1:17">
      <c r="A302" s="2">
        <v>301</v>
      </c>
      <c r="B302" s="2" t="s">
        <v>1513</v>
      </c>
      <c r="C302" s="2" t="s">
        <v>1514</v>
      </c>
      <c r="D302" s="2" t="s">
        <v>906</v>
      </c>
      <c r="F302" s="2" t="str">
        <f>LOOKUP(D302,Sheet3!A$1:A$32,Sheet3!B$1:B$32)</f>
        <v>FRA</v>
      </c>
      <c r="G302" s="2" t="s">
        <v>2644</v>
      </c>
      <c r="H302" s="2" t="s">
        <v>57</v>
      </c>
      <c r="I302" s="2" t="str" cm="1">
        <f t="array" ref="I302">IFERROR(playerPoints($H302,$F302,$G302,I$1),"")</f>
        <v/>
      </c>
      <c r="J302" s="2" t="str" cm="1">
        <f t="array" ref="J302">IFERROR(playerPoints($H302,$F302,$G302,J$1),"")</f>
        <v/>
      </c>
      <c r="K302" s="2" t="str" cm="1">
        <f t="array" ref="K302">IFERROR(playerPoints($H302,$F302,$G302,K$1),"")</f>
        <v/>
      </c>
      <c r="L302" s="2" t="str" cm="1">
        <f t="array" ref="L302">IFERROR(playerPoints($H302,$F302,$G302,L$1),"")</f>
        <v/>
      </c>
      <c r="M302" s="2" t="str" cm="1">
        <f t="array" ref="M302">IFERROR(playerPoints($H302,$F302,$G302,M$1),"")</f>
        <v/>
      </c>
      <c r="N302" s="2" t="str" cm="1">
        <f t="array" ref="N302">IFERROR(playerPoints($H302,$F302,$G302,N$1),"")</f>
        <v/>
      </c>
      <c r="O302" s="2" t="str" cm="1">
        <f t="array" ref="O302">IFERROR(playerPoints($H302,$F302,$G302,O$1),"")</f>
        <v/>
      </c>
      <c r="Q302" s="2">
        <f t="shared" si="4"/>
        <v>0</v>
      </c>
    </row>
    <row r="303" spans="1:17">
      <c r="A303" s="2">
        <v>302</v>
      </c>
      <c r="B303" s="2" t="s">
        <v>1515</v>
      </c>
      <c r="C303" s="2" t="s">
        <v>1516</v>
      </c>
      <c r="D303" s="2" t="s">
        <v>906</v>
      </c>
      <c r="F303" s="2" t="str">
        <f>LOOKUP(D303,Sheet3!A$1:A$32,Sheet3!B$1:B$32)</f>
        <v>FRA</v>
      </c>
      <c r="G303" s="2" t="s">
        <v>944</v>
      </c>
      <c r="H303" s="2" t="s">
        <v>57</v>
      </c>
      <c r="I303" s="2" t="str" cm="1">
        <f t="array" ref="I303">IFERROR(playerPoints($H303,$F303,$G303,I$1),"")</f>
        <v/>
      </c>
      <c r="J303" s="2" t="str" cm="1">
        <f t="array" ref="J303">IFERROR(playerPoints($H303,$F303,$G303,J$1),"")</f>
        <v/>
      </c>
      <c r="K303" s="2" t="str" cm="1">
        <f t="array" ref="K303">IFERROR(playerPoints($H303,$F303,$G303,K$1),"")</f>
        <v/>
      </c>
      <c r="L303" s="2" t="str" cm="1">
        <f t="array" ref="L303">IFERROR(playerPoints($H303,$F303,$G303,L$1),"")</f>
        <v/>
      </c>
      <c r="M303" s="2" t="str" cm="1">
        <f t="array" ref="M303">IFERROR(playerPoints($H303,$F303,$G303,M$1),"")</f>
        <v/>
      </c>
      <c r="N303" s="2" t="str" cm="1">
        <f t="array" ref="N303">IFERROR(playerPoints($H303,$F303,$G303,N$1),"")</f>
        <v/>
      </c>
      <c r="O303" s="2" t="str" cm="1">
        <f t="array" ref="O303">IFERROR(playerPoints($H303,$F303,$G303,O$1),"")</f>
        <v/>
      </c>
      <c r="Q303" s="2">
        <f t="shared" si="4"/>
        <v>0</v>
      </c>
    </row>
    <row r="304" spans="1:17">
      <c r="A304" s="2">
        <v>303</v>
      </c>
      <c r="B304" s="2" t="s">
        <v>1446</v>
      </c>
      <c r="C304" s="2" t="s">
        <v>1517</v>
      </c>
      <c r="D304" s="2" t="s">
        <v>906</v>
      </c>
      <c r="F304" s="2" t="str">
        <f>LOOKUP(D304,Sheet3!A$1:A$32,Sheet3!B$1:B$32)</f>
        <v>FRA</v>
      </c>
      <c r="G304" s="2" t="s">
        <v>2645</v>
      </c>
      <c r="H304" s="2" t="s">
        <v>57</v>
      </c>
      <c r="I304" s="2" t="str" cm="1">
        <f t="array" ref="I304">IFERROR(playerPoints($H304,$F304,$G304,I$1),"")</f>
        <v/>
      </c>
      <c r="J304" s="2" t="str" cm="1">
        <f t="array" ref="J304">IFERROR(playerPoints($H304,$F304,$G304,J$1),"")</f>
        <v/>
      </c>
      <c r="K304" s="2" t="str" cm="1">
        <f t="array" ref="K304">IFERROR(playerPoints($H304,$F304,$G304,K$1),"")</f>
        <v/>
      </c>
      <c r="L304" s="2" t="str" cm="1">
        <f t="array" ref="L304">IFERROR(playerPoints($H304,$F304,$G304,L$1),"")</f>
        <v/>
      </c>
      <c r="M304" s="2" t="str" cm="1">
        <f t="array" ref="M304">IFERROR(playerPoints($H304,$F304,$G304,M$1),"")</f>
        <v/>
      </c>
      <c r="N304" s="2" t="str" cm="1">
        <f t="array" ref="N304">IFERROR(playerPoints($H304,$F304,$G304,N$1),"")</f>
        <v/>
      </c>
      <c r="O304" s="2" t="str" cm="1">
        <f t="array" ref="O304">IFERROR(playerPoints($H304,$F304,$G304,O$1),"")</f>
        <v/>
      </c>
      <c r="Q304" s="2">
        <f t="shared" si="4"/>
        <v>0</v>
      </c>
    </row>
    <row r="305" spans="1:17">
      <c r="A305" s="2">
        <v>304</v>
      </c>
      <c r="B305" s="2" t="s">
        <v>1518</v>
      </c>
      <c r="C305" s="2" t="s">
        <v>1519</v>
      </c>
      <c r="D305" s="2" t="s">
        <v>906</v>
      </c>
      <c r="F305" s="2" t="str">
        <f>LOOKUP(D305,Sheet3!A$1:A$32,Sheet3!B$1:B$32)</f>
        <v>FRA</v>
      </c>
      <c r="G305" s="2" t="s">
        <v>2646</v>
      </c>
      <c r="H305" s="2" t="s">
        <v>57</v>
      </c>
      <c r="I305" s="2" t="str" cm="1">
        <f t="array" ref="I305">IFERROR(playerPoints($H305,$F305,$G305,I$1),"")</f>
        <v/>
      </c>
      <c r="J305" s="2" t="str" cm="1">
        <f t="array" ref="J305">IFERROR(playerPoints($H305,$F305,$G305,J$1),"")</f>
        <v/>
      </c>
      <c r="K305" s="2" t="str" cm="1">
        <f t="array" ref="K305">IFERROR(playerPoints($H305,$F305,$G305,K$1),"")</f>
        <v/>
      </c>
      <c r="L305" s="2" t="str" cm="1">
        <f t="array" ref="L305">IFERROR(playerPoints($H305,$F305,$G305,L$1),"")</f>
        <v/>
      </c>
      <c r="M305" s="2" t="str" cm="1">
        <f t="array" ref="M305">IFERROR(playerPoints($H305,$F305,$G305,M$1),"")</f>
        <v/>
      </c>
      <c r="N305" s="2" t="str" cm="1">
        <f t="array" ref="N305">IFERROR(playerPoints($H305,$F305,$G305,N$1),"")</f>
        <v/>
      </c>
      <c r="O305" s="2" t="str" cm="1">
        <f t="array" ref="O305">IFERROR(playerPoints($H305,$F305,$G305,O$1),"")</f>
        <v/>
      </c>
      <c r="Q305" s="2">
        <f t="shared" si="4"/>
        <v>0</v>
      </c>
    </row>
    <row r="306" spans="1:17">
      <c r="A306" s="2">
        <v>305</v>
      </c>
      <c r="B306" s="2" t="s">
        <v>1520</v>
      </c>
      <c r="C306" s="2" t="s">
        <v>1521</v>
      </c>
      <c r="D306" s="2" t="s">
        <v>906</v>
      </c>
      <c r="F306" s="2" t="str">
        <f>LOOKUP(D306,Sheet3!A$1:A$32,Sheet3!B$1:B$32)</f>
        <v>FRA</v>
      </c>
      <c r="G306" s="2" t="s">
        <v>2647</v>
      </c>
      <c r="H306" s="2" t="s">
        <v>66</v>
      </c>
      <c r="I306" s="2" t="str" cm="1">
        <f t="array" ref="I306">IFERROR(playerPoints($H306,$F306,$G306,I$1),"")</f>
        <v/>
      </c>
      <c r="J306" s="2" t="str" cm="1">
        <f t="array" ref="J306">IFERROR(playerPoints($H306,$F306,$G306,J$1),"")</f>
        <v/>
      </c>
      <c r="K306" s="2" t="str" cm="1">
        <f t="array" ref="K306">IFERROR(playerPoints($H306,$F306,$G306,K$1),"")</f>
        <v/>
      </c>
      <c r="L306" s="2" t="str" cm="1">
        <f t="array" ref="L306">IFERROR(playerPoints($H306,$F306,$G306,L$1),"")</f>
        <v/>
      </c>
      <c r="M306" s="2" t="str" cm="1">
        <f t="array" ref="M306">IFERROR(playerPoints($H306,$F306,$G306,M$1),"")</f>
        <v/>
      </c>
      <c r="N306" s="2" t="str" cm="1">
        <f t="array" ref="N306">IFERROR(playerPoints($H306,$F306,$G306,N$1),"")</f>
        <v/>
      </c>
      <c r="O306" s="2" t="str" cm="1">
        <f t="array" ref="O306">IFERROR(playerPoints($H306,$F306,$G306,O$1),"")</f>
        <v/>
      </c>
      <c r="Q306" s="2">
        <f t="shared" si="4"/>
        <v>0</v>
      </c>
    </row>
    <row r="307" spans="1:17">
      <c r="A307" s="2">
        <v>306</v>
      </c>
      <c r="B307" s="2" t="s">
        <v>1189</v>
      </c>
      <c r="C307" s="2" t="s">
        <v>1522</v>
      </c>
      <c r="D307" s="2" t="s">
        <v>906</v>
      </c>
      <c r="F307" s="2" t="str">
        <f>LOOKUP(D307,Sheet3!A$1:A$32,Sheet3!B$1:B$32)</f>
        <v>FRA</v>
      </c>
      <c r="G307" s="2" t="s">
        <v>945</v>
      </c>
      <c r="H307" s="2" t="s">
        <v>66</v>
      </c>
      <c r="I307" s="2" t="str" cm="1">
        <f t="array" ref="I307">IFERROR(playerPoints($H307,$F307,$G307,I$1),"")</f>
        <v/>
      </c>
      <c r="J307" s="2" t="str" cm="1">
        <f t="array" ref="J307">IFERROR(playerPoints($H307,$F307,$G307,J$1),"")</f>
        <v/>
      </c>
      <c r="K307" s="2" t="str" cm="1">
        <f t="array" ref="K307">IFERROR(playerPoints($H307,$F307,$G307,K$1),"")</f>
        <v/>
      </c>
      <c r="L307" s="2" t="str" cm="1">
        <f t="array" ref="L307">IFERROR(playerPoints($H307,$F307,$G307,L$1),"")</f>
        <v/>
      </c>
      <c r="M307" s="2" t="str" cm="1">
        <f t="array" ref="M307">IFERROR(playerPoints($H307,$F307,$G307,M$1),"")</f>
        <v/>
      </c>
      <c r="N307" s="2" t="str" cm="1">
        <f t="array" ref="N307">IFERROR(playerPoints($H307,$F307,$G307,N$1),"")</f>
        <v/>
      </c>
      <c r="O307" s="2" t="str" cm="1">
        <f t="array" ref="O307">IFERROR(playerPoints($H307,$F307,$G307,O$1),"")</f>
        <v/>
      </c>
      <c r="Q307" s="2">
        <f t="shared" si="4"/>
        <v>0</v>
      </c>
    </row>
    <row r="308" spans="1:17">
      <c r="A308" s="2">
        <v>307</v>
      </c>
      <c r="B308" s="2" t="s">
        <v>1523</v>
      </c>
      <c r="C308" s="2" t="s">
        <v>1524</v>
      </c>
      <c r="D308" s="2" t="s">
        <v>906</v>
      </c>
      <c r="F308" s="2" t="str">
        <f>LOOKUP(D308,Sheet3!A$1:A$32,Sheet3!B$1:B$32)</f>
        <v>FRA</v>
      </c>
      <c r="G308" s="2" t="s">
        <v>946</v>
      </c>
      <c r="H308" s="2" t="s">
        <v>66</v>
      </c>
      <c r="I308" s="2" t="str" cm="1">
        <f t="array" ref="I308">IFERROR(playerPoints($H308,$F308,$G308,I$1),"")</f>
        <v/>
      </c>
      <c r="J308" s="2" t="str" cm="1">
        <f t="array" ref="J308">IFERROR(playerPoints($H308,$F308,$G308,J$1),"")</f>
        <v/>
      </c>
      <c r="K308" s="2" t="str" cm="1">
        <f t="array" ref="K308">IFERROR(playerPoints($H308,$F308,$G308,K$1),"")</f>
        <v/>
      </c>
      <c r="L308" s="2" t="str" cm="1">
        <f t="array" ref="L308">IFERROR(playerPoints($H308,$F308,$G308,L$1),"")</f>
        <v/>
      </c>
      <c r="M308" s="2" t="str" cm="1">
        <f t="array" ref="M308">IFERROR(playerPoints($H308,$F308,$G308,M$1),"")</f>
        <v/>
      </c>
      <c r="N308" s="2" t="str" cm="1">
        <f t="array" ref="N308">IFERROR(playerPoints($H308,$F308,$G308,N$1),"")</f>
        <v/>
      </c>
      <c r="O308" s="2" t="str" cm="1">
        <f t="array" ref="O308">IFERROR(playerPoints($H308,$F308,$G308,O$1),"")</f>
        <v/>
      </c>
      <c r="Q308" s="2">
        <f t="shared" si="4"/>
        <v>0</v>
      </c>
    </row>
    <row r="309" spans="1:17">
      <c r="A309" s="2">
        <v>308</v>
      </c>
      <c r="B309" s="2" t="s">
        <v>1525</v>
      </c>
      <c r="C309" s="2" t="s">
        <v>1526</v>
      </c>
      <c r="D309" s="2" t="s">
        <v>906</v>
      </c>
      <c r="F309" s="2" t="str">
        <f>LOOKUP(D309,Sheet3!A$1:A$32,Sheet3!B$1:B$32)</f>
        <v>FRA</v>
      </c>
      <c r="G309" s="2" t="s">
        <v>2648</v>
      </c>
      <c r="H309" s="2" t="s">
        <v>66</v>
      </c>
      <c r="I309" s="2" t="str" cm="1">
        <f t="array" ref="I309">IFERROR(playerPoints($H309,$F309,$G309,I$1),"")</f>
        <v/>
      </c>
      <c r="J309" s="2" t="str" cm="1">
        <f t="array" ref="J309">IFERROR(playerPoints($H309,$F309,$G309,J$1),"")</f>
        <v/>
      </c>
      <c r="K309" s="2" t="str" cm="1">
        <f t="array" ref="K309">IFERROR(playerPoints($H309,$F309,$G309,K$1),"")</f>
        <v/>
      </c>
      <c r="L309" s="2" t="str" cm="1">
        <f t="array" ref="L309">IFERROR(playerPoints($H309,$F309,$G309,L$1),"")</f>
        <v/>
      </c>
      <c r="M309" s="2" t="str" cm="1">
        <f t="array" ref="M309">IFERROR(playerPoints($H309,$F309,$G309,M$1),"")</f>
        <v/>
      </c>
      <c r="N309" s="2" t="str" cm="1">
        <f t="array" ref="N309">IFERROR(playerPoints($H309,$F309,$G309,N$1),"")</f>
        <v/>
      </c>
      <c r="O309" s="2" t="str" cm="1">
        <f t="array" ref="O309">IFERROR(playerPoints($H309,$F309,$G309,O$1),"")</f>
        <v/>
      </c>
      <c r="Q309" s="2">
        <f t="shared" si="4"/>
        <v>0</v>
      </c>
    </row>
    <row r="310" spans="1:17">
      <c r="A310" s="2">
        <v>309</v>
      </c>
      <c r="B310" s="2" t="s">
        <v>1527</v>
      </c>
      <c r="C310" s="2" t="s">
        <v>1528</v>
      </c>
      <c r="D310" s="2" t="s">
        <v>906</v>
      </c>
      <c r="F310" s="2" t="str">
        <f>LOOKUP(D310,Sheet3!A$1:A$32,Sheet3!B$1:B$32)</f>
        <v>FRA</v>
      </c>
      <c r="G310" s="2" t="s">
        <v>2649</v>
      </c>
      <c r="H310" s="2" t="s">
        <v>66</v>
      </c>
      <c r="I310" s="2" t="str" cm="1">
        <f t="array" ref="I310">IFERROR(playerPoints($H310,$F310,$G310,I$1),"")</f>
        <v/>
      </c>
      <c r="J310" s="2" t="str" cm="1">
        <f t="array" ref="J310">IFERROR(playerPoints($H310,$F310,$G310,J$1),"")</f>
        <v/>
      </c>
      <c r="K310" s="2" t="str" cm="1">
        <f t="array" ref="K310">IFERROR(playerPoints($H310,$F310,$G310,K$1),"")</f>
        <v/>
      </c>
      <c r="L310" s="2" t="str" cm="1">
        <f t="array" ref="L310">IFERROR(playerPoints($H310,$F310,$G310,L$1),"")</f>
        <v/>
      </c>
      <c r="M310" s="2" t="str" cm="1">
        <f t="array" ref="M310">IFERROR(playerPoints($H310,$F310,$G310,M$1),"")</f>
        <v/>
      </c>
      <c r="N310" s="2" t="str" cm="1">
        <f t="array" ref="N310">IFERROR(playerPoints($H310,$F310,$G310,N$1),"")</f>
        <v/>
      </c>
      <c r="O310" s="2" t="str" cm="1">
        <f t="array" ref="O310">IFERROR(playerPoints($H310,$F310,$G310,O$1),"")</f>
        <v/>
      </c>
      <c r="Q310" s="2">
        <f t="shared" si="4"/>
        <v>0</v>
      </c>
    </row>
    <row r="311" spans="1:17">
      <c r="A311" s="2">
        <v>310</v>
      </c>
      <c r="B311" s="2" t="s">
        <v>1529</v>
      </c>
      <c r="C311" s="2" t="s">
        <v>1530</v>
      </c>
      <c r="D311" s="2" t="s">
        <v>906</v>
      </c>
      <c r="F311" s="2" t="str">
        <f>LOOKUP(D311,Sheet3!A$1:A$32,Sheet3!B$1:B$32)</f>
        <v>FRA</v>
      </c>
      <c r="G311" s="2" t="s">
        <v>2650</v>
      </c>
      <c r="H311" s="2" t="s">
        <v>66</v>
      </c>
      <c r="I311" s="2" t="str" cm="1">
        <f t="array" ref="I311">IFERROR(playerPoints($H311,$F311,$G311,I$1),"")</f>
        <v/>
      </c>
      <c r="J311" s="2" t="str" cm="1">
        <f t="array" ref="J311">IFERROR(playerPoints($H311,$F311,$G311,J$1),"")</f>
        <v/>
      </c>
      <c r="K311" s="2" t="str" cm="1">
        <f t="array" ref="K311">IFERROR(playerPoints($H311,$F311,$G311,K$1),"")</f>
        <v/>
      </c>
      <c r="L311" s="2" t="str" cm="1">
        <f t="array" ref="L311">IFERROR(playerPoints($H311,$F311,$G311,L$1),"")</f>
        <v/>
      </c>
      <c r="M311" s="2" t="str" cm="1">
        <f t="array" ref="M311">IFERROR(playerPoints($H311,$F311,$G311,M$1),"")</f>
        <v/>
      </c>
      <c r="N311" s="2" t="str" cm="1">
        <f t="array" ref="N311">IFERROR(playerPoints($H311,$F311,$G311,N$1),"")</f>
        <v/>
      </c>
      <c r="O311" s="2" t="str" cm="1">
        <f t="array" ref="O311">IFERROR(playerPoints($H311,$F311,$G311,O$1),"")</f>
        <v/>
      </c>
      <c r="Q311" s="2">
        <f t="shared" si="4"/>
        <v>0</v>
      </c>
    </row>
    <row r="312" spans="1:17">
      <c r="A312" s="2">
        <v>311</v>
      </c>
      <c r="B312" s="2" t="s">
        <v>1531</v>
      </c>
      <c r="C312" s="2" t="s">
        <v>1532</v>
      </c>
      <c r="D312" s="2" t="s">
        <v>906</v>
      </c>
      <c r="F312" s="2" t="str">
        <f>LOOKUP(D312,Sheet3!A$1:A$32,Sheet3!B$1:B$32)</f>
        <v>FRA</v>
      </c>
      <c r="G312" s="2" t="s">
        <v>2651</v>
      </c>
      <c r="H312" s="2" t="s">
        <v>66</v>
      </c>
      <c r="I312" s="2" t="str" cm="1">
        <f t="array" ref="I312">IFERROR(playerPoints($H312,$F312,$G312,I$1),"")</f>
        <v/>
      </c>
      <c r="J312" s="2" t="str" cm="1">
        <f t="array" ref="J312">IFERROR(playerPoints($H312,$F312,$G312,J$1),"")</f>
        <v/>
      </c>
      <c r="K312" s="2" t="str" cm="1">
        <f t="array" ref="K312">IFERROR(playerPoints($H312,$F312,$G312,K$1),"")</f>
        <v/>
      </c>
      <c r="L312" s="2" t="str" cm="1">
        <f t="array" ref="L312">IFERROR(playerPoints($H312,$F312,$G312,L$1),"")</f>
        <v/>
      </c>
      <c r="M312" s="2" t="str" cm="1">
        <f t="array" ref="M312">IFERROR(playerPoints($H312,$F312,$G312,M$1),"")</f>
        <v/>
      </c>
      <c r="N312" s="2" t="str" cm="1">
        <f t="array" ref="N312">IFERROR(playerPoints($H312,$F312,$G312,N$1),"")</f>
        <v/>
      </c>
      <c r="O312" s="2" t="str" cm="1">
        <f t="array" ref="O312">IFERROR(playerPoints($H312,$F312,$G312,O$1),"")</f>
        <v/>
      </c>
      <c r="Q312" s="2">
        <f t="shared" si="4"/>
        <v>0</v>
      </c>
    </row>
    <row r="313" spans="1:17">
      <c r="A313" s="2">
        <v>312</v>
      </c>
      <c r="B313" s="2" t="s">
        <v>1487</v>
      </c>
      <c r="C313" s="2" t="s">
        <v>1533</v>
      </c>
      <c r="D313" s="2" t="s">
        <v>906</v>
      </c>
      <c r="F313" s="2" t="str">
        <f>LOOKUP(D313,Sheet3!A$1:A$32,Sheet3!B$1:B$32)</f>
        <v>FRA</v>
      </c>
      <c r="G313" s="2" t="s">
        <v>2652</v>
      </c>
      <c r="H313" s="2" t="s">
        <v>66</v>
      </c>
      <c r="I313" s="2" t="str" cm="1">
        <f t="array" ref="I313">IFERROR(playerPoints($H313,$F313,$G313,I$1),"")</f>
        <v/>
      </c>
      <c r="J313" s="2" t="str" cm="1">
        <f t="array" ref="J313">IFERROR(playerPoints($H313,$F313,$G313,J$1),"")</f>
        <v/>
      </c>
      <c r="K313" s="2" t="str" cm="1">
        <f t="array" ref="K313">IFERROR(playerPoints($H313,$F313,$G313,K$1),"")</f>
        <v/>
      </c>
      <c r="L313" s="2" t="str" cm="1">
        <f t="array" ref="L313">IFERROR(playerPoints($H313,$F313,$G313,L$1),"")</f>
        <v/>
      </c>
      <c r="M313" s="2" t="str" cm="1">
        <f t="array" ref="M313">IFERROR(playerPoints($H313,$F313,$G313,M$1),"")</f>
        <v/>
      </c>
      <c r="N313" s="2" t="str" cm="1">
        <f t="array" ref="N313">IFERROR(playerPoints($H313,$F313,$G313,N$1),"")</f>
        <v/>
      </c>
      <c r="O313" s="2" t="str" cm="1">
        <f t="array" ref="O313">IFERROR(playerPoints($H313,$F313,$G313,O$1),"")</f>
        <v/>
      </c>
      <c r="Q313" s="2">
        <f t="shared" si="4"/>
        <v>0</v>
      </c>
    </row>
    <row r="314" spans="1:17">
      <c r="A314" s="2">
        <v>313</v>
      </c>
      <c r="B314" s="2" t="s">
        <v>1534</v>
      </c>
      <c r="C314" s="2" t="s">
        <v>1535</v>
      </c>
      <c r="D314" s="2" t="s">
        <v>907</v>
      </c>
      <c r="F314" s="2" t="str">
        <f>LOOKUP(D314,Sheet3!A$1:A$32,Sheet3!B$1:B$32)</f>
        <v>GER</v>
      </c>
      <c r="G314" s="2" t="s">
        <v>2653</v>
      </c>
      <c r="H314" s="2" t="s">
        <v>44</v>
      </c>
      <c r="I314" s="2" t="str" cm="1">
        <f t="array" ref="I314">IFERROR(playerPoints($H314,$F314,$G314,I$1),"")</f>
        <v/>
      </c>
      <c r="J314" s="2" t="str" cm="1">
        <f t="array" ref="J314">IFERROR(playerPoints($H314,$F314,$G314,J$1),"")</f>
        <v/>
      </c>
      <c r="K314" s="2" t="str" cm="1">
        <f t="array" ref="K314">IFERROR(playerPoints($H314,$F314,$G314,K$1),"")</f>
        <v/>
      </c>
      <c r="L314" s="2" t="str" cm="1">
        <f t="array" ref="L314">IFERROR(playerPoints($H314,$F314,$G314,L$1),"")</f>
        <v/>
      </c>
      <c r="M314" s="2" t="str" cm="1">
        <f t="array" ref="M314">IFERROR(playerPoints($H314,$F314,$G314,M$1),"")</f>
        <v/>
      </c>
      <c r="N314" s="2" t="str" cm="1">
        <f t="array" ref="N314">IFERROR(playerPoints($H314,$F314,$G314,N$1),"")</f>
        <v/>
      </c>
      <c r="O314" s="2" t="str" cm="1">
        <f t="array" ref="O314">IFERROR(playerPoints($H314,$F314,$G314,O$1),"")</f>
        <v/>
      </c>
      <c r="Q314" s="2">
        <f t="shared" si="4"/>
        <v>0</v>
      </c>
    </row>
    <row r="315" spans="1:17">
      <c r="A315" s="2">
        <v>314</v>
      </c>
      <c r="B315" s="2" t="s">
        <v>1132</v>
      </c>
      <c r="C315" s="2" t="s">
        <v>1536</v>
      </c>
      <c r="D315" s="2" t="s">
        <v>907</v>
      </c>
      <c r="F315" s="2" t="str">
        <f>LOOKUP(D315,Sheet3!A$1:A$32,Sheet3!B$1:B$32)</f>
        <v>GER</v>
      </c>
      <c r="G315" s="2" t="s">
        <v>2654</v>
      </c>
      <c r="H315" s="2" t="s">
        <v>44</v>
      </c>
      <c r="I315" s="2" t="str" cm="1">
        <f t="array" ref="I315">IFERROR(playerPoints($H315,$F315,$G315,I$1),"")</f>
        <v/>
      </c>
      <c r="J315" s="2" t="str" cm="1">
        <f t="array" ref="J315">IFERROR(playerPoints($H315,$F315,$G315,J$1),"")</f>
        <v/>
      </c>
      <c r="K315" s="2" t="str" cm="1">
        <f t="array" ref="K315">IFERROR(playerPoints($H315,$F315,$G315,K$1),"")</f>
        <v/>
      </c>
      <c r="L315" s="2" t="str" cm="1">
        <f t="array" ref="L315">IFERROR(playerPoints($H315,$F315,$G315,L$1),"")</f>
        <v/>
      </c>
      <c r="M315" s="2" t="str" cm="1">
        <f t="array" ref="M315">IFERROR(playerPoints($H315,$F315,$G315,M$1),"")</f>
        <v/>
      </c>
      <c r="N315" s="2" t="str" cm="1">
        <f t="array" ref="N315">IFERROR(playerPoints($H315,$F315,$G315,N$1),"")</f>
        <v/>
      </c>
      <c r="O315" s="2" t="str" cm="1">
        <f t="array" ref="O315">IFERROR(playerPoints($H315,$F315,$G315,O$1),"")</f>
        <v/>
      </c>
      <c r="Q315" s="2">
        <f t="shared" si="4"/>
        <v>0</v>
      </c>
    </row>
    <row r="316" spans="1:17">
      <c r="A316" s="2">
        <v>315</v>
      </c>
      <c r="B316" s="2" t="s">
        <v>1537</v>
      </c>
      <c r="C316" s="2" t="s">
        <v>1538</v>
      </c>
      <c r="D316" s="2" t="s">
        <v>907</v>
      </c>
      <c r="F316" s="2" t="str">
        <f>LOOKUP(D316,Sheet3!A$1:A$32,Sheet3!B$1:B$32)</f>
        <v>GER</v>
      </c>
      <c r="G316" s="2" t="s">
        <v>2655</v>
      </c>
      <c r="H316" s="2" t="s">
        <v>44</v>
      </c>
      <c r="I316" s="2" t="str" cm="1">
        <f t="array" ref="I316">IFERROR(playerPoints($H316,$F316,$G316,I$1),"")</f>
        <v/>
      </c>
      <c r="J316" s="2" t="str" cm="1">
        <f t="array" ref="J316">IFERROR(playerPoints($H316,$F316,$G316,J$1),"")</f>
        <v/>
      </c>
      <c r="K316" s="2" t="str" cm="1">
        <f t="array" ref="K316">IFERROR(playerPoints($H316,$F316,$G316,K$1),"")</f>
        <v/>
      </c>
      <c r="L316" s="2" t="str" cm="1">
        <f t="array" ref="L316">IFERROR(playerPoints($H316,$F316,$G316,L$1),"")</f>
        <v/>
      </c>
      <c r="M316" s="2" t="str" cm="1">
        <f t="array" ref="M316">IFERROR(playerPoints($H316,$F316,$G316,M$1),"")</f>
        <v/>
      </c>
      <c r="N316" s="2" t="str" cm="1">
        <f t="array" ref="N316">IFERROR(playerPoints($H316,$F316,$G316,N$1),"")</f>
        <v/>
      </c>
      <c r="O316" s="2" t="str" cm="1">
        <f t="array" ref="O316">IFERROR(playerPoints($H316,$F316,$G316,O$1),"")</f>
        <v/>
      </c>
      <c r="Q316" s="2">
        <f t="shared" si="4"/>
        <v>0</v>
      </c>
    </row>
    <row r="317" spans="1:17">
      <c r="A317" s="2">
        <v>316</v>
      </c>
      <c r="B317" s="2" t="s">
        <v>1539</v>
      </c>
      <c r="C317" s="2" t="s">
        <v>1540</v>
      </c>
      <c r="D317" s="2" t="s">
        <v>907</v>
      </c>
      <c r="F317" s="2" t="str">
        <f>LOOKUP(D317,Sheet3!A$1:A$32,Sheet3!B$1:B$32)</f>
        <v>GER</v>
      </c>
      <c r="G317" s="2" t="s">
        <v>2656</v>
      </c>
      <c r="H317" s="2" t="s">
        <v>48</v>
      </c>
      <c r="I317" s="2" t="str" cm="1">
        <f t="array" ref="I317">IFERROR(playerPoints($H317,$F317,$G317,I$1),"")</f>
        <v/>
      </c>
      <c r="J317" s="2" t="str" cm="1">
        <f t="array" ref="J317">IFERROR(playerPoints($H317,$F317,$G317,J$1),"")</f>
        <v/>
      </c>
      <c r="K317" s="2" t="str" cm="1">
        <f t="array" ref="K317">IFERROR(playerPoints($H317,$F317,$G317,K$1),"")</f>
        <v/>
      </c>
      <c r="L317" s="2" t="str" cm="1">
        <f t="array" ref="L317">IFERROR(playerPoints($H317,$F317,$G317,L$1),"")</f>
        <v/>
      </c>
      <c r="M317" s="2" t="str" cm="1">
        <f t="array" ref="M317">IFERROR(playerPoints($H317,$F317,$G317,M$1),"")</f>
        <v/>
      </c>
      <c r="N317" s="2" t="str" cm="1">
        <f t="array" ref="N317">IFERROR(playerPoints($H317,$F317,$G317,N$1),"")</f>
        <v/>
      </c>
      <c r="O317" s="2" t="str" cm="1">
        <f t="array" ref="O317">IFERROR(playerPoints($H317,$F317,$G317,O$1),"")</f>
        <v/>
      </c>
      <c r="Q317" s="2">
        <f t="shared" si="4"/>
        <v>0</v>
      </c>
    </row>
    <row r="318" spans="1:17">
      <c r="A318" s="2">
        <v>317</v>
      </c>
      <c r="B318" s="2" t="s">
        <v>1261</v>
      </c>
      <c r="C318" s="2" t="s">
        <v>1541</v>
      </c>
      <c r="D318" s="2" t="s">
        <v>907</v>
      </c>
      <c r="F318" s="2" t="str">
        <f>LOOKUP(D318,Sheet3!A$1:A$32,Sheet3!B$1:B$32)</f>
        <v>GER</v>
      </c>
      <c r="G318" s="2" t="s">
        <v>2657</v>
      </c>
      <c r="H318" s="2" t="s">
        <v>48</v>
      </c>
      <c r="I318" s="2" t="str" cm="1">
        <f t="array" ref="I318">IFERROR(playerPoints($H318,$F318,$G318,I$1),"")</f>
        <v/>
      </c>
      <c r="J318" s="2" t="str" cm="1">
        <f t="array" ref="J318">IFERROR(playerPoints($H318,$F318,$G318,J$1),"")</f>
        <v/>
      </c>
      <c r="K318" s="2" t="str" cm="1">
        <f t="array" ref="K318">IFERROR(playerPoints($H318,$F318,$G318,K$1),"")</f>
        <v/>
      </c>
      <c r="L318" s="2" t="str" cm="1">
        <f t="array" ref="L318">IFERROR(playerPoints($H318,$F318,$G318,L$1),"")</f>
        <v/>
      </c>
      <c r="M318" s="2" t="str" cm="1">
        <f t="array" ref="M318">IFERROR(playerPoints($H318,$F318,$G318,M$1),"")</f>
        <v/>
      </c>
      <c r="N318" s="2" t="str" cm="1">
        <f t="array" ref="N318">IFERROR(playerPoints($H318,$F318,$G318,N$1),"")</f>
        <v/>
      </c>
      <c r="O318" s="2" t="str" cm="1">
        <f t="array" ref="O318">IFERROR(playerPoints($H318,$F318,$G318,O$1),"")</f>
        <v/>
      </c>
      <c r="Q318" s="2">
        <f t="shared" si="4"/>
        <v>0</v>
      </c>
    </row>
    <row r="319" spans="1:17">
      <c r="A319" s="2">
        <v>318</v>
      </c>
      <c r="B319" s="2" t="s">
        <v>1542</v>
      </c>
      <c r="C319" s="2" t="s">
        <v>1543</v>
      </c>
      <c r="D319" s="2" t="s">
        <v>907</v>
      </c>
      <c r="F319" s="2" t="str">
        <f>LOOKUP(D319,Sheet3!A$1:A$32,Sheet3!B$1:B$32)</f>
        <v>GER</v>
      </c>
      <c r="G319" s="2" t="s">
        <v>2658</v>
      </c>
      <c r="H319" s="2" t="s">
        <v>48</v>
      </c>
      <c r="I319" s="2" t="str" cm="1">
        <f t="array" ref="I319">IFERROR(playerPoints($H319,$F319,$G319,I$1),"")</f>
        <v/>
      </c>
      <c r="J319" s="2" t="str" cm="1">
        <f t="array" ref="J319">IFERROR(playerPoints($H319,$F319,$G319,J$1),"")</f>
        <v/>
      </c>
      <c r="K319" s="2" t="str" cm="1">
        <f t="array" ref="K319">IFERROR(playerPoints($H319,$F319,$G319,K$1),"")</f>
        <v/>
      </c>
      <c r="L319" s="2" t="str" cm="1">
        <f t="array" ref="L319">IFERROR(playerPoints($H319,$F319,$G319,L$1),"")</f>
        <v/>
      </c>
      <c r="M319" s="2" t="str" cm="1">
        <f t="array" ref="M319">IFERROR(playerPoints($H319,$F319,$G319,M$1),"")</f>
        <v/>
      </c>
      <c r="N319" s="2" t="str" cm="1">
        <f t="array" ref="N319">IFERROR(playerPoints($H319,$F319,$G319,N$1),"")</f>
        <v/>
      </c>
      <c r="O319" s="2" t="str" cm="1">
        <f t="array" ref="O319">IFERROR(playerPoints($H319,$F319,$G319,O$1),"")</f>
        <v/>
      </c>
      <c r="Q319" s="2">
        <f t="shared" si="4"/>
        <v>0</v>
      </c>
    </row>
    <row r="320" spans="1:17">
      <c r="A320" s="2">
        <v>319</v>
      </c>
      <c r="B320" s="2" t="s">
        <v>1544</v>
      </c>
      <c r="C320" s="2" t="s">
        <v>1545</v>
      </c>
      <c r="D320" s="2" t="s">
        <v>907</v>
      </c>
      <c r="F320" s="2" t="str">
        <f>LOOKUP(D320,Sheet3!A$1:A$32,Sheet3!B$1:B$32)</f>
        <v>GER</v>
      </c>
      <c r="G320" s="2" t="s">
        <v>2659</v>
      </c>
      <c r="H320" s="2" t="s">
        <v>48</v>
      </c>
      <c r="I320" s="2" t="str" cm="1">
        <f t="array" ref="I320">IFERROR(playerPoints($H320,$F320,$G320,I$1),"")</f>
        <v/>
      </c>
      <c r="J320" s="2" t="str" cm="1">
        <f t="array" ref="J320">IFERROR(playerPoints($H320,$F320,$G320,J$1),"")</f>
        <v/>
      </c>
      <c r="K320" s="2" t="str" cm="1">
        <f t="array" ref="K320">IFERROR(playerPoints($H320,$F320,$G320,K$1),"")</f>
        <v/>
      </c>
      <c r="L320" s="2" t="str" cm="1">
        <f t="array" ref="L320">IFERROR(playerPoints($H320,$F320,$G320,L$1),"")</f>
        <v/>
      </c>
      <c r="M320" s="2" t="str" cm="1">
        <f t="array" ref="M320">IFERROR(playerPoints($H320,$F320,$G320,M$1),"")</f>
        <v/>
      </c>
      <c r="N320" s="2" t="str" cm="1">
        <f t="array" ref="N320">IFERROR(playerPoints($H320,$F320,$G320,N$1),"")</f>
        <v/>
      </c>
      <c r="O320" s="2" t="str" cm="1">
        <f t="array" ref="O320">IFERROR(playerPoints($H320,$F320,$G320,O$1),"")</f>
        <v/>
      </c>
      <c r="Q320" s="2">
        <f t="shared" si="4"/>
        <v>0</v>
      </c>
    </row>
    <row r="321" spans="1:17">
      <c r="A321" s="2">
        <v>320</v>
      </c>
      <c r="B321" s="2" t="s">
        <v>1546</v>
      </c>
      <c r="C321" s="2" t="s">
        <v>1547</v>
      </c>
      <c r="D321" s="2" t="s">
        <v>907</v>
      </c>
      <c r="F321" s="2" t="str">
        <f>LOOKUP(D321,Sheet3!A$1:A$32,Sheet3!B$1:B$32)</f>
        <v>GER</v>
      </c>
      <c r="G321" s="2" t="s">
        <v>2660</v>
      </c>
      <c r="H321" s="2" t="s">
        <v>48</v>
      </c>
      <c r="I321" s="2" t="str" cm="1">
        <f t="array" ref="I321">IFERROR(playerPoints($H321,$F321,$G321,I$1),"")</f>
        <v/>
      </c>
      <c r="J321" s="2" t="str" cm="1">
        <f t="array" ref="J321">IFERROR(playerPoints($H321,$F321,$G321,J$1),"")</f>
        <v/>
      </c>
      <c r="K321" s="2" t="str" cm="1">
        <f t="array" ref="K321">IFERROR(playerPoints($H321,$F321,$G321,K$1),"")</f>
        <v/>
      </c>
      <c r="L321" s="2" t="str" cm="1">
        <f t="array" ref="L321">IFERROR(playerPoints($H321,$F321,$G321,L$1),"")</f>
        <v/>
      </c>
      <c r="M321" s="2" t="str" cm="1">
        <f t="array" ref="M321">IFERROR(playerPoints($H321,$F321,$G321,M$1),"")</f>
        <v/>
      </c>
      <c r="N321" s="2" t="str" cm="1">
        <f t="array" ref="N321">IFERROR(playerPoints($H321,$F321,$G321,N$1),"")</f>
        <v/>
      </c>
      <c r="O321" s="2" t="str" cm="1">
        <f t="array" ref="O321">IFERROR(playerPoints($H321,$F321,$G321,O$1),"")</f>
        <v/>
      </c>
      <c r="Q321" s="2">
        <f t="shared" si="4"/>
        <v>0</v>
      </c>
    </row>
    <row r="322" spans="1:17">
      <c r="A322" s="2">
        <v>321</v>
      </c>
      <c r="B322" s="2" t="s">
        <v>1548</v>
      </c>
      <c r="C322" s="2" t="s">
        <v>1549</v>
      </c>
      <c r="D322" s="2" t="s">
        <v>907</v>
      </c>
      <c r="F322" s="2" t="str">
        <f>LOOKUP(D322,Sheet3!A$1:A$32,Sheet3!B$1:B$32)</f>
        <v>GER</v>
      </c>
      <c r="G322" s="2" t="s">
        <v>2661</v>
      </c>
      <c r="H322" s="2" t="s">
        <v>48</v>
      </c>
      <c r="I322" s="2" t="str" cm="1">
        <f t="array" ref="I322">IFERROR(playerPoints($H322,$F322,$G322,I$1),"")</f>
        <v/>
      </c>
      <c r="J322" s="2" t="str" cm="1">
        <f t="array" ref="J322">IFERROR(playerPoints($H322,$F322,$G322,J$1),"")</f>
        <v/>
      </c>
      <c r="K322" s="2" t="str" cm="1">
        <f t="array" ref="K322">IFERROR(playerPoints($H322,$F322,$G322,K$1),"")</f>
        <v/>
      </c>
      <c r="L322" s="2" t="str" cm="1">
        <f t="array" ref="L322">IFERROR(playerPoints($H322,$F322,$G322,L$1),"")</f>
        <v/>
      </c>
      <c r="M322" s="2" t="str" cm="1">
        <f t="array" ref="M322">IFERROR(playerPoints($H322,$F322,$G322,M$1),"")</f>
        <v/>
      </c>
      <c r="N322" s="2" t="str" cm="1">
        <f t="array" ref="N322">IFERROR(playerPoints($H322,$F322,$G322,N$1),"")</f>
        <v/>
      </c>
      <c r="O322" s="2" t="str" cm="1">
        <f t="array" ref="O322">IFERROR(playerPoints($H322,$F322,$G322,O$1),"")</f>
        <v/>
      </c>
      <c r="Q322" s="2">
        <f t="shared" si="4"/>
        <v>0</v>
      </c>
    </row>
    <row r="323" spans="1:17">
      <c r="A323" s="2">
        <v>322</v>
      </c>
      <c r="B323" s="2" t="s">
        <v>1219</v>
      </c>
      <c r="C323" s="2" t="s">
        <v>1550</v>
      </c>
      <c r="D323" s="2" t="s">
        <v>907</v>
      </c>
      <c r="F323" s="2" t="str">
        <f>LOOKUP(D323,Sheet3!A$1:A$32,Sheet3!B$1:B$32)</f>
        <v>GER</v>
      </c>
      <c r="G323" s="2" t="s">
        <v>2662</v>
      </c>
      <c r="H323" s="2" t="s">
        <v>48</v>
      </c>
      <c r="I323" s="2" t="str" cm="1">
        <f t="array" ref="I323">IFERROR(playerPoints($H323,$F323,$G323,I$1),"")</f>
        <v/>
      </c>
      <c r="J323" s="2" t="str" cm="1">
        <f t="array" ref="J323">IFERROR(playerPoints($H323,$F323,$G323,J$1),"")</f>
        <v/>
      </c>
      <c r="K323" s="2" t="str" cm="1">
        <f t="array" ref="K323">IFERROR(playerPoints($H323,$F323,$G323,K$1),"")</f>
        <v/>
      </c>
      <c r="L323" s="2" t="str" cm="1">
        <f t="array" ref="L323">IFERROR(playerPoints($H323,$F323,$G323,L$1),"")</f>
        <v/>
      </c>
      <c r="M323" s="2" t="str" cm="1">
        <f t="array" ref="M323">IFERROR(playerPoints($H323,$F323,$G323,M$1),"")</f>
        <v/>
      </c>
      <c r="N323" s="2" t="str" cm="1">
        <f t="array" ref="N323">IFERROR(playerPoints($H323,$F323,$G323,N$1),"")</f>
        <v/>
      </c>
      <c r="O323" s="2" t="str" cm="1">
        <f t="array" ref="O323">IFERROR(playerPoints($H323,$F323,$G323,O$1),"")</f>
        <v/>
      </c>
      <c r="Q323" s="2">
        <f t="shared" ref="Q323:Q386" si="5">SUM(I323:O323)</f>
        <v>0</v>
      </c>
    </row>
    <row r="324" spans="1:17">
      <c r="A324" s="2">
        <v>323</v>
      </c>
      <c r="B324" s="2" t="s">
        <v>1551</v>
      </c>
      <c r="C324" s="2" t="s">
        <v>1552</v>
      </c>
      <c r="D324" s="2" t="s">
        <v>907</v>
      </c>
      <c r="F324" s="2" t="str">
        <f>LOOKUP(D324,Sheet3!A$1:A$32,Sheet3!B$1:B$32)</f>
        <v>GER</v>
      </c>
      <c r="G324" s="2" t="s">
        <v>2663</v>
      </c>
      <c r="H324" s="2" t="s">
        <v>48</v>
      </c>
      <c r="I324" s="2" t="str" cm="1">
        <f t="array" ref="I324">IFERROR(playerPoints($H324,$F324,$G324,I$1),"")</f>
        <v/>
      </c>
      <c r="J324" s="2" t="str" cm="1">
        <f t="array" ref="J324">IFERROR(playerPoints($H324,$F324,$G324,J$1),"")</f>
        <v/>
      </c>
      <c r="K324" s="2" t="str" cm="1">
        <f t="array" ref="K324">IFERROR(playerPoints($H324,$F324,$G324,K$1),"")</f>
        <v/>
      </c>
      <c r="L324" s="2" t="str" cm="1">
        <f t="array" ref="L324">IFERROR(playerPoints($H324,$F324,$G324,L$1),"")</f>
        <v/>
      </c>
      <c r="M324" s="2" t="str" cm="1">
        <f t="array" ref="M324">IFERROR(playerPoints($H324,$F324,$G324,M$1),"")</f>
        <v/>
      </c>
      <c r="N324" s="2" t="str" cm="1">
        <f t="array" ref="N324">IFERROR(playerPoints($H324,$F324,$G324,N$1),"")</f>
        <v/>
      </c>
      <c r="O324" s="2" t="str" cm="1">
        <f t="array" ref="O324">IFERROR(playerPoints($H324,$F324,$G324,O$1),"")</f>
        <v/>
      </c>
      <c r="Q324" s="2">
        <f t="shared" si="5"/>
        <v>0</v>
      </c>
    </row>
    <row r="325" spans="1:17">
      <c r="A325" s="2">
        <v>324</v>
      </c>
      <c r="B325" s="2" t="s">
        <v>1553</v>
      </c>
      <c r="C325" s="2" t="s">
        <v>1554</v>
      </c>
      <c r="D325" s="2" t="s">
        <v>907</v>
      </c>
      <c r="F325" s="2" t="str">
        <f>LOOKUP(D325,Sheet3!A$1:A$32,Sheet3!B$1:B$32)</f>
        <v>GER</v>
      </c>
      <c r="G325" s="2" t="s">
        <v>2664</v>
      </c>
      <c r="H325" s="2" t="s">
        <v>48</v>
      </c>
      <c r="I325" s="2" t="str" cm="1">
        <f t="array" ref="I325">IFERROR(playerPoints($H325,$F325,$G325,I$1),"")</f>
        <v/>
      </c>
      <c r="J325" s="2" t="str" cm="1">
        <f t="array" ref="J325">IFERROR(playerPoints($H325,$F325,$G325,J$1),"")</f>
        <v/>
      </c>
      <c r="K325" s="2" t="str" cm="1">
        <f t="array" ref="K325">IFERROR(playerPoints($H325,$F325,$G325,K$1),"")</f>
        <v/>
      </c>
      <c r="L325" s="2" t="str" cm="1">
        <f t="array" ref="L325">IFERROR(playerPoints($H325,$F325,$G325,L$1),"")</f>
        <v/>
      </c>
      <c r="M325" s="2" t="str" cm="1">
        <f t="array" ref="M325">IFERROR(playerPoints($H325,$F325,$G325,M$1),"")</f>
        <v/>
      </c>
      <c r="N325" s="2" t="str" cm="1">
        <f t="array" ref="N325">IFERROR(playerPoints($H325,$F325,$G325,N$1),"")</f>
        <v/>
      </c>
      <c r="O325" s="2" t="str" cm="1">
        <f t="array" ref="O325">IFERROR(playerPoints($H325,$F325,$G325,O$1),"")</f>
        <v/>
      </c>
      <c r="Q325" s="2">
        <f t="shared" si="5"/>
        <v>0</v>
      </c>
    </row>
    <row r="326" spans="1:17">
      <c r="A326" s="2">
        <v>325</v>
      </c>
      <c r="B326" s="2" t="s">
        <v>1555</v>
      </c>
      <c r="C326" s="2" t="s">
        <v>1556</v>
      </c>
      <c r="D326" s="2" t="s">
        <v>907</v>
      </c>
      <c r="F326" s="2" t="str">
        <f>LOOKUP(D326,Sheet3!A$1:A$32,Sheet3!B$1:B$32)</f>
        <v>GER</v>
      </c>
      <c r="G326" s="2" t="s">
        <v>2665</v>
      </c>
      <c r="H326" s="2" t="s">
        <v>57</v>
      </c>
      <c r="I326" s="2" t="str" cm="1">
        <f t="array" ref="I326">IFERROR(playerPoints($H326,$F326,$G326,I$1),"")</f>
        <v/>
      </c>
      <c r="J326" s="2" t="str" cm="1">
        <f t="array" ref="J326">IFERROR(playerPoints($H326,$F326,$G326,J$1),"")</f>
        <v/>
      </c>
      <c r="K326" s="2" t="str" cm="1">
        <f t="array" ref="K326">IFERROR(playerPoints($H326,$F326,$G326,K$1),"")</f>
        <v/>
      </c>
      <c r="L326" s="2" t="str" cm="1">
        <f t="array" ref="L326">IFERROR(playerPoints($H326,$F326,$G326,L$1),"")</f>
        <v/>
      </c>
      <c r="M326" s="2" t="str" cm="1">
        <f t="array" ref="M326">IFERROR(playerPoints($H326,$F326,$G326,M$1),"")</f>
        <v/>
      </c>
      <c r="N326" s="2" t="str" cm="1">
        <f t="array" ref="N326">IFERROR(playerPoints($H326,$F326,$G326,N$1),"")</f>
        <v/>
      </c>
      <c r="O326" s="2" t="str" cm="1">
        <f t="array" ref="O326">IFERROR(playerPoints($H326,$F326,$G326,O$1),"")</f>
        <v/>
      </c>
      <c r="Q326" s="2">
        <f t="shared" si="5"/>
        <v>0</v>
      </c>
    </row>
    <row r="327" spans="1:17">
      <c r="A327" s="2">
        <v>326</v>
      </c>
      <c r="B327" s="2" t="s">
        <v>1557</v>
      </c>
      <c r="C327" s="2" t="s">
        <v>1558</v>
      </c>
      <c r="D327" s="2" t="s">
        <v>907</v>
      </c>
      <c r="F327" s="2" t="str">
        <f>LOOKUP(D327,Sheet3!A$1:A$32,Sheet3!B$1:B$32)</f>
        <v>GER</v>
      </c>
      <c r="G327" s="2" t="s">
        <v>2666</v>
      </c>
      <c r="H327" s="2" t="s">
        <v>57</v>
      </c>
      <c r="I327" s="2" t="str" cm="1">
        <f t="array" ref="I327">IFERROR(playerPoints($H327,$F327,$G327,I$1),"")</f>
        <v/>
      </c>
      <c r="J327" s="2" t="str" cm="1">
        <f t="array" ref="J327">IFERROR(playerPoints($H327,$F327,$G327,J$1),"")</f>
        <v/>
      </c>
      <c r="K327" s="2" t="str" cm="1">
        <f t="array" ref="K327">IFERROR(playerPoints($H327,$F327,$G327,K$1),"")</f>
        <v/>
      </c>
      <c r="L327" s="2" t="str" cm="1">
        <f t="array" ref="L327">IFERROR(playerPoints($H327,$F327,$G327,L$1),"")</f>
        <v/>
      </c>
      <c r="M327" s="2" t="str" cm="1">
        <f t="array" ref="M327">IFERROR(playerPoints($H327,$F327,$G327,M$1),"")</f>
        <v/>
      </c>
      <c r="N327" s="2" t="str" cm="1">
        <f t="array" ref="N327">IFERROR(playerPoints($H327,$F327,$G327,N$1),"")</f>
        <v/>
      </c>
      <c r="O327" s="2" t="str" cm="1">
        <f t="array" ref="O327">IFERROR(playerPoints($H327,$F327,$G327,O$1),"")</f>
        <v/>
      </c>
      <c r="Q327" s="2">
        <f t="shared" si="5"/>
        <v>0</v>
      </c>
    </row>
    <row r="328" spans="1:17">
      <c r="A328" s="2">
        <v>327</v>
      </c>
      <c r="B328" s="2" t="s">
        <v>1559</v>
      </c>
      <c r="C328" s="2" t="s">
        <v>1560</v>
      </c>
      <c r="D328" s="2" t="s">
        <v>907</v>
      </c>
      <c r="F328" s="2" t="str">
        <f>LOOKUP(D328,Sheet3!A$1:A$32,Sheet3!B$1:B$32)</f>
        <v>GER</v>
      </c>
      <c r="G328" s="2" t="s">
        <v>2667</v>
      </c>
      <c r="H328" s="2" t="s">
        <v>57</v>
      </c>
      <c r="I328" s="2" t="str" cm="1">
        <f t="array" ref="I328">IFERROR(playerPoints($H328,$F328,$G328,I$1),"")</f>
        <v/>
      </c>
      <c r="J328" s="2" t="str" cm="1">
        <f t="array" ref="J328">IFERROR(playerPoints($H328,$F328,$G328,J$1),"")</f>
        <v/>
      </c>
      <c r="K328" s="2" t="str" cm="1">
        <f t="array" ref="K328">IFERROR(playerPoints($H328,$F328,$G328,K$1),"")</f>
        <v/>
      </c>
      <c r="L328" s="2" t="str" cm="1">
        <f t="array" ref="L328">IFERROR(playerPoints($H328,$F328,$G328,L$1),"")</f>
        <v/>
      </c>
      <c r="M328" s="2" t="str" cm="1">
        <f t="array" ref="M328">IFERROR(playerPoints($H328,$F328,$G328,M$1),"")</f>
        <v/>
      </c>
      <c r="N328" s="2" t="str" cm="1">
        <f t="array" ref="N328">IFERROR(playerPoints($H328,$F328,$G328,N$1),"")</f>
        <v/>
      </c>
      <c r="O328" s="2" t="str" cm="1">
        <f t="array" ref="O328">IFERROR(playerPoints($H328,$F328,$G328,O$1),"")</f>
        <v/>
      </c>
      <c r="Q328" s="2">
        <f t="shared" si="5"/>
        <v>0</v>
      </c>
    </row>
    <row r="329" spans="1:17">
      <c r="A329" s="2">
        <v>328</v>
      </c>
      <c r="B329" s="2" t="s">
        <v>1352</v>
      </c>
      <c r="C329" s="2" t="s">
        <v>1561</v>
      </c>
      <c r="D329" s="2" t="s">
        <v>907</v>
      </c>
      <c r="F329" s="2" t="str">
        <f>LOOKUP(D329,Sheet3!A$1:A$32,Sheet3!B$1:B$32)</f>
        <v>GER</v>
      </c>
      <c r="G329" s="2" t="s">
        <v>2668</v>
      </c>
      <c r="H329" s="2" t="s">
        <v>57</v>
      </c>
      <c r="I329" s="2" t="str" cm="1">
        <f t="array" ref="I329">IFERROR(playerPoints($H329,$F329,$G329,I$1),"")</f>
        <v/>
      </c>
      <c r="J329" s="2" t="str" cm="1">
        <f t="array" ref="J329">IFERROR(playerPoints($H329,$F329,$G329,J$1),"")</f>
        <v/>
      </c>
      <c r="K329" s="2" t="str" cm="1">
        <f t="array" ref="K329">IFERROR(playerPoints($H329,$F329,$G329,K$1),"")</f>
        <v/>
      </c>
      <c r="L329" s="2" t="str" cm="1">
        <f t="array" ref="L329">IFERROR(playerPoints($H329,$F329,$G329,L$1),"")</f>
        <v/>
      </c>
      <c r="M329" s="2" t="str" cm="1">
        <f t="array" ref="M329">IFERROR(playerPoints($H329,$F329,$G329,M$1),"")</f>
        <v/>
      </c>
      <c r="N329" s="2" t="str" cm="1">
        <f t="array" ref="N329">IFERROR(playerPoints($H329,$F329,$G329,N$1),"")</f>
        <v/>
      </c>
      <c r="O329" s="2" t="str" cm="1">
        <f t="array" ref="O329">IFERROR(playerPoints($H329,$F329,$G329,O$1),"")</f>
        <v/>
      </c>
      <c r="Q329" s="2">
        <f t="shared" si="5"/>
        <v>0</v>
      </c>
    </row>
    <row r="330" spans="1:17">
      <c r="A330" s="2">
        <v>329</v>
      </c>
      <c r="B330" s="2" t="s">
        <v>1562</v>
      </c>
      <c r="C330" s="2" t="s">
        <v>1563</v>
      </c>
      <c r="D330" s="2" t="s">
        <v>907</v>
      </c>
      <c r="F330" s="2" t="str">
        <f>LOOKUP(D330,Sheet3!A$1:A$32,Sheet3!B$1:B$32)</f>
        <v>GER</v>
      </c>
      <c r="G330" s="2" t="s">
        <v>2669</v>
      </c>
      <c r="H330" s="2" t="s">
        <v>57</v>
      </c>
      <c r="I330" s="2" t="str" cm="1">
        <f t="array" ref="I330">IFERROR(playerPoints($H330,$F330,$G330,I$1),"")</f>
        <v/>
      </c>
      <c r="J330" s="2" t="str" cm="1">
        <f t="array" ref="J330">IFERROR(playerPoints($H330,$F330,$G330,J$1),"")</f>
        <v/>
      </c>
      <c r="K330" s="2" t="str" cm="1">
        <f t="array" ref="K330">IFERROR(playerPoints($H330,$F330,$G330,K$1),"")</f>
        <v/>
      </c>
      <c r="L330" s="2" t="str" cm="1">
        <f t="array" ref="L330">IFERROR(playerPoints($H330,$F330,$G330,L$1),"")</f>
        <v/>
      </c>
      <c r="M330" s="2" t="str" cm="1">
        <f t="array" ref="M330">IFERROR(playerPoints($H330,$F330,$G330,M$1),"")</f>
        <v/>
      </c>
      <c r="N330" s="2" t="str" cm="1">
        <f t="array" ref="N330">IFERROR(playerPoints($H330,$F330,$G330,N$1),"")</f>
        <v/>
      </c>
      <c r="O330" s="2" t="str" cm="1">
        <f t="array" ref="O330">IFERROR(playerPoints($H330,$F330,$G330,O$1),"")</f>
        <v/>
      </c>
      <c r="Q330" s="2">
        <f t="shared" si="5"/>
        <v>0</v>
      </c>
    </row>
    <row r="331" spans="1:17">
      <c r="A331" s="2">
        <v>330</v>
      </c>
      <c r="B331" s="2" t="s">
        <v>1401</v>
      </c>
      <c r="C331" s="2" t="s">
        <v>1564</v>
      </c>
      <c r="D331" s="2" t="s">
        <v>907</v>
      </c>
      <c r="F331" s="2" t="str">
        <f>LOOKUP(D331,Sheet3!A$1:A$32,Sheet3!B$1:B$32)</f>
        <v>GER</v>
      </c>
      <c r="G331" s="2" t="s">
        <v>2670</v>
      </c>
      <c r="H331" s="2" t="s">
        <v>57</v>
      </c>
      <c r="I331" s="2" t="str" cm="1">
        <f t="array" ref="I331">IFERROR(playerPoints($H331,$F331,$G331,I$1),"")</f>
        <v/>
      </c>
      <c r="J331" s="2" t="str" cm="1">
        <f t="array" ref="J331">IFERROR(playerPoints($H331,$F331,$G331,J$1),"")</f>
        <v/>
      </c>
      <c r="K331" s="2" t="str" cm="1">
        <f t="array" ref="K331">IFERROR(playerPoints($H331,$F331,$G331,K$1),"")</f>
        <v/>
      </c>
      <c r="L331" s="2" t="str" cm="1">
        <f t="array" ref="L331">IFERROR(playerPoints($H331,$F331,$G331,L$1),"")</f>
        <v/>
      </c>
      <c r="M331" s="2" t="str" cm="1">
        <f t="array" ref="M331">IFERROR(playerPoints($H331,$F331,$G331,M$1),"")</f>
        <v/>
      </c>
      <c r="N331" s="2" t="str" cm="1">
        <f t="array" ref="N331">IFERROR(playerPoints($H331,$F331,$G331,N$1),"")</f>
        <v/>
      </c>
      <c r="O331" s="2" t="str" cm="1">
        <f t="array" ref="O331">IFERROR(playerPoints($H331,$F331,$G331,O$1),"")</f>
        <v/>
      </c>
      <c r="Q331" s="2">
        <f t="shared" si="5"/>
        <v>0</v>
      </c>
    </row>
    <row r="332" spans="1:17">
      <c r="A332" s="2">
        <v>331</v>
      </c>
      <c r="B332" s="2" t="s">
        <v>1565</v>
      </c>
      <c r="C332" s="2" t="s">
        <v>1566</v>
      </c>
      <c r="D332" s="2" t="s">
        <v>907</v>
      </c>
      <c r="F332" s="2" t="str">
        <f>LOOKUP(D332,Sheet3!A$1:A$32,Sheet3!B$1:B$32)</f>
        <v>GER</v>
      </c>
      <c r="G332" s="2" t="s">
        <v>1008</v>
      </c>
      <c r="H332" s="2" t="s">
        <v>57</v>
      </c>
      <c r="I332" s="2" t="str" cm="1">
        <f t="array" ref="I332">IFERROR(playerPoints($H332,$F332,$G332,I$1),"")</f>
        <v/>
      </c>
      <c r="J332" s="2" t="str" cm="1">
        <f t="array" ref="J332">IFERROR(playerPoints($H332,$F332,$G332,J$1),"")</f>
        <v/>
      </c>
      <c r="K332" s="2" t="str" cm="1">
        <f t="array" ref="K332">IFERROR(playerPoints($H332,$F332,$G332,K$1),"")</f>
        <v/>
      </c>
      <c r="L332" s="2" t="str" cm="1">
        <f t="array" ref="L332">IFERROR(playerPoints($H332,$F332,$G332,L$1),"")</f>
        <v/>
      </c>
      <c r="M332" s="2" t="str" cm="1">
        <f t="array" ref="M332">IFERROR(playerPoints($H332,$F332,$G332,M$1),"")</f>
        <v/>
      </c>
      <c r="N332" s="2" t="str" cm="1">
        <f t="array" ref="N332">IFERROR(playerPoints($H332,$F332,$G332,N$1),"")</f>
        <v/>
      </c>
      <c r="O332" s="2" t="str" cm="1">
        <f t="array" ref="O332">IFERROR(playerPoints($H332,$F332,$G332,O$1),"")</f>
        <v/>
      </c>
      <c r="Q332" s="2">
        <f t="shared" si="5"/>
        <v>0</v>
      </c>
    </row>
    <row r="333" spans="1:17">
      <c r="A333" s="2">
        <v>332</v>
      </c>
      <c r="B333" s="2" t="s">
        <v>1567</v>
      </c>
      <c r="C333" s="2" t="s">
        <v>1568</v>
      </c>
      <c r="D333" s="2" t="s">
        <v>907</v>
      </c>
      <c r="F333" s="2" t="str">
        <f>LOOKUP(D333,Sheet3!A$1:A$32,Sheet3!B$1:B$32)</f>
        <v>GER</v>
      </c>
      <c r="G333" s="2" t="s">
        <v>2671</v>
      </c>
      <c r="H333" s="2" t="s">
        <v>66</v>
      </c>
      <c r="I333" s="2" t="str" cm="1">
        <f t="array" ref="I333">IFERROR(playerPoints($H333,$F333,$G333,I$1),"")</f>
        <v/>
      </c>
      <c r="J333" s="2" t="str" cm="1">
        <f t="array" ref="J333">IFERROR(playerPoints($H333,$F333,$G333,J$1),"")</f>
        <v/>
      </c>
      <c r="K333" s="2" t="str" cm="1">
        <f t="array" ref="K333">IFERROR(playerPoints($H333,$F333,$G333,K$1),"")</f>
        <v/>
      </c>
      <c r="L333" s="2" t="str" cm="1">
        <f t="array" ref="L333">IFERROR(playerPoints($H333,$F333,$G333,L$1),"")</f>
        <v/>
      </c>
      <c r="M333" s="2" t="str" cm="1">
        <f t="array" ref="M333">IFERROR(playerPoints($H333,$F333,$G333,M$1),"")</f>
        <v/>
      </c>
      <c r="N333" s="2" t="str" cm="1">
        <f t="array" ref="N333">IFERROR(playerPoints($H333,$F333,$G333,N$1),"")</f>
        <v/>
      </c>
      <c r="O333" s="2" t="str" cm="1">
        <f t="array" ref="O333">IFERROR(playerPoints($H333,$F333,$G333,O$1),"")</f>
        <v/>
      </c>
      <c r="Q333" s="2">
        <f t="shared" si="5"/>
        <v>0</v>
      </c>
    </row>
    <row r="334" spans="1:17">
      <c r="A334" s="2">
        <v>333</v>
      </c>
      <c r="B334" s="2" t="s">
        <v>1569</v>
      </c>
      <c r="C334" s="2" t="s">
        <v>1570</v>
      </c>
      <c r="D334" s="2" t="s">
        <v>907</v>
      </c>
      <c r="F334" s="2" t="str">
        <f>LOOKUP(D334,Sheet3!A$1:A$32,Sheet3!B$1:B$32)</f>
        <v>GER</v>
      </c>
      <c r="G334" s="2" t="s">
        <v>2672</v>
      </c>
      <c r="H334" s="2" t="s">
        <v>66</v>
      </c>
      <c r="I334" s="2" t="str" cm="1">
        <f t="array" ref="I334">IFERROR(playerPoints($H334,$F334,$G334,I$1),"")</f>
        <v/>
      </c>
      <c r="J334" s="2" t="str" cm="1">
        <f t="array" ref="J334">IFERROR(playerPoints($H334,$F334,$G334,J$1),"")</f>
        <v/>
      </c>
      <c r="K334" s="2" t="str" cm="1">
        <f t="array" ref="K334">IFERROR(playerPoints($H334,$F334,$G334,K$1),"")</f>
        <v/>
      </c>
      <c r="L334" s="2" t="str" cm="1">
        <f t="array" ref="L334">IFERROR(playerPoints($H334,$F334,$G334,L$1),"")</f>
        <v/>
      </c>
      <c r="M334" s="2" t="str" cm="1">
        <f t="array" ref="M334">IFERROR(playerPoints($H334,$F334,$G334,M$1),"")</f>
        <v/>
      </c>
      <c r="N334" s="2" t="str" cm="1">
        <f t="array" ref="N334">IFERROR(playerPoints($H334,$F334,$G334,N$1),"")</f>
        <v/>
      </c>
      <c r="O334" s="2" t="str" cm="1">
        <f t="array" ref="O334">IFERROR(playerPoints($H334,$F334,$G334,O$1),"")</f>
        <v/>
      </c>
      <c r="Q334" s="2">
        <f t="shared" si="5"/>
        <v>0</v>
      </c>
    </row>
    <row r="335" spans="1:17">
      <c r="A335" s="2">
        <v>334</v>
      </c>
      <c r="B335" s="2" t="s">
        <v>1080</v>
      </c>
      <c r="C335" s="2" t="s">
        <v>1571</v>
      </c>
      <c r="D335" s="2" t="s">
        <v>907</v>
      </c>
      <c r="F335" s="2" t="str">
        <f>LOOKUP(D335,Sheet3!A$1:A$32,Sheet3!B$1:B$32)</f>
        <v>GER</v>
      </c>
      <c r="G335" s="2" t="s">
        <v>2673</v>
      </c>
      <c r="H335" s="2" t="s">
        <v>66</v>
      </c>
      <c r="I335" s="2" t="str" cm="1">
        <f t="array" ref="I335">IFERROR(playerPoints($H335,$F335,$G335,I$1),"")</f>
        <v/>
      </c>
      <c r="J335" s="2" t="str" cm="1">
        <f t="array" ref="J335">IFERROR(playerPoints($H335,$F335,$G335,J$1),"")</f>
        <v/>
      </c>
      <c r="K335" s="2" t="str" cm="1">
        <f t="array" ref="K335">IFERROR(playerPoints($H335,$F335,$G335,K$1),"")</f>
        <v/>
      </c>
      <c r="L335" s="2" t="str" cm="1">
        <f t="array" ref="L335">IFERROR(playerPoints($H335,$F335,$G335,L$1),"")</f>
        <v/>
      </c>
      <c r="M335" s="2" t="str" cm="1">
        <f t="array" ref="M335">IFERROR(playerPoints($H335,$F335,$G335,M$1),"")</f>
        <v/>
      </c>
      <c r="N335" s="2" t="str" cm="1">
        <f t="array" ref="N335">IFERROR(playerPoints($H335,$F335,$G335,N$1),"")</f>
        <v/>
      </c>
      <c r="O335" s="2" t="str" cm="1">
        <f t="array" ref="O335">IFERROR(playerPoints($H335,$F335,$G335,O$1),"")</f>
        <v/>
      </c>
      <c r="Q335" s="2">
        <f t="shared" si="5"/>
        <v>0</v>
      </c>
    </row>
    <row r="336" spans="1:17">
      <c r="A336" s="2">
        <v>335</v>
      </c>
      <c r="B336" s="2" t="s">
        <v>1572</v>
      </c>
      <c r="C336" s="2" t="s">
        <v>1573</v>
      </c>
      <c r="D336" s="2" t="s">
        <v>907</v>
      </c>
      <c r="F336" s="2" t="str">
        <f>LOOKUP(D336,Sheet3!A$1:A$32,Sheet3!B$1:B$32)</f>
        <v>GER</v>
      </c>
      <c r="G336" s="2" t="s">
        <v>2674</v>
      </c>
      <c r="H336" s="2" t="s">
        <v>66</v>
      </c>
      <c r="I336" s="2" t="str" cm="1">
        <f t="array" ref="I336">IFERROR(playerPoints($H336,$F336,$G336,I$1),"")</f>
        <v/>
      </c>
      <c r="J336" s="2" t="str" cm="1">
        <f t="array" ref="J336">IFERROR(playerPoints($H336,$F336,$G336,J$1),"")</f>
        <v/>
      </c>
      <c r="K336" s="2" t="str" cm="1">
        <f t="array" ref="K336">IFERROR(playerPoints($H336,$F336,$G336,K$1),"")</f>
        <v/>
      </c>
      <c r="L336" s="2" t="str" cm="1">
        <f t="array" ref="L336">IFERROR(playerPoints($H336,$F336,$G336,L$1),"")</f>
        <v/>
      </c>
      <c r="M336" s="2" t="str" cm="1">
        <f t="array" ref="M336">IFERROR(playerPoints($H336,$F336,$G336,M$1),"")</f>
        <v/>
      </c>
      <c r="N336" s="2" t="str" cm="1">
        <f t="array" ref="N336">IFERROR(playerPoints($H336,$F336,$G336,N$1),"")</f>
        <v/>
      </c>
      <c r="O336" s="2" t="str" cm="1">
        <f t="array" ref="O336">IFERROR(playerPoints($H336,$F336,$G336,O$1),"")</f>
        <v/>
      </c>
      <c r="Q336" s="2">
        <f t="shared" si="5"/>
        <v>0</v>
      </c>
    </row>
    <row r="337" spans="1:17">
      <c r="A337" s="2">
        <v>336</v>
      </c>
      <c r="B337" s="2" t="s">
        <v>1574</v>
      </c>
      <c r="C337" s="2" t="s">
        <v>1575</v>
      </c>
      <c r="D337" s="2" t="s">
        <v>907</v>
      </c>
      <c r="F337" s="2" t="str">
        <f>LOOKUP(D337,Sheet3!A$1:A$32,Sheet3!B$1:B$32)</f>
        <v>GER</v>
      </c>
      <c r="G337" s="2" t="s">
        <v>2675</v>
      </c>
      <c r="H337" s="2" t="s">
        <v>66</v>
      </c>
      <c r="I337" s="2" t="str" cm="1">
        <f t="array" ref="I337">IFERROR(playerPoints($H337,$F337,$G337,I$1),"")</f>
        <v/>
      </c>
      <c r="J337" s="2" t="str" cm="1">
        <f t="array" ref="J337">IFERROR(playerPoints($H337,$F337,$G337,J$1),"")</f>
        <v/>
      </c>
      <c r="K337" s="2" t="str" cm="1">
        <f t="array" ref="K337">IFERROR(playerPoints($H337,$F337,$G337,K$1),"")</f>
        <v/>
      </c>
      <c r="L337" s="2" t="str" cm="1">
        <f t="array" ref="L337">IFERROR(playerPoints($H337,$F337,$G337,L$1),"")</f>
        <v/>
      </c>
      <c r="M337" s="2" t="str" cm="1">
        <f t="array" ref="M337">IFERROR(playerPoints($H337,$F337,$G337,M$1),"")</f>
        <v/>
      </c>
      <c r="N337" s="2" t="str" cm="1">
        <f t="array" ref="N337">IFERROR(playerPoints($H337,$F337,$G337,N$1),"")</f>
        <v/>
      </c>
      <c r="O337" s="2" t="str" cm="1">
        <f t="array" ref="O337">IFERROR(playerPoints($H337,$F337,$G337,O$1),"")</f>
        <v/>
      </c>
      <c r="Q337" s="2">
        <f t="shared" si="5"/>
        <v>0</v>
      </c>
    </row>
    <row r="338" spans="1:17">
      <c r="A338" s="2">
        <v>337</v>
      </c>
      <c r="B338" s="2" t="s">
        <v>1529</v>
      </c>
      <c r="C338" s="2" t="s">
        <v>1576</v>
      </c>
      <c r="D338" s="2" t="s">
        <v>907</v>
      </c>
      <c r="F338" s="2" t="str">
        <f>LOOKUP(D338,Sheet3!A$1:A$32,Sheet3!B$1:B$32)</f>
        <v>GER</v>
      </c>
      <c r="G338" s="2" t="s">
        <v>2676</v>
      </c>
      <c r="H338" s="2" t="s">
        <v>66</v>
      </c>
      <c r="I338" s="2" t="str" cm="1">
        <f t="array" ref="I338">IFERROR(playerPoints($H338,$F338,$G338,I$1),"")</f>
        <v/>
      </c>
      <c r="J338" s="2" t="str" cm="1">
        <f t="array" ref="J338">IFERROR(playerPoints($H338,$F338,$G338,J$1),"")</f>
        <v/>
      </c>
      <c r="K338" s="2" t="str" cm="1">
        <f t="array" ref="K338">IFERROR(playerPoints($H338,$F338,$G338,K$1),"")</f>
        <v/>
      </c>
      <c r="L338" s="2" t="str" cm="1">
        <f t="array" ref="L338">IFERROR(playerPoints($H338,$F338,$G338,L$1),"")</f>
        <v/>
      </c>
      <c r="M338" s="2" t="str" cm="1">
        <f t="array" ref="M338">IFERROR(playerPoints($H338,$F338,$G338,M$1),"")</f>
        <v/>
      </c>
      <c r="N338" s="2" t="str" cm="1">
        <f t="array" ref="N338">IFERROR(playerPoints($H338,$F338,$G338,N$1),"")</f>
        <v/>
      </c>
      <c r="O338" s="2" t="str" cm="1">
        <f t="array" ref="O338">IFERROR(playerPoints($H338,$F338,$G338,O$1),"")</f>
        <v/>
      </c>
      <c r="Q338" s="2">
        <f t="shared" si="5"/>
        <v>0</v>
      </c>
    </row>
    <row r="339" spans="1:17">
      <c r="A339" s="2">
        <v>338</v>
      </c>
      <c r="B339" s="2" t="s">
        <v>1577</v>
      </c>
      <c r="C339" s="2" t="s">
        <v>1578</v>
      </c>
      <c r="D339" s="2" t="s">
        <v>907</v>
      </c>
      <c r="F339" s="2" t="str">
        <f>LOOKUP(D339,Sheet3!A$1:A$32,Sheet3!B$1:B$32)</f>
        <v>GER</v>
      </c>
      <c r="G339" s="2" t="s">
        <v>2677</v>
      </c>
      <c r="H339" s="2" t="s">
        <v>66</v>
      </c>
      <c r="I339" s="2" t="str" cm="1">
        <f t="array" ref="I339">IFERROR(playerPoints($H339,$F339,$G339,I$1),"")</f>
        <v/>
      </c>
      <c r="J339" s="2" t="str" cm="1">
        <f t="array" ref="J339">IFERROR(playerPoints($H339,$F339,$G339,J$1),"")</f>
        <v/>
      </c>
      <c r="K339" s="2" t="str" cm="1">
        <f t="array" ref="K339">IFERROR(playerPoints($H339,$F339,$G339,K$1),"")</f>
        <v/>
      </c>
      <c r="L339" s="2" t="str" cm="1">
        <f t="array" ref="L339">IFERROR(playerPoints($H339,$F339,$G339,L$1),"")</f>
        <v/>
      </c>
      <c r="M339" s="2" t="str" cm="1">
        <f t="array" ref="M339">IFERROR(playerPoints($H339,$F339,$G339,M$1),"")</f>
        <v/>
      </c>
      <c r="N339" s="2" t="str" cm="1">
        <f t="array" ref="N339">IFERROR(playerPoints($H339,$F339,$G339,N$1),"")</f>
        <v/>
      </c>
      <c r="O339" s="2" t="str" cm="1">
        <f t="array" ref="O339">IFERROR(playerPoints($H339,$F339,$G339,O$1),"")</f>
        <v/>
      </c>
      <c r="Q339" s="2">
        <f t="shared" si="5"/>
        <v>0</v>
      </c>
    </row>
    <row r="340" spans="1:17">
      <c r="A340" s="2">
        <v>339</v>
      </c>
      <c r="B340" s="2" t="s">
        <v>1579</v>
      </c>
      <c r="C340" s="2" t="s">
        <v>1580</v>
      </c>
      <c r="D340" s="2" t="s">
        <v>908</v>
      </c>
      <c r="F340" s="2" t="str">
        <f>LOOKUP(D340,Sheet3!A$1:A$32,Sheet3!B$1:B$32)</f>
        <v>GHA</v>
      </c>
      <c r="G340" s="2" t="s">
        <v>2678</v>
      </c>
      <c r="H340" s="2" t="s">
        <v>44</v>
      </c>
      <c r="I340" s="2" t="str" cm="1">
        <f t="array" ref="I340">IFERROR(playerPoints($H340,$F340,$G340,I$1),"")</f>
        <v/>
      </c>
      <c r="J340" s="2" t="str" cm="1">
        <f t="array" ref="J340">IFERROR(playerPoints($H340,$F340,$G340,J$1),"")</f>
        <v/>
      </c>
      <c r="K340" s="2" t="str" cm="1">
        <f t="array" ref="K340">IFERROR(playerPoints($H340,$F340,$G340,K$1),"")</f>
        <v/>
      </c>
      <c r="L340" s="2" t="str" cm="1">
        <f t="array" ref="L340">IFERROR(playerPoints($H340,$F340,$G340,L$1),"")</f>
        <v/>
      </c>
      <c r="M340" s="2" t="str" cm="1">
        <f t="array" ref="M340">IFERROR(playerPoints($H340,$F340,$G340,M$1),"")</f>
        <v/>
      </c>
      <c r="N340" s="2" t="str" cm="1">
        <f t="array" ref="N340">IFERROR(playerPoints($H340,$F340,$G340,N$1),"")</f>
        <v/>
      </c>
      <c r="O340" s="2" t="str" cm="1">
        <f t="array" ref="O340">IFERROR(playerPoints($H340,$F340,$G340,O$1),"")</f>
        <v/>
      </c>
      <c r="Q340" s="2">
        <f t="shared" si="5"/>
        <v>0</v>
      </c>
    </row>
    <row r="341" spans="1:17">
      <c r="A341" s="2">
        <v>340</v>
      </c>
      <c r="B341" s="2" t="s">
        <v>1581</v>
      </c>
      <c r="C341" s="2" t="s">
        <v>1582</v>
      </c>
      <c r="D341" s="2" t="s">
        <v>908</v>
      </c>
      <c r="F341" s="2" t="str">
        <f>LOOKUP(D341,Sheet3!A$1:A$32,Sheet3!B$1:B$32)</f>
        <v>GHA</v>
      </c>
      <c r="G341" s="2" t="s">
        <v>2679</v>
      </c>
      <c r="H341" s="2" t="s">
        <v>44</v>
      </c>
      <c r="I341" s="2" t="str" cm="1">
        <f t="array" ref="I341">IFERROR(playerPoints($H341,$F341,$G341,I$1),"")</f>
        <v/>
      </c>
      <c r="J341" s="2" t="str" cm="1">
        <f t="array" ref="J341">IFERROR(playerPoints($H341,$F341,$G341,J$1),"")</f>
        <v/>
      </c>
      <c r="K341" s="2" t="str" cm="1">
        <f t="array" ref="K341">IFERROR(playerPoints($H341,$F341,$G341,K$1),"")</f>
        <v/>
      </c>
      <c r="L341" s="2" t="str" cm="1">
        <f t="array" ref="L341">IFERROR(playerPoints($H341,$F341,$G341,L$1),"")</f>
        <v/>
      </c>
      <c r="M341" s="2" t="str" cm="1">
        <f t="array" ref="M341">IFERROR(playerPoints($H341,$F341,$G341,M$1),"")</f>
        <v/>
      </c>
      <c r="N341" s="2" t="str" cm="1">
        <f t="array" ref="N341">IFERROR(playerPoints($H341,$F341,$G341,N$1),"")</f>
        <v/>
      </c>
      <c r="O341" s="2" t="str" cm="1">
        <f t="array" ref="O341">IFERROR(playerPoints($H341,$F341,$G341,O$1),"")</f>
        <v/>
      </c>
      <c r="Q341" s="2">
        <f t="shared" si="5"/>
        <v>0</v>
      </c>
    </row>
    <row r="342" spans="1:17">
      <c r="A342" s="2">
        <v>341</v>
      </c>
      <c r="B342" s="2" t="s">
        <v>1583</v>
      </c>
      <c r="C342" s="2" t="s">
        <v>1584</v>
      </c>
      <c r="D342" s="2" t="s">
        <v>908</v>
      </c>
      <c r="F342" s="2" t="str">
        <f>LOOKUP(D342,Sheet3!A$1:A$32,Sheet3!B$1:B$32)</f>
        <v>GHA</v>
      </c>
      <c r="G342" s="2" t="s">
        <v>2680</v>
      </c>
      <c r="H342" s="2" t="s">
        <v>44</v>
      </c>
      <c r="I342" s="2" t="str" cm="1">
        <f t="array" ref="I342">IFERROR(playerPoints($H342,$F342,$G342,I$1),"")</f>
        <v/>
      </c>
      <c r="J342" s="2" t="str" cm="1">
        <f t="array" ref="J342">IFERROR(playerPoints($H342,$F342,$G342,J$1),"")</f>
        <v/>
      </c>
      <c r="K342" s="2" t="str" cm="1">
        <f t="array" ref="K342">IFERROR(playerPoints($H342,$F342,$G342,K$1),"")</f>
        <v/>
      </c>
      <c r="L342" s="2" t="str" cm="1">
        <f t="array" ref="L342">IFERROR(playerPoints($H342,$F342,$G342,L$1),"")</f>
        <v/>
      </c>
      <c r="M342" s="2" t="str" cm="1">
        <f t="array" ref="M342">IFERROR(playerPoints($H342,$F342,$G342,M$1),"")</f>
        <v/>
      </c>
      <c r="N342" s="2" t="str" cm="1">
        <f t="array" ref="N342">IFERROR(playerPoints($H342,$F342,$G342,N$1),"")</f>
        <v/>
      </c>
      <c r="O342" s="2" t="str" cm="1">
        <f t="array" ref="O342">IFERROR(playerPoints($H342,$F342,$G342,O$1),"")</f>
        <v/>
      </c>
      <c r="Q342" s="2">
        <f t="shared" si="5"/>
        <v>0</v>
      </c>
    </row>
    <row r="343" spans="1:17">
      <c r="A343" s="2">
        <v>342</v>
      </c>
      <c r="B343" s="2" t="s">
        <v>1585</v>
      </c>
      <c r="C343" s="2" t="s">
        <v>1586</v>
      </c>
      <c r="D343" s="2" t="s">
        <v>908</v>
      </c>
      <c r="F343" s="2" t="str">
        <f>LOOKUP(D343,Sheet3!A$1:A$32,Sheet3!B$1:B$32)</f>
        <v>GHA</v>
      </c>
      <c r="G343" s="2" t="s">
        <v>2681</v>
      </c>
      <c r="H343" s="2" t="s">
        <v>48</v>
      </c>
      <c r="I343" s="2" t="str" cm="1">
        <f t="array" ref="I343">IFERROR(playerPoints($H343,$F343,$G343,I$1),"")</f>
        <v/>
      </c>
      <c r="J343" s="2" t="str" cm="1">
        <f t="array" ref="J343">IFERROR(playerPoints($H343,$F343,$G343,J$1),"")</f>
        <v/>
      </c>
      <c r="K343" s="2" t="str" cm="1">
        <f t="array" ref="K343">IFERROR(playerPoints($H343,$F343,$G343,K$1),"")</f>
        <v/>
      </c>
      <c r="L343" s="2" t="str" cm="1">
        <f t="array" ref="L343">IFERROR(playerPoints($H343,$F343,$G343,L$1),"")</f>
        <v/>
      </c>
      <c r="M343" s="2" t="str" cm="1">
        <f t="array" ref="M343">IFERROR(playerPoints($H343,$F343,$G343,M$1),"")</f>
        <v/>
      </c>
      <c r="N343" s="2" t="str" cm="1">
        <f t="array" ref="N343">IFERROR(playerPoints($H343,$F343,$G343,N$1),"")</f>
        <v/>
      </c>
      <c r="O343" s="2" t="str" cm="1">
        <f t="array" ref="O343">IFERROR(playerPoints($H343,$F343,$G343,O$1),"")</f>
        <v/>
      </c>
      <c r="Q343" s="2">
        <f t="shared" si="5"/>
        <v>0</v>
      </c>
    </row>
    <row r="344" spans="1:17">
      <c r="A344" s="2">
        <v>343</v>
      </c>
      <c r="B344" s="2" t="s">
        <v>1587</v>
      </c>
      <c r="C344" s="2" t="s">
        <v>1588</v>
      </c>
      <c r="D344" s="2" t="s">
        <v>908</v>
      </c>
      <c r="F344" s="2" t="str">
        <f>LOOKUP(D344,Sheet3!A$1:A$32,Sheet3!B$1:B$32)</f>
        <v>GHA</v>
      </c>
      <c r="G344" s="2" t="s">
        <v>2682</v>
      </c>
      <c r="H344" s="2" t="s">
        <v>48</v>
      </c>
      <c r="I344" s="2" t="str" cm="1">
        <f t="array" ref="I344">IFERROR(playerPoints($H344,$F344,$G344,I$1),"")</f>
        <v/>
      </c>
      <c r="J344" s="2" t="str" cm="1">
        <f t="array" ref="J344">IFERROR(playerPoints($H344,$F344,$G344,J$1),"")</f>
        <v/>
      </c>
      <c r="K344" s="2" t="str" cm="1">
        <f t="array" ref="K344">IFERROR(playerPoints($H344,$F344,$G344,K$1),"")</f>
        <v/>
      </c>
      <c r="L344" s="2" t="str" cm="1">
        <f t="array" ref="L344">IFERROR(playerPoints($H344,$F344,$G344,L$1),"")</f>
        <v/>
      </c>
      <c r="M344" s="2" t="str" cm="1">
        <f t="array" ref="M344">IFERROR(playerPoints($H344,$F344,$G344,M$1),"")</f>
        <v/>
      </c>
      <c r="N344" s="2" t="str" cm="1">
        <f t="array" ref="N344">IFERROR(playerPoints($H344,$F344,$G344,N$1),"")</f>
        <v/>
      </c>
      <c r="O344" s="2" t="str" cm="1">
        <f t="array" ref="O344">IFERROR(playerPoints($H344,$F344,$G344,O$1),"")</f>
        <v/>
      </c>
      <c r="Q344" s="2">
        <f t="shared" si="5"/>
        <v>0</v>
      </c>
    </row>
    <row r="345" spans="1:17">
      <c r="A345" s="2">
        <v>344</v>
      </c>
      <c r="B345" s="2" t="s">
        <v>1589</v>
      </c>
      <c r="C345" s="2" t="s">
        <v>1590</v>
      </c>
      <c r="D345" s="2" t="s">
        <v>908</v>
      </c>
      <c r="F345" s="2" t="str">
        <f>LOOKUP(D345,Sheet3!A$1:A$32,Sheet3!B$1:B$32)</f>
        <v>GHA</v>
      </c>
      <c r="G345" s="2" t="s">
        <v>2683</v>
      </c>
      <c r="H345" s="2" t="s">
        <v>48</v>
      </c>
      <c r="I345" s="2" t="str" cm="1">
        <f t="array" ref="I345">IFERROR(playerPoints($H345,$F345,$G345,I$1),"")</f>
        <v/>
      </c>
      <c r="J345" s="2" t="str" cm="1">
        <f t="array" ref="J345">IFERROR(playerPoints($H345,$F345,$G345,J$1),"")</f>
        <v/>
      </c>
      <c r="K345" s="2" t="str" cm="1">
        <f t="array" ref="K345">IFERROR(playerPoints($H345,$F345,$G345,K$1),"")</f>
        <v/>
      </c>
      <c r="L345" s="2" t="str" cm="1">
        <f t="array" ref="L345">IFERROR(playerPoints($H345,$F345,$G345,L$1),"")</f>
        <v/>
      </c>
      <c r="M345" s="2" t="str" cm="1">
        <f t="array" ref="M345">IFERROR(playerPoints($H345,$F345,$G345,M$1),"")</f>
        <v/>
      </c>
      <c r="N345" s="2" t="str" cm="1">
        <f t="array" ref="N345">IFERROR(playerPoints($H345,$F345,$G345,N$1),"")</f>
        <v/>
      </c>
      <c r="O345" s="2" t="str" cm="1">
        <f t="array" ref="O345">IFERROR(playerPoints($H345,$F345,$G345,O$1),"")</f>
        <v/>
      </c>
      <c r="Q345" s="2">
        <f t="shared" si="5"/>
        <v>0</v>
      </c>
    </row>
    <row r="346" spans="1:17">
      <c r="A346" s="2">
        <v>345</v>
      </c>
      <c r="B346" s="2" t="s">
        <v>1591</v>
      </c>
      <c r="C346" s="2" t="s">
        <v>1592</v>
      </c>
      <c r="D346" s="2" t="s">
        <v>908</v>
      </c>
      <c r="F346" s="2" t="str">
        <f>LOOKUP(D346,Sheet3!A$1:A$32,Sheet3!B$1:B$32)</f>
        <v>GHA</v>
      </c>
      <c r="G346" s="2" t="s">
        <v>2684</v>
      </c>
      <c r="H346" s="2" t="s">
        <v>48</v>
      </c>
      <c r="I346" s="2" t="str" cm="1">
        <f t="array" ref="I346">IFERROR(playerPoints($H346,$F346,$G346,I$1),"")</f>
        <v/>
      </c>
      <c r="J346" s="2" t="str" cm="1">
        <f t="array" ref="J346">IFERROR(playerPoints($H346,$F346,$G346,J$1),"")</f>
        <v/>
      </c>
      <c r="K346" s="2" t="str" cm="1">
        <f t="array" ref="K346">IFERROR(playerPoints($H346,$F346,$G346,K$1),"")</f>
        <v/>
      </c>
      <c r="L346" s="2" t="str" cm="1">
        <f t="array" ref="L346">IFERROR(playerPoints($H346,$F346,$G346,L$1),"")</f>
        <v/>
      </c>
      <c r="M346" s="2" t="str" cm="1">
        <f t="array" ref="M346">IFERROR(playerPoints($H346,$F346,$G346,M$1),"")</f>
        <v/>
      </c>
      <c r="N346" s="2" t="str" cm="1">
        <f t="array" ref="N346">IFERROR(playerPoints($H346,$F346,$G346,N$1),"")</f>
        <v/>
      </c>
      <c r="O346" s="2" t="str" cm="1">
        <f t="array" ref="O346">IFERROR(playerPoints($H346,$F346,$G346,O$1),"")</f>
        <v/>
      </c>
      <c r="Q346" s="2">
        <f t="shared" si="5"/>
        <v>0</v>
      </c>
    </row>
    <row r="347" spans="1:17">
      <c r="A347" s="2">
        <v>346</v>
      </c>
      <c r="B347" s="2" t="s">
        <v>1593</v>
      </c>
      <c r="C347" s="2" t="s">
        <v>1594</v>
      </c>
      <c r="D347" s="2" t="s">
        <v>908</v>
      </c>
      <c r="F347" s="2" t="str">
        <f>LOOKUP(D347,Sheet3!A$1:A$32,Sheet3!B$1:B$32)</f>
        <v>GHA</v>
      </c>
      <c r="G347" s="2" t="s">
        <v>2685</v>
      </c>
      <c r="H347" s="2" t="s">
        <v>48</v>
      </c>
      <c r="I347" s="2" t="str" cm="1">
        <f t="array" ref="I347">IFERROR(playerPoints($H347,$F347,$G347,I$1),"")</f>
        <v/>
      </c>
      <c r="J347" s="2" t="str" cm="1">
        <f t="array" ref="J347">IFERROR(playerPoints($H347,$F347,$G347,J$1),"")</f>
        <v/>
      </c>
      <c r="K347" s="2" t="str" cm="1">
        <f t="array" ref="K347">IFERROR(playerPoints($H347,$F347,$G347,K$1),"")</f>
        <v/>
      </c>
      <c r="L347" s="2" t="str" cm="1">
        <f t="array" ref="L347">IFERROR(playerPoints($H347,$F347,$G347,L$1),"")</f>
        <v/>
      </c>
      <c r="M347" s="2" t="str" cm="1">
        <f t="array" ref="M347">IFERROR(playerPoints($H347,$F347,$G347,M$1),"")</f>
        <v/>
      </c>
      <c r="N347" s="2" t="str" cm="1">
        <f t="array" ref="N347">IFERROR(playerPoints($H347,$F347,$G347,N$1),"")</f>
        <v/>
      </c>
      <c r="O347" s="2" t="str" cm="1">
        <f t="array" ref="O347">IFERROR(playerPoints($H347,$F347,$G347,O$1),"")</f>
        <v/>
      </c>
      <c r="Q347" s="2">
        <f t="shared" si="5"/>
        <v>0</v>
      </c>
    </row>
    <row r="348" spans="1:17">
      <c r="A348" s="2">
        <v>347</v>
      </c>
      <c r="B348" s="2" t="s">
        <v>1583</v>
      </c>
      <c r="C348" s="2" t="s">
        <v>1595</v>
      </c>
      <c r="D348" s="2" t="s">
        <v>908</v>
      </c>
      <c r="F348" s="2" t="str">
        <f>LOOKUP(D348,Sheet3!A$1:A$32,Sheet3!B$1:B$32)</f>
        <v>GHA</v>
      </c>
      <c r="G348" s="2" t="s">
        <v>2686</v>
      </c>
      <c r="H348" s="2" t="s">
        <v>48</v>
      </c>
      <c r="I348" s="2" t="str" cm="1">
        <f t="array" ref="I348">IFERROR(playerPoints($H348,$F348,$G348,I$1),"")</f>
        <v/>
      </c>
      <c r="J348" s="2" t="str" cm="1">
        <f t="array" ref="J348">IFERROR(playerPoints($H348,$F348,$G348,J$1),"")</f>
        <v/>
      </c>
      <c r="K348" s="2" t="str" cm="1">
        <f t="array" ref="K348">IFERROR(playerPoints($H348,$F348,$G348,K$1),"")</f>
        <v/>
      </c>
      <c r="L348" s="2" t="str" cm="1">
        <f t="array" ref="L348">IFERROR(playerPoints($H348,$F348,$G348,L$1),"")</f>
        <v/>
      </c>
      <c r="M348" s="2" t="str" cm="1">
        <f t="array" ref="M348">IFERROR(playerPoints($H348,$F348,$G348,M$1),"")</f>
        <v/>
      </c>
      <c r="N348" s="2" t="str" cm="1">
        <f t="array" ref="N348">IFERROR(playerPoints($H348,$F348,$G348,N$1),"")</f>
        <v/>
      </c>
      <c r="O348" s="2" t="str" cm="1">
        <f t="array" ref="O348">IFERROR(playerPoints($H348,$F348,$G348,O$1),"")</f>
        <v/>
      </c>
      <c r="Q348" s="2">
        <f t="shared" si="5"/>
        <v>0</v>
      </c>
    </row>
    <row r="349" spans="1:17">
      <c r="A349" s="2">
        <v>348</v>
      </c>
      <c r="B349" s="2" t="s">
        <v>1295</v>
      </c>
      <c r="C349" s="2" t="s">
        <v>1596</v>
      </c>
      <c r="D349" s="2" t="s">
        <v>908</v>
      </c>
      <c r="F349" s="2" t="str">
        <f>LOOKUP(D349,Sheet3!A$1:A$32,Sheet3!B$1:B$32)</f>
        <v>GHA</v>
      </c>
      <c r="G349" s="2" t="s">
        <v>2687</v>
      </c>
      <c r="H349" s="2" t="s">
        <v>48</v>
      </c>
      <c r="I349" s="2" t="str" cm="1">
        <f t="array" ref="I349">IFERROR(playerPoints($H349,$F349,$G349,I$1),"")</f>
        <v/>
      </c>
      <c r="J349" s="2" t="str" cm="1">
        <f t="array" ref="J349">IFERROR(playerPoints($H349,$F349,$G349,J$1),"")</f>
        <v/>
      </c>
      <c r="K349" s="2" t="str" cm="1">
        <f t="array" ref="K349">IFERROR(playerPoints($H349,$F349,$G349,K$1),"")</f>
        <v/>
      </c>
      <c r="L349" s="2" t="str" cm="1">
        <f t="array" ref="L349">IFERROR(playerPoints($H349,$F349,$G349,L$1),"")</f>
        <v/>
      </c>
      <c r="M349" s="2" t="str" cm="1">
        <f t="array" ref="M349">IFERROR(playerPoints($H349,$F349,$G349,M$1),"")</f>
        <v/>
      </c>
      <c r="N349" s="2" t="str" cm="1">
        <f t="array" ref="N349">IFERROR(playerPoints($H349,$F349,$G349,N$1),"")</f>
        <v/>
      </c>
      <c r="O349" s="2" t="str" cm="1">
        <f t="array" ref="O349">IFERROR(playerPoints($H349,$F349,$G349,O$1),"")</f>
        <v/>
      </c>
      <c r="Q349" s="2">
        <f t="shared" si="5"/>
        <v>0</v>
      </c>
    </row>
    <row r="350" spans="1:17">
      <c r="A350" s="2">
        <v>349</v>
      </c>
      <c r="B350" s="2" t="s">
        <v>1384</v>
      </c>
      <c r="C350" s="2" t="s">
        <v>1597</v>
      </c>
      <c r="D350" s="2" t="s">
        <v>908</v>
      </c>
      <c r="F350" s="2" t="str">
        <f>LOOKUP(D350,Sheet3!A$1:A$32,Sheet3!B$1:B$32)</f>
        <v>GHA</v>
      </c>
      <c r="G350" s="2" t="s">
        <v>2688</v>
      </c>
      <c r="H350" s="2" t="s">
        <v>48</v>
      </c>
      <c r="I350" s="2" t="str" cm="1">
        <f t="array" ref="I350">IFERROR(playerPoints($H350,$F350,$G350,I$1),"")</f>
        <v/>
      </c>
      <c r="J350" s="2" t="str" cm="1">
        <f t="array" ref="J350">IFERROR(playerPoints($H350,$F350,$G350,J$1),"")</f>
        <v/>
      </c>
      <c r="K350" s="2" t="str" cm="1">
        <f t="array" ref="K350">IFERROR(playerPoints($H350,$F350,$G350,K$1),"")</f>
        <v/>
      </c>
      <c r="L350" s="2" t="str" cm="1">
        <f t="array" ref="L350">IFERROR(playerPoints($H350,$F350,$G350,L$1),"")</f>
        <v/>
      </c>
      <c r="M350" s="2" t="str" cm="1">
        <f t="array" ref="M350">IFERROR(playerPoints($H350,$F350,$G350,M$1),"")</f>
        <v/>
      </c>
      <c r="N350" s="2" t="str" cm="1">
        <f t="array" ref="N350">IFERROR(playerPoints($H350,$F350,$G350,N$1),"")</f>
        <v/>
      </c>
      <c r="O350" s="2" t="str" cm="1">
        <f t="array" ref="O350">IFERROR(playerPoints($H350,$F350,$G350,O$1),"")</f>
        <v/>
      </c>
      <c r="Q350" s="2">
        <f t="shared" si="5"/>
        <v>0</v>
      </c>
    </row>
    <row r="351" spans="1:17">
      <c r="A351" s="2">
        <v>350</v>
      </c>
      <c r="B351" s="2" t="s">
        <v>1598</v>
      </c>
      <c r="C351" s="2" t="s">
        <v>1599</v>
      </c>
      <c r="D351" s="2" t="s">
        <v>908</v>
      </c>
      <c r="F351" s="2" t="str">
        <f>LOOKUP(D351,Sheet3!A$1:A$32,Sheet3!B$1:B$32)</f>
        <v>GHA</v>
      </c>
      <c r="G351" s="2" t="s">
        <v>2689</v>
      </c>
      <c r="H351" s="2" t="s">
        <v>48</v>
      </c>
      <c r="I351" s="2" t="str" cm="1">
        <f t="array" ref="I351">IFERROR(playerPoints($H351,$F351,$G351,I$1),"")</f>
        <v/>
      </c>
      <c r="J351" s="2" t="str" cm="1">
        <f t="array" ref="J351">IFERROR(playerPoints($H351,$F351,$G351,J$1),"")</f>
        <v/>
      </c>
      <c r="K351" s="2" t="str" cm="1">
        <f t="array" ref="K351">IFERROR(playerPoints($H351,$F351,$G351,K$1),"")</f>
        <v/>
      </c>
      <c r="L351" s="2" t="str" cm="1">
        <f t="array" ref="L351">IFERROR(playerPoints($H351,$F351,$G351,L$1),"")</f>
        <v/>
      </c>
      <c r="M351" s="2" t="str" cm="1">
        <f t="array" ref="M351">IFERROR(playerPoints($H351,$F351,$G351,M$1),"")</f>
        <v/>
      </c>
      <c r="N351" s="2" t="str" cm="1">
        <f t="array" ref="N351">IFERROR(playerPoints($H351,$F351,$G351,N$1),"")</f>
        <v/>
      </c>
      <c r="O351" s="2" t="str" cm="1">
        <f t="array" ref="O351">IFERROR(playerPoints($H351,$F351,$G351,O$1),"")</f>
        <v/>
      </c>
      <c r="Q351" s="2">
        <f t="shared" si="5"/>
        <v>0</v>
      </c>
    </row>
    <row r="352" spans="1:17">
      <c r="A352" s="2">
        <v>351</v>
      </c>
      <c r="B352" s="2" t="s">
        <v>1080</v>
      </c>
      <c r="C352" s="2" t="s">
        <v>1600</v>
      </c>
      <c r="D352" s="2" t="s">
        <v>908</v>
      </c>
      <c r="F352" s="2" t="str">
        <f>LOOKUP(D352,Sheet3!A$1:A$32,Sheet3!B$1:B$32)</f>
        <v>GHA</v>
      </c>
      <c r="G352" s="2" t="s">
        <v>2690</v>
      </c>
      <c r="H352" s="2" t="s">
        <v>57</v>
      </c>
      <c r="I352" s="2" t="str" cm="1">
        <f t="array" ref="I352">IFERROR(playerPoints($H352,$F352,$G352,I$1),"")</f>
        <v/>
      </c>
      <c r="J352" s="2" t="str" cm="1">
        <f t="array" ref="J352">IFERROR(playerPoints($H352,$F352,$G352,J$1),"")</f>
        <v/>
      </c>
      <c r="K352" s="2" t="str" cm="1">
        <f t="array" ref="K352">IFERROR(playerPoints($H352,$F352,$G352,K$1),"")</f>
        <v/>
      </c>
      <c r="L352" s="2" t="str" cm="1">
        <f t="array" ref="L352">IFERROR(playerPoints($H352,$F352,$G352,L$1),"")</f>
        <v/>
      </c>
      <c r="M352" s="2" t="str" cm="1">
        <f t="array" ref="M352">IFERROR(playerPoints($H352,$F352,$G352,M$1),"")</f>
        <v/>
      </c>
      <c r="N352" s="2" t="str" cm="1">
        <f t="array" ref="N352">IFERROR(playerPoints($H352,$F352,$G352,N$1),"")</f>
        <v/>
      </c>
      <c r="O352" s="2" t="str" cm="1">
        <f t="array" ref="O352">IFERROR(playerPoints($H352,$F352,$G352,O$1),"")</f>
        <v/>
      </c>
      <c r="Q352" s="2">
        <f t="shared" si="5"/>
        <v>0</v>
      </c>
    </row>
    <row r="353" spans="1:17">
      <c r="A353" s="2">
        <v>352</v>
      </c>
      <c r="B353" s="2" t="s">
        <v>1601</v>
      </c>
      <c r="C353" s="2" t="s">
        <v>1602</v>
      </c>
      <c r="D353" s="2" t="s">
        <v>908</v>
      </c>
      <c r="F353" s="2" t="str">
        <f>LOOKUP(D353,Sheet3!A$1:A$32,Sheet3!B$1:B$32)</f>
        <v>GHA</v>
      </c>
      <c r="G353" s="2" t="s">
        <v>2691</v>
      </c>
      <c r="H353" s="2" t="s">
        <v>57</v>
      </c>
      <c r="I353" s="2" t="str" cm="1">
        <f t="array" ref="I353">IFERROR(playerPoints($H353,$F353,$G353,I$1),"")</f>
        <v/>
      </c>
      <c r="J353" s="2" t="str" cm="1">
        <f t="array" ref="J353">IFERROR(playerPoints($H353,$F353,$G353,J$1),"")</f>
        <v/>
      </c>
      <c r="K353" s="2" t="str" cm="1">
        <f t="array" ref="K353">IFERROR(playerPoints($H353,$F353,$G353,K$1),"")</f>
        <v/>
      </c>
      <c r="L353" s="2" t="str" cm="1">
        <f t="array" ref="L353">IFERROR(playerPoints($H353,$F353,$G353,L$1),"")</f>
        <v/>
      </c>
      <c r="M353" s="2" t="str" cm="1">
        <f t="array" ref="M353">IFERROR(playerPoints($H353,$F353,$G353,M$1),"")</f>
        <v/>
      </c>
      <c r="N353" s="2" t="str" cm="1">
        <f t="array" ref="N353">IFERROR(playerPoints($H353,$F353,$G353,N$1),"")</f>
        <v/>
      </c>
      <c r="O353" s="2" t="str" cm="1">
        <f t="array" ref="O353">IFERROR(playerPoints($H353,$F353,$G353,O$1),"")</f>
        <v/>
      </c>
      <c r="Q353" s="2">
        <f t="shared" si="5"/>
        <v>0</v>
      </c>
    </row>
    <row r="354" spans="1:17">
      <c r="A354" s="2">
        <v>353</v>
      </c>
      <c r="B354" s="2" t="s">
        <v>1603</v>
      </c>
      <c r="C354" s="2" t="s">
        <v>1604</v>
      </c>
      <c r="D354" s="2" t="s">
        <v>908</v>
      </c>
      <c r="F354" s="2" t="str">
        <f>LOOKUP(D354,Sheet3!A$1:A$32,Sheet3!B$1:B$32)</f>
        <v>GHA</v>
      </c>
      <c r="G354" s="2" t="s">
        <v>2692</v>
      </c>
      <c r="H354" s="2" t="s">
        <v>57</v>
      </c>
      <c r="I354" s="2" t="str" cm="1">
        <f t="array" ref="I354">IFERROR(playerPoints($H354,$F354,$G354,I$1),"")</f>
        <v/>
      </c>
      <c r="J354" s="2" t="str" cm="1">
        <f t="array" ref="J354">IFERROR(playerPoints($H354,$F354,$G354,J$1),"")</f>
        <v/>
      </c>
      <c r="K354" s="2" t="str" cm="1">
        <f t="array" ref="K354">IFERROR(playerPoints($H354,$F354,$G354,K$1),"")</f>
        <v/>
      </c>
      <c r="L354" s="2" t="str" cm="1">
        <f t="array" ref="L354">IFERROR(playerPoints($H354,$F354,$G354,L$1),"")</f>
        <v/>
      </c>
      <c r="M354" s="2" t="str" cm="1">
        <f t="array" ref="M354">IFERROR(playerPoints($H354,$F354,$G354,M$1),"")</f>
        <v/>
      </c>
      <c r="N354" s="2" t="str" cm="1">
        <f t="array" ref="N354">IFERROR(playerPoints($H354,$F354,$G354,N$1),"")</f>
        <v/>
      </c>
      <c r="O354" s="2" t="str" cm="1">
        <f t="array" ref="O354">IFERROR(playerPoints($H354,$F354,$G354,O$1),"")</f>
        <v/>
      </c>
      <c r="Q354" s="2">
        <f t="shared" si="5"/>
        <v>0</v>
      </c>
    </row>
    <row r="355" spans="1:17">
      <c r="A355" s="2">
        <v>354</v>
      </c>
      <c r="B355" s="2" t="s">
        <v>1605</v>
      </c>
      <c r="C355" s="2" t="s">
        <v>1606</v>
      </c>
      <c r="D355" s="2" t="s">
        <v>908</v>
      </c>
      <c r="F355" s="2" t="str">
        <f>LOOKUP(D355,Sheet3!A$1:A$32,Sheet3!B$1:B$32)</f>
        <v>GHA</v>
      </c>
      <c r="G355" s="2" t="s">
        <v>2693</v>
      </c>
      <c r="H355" s="2" t="s">
        <v>57</v>
      </c>
      <c r="I355" s="2" t="str" cm="1">
        <f t="array" ref="I355">IFERROR(playerPoints($H355,$F355,$G355,I$1),"")</f>
        <v/>
      </c>
      <c r="J355" s="2" t="str" cm="1">
        <f t="array" ref="J355">IFERROR(playerPoints($H355,$F355,$G355,J$1),"")</f>
        <v/>
      </c>
      <c r="K355" s="2" t="str" cm="1">
        <f t="array" ref="K355">IFERROR(playerPoints($H355,$F355,$G355,K$1),"")</f>
        <v/>
      </c>
      <c r="L355" s="2" t="str" cm="1">
        <f t="array" ref="L355">IFERROR(playerPoints($H355,$F355,$G355,L$1),"")</f>
        <v/>
      </c>
      <c r="M355" s="2" t="str" cm="1">
        <f t="array" ref="M355">IFERROR(playerPoints($H355,$F355,$G355,M$1),"")</f>
        <v/>
      </c>
      <c r="N355" s="2" t="str" cm="1">
        <f t="array" ref="N355">IFERROR(playerPoints($H355,$F355,$G355,N$1),"")</f>
        <v/>
      </c>
      <c r="O355" s="2" t="str" cm="1">
        <f t="array" ref="O355">IFERROR(playerPoints($H355,$F355,$G355,O$1),"")</f>
        <v/>
      </c>
      <c r="Q355" s="2">
        <f t="shared" si="5"/>
        <v>0</v>
      </c>
    </row>
    <row r="356" spans="1:17">
      <c r="A356" s="2">
        <v>355</v>
      </c>
      <c r="B356" s="2" t="s">
        <v>1589</v>
      </c>
      <c r="C356" s="2" t="s">
        <v>1607</v>
      </c>
      <c r="D356" s="2" t="s">
        <v>908</v>
      </c>
      <c r="F356" s="2" t="str">
        <f>LOOKUP(D356,Sheet3!A$1:A$32,Sheet3!B$1:B$32)</f>
        <v>GHA</v>
      </c>
      <c r="G356" s="2" t="s">
        <v>2694</v>
      </c>
      <c r="H356" s="2" t="s">
        <v>57</v>
      </c>
      <c r="I356" s="2" t="str" cm="1">
        <f t="array" ref="I356">IFERROR(playerPoints($H356,$F356,$G356,I$1),"")</f>
        <v/>
      </c>
      <c r="J356" s="2" t="str" cm="1">
        <f t="array" ref="J356">IFERROR(playerPoints($H356,$F356,$G356,J$1),"")</f>
        <v/>
      </c>
      <c r="K356" s="2" t="str" cm="1">
        <f t="array" ref="K356">IFERROR(playerPoints($H356,$F356,$G356,K$1),"")</f>
        <v/>
      </c>
      <c r="L356" s="2" t="str" cm="1">
        <f t="array" ref="L356">IFERROR(playerPoints($H356,$F356,$G356,L$1),"")</f>
        <v/>
      </c>
      <c r="M356" s="2" t="str" cm="1">
        <f t="array" ref="M356">IFERROR(playerPoints($H356,$F356,$G356,M$1),"")</f>
        <v/>
      </c>
      <c r="N356" s="2" t="str" cm="1">
        <f t="array" ref="N356">IFERROR(playerPoints($H356,$F356,$G356,N$1),"")</f>
        <v/>
      </c>
      <c r="O356" s="2" t="str" cm="1">
        <f t="array" ref="O356">IFERROR(playerPoints($H356,$F356,$G356,O$1),"")</f>
        <v/>
      </c>
      <c r="Q356" s="2">
        <f t="shared" si="5"/>
        <v>0</v>
      </c>
    </row>
    <row r="357" spans="1:17">
      <c r="A357" s="2">
        <v>356</v>
      </c>
      <c r="B357" s="2" t="s">
        <v>1608</v>
      </c>
      <c r="C357" s="2" t="s">
        <v>1609</v>
      </c>
      <c r="D357" s="2" t="s">
        <v>908</v>
      </c>
      <c r="F357" s="2" t="str">
        <f>LOOKUP(D357,Sheet3!A$1:A$32,Sheet3!B$1:B$32)</f>
        <v>GHA</v>
      </c>
      <c r="G357" s="2" t="s">
        <v>2695</v>
      </c>
      <c r="H357" s="2" t="s">
        <v>57</v>
      </c>
      <c r="I357" s="2" t="str" cm="1">
        <f t="array" ref="I357">IFERROR(playerPoints($H357,$F357,$G357,I$1),"")</f>
        <v/>
      </c>
      <c r="J357" s="2" t="str" cm="1">
        <f t="array" ref="J357">IFERROR(playerPoints($H357,$F357,$G357,J$1),"")</f>
        <v/>
      </c>
      <c r="K357" s="2" t="str" cm="1">
        <f t="array" ref="K357">IFERROR(playerPoints($H357,$F357,$G357,K$1),"")</f>
        <v/>
      </c>
      <c r="L357" s="2" t="str" cm="1">
        <f t="array" ref="L357">IFERROR(playerPoints($H357,$F357,$G357,L$1),"")</f>
        <v/>
      </c>
      <c r="M357" s="2" t="str" cm="1">
        <f t="array" ref="M357">IFERROR(playerPoints($H357,$F357,$G357,M$1),"")</f>
        <v/>
      </c>
      <c r="N357" s="2" t="str" cm="1">
        <f t="array" ref="N357">IFERROR(playerPoints($H357,$F357,$G357,N$1),"")</f>
        <v/>
      </c>
      <c r="O357" s="2" t="str" cm="1">
        <f t="array" ref="O357">IFERROR(playerPoints($H357,$F357,$G357,O$1),"")</f>
        <v/>
      </c>
      <c r="Q357" s="2">
        <f t="shared" si="5"/>
        <v>0</v>
      </c>
    </row>
    <row r="358" spans="1:17">
      <c r="A358" s="2">
        <v>357</v>
      </c>
      <c r="B358" s="2" t="s">
        <v>1610</v>
      </c>
      <c r="C358" s="2" t="s">
        <v>1611</v>
      </c>
      <c r="D358" s="2" t="s">
        <v>908</v>
      </c>
      <c r="F358" s="2" t="str">
        <f>LOOKUP(D358,Sheet3!A$1:A$32,Sheet3!B$1:B$32)</f>
        <v>GHA</v>
      </c>
      <c r="G358" s="2" t="s">
        <v>2696</v>
      </c>
      <c r="H358" s="2" t="s">
        <v>57</v>
      </c>
      <c r="I358" s="2" t="str" cm="1">
        <f t="array" ref="I358">IFERROR(playerPoints($H358,$F358,$G358,I$1),"")</f>
        <v/>
      </c>
      <c r="J358" s="2" t="str" cm="1">
        <f t="array" ref="J358">IFERROR(playerPoints($H358,$F358,$G358,J$1),"")</f>
        <v/>
      </c>
      <c r="K358" s="2" t="str" cm="1">
        <f t="array" ref="K358">IFERROR(playerPoints($H358,$F358,$G358,K$1),"")</f>
        <v/>
      </c>
      <c r="L358" s="2" t="str" cm="1">
        <f t="array" ref="L358">IFERROR(playerPoints($H358,$F358,$G358,L$1),"")</f>
        <v/>
      </c>
      <c r="M358" s="2" t="str" cm="1">
        <f t="array" ref="M358">IFERROR(playerPoints($H358,$F358,$G358,M$1),"")</f>
        <v/>
      </c>
      <c r="N358" s="2" t="str" cm="1">
        <f t="array" ref="N358">IFERROR(playerPoints($H358,$F358,$G358,N$1),"")</f>
        <v/>
      </c>
      <c r="O358" s="2" t="str" cm="1">
        <f t="array" ref="O358">IFERROR(playerPoints($H358,$F358,$G358,O$1),"")</f>
        <v/>
      </c>
      <c r="Q358" s="2">
        <f t="shared" si="5"/>
        <v>0</v>
      </c>
    </row>
    <row r="359" spans="1:17">
      <c r="A359" s="2">
        <v>358</v>
      </c>
      <c r="B359" s="2" t="s">
        <v>1446</v>
      </c>
      <c r="C359" s="2" t="s">
        <v>1612</v>
      </c>
      <c r="D359" s="2" t="s">
        <v>908</v>
      </c>
      <c r="F359" s="2" t="str">
        <f>LOOKUP(D359,Sheet3!A$1:A$32,Sheet3!B$1:B$32)</f>
        <v>GHA</v>
      </c>
      <c r="G359" s="2" t="s">
        <v>2697</v>
      </c>
      <c r="H359" s="2" t="s">
        <v>66</v>
      </c>
      <c r="I359" s="2" t="str" cm="1">
        <f t="array" ref="I359">IFERROR(playerPoints($H359,$F359,$G359,I$1),"")</f>
        <v/>
      </c>
      <c r="J359" s="2" t="str" cm="1">
        <f t="array" ref="J359">IFERROR(playerPoints($H359,$F359,$G359,J$1),"")</f>
        <v/>
      </c>
      <c r="K359" s="2" t="str" cm="1">
        <f t="array" ref="K359">IFERROR(playerPoints($H359,$F359,$G359,K$1),"")</f>
        <v/>
      </c>
      <c r="L359" s="2" t="str" cm="1">
        <f t="array" ref="L359">IFERROR(playerPoints($H359,$F359,$G359,L$1),"")</f>
        <v/>
      </c>
      <c r="M359" s="2" t="str" cm="1">
        <f t="array" ref="M359">IFERROR(playerPoints($H359,$F359,$G359,M$1),"")</f>
        <v/>
      </c>
      <c r="N359" s="2" t="str" cm="1">
        <f t="array" ref="N359">IFERROR(playerPoints($H359,$F359,$G359,N$1),"")</f>
        <v/>
      </c>
      <c r="O359" s="2" t="str" cm="1">
        <f t="array" ref="O359">IFERROR(playerPoints($H359,$F359,$G359,O$1),"")</f>
        <v/>
      </c>
      <c r="Q359" s="2">
        <f t="shared" si="5"/>
        <v>0</v>
      </c>
    </row>
    <row r="360" spans="1:17">
      <c r="A360" s="2">
        <v>359</v>
      </c>
      <c r="B360" s="2" t="s">
        <v>1613</v>
      </c>
      <c r="C360" s="2" t="s">
        <v>1612</v>
      </c>
      <c r="D360" s="2" t="s">
        <v>908</v>
      </c>
      <c r="F360" s="2" t="str">
        <f>LOOKUP(D360,Sheet3!A$1:A$32,Sheet3!B$1:B$32)</f>
        <v>GHA</v>
      </c>
      <c r="G360" s="2" t="s">
        <v>2698</v>
      </c>
      <c r="H360" s="2" t="s">
        <v>66</v>
      </c>
      <c r="I360" s="2" t="str" cm="1">
        <f t="array" ref="I360">IFERROR(playerPoints($H360,$F360,$G360,I$1),"")</f>
        <v/>
      </c>
      <c r="J360" s="2" t="str" cm="1">
        <f t="array" ref="J360">IFERROR(playerPoints($H360,$F360,$G360,J$1),"")</f>
        <v/>
      </c>
      <c r="K360" s="2" t="str" cm="1">
        <f t="array" ref="K360">IFERROR(playerPoints($H360,$F360,$G360,K$1),"")</f>
        <v/>
      </c>
      <c r="L360" s="2" t="str" cm="1">
        <f t="array" ref="L360">IFERROR(playerPoints($H360,$F360,$G360,L$1),"")</f>
        <v/>
      </c>
      <c r="M360" s="2" t="str" cm="1">
        <f t="array" ref="M360">IFERROR(playerPoints($H360,$F360,$G360,M$1),"")</f>
        <v/>
      </c>
      <c r="N360" s="2" t="str" cm="1">
        <f t="array" ref="N360">IFERROR(playerPoints($H360,$F360,$G360,N$1),"")</f>
        <v/>
      </c>
      <c r="O360" s="2" t="str" cm="1">
        <f t="array" ref="O360">IFERROR(playerPoints($H360,$F360,$G360,O$1),"")</f>
        <v/>
      </c>
      <c r="Q360" s="2">
        <f t="shared" si="5"/>
        <v>0</v>
      </c>
    </row>
    <row r="361" spans="1:17">
      <c r="A361" s="2">
        <v>360</v>
      </c>
      <c r="B361" s="2" t="s">
        <v>1614</v>
      </c>
      <c r="C361" s="2" t="s">
        <v>1615</v>
      </c>
      <c r="D361" s="2" t="s">
        <v>908</v>
      </c>
      <c r="F361" s="2" t="str">
        <f>LOOKUP(D361,Sheet3!A$1:A$32,Sheet3!B$1:B$32)</f>
        <v>GHA</v>
      </c>
      <c r="G361" s="2" t="s">
        <v>2699</v>
      </c>
      <c r="H361" s="2" t="s">
        <v>66</v>
      </c>
      <c r="I361" s="2" t="str" cm="1">
        <f t="array" ref="I361">IFERROR(playerPoints($H361,$F361,$G361,I$1),"")</f>
        <v/>
      </c>
      <c r="J361" s="2" t="str" cm="1">
        <f t="array" ref="J361">IFERROR(playerPoints($H361,$F361,$G361,J$1),"")</f>
        <v/>
      </c>
      <c r="K361" s="2" t="str" cm="1">
        <f t="array" ref="K361">IFERROR(playerPoints($H361,$F361,$G361,K$1),"")</f>
        <v/>
      </c>
      <c r="L361" s="2" t="str" cm="1">
        <f t="array" ref="L361">IFERROR(playerPoints($H361,$F361,$G361,L$1),"")</f>
        <v/>
      </c>
      <c r="M361" s="2" t="str" cm="1">
        <f t="array" ref="M361">IFERROR(playerPoints($H361,$F361,$G361,M$1),"")</f>
        <v/>
      </c>
      <c r="N361" s="2" t="str" cm="1">
        <f t="array" ref="N361">IFERROR(playerPoints($H361,$F361,$G361,N$1),"")</f>
        <v/>
      </c>
      <c r="O361" s="2" t="str" cm="1">
        <f t="array" ref="O361">IFERROR(playerPoints($H361,$F361,$G361,O$1),"")</f>
        <v/>
      </c>
      <c r="Q361" s="2">
        <f t="shared" si="5"/>
        <v>0</v>
      </c>
    </row>
    <row r="362" spans="1:17">
      <c r="A362" s="2">
        <v>361</v>
      </c>
      <c r="B362" s="2" t="s">
        <v>1295</v>
      </c>
      <c r="C362" s="2" t="s">
        <v>1616</v>
      </c>
      <c r="D362" s="2" t="s">
        <v>908</v>
      </c>
      <c r="F362" s="2" t="str">
        <f>LOOKUP(D362,Sheet3!A$1:A$32,Sheet3!B$1:B$32)</f>
        <v>GHA</v>
      </c>
      <c r="G362" s="2" t="s">
        <v>2700</v>
      </c>
      <c r="H362" s="2" t="s">
        <v>66</v>
      </c>
      <c r="I362" s="2" t="str" cm="1">
        <f t="array" ref="I362">IFERROR(playerPoints($H362,$F362,$G362,I$1),"")</f>
        <v/>
      </c>
      <c r="J362" s="2" t="str" cm="1">
        <f t="array" ref="J362">IFERROR(playerPoints($H362,$F362,$G362,J$1),"")</f>
        <v/>
      </c>
      <c r="K362" s="2" t="str" cm="1">
        <f t="array" ref="K362">IFERROR(playerPoints($H362,$F362,$G362,K$1),"")</f>
        <v/>
      </c>
      <c r="L362" s="2" t="str" cm="1">
        <f t="array" ref="L362">IFERROR(playerPoints($H362,$F362,$G362,L$1),"")</f>
        <v/>
      </c>
      <c r="M362" s="2" t="str" cm="1">
        <f t="array" ref="M362">IFERROR(playerPoints($H362,$F362,$G362,M$1),"")</f>
        <v/>
      </c>
      <c r="N362" s="2" t="str" cm="1">
        <f t="array" ref="N362">IFERROR(playerPoints($H362,$F362,$G362,N$1),"")</f>
        <v/>
      </c>
      <c r="O362" s="2" t="str" cm="1">
        <f t="array" ref="O362">IFERROR(playerPoints($H362,$F362,$G362,O$1),"")</f>
        <v/>
      </c>
      <c r="Q362" s="2">
        <f t="shared" si="5"/>
        <v>0</v>
      </c>
    </row>
    <row r="363" spans="1:17">
      <c r="A363" s="2">
        <v>362</v>
      </c>
      <c r="B363" s="2" t="s">
        <v>1617</v>
      </c>
      <c r="C363" s="2" t="s">
        <v>1618</v>
      </c>
      <c r="D363" s="2" t="s">
        <v>908</v>
      </c>
      <c r="F363" s="2" t="str">
        <f>LOOKUP(D363,Sheet3!A$1:A$32,Sheet3!B$1:B$32)</f>
        <v>GHA</v>
      </c>
      <c r="G363" s="2" t="s">
        <v>2701</v>
      </c>
      <c r="H363" s="2" t="s">
        <v>66</v>
      </c>
      <c r="I363" s="2" t="str" cm="1">
        <f t="array" ref="I363">IFERROR(playerPoints($H363,$F363,$G363,I$1),"")</f>
        <v/>
      </c>
      <c r="J363" s="2" t="str" cm="1">
        <f t="array" ref="J363">IFERROR(playerPoints($H363,$F363,$G363,J$1),"")</f>
        <v/>
      </c>
      <c r="K363" s="2" t="str" cm="1">
        <f t="array" ref="K363">IFERROR(playerPoints($H363,$F363,$G363,K$1),"")</f>
        <v/>
      </c>
      <c r="L363" s="2" t="str" cm="1">
        <f t="array" ref="L363">IFERROR(playerPoints($H363,$F363,$G363,L$1),"")</f>
        <v/>
      </c>
      <c r="M363" s="2" t="str" cm="1">
        <f t="array" ref="M363">IFERROR(playerPoints($H363,$F363,$G363,M$1),"")</f>
        <v/>
      </c>
      <c r="N363" s="2" t="str" cm="1">
        <f t="array" ref="N363">IFERROR(playerPoints($H363,$F363,$G363,N$1),"")</f>
        <v/>
      </c>
      <c r="O363" s="2" t="str" cm="1">
        <f t="array" ref="O363">IFERROR(playerPoints($H363,$F363,$G363,O$1),"")</f>
        <v/>
      </c>
      <c r="Q363" s="2">
        <f t="shared" si="5"/>
        <v>0</v>
      </c>
    </row>
    <row r="364" spans="1:17">
      <c r="A364" s="2">
        <v>363</v>
      </c>
      <c r="B364" s="2" t="s">
        <v>1237</v>
      </c>
      <c r="C364" s="2" t="s">
        <v>1619</v>
      </c>
      <c r="D364" s="2" t="s">
        <v>908</v>
      </c>
      <c r="F364" s="2" t="str">
        <f>LOOKUP(D364,Sheet3!A$1:A$32,Sheet3!B$1:B$32)</f>
        <v>GHA</v>
      </c>
      <c r="G364" s="2" t="s">
        <v>2702</v>
      </c>
      <c r="H364" s="2" t="s">
        <v>66</v>
      </c>
      <c r="I364" s="2" t="str" cm="1">
        <f t="array" ref="I364">IFERROR(playerPoints($H364,$F364,$G364,I$1),"")</f>
        <v/>
      </c>
      <c r="J364" s="2" t="str" cm="1">
        <f t="array" ref="J364">IFERROR(playerPoints($H364,$F364,$G364,J$1),"")</f>
        <v/>
      </c>
      <c r="K364" s="2" t="str" cm="1">
        <f t="array" ref="K364">IFERROR(playerPoints($H364,$F364,$G364,K$1),"")</f>
        <v/>
      </c>
      <c r="L364" s="2" t="str" cm="1">
        <f t="array" ref="L364">IFERROR(playerPoints($H364,$F364,$G364,L$1),"")</f>
        <v/>
      </c>
      <c r="M364" s="2" t="str" cm="1">
        <f t="array" ref="M364">IFERROR(playerPoints($H364,$F364,$G364,M$1),"")</f>
        <v/>
      </c>
      <c r="N364" s="2" t="str" cm="1">
        <f t="array" ref="N364">IFERROR(playerPoints($H364,$F364,$G364,N$1),"")</f>
        <v/>
      </c>
      <c r="O364" s="2" t="str" cm="1">
        <f t="array" ref="O364">IFERROR(playerPoints($H364,$F364,$G364,O$1),"")</f>
        <v/>
      </c>
      <c r="Q364" s="2">
        <f t="shared" si="5"/>
        <v>0</v>
      </c>
    </row>
    <row r="365" spans="1:17">
      <c r="A365" s="2">
        <v>364</v>
      </c>
      <c r="B365" s="2" t="s">
        <v>1520</v>
      </c>
      <c r="C365" s="2" t="s">
        <v>1620</v>
      </c>
      <c r="D365" s="2" t="s">
        <v>908</v>
      </c>
      <c r="F365" s="2" t="str">
        <f>LOOKUP(D365,Sheet3!A$1:A$32,Sheet3!B$1:B$32)</f>
        <v>GHA</v>
      </c>
      <c r="G365" s="2" t="s">
        <v>2703</v>
      </c>
      <c r="H365" s="2" t="s">
        <v>66</v>
      </c>
      <c r="I365" s="2" t="str" cm="1">
        <f t="array" ref="I365">IFERROR(playerPoints($H365,$F365,$G365,I$1),"")</f>
        <v/>
      </c>
      <c r="J365" s="2" t="str" cm="1">
        <f t="array" ref="J365">IFERROR(playerPoints($H365,$F365,$G365,J$1),"")</f>
        <v/>
      </c>
      <c r="K365" s="2" t="str" cm="1">
        <f t="array" ref="K365">IFERROR(playerPoints($H365,$F365,$G365,K$1),"")</f>
        <v/>
      </c>
      <c r="L365" s="2" t="str" cm="1">
        <f t="array" ref="L365">IFERROR(playerPoints($H365,$F365,$G365,L$1),"")</f>
        <v/>
      </c>
      <c r="M365" s="2" t="str" cm="1">
        <f t="array" ref="M365">IFERROR(playerPoints($H365,$F365,$G365,M$1),"")</f>
        <v/>
      </c>
      <c r="N365" s="2" t="str" cm="1">
        <f t="array" ref="N365">IFERROR(playerPoints($H365,$F365,$G365,N$1),"")</f>
        <v/>
      </c>
      <c r="O365" s="2" t="str" cm="1">
        <f t="array" ref="O365">IFERROR(playerPoints($H365,$F365,$G365,O$1),"")</f>
        <v/>
      </c>
      <c r="Q365" s="2">
        <f t="shared" si="5"/>
        <v>0</v>
      </c>
    </row>
    <row r="366" spans="1:17">
      <c r="A366" s="2">
        <v>365</v>
      </c>
      <c r="B366" s="2" t="s">
        <v>1621</v>
      </c>
      <c r="C366" s="2" t="s">
        <v>1622</v>
      </c>
      <c r="D366" s="2" t="s">
        <v>909</v>
      </c>
      <c r="F366" s="2" t="str">
        <f>LOOKUP(D366,Sheet3!A$1:A$32,Sheet3!B$1:B$32)</f>
        <v>GHA</v>
      </c>
      <c r="G366" s="2" t="s">
        <v>2704</v>
      </c>
      <c r="H366" s="2" t="s">
        <v>44</v>
      </c>
      <c r="I366" s="2" t="str" cm="1">
        <f t="array" ref="I366">IFERROR(playerPoints($H366,$F366,$G366,I$1),"")</f>
        <v/>
      </c>
      <c r="J366" s="2" t="str" cm="1">
        <f t="array" ref="J366">IFERROR(playerPoints($H366,$F366,$G366,J$1),"")</f>
        <v/>
      </c>
      <c r="K366" s="2" t="str" cm="1">
        <f t="array" ref="K366">IFERROR(playerPoints($H366,$F366,$G366,K$1),"")</f>
        <v/>
      </c>
      <c r="L366" s="2" t="str" cm="1">
        <f t="array" ref="L366">IFERROR(playerPoints($H366,$F366,$G366,L$1),"")</f>
        <v/>
      </c>
      <c r="M366" s="2" t="str" cm="1">
        <f t="array" ref="M366">IFERROR(playerPoints($H366,$F366,$G366,M$1),"")</f>
        <v/>
      </c>
      <c r="N366" s="2" t="str" cm="1">
        <f t="array" ref="N366">IFERROR(playerPoints($H366,$F366,$G366,N$1),"")</f>
        <v/>
      </c>
      <c r="O366" s="2" t="str" cm="1">
        <f t="array" ref="O366">IFERROR(playerPoints($H366,$F366,$G366,O$1),"")</f>
        <v/>
      </c>
      <c r="Q366" s="2">
        <f t="shared" si="5"/>
        <v>0</v>
      </c>
    </row>
    <row r="367" spans="1:17">
      <c r="A367" s="2">
        <v>366</v>
      </c>
      <c r="B367" s="2" t="s">
        <v>1623</v>
      </c>
      <c r="C367" s="2" t="s">
        <v>1624</v>
      </c>
      <c r="D367" s="2" t="s">
        <v>909</v>
      </c>
      <c r="F367" s="2" t="str">
        <f>LOOKUP(D367,Sheet3!A$1:A$32,Sheet3!B$1:B$32)</f>
        <v>GHA</v>
      </c>
      <c r="G367" s="2" t="s">
        <v>2705</v>
      </c>
      <c r="H367" s="2" t="s">
        <v>44</v>
      </c>
      <c r="I367" s="2" t="str" cm="1">
        <f t="array" ref="I367">IFERROR(playerPoints($H367,$F367,$G367,I$1),"")</f>
        <v/>
      </c>
      <c r="J367" s="2" t="str" cm="1">
        <f t="array" ref="J367">IFERROR(playerPoints($H367,$F367,$G367,J$1),"")</f>
        <v/>
      </c>
      <c r="K367" s="2" t="str" cm="1">
        <f t="array" ref="K367">IFERROR(playerPoints($H367,$F367,$G367,K$1),"")</f>
        <v/>
      </c>
      <c r="L367" s="2" t="str" cm="1">
        <f t="array" ref="L367">IFERROR(playerPoints($H367,$F367,$G367,L$1),"")</f>
        <v/>
      </c>
      <c r="M367" s="2" t="str" cm="1">
        <f t="array" ref="M367">IFERROR(playerPoints($H367,$F367,$G367,M$1),"")</f>
        <v/>
      </c>
      <c r="N367" s="2" t="str" cm="1">
        <f t="array" ref="N367">IFERROR(playerPoints($H367,$F367,$G367,N$1),"")</f>
        <v/>
      </c>
      <c r="O367" s="2" t="str" cm="1">
        <f t="array" ref="O367">IFERROR(playerPoints($H367,$F367,$G367,O$1),"")</f>
        <v/>
      </c>
      <c r="Q367" s="2">
        <f t="shared" si="5"/>
        <v>0</v>
      </c>
    </row>
    <row r="368" spans="1:17">
      <c r="A368" s="2">
        <v>367</v>
      </c>
      <c r="B368" s="2" t="s">
        <v>1625</v>
      </c>
      <c r="C368" s="2" t="s">
        <v>1626</v>
      </c>
      <c r="D368" s="2" t="s">
        <v>909</v>
      </c>
      <c r="F368" s="2" t="str">
        <f>LOOKUP(D368,Sheet3!A$1:A$32,Sheet3!B$1:B$32)</f>
        <v>GHA</v>
      </c>
      <c r="G368" s="2" t="s">
        <v>2706</v>
      </c>
      <c r="H368" s="2" t="s">
        <v>44</v>
      </c>
      <c r="I368" s="2" t="str" cm="1">
        <f t="array" ref="I368">IFERROR(playerPoints($H368,$F368,$G368,I$1),"")</f>
        <v/>
      </c>
      <c r="J368" s="2" t="str" cm="1">
        <f t="array" ref="J368">IFERROR(playerPoints($H368,$F368,$G368,J$1),"")</f>
        <v/>
      </c>
      <c r="K368" s="2" t="str" cm="1">
        <f t="array" ref="K368">IFERROR(playerPoints($H368,$F368,$G368,K$1),"")</f>
        <v/>
      </c>
      <c r="L368" s="2" t="str" cm="1">
        <f t="array" ref="L368">IFERROR(playerPoints($H368,$F368,$G368,L$1),"")</f>
        <v/>
      </c>
      <c r="M368" s="2" t="str" cm="1">
        <f t="array" ref="M368">IFERROR(playerPoints($H368,$F368,$G368,M$1),"")</f>
        <v/>
      </c>
      <c r="N368" s="2" t="str" cm="1">
        <f t="array" ref="N368">IFERROR(playerPoints($H368,$F368,$G368,N$1),"")</f>
        <v/>
      </c>
      <c r="O368" s="2" t="str" cm="1">
        <f t="array" ref="O368">IFERROR(playerPoints($H368,$F368,$G368,O$1),"")</f>
        <v/>
      </c>
      <c r="Q368" s="2">
        <f t="shared" si="5"/>
        <v>0</v>
      </c>
    </row>
    <row r="369" spans="1:17">
      <c r="A369" s="2">
        <v>368</v>
      </c>
      <c r="B369" s="2" t="s">
        <v>1627</v>
      </c>
      <c r="C369" s="2" t="s">
        <v>1628</v>
      </c>
      <c r="D369" s="2" t="s">
        <v>909</v>
      </c>
      <c r="F369" s="2" t="str">
        <f>LOOKUP(D369,Sheet3!A$1:A$32,Sheet3!B$1:B$32)</f>
        <v>GHA</v>
      </c>
      <c r="G369" s="2" t="s">
        <v>2707</v>
      </c>
      <c r="H369" s="2" t="s">
        <v>44</v>
      </c>
      <c r="I369" s="2" t="str" cm="1">
        <f t="array" ref="I369">IFERROR(playerPoints($H369,$F369,$G369,I$1),"")</f>
        <v/>
      </c>
      <c r="J369" s="2" t="str" cm="1">
        <f t="array" ref="J369">IFERROR(playerPoints($H369,$F369,$G369,J$1),"")</f>
        <v/>
      </c>
      <c r="K369" s="2" t="str" cm="1">
        <f t="array" ref="K369">IFERROR(playerPoints($H369,$F369,$G369,K$1),"")</f>
        <v/>
      </c>
      <c r="L369" s="2" t="str" cm="1">
        <f t="array" ref="L369">IFERROR(playerPoints($H369,$F369,$G369,L$1),"")</f>
        <v/>
      </c>
      <c r="M369" s="2" t="str" cm="1">
        <f t="array" ref="M369">IFERROR(playerPoints($H369,$F369,$G369,M$1),"")</f>
        <v/>
      </c>
      <c r="N369" s="2" t="str" cm="1">
        <f t="array" ref="N369">IFERROR(playerPoints($H369,$F369,$G369,N$1),"")</f>
        <v/>
      </c>
      <c r="O369" s="2" t="str" cm="1">
        <f t="array" ref="O369">IFERROR(playerPoints($H369,$F369,$G369,O$1),"")</f>
        <v/>
      </c>
      <c r="Q369" s="2">
        <f t="shared" si="5"/>
        <v>0</v>
      </c>
    </row>
    <row r="370" spans="1:17">
      <c r="A370" s="2">
        <v>369</v>
      </c>
      <c r="B370" s="2" t="s">
        <v>1629</v>
      </c>
      <c r="C370" s="2" t="s">
        <v>1630</v>
      </c>
      <c r="D370" s="2" t="s">
        <v>909</v>
      </c>
      <c r="F370" s="2" t="str">
        <f>LOOKUP(D370,Sheet3!A$1:A$32,Sheet3!B$1:B$32)</f>
        <v>GHA</v>
      </c>
      <c r="G370" s="2" t="s">
        <v>2708</v>
      </c>
      <c r="H370" s="2" t="s">
        <v>48</v>
      </c>
      <c r="I370" s="2" t="str" cm="1">
        <f t="array" ref="I370">IFERROR(playerPoints($H370,$F370,$G370,I$1),"")</f>
        <v/>
      </c>
      <c r="J370" s="2" t="str" cm="1">
        <f t="array" ref="J370">IFERROR(playerPoints($H370,$F370,$G370,J$1),"")</f>
        <v/>
      </c>
      <c r="K370" s="2" t="str" cm="1">
        <f t="array" ref="K370">IFERROR(playerPoints($H370,$F370,$G370,K$1),"")</f>
        <v/>
      </c>
      <c r="L370" s="2" t="str" cm="1">
        <f t="array" ref="L370">IFERROR(playerPoints($H370,$F370,$G370,L$1),"")</f>
        <v/>
      </c>
      <c r="M370" s="2" t="str" cm="1">
        <f t="array" ref="M370">IFERROR(playerPoints($H370,$F370,$G370,M$1),"")</f>
        <v/>
      </c>
      <c r="N370" s="2" t="str" cm="1">
        <f t="array" ref="N370">IFERROR(playerPoints($H370,$F370,$G370,N$1),"")</f>
        <v/>
      </c>
      <c r="O370" s="2" t="str" cm="1">
        <f t="array" ref="O370">IFERROR(playerPoints($H370,$F370,$G370,O$1),"")</f>
        <v/>
      </c>
      <c r="Q370" s="2">
        <f t="shared" si="5"/>
        <v>0</v>
      </c>
    </row>
    <row r="371" spans="1:17">
      <c r="A371" s="2">
        <v>370</v>
      </c>
      <c r="B371" s="2" t="s">
        <v>1631</v>
      </c>
      <c r="C371" s="2" t="s">
        <v>1632</v>
      </c>
      <c r="D371" s="2" t="s">
        <v>909</v>
      </c>
      <c r="F371" s="2" t="str">
        <f>LOOKUP(D371,Sheet3!A$1:A$32,Sheet3!B$1:B$32)</f>
        <v>GHA</v>
      </c>
      <c r="G371" s="2" t="s">
        <v>2709</v>
      </c>
      <c r="H371" s="2" t="s">
        <v>48</v>
      </c>
      <c r="I371" s="2" t="str" cm="1">
        <f t="array" ref="I371">IFERROR(playerPoints($H371,$F371,$G371,I$1),"")</f>
        <v/>
      </c>
      <c r="J371" s="2" t="str" cm="1">
        <f t="array" ref="J371">IFERROR(playerPoints($H371,$F371,$G371,J$1),"")</f>
        <v/>
      </c>
      <c r="K371" s="2" t="str" cm="1">
        <f t="array" ref="K371">IFERROR(playerPoints($H371,$F371,$G371,K$1),"")</f>
        <v/>
      </c>
      <c r="L371" s="2" t="str" cm="1">
        <f t="array" ref="L371">IFERROR(playerPoints($H371,$F371,$G371,L$1),"")</f>
        <v/>
      </c>
      <c r="M371" s="2" t="str" cm="1">
        <f t="array" ref="M371">IFERROR(playerPoints($H371,$F371,$G371,M$1),"")</f>
        <v/>
      </c>
      <c r="N371" s="2" t="str" cm="1">
        <f t="array" ref="N371">IFERROR(playerPoints($H371,$F371,$G371,N$1),"")</f>
        <v/>
      </c>
      <c r="O371" s="2" t="str" cm="1">
        <f t="array" ref="O371">IFERROR(playerPoints($H371,$F371,$G371,O$1),"")</f>
        <v/>
      </c>
      <c r="Q371" s="2">
        <f t="shared" si="5"/>
        <v>0</v>
      </c>
    </row>
    <row r="372" spans="1:17">
      <c r="A372" s="2">
        <v>371</v>
      </c>
      <c r="B372" s="2" t="s">
        <v>1633</v>
      </c>
      <c r="C372" s="2" t="s">
        <v>1634</v>
      </c>
      <c r="D372" s="2" t="s">
        <v>909</v>
      </c>
      <c r="F372" s="2" t="str">
        <f>LOOKUP(D372,Sheet3!A$1:A$32,Sheet3!B$1:B$32)</f>
        <v>GHA</v>
      </c>
      <c r="G372" s="2" t="s">
        <v>2710</v>
      </c>
      <c r="H372" s="2" t="s">
        <v>48</v>
      </c>
      <c r="I372" s="2" t="str" cm="1">
        <f t="array" ref="I372">IFERROR(playerPoints($H372,$F372,$G372,I$1),"")</f>
        <v/>
      </c>
      <c r="J372" s="2" t="str" cm="1">
        <f t="array" ref="J372">IFERROR(playerPoints($H372,$F372,$G372,J$1),"")</f>
        <v/>
      </c>
      <c r="K372" s="2" t="str" cm="1">
        <f t="array" ref="K372">IFERROR(playerPoints($H372,$F372,$G372,K$1),"")</f>
        <v/>
      </c>
      <c r="L372" s="2" t="str" cm="1">
        <f t="array" ref="L372">IFERROR(playerPoints($H372,$F372,$G372,L$1),"")</f>
        <v/>
      </c>
      <c r="M372" s="2" t="str" cm="1">
        <f t="array" ref="M372">IFERROR(playerPoints($H372,$F372,$G372,M$1),"")</f>
        <v/>
      </c>
      <c r="N372" s="2" t="str" cm="1">
        <f t="array" ref="N372">IFERROR(playerPoints($H372,$F372,$G372,N$1),"")</f>
        <v/>
      </c>
      <c r="O372" s="2" t="str" cm="1">
        <f t="array" ref="O372">IFERROR(playerPoints($H372,$F372,$G372,O$1),"")</f>
        <v/>
      </c>
      <c r="Q372" s="2">
        <f t="shared" si="5"/>
        <v>0</v>
      </c>
    </row>
    <row r="373" spans="1:17">
      <c r="A373" s="2">
        <v>372</v>
      </c>
      <c r="B373" s="2" t="s">
        <v>1635</v>
      </c>
      <c r="C373" s="2" t="s">
        <v>1636</v>
      </c>
      <c r="D373" s="2" t="s">
        <v>909</v>
      </c>
      <c r="F373" s="2" t="str">
        <f>LOOKUP(D373,Sheet3!A$1:A$32,Sheet3!B$1:B$32)</f>
        <v>GHA</v>
      </c>
      <c r="G373" s="2" t="s">
        <v>2711</v>
      </c>
      <c r="H373" s="2" t="s">
        <v>48</v>
      </c>
      <c r="I373" s="2" t="str" cm="1">
        <f t="array" ref="I373">IFERROR(playerPoints($H373,$F373,$G373,I$1),"")</f>
        <v/>
      </c>
      <c r="J373" s="2" t="str" cm="1">
        <f t="array" ref="J373">IFERROR(playerPoints($H373,$F373,$G373,J$1),"")</f>
        <v/>
      </c>
      <c r="K373" s="2" t="str" cm="1">
        <f t="array" ref="K373">IFERROR(playerPoints($H373,$F373,$G373,K$1),"")</f>
        <v/>
      </c>
      <c r="L373" s="2" t="str" cm="1">
        <f t="array" ref="L373">IFERROR(playerPoints($H373,$F373,$G373,L$1),"")</f>
        <v/>
      </c>
      <c r="M373" s="2" t="str" cm="1">
        <f t="array" ref="M373">IFERROR(playerPoints($H373,$F373,$G373,M$1),"")</f>
        <v/>
      </c>
      <c r="N373" s="2" t="str" cm="1">
        <f t="array" ref="N373">IFERROR(playerPoints($H373,$F373,$G373,N$1),"")</f>
        <v/>
      </c>
      <c r="O373" s="2" t="str" cm="1">
        <f t="array" ref="O373">IFERROR(playerPoints($H373,$F373,$G373,O$1),"")</f>
        <v/>
      </c>
      <c r="Q373" s="2">
        <f t="shared" si="5"/>
        <v>0</v>
      </c>
    </row>
    <row r="374" spans="1:17">
      <c r="A374" s="2">
        <v>373</v>
      </c>
      <c r="B374" s="2" t="s">
        <v>1627</v>
      </c>
      <c r="C374" s="2" t="s">
        <v>1637</v>
      </c>
      <c r="D374" s="2" t="s">
        <v>909</v>
      </c>
      <c r="F374" s="2" t="str">
        <f>LOOKUP(D374,Sheet3!A$1:A$32,Sheet3!B$1:B$32)</f>
        <v>GHA</v>
      </c>
      <c r="G374" s="2" t="s">
        <v>2712</v>
      </c>
      <c r="H374" s="2" t="s">
        <v>48</v>
      </c>
      <c r="I374" s="2" t="str" cm="1">
        <f t="array" ref="I374">IFERROR(playerPoints($H374,$F374,$G374,I$1),"")</f>
        <v/>
      </c>
      <c r="J374" s="2" t="str" cm="1">
        <f t="array" ref="J374">IFERROR(playerPoints($H374,$F374,$G374,J$1),"")</f>
        <v/>
      </c>
      <c r="K374" s="2" t="str" cm="1">
        <f t="array" ref="K374">IFERROR(playerPoints($H374,$F374,$G374,K$1),"")</f>
        <v/>
      </c>
      <c r="L374" s="2" t="str" cm="1">
        <f t="array" ref="L374">IFERROR(playerPoints($H374,$F374,$G374,L$1),"")</f>
        <v/>
      </c>
      <c r="M374" s="2" t="str" cm="1">
        <f t="array" ref="M374">IFERROR(playerPoints($H374,$F374,$G374,M$1),"")</f>
        <v/>
      </c>
      <c r="N374" s="2" t="str" cm="1">
        <f t="array" ref="N374">IFERROR(playerPoints($H374,$F374,$G374,N$1),"")</f>
        <v/>
      </c>
      <c r="O374" s="2" t="str" cm="1">
        <f t="array" ref="O374">IFERROR(playerPoints($H374,$F374,$G374,O$1),"")</f>
        <v/>
      </c>
      <c r="Q374" s="2">
        <f t="shared" si="5"/>
        <v>0</v>
      </c>
    </row>
    <row r="375" spans="1:17">
      <c r="A375" s="2">
        <v>374</v>
      </c>
      <c r="B375" s="2" t="s">
        <v>1638</v>
      </c>
      <c r="C375" s="2" t="s">
        <v>1639</v>
      </c>
      <c r="D375" s="2" t="s">
        <v>909</v>
      </c>
      <c r="F375" s="2" t="str">
        <f>LOOKUP(D375,Sheet3!A$1:A$32,Sheet3!B$1:B$32)</f>
        <v>GHA</v>
      </c>
      <c r="G375" s="2" t="s">
        <v>2713</v>
      </c>
      <c r="H375" s="2" t="s">
        <v>48</v>
      </c>
      <c r="I375" s="2" t="str" cm="1">
        <f t="array" ref="I375">IFERROR(playerPoints($H375,$F375,$G375,I$1),"")</f>
        <v/>
      </c>
      <c r="J375" s="2" t="str" cm="1">
        <f t="array" ref="J375">IFERROR(playerPoints($H375,$F375,$G375,J$1),"")</f>
        <v/>
      </c>
      <c r="K375" s="2" t="str" cm="1">
        <f t="array" ref="K375">IFERROR(playerPoints($H375,$F375,$G375,K$1),"")</f>
        <v/>
      </c>
      <c r="L375" s="2" t="str" cm="1">
        <f t="array" ref="L375">IFERROR(playerPoints($H375,$F375,$G375,L$1),"")</f>
        <v/>
      </c>
      <c r="M375" s="2" t="str" cm="1">
        <f t="array" ref="M375">IFERROR(playerPoints($H375,$F375,$G375,M$1),"")</f>
        <v/>
      </c>
      <c r="N375" s="2" t="str" cm="1">
        <f t="array" ref="N375">IFERROR(playerPoints($H375,$F375,$G375,N$1),"")</f>
        <v/>
      </c>
      <c r="O375" s="2" t="str" cm="1">
        <f t="array" ref="O375">IFERROR(playerPoints($H375,$F375,$G375,O$1),"")</f>
        <v/>
      </c>
      <c r="Q375" s="2">
        <f t="shared" si="5"/>
        <v>0</v>
      </c>
    </row>
    <row r="376" spans="1:17">
      <c r="A376" s="2">
        <v>375</v>
      </c>
      <c r="B376" s="2" t="s">
        <v>1640</v>
      </c>
      <c r="C376" s="2" t="s">
        <v>1628</v>
      </c>
      <c r="D376" s="2" t="s">
        <v>909</v>
      </c>
      <c r="F376" s="2" t="str">
        <f>LOOKUP(D376,Sheet3!A$1:A$32,Sheet3!B$1:B$32)</f>
        <v>GHA</v>
      </c>
      <c r="G376" s="2" t="s">
        <v>2714</v>
      </c>
      <c r="H376" s="2" t="s">
        <v>48</v>
      </c>
      <c r="I376" s="2" t="str" cm="1">
        <f t="array" ref="I376">IFERROR(playerPoints($H376,$F376,$G376,I$1),"")</f>
        <v/>
      </c>
      <c r="J376" s="2" t="str" cm="1">
        <f t="array" ref="J376">IFERROR(playerPoints($H376,$F376,$G376,J$1),"")</f>
        <v/>
      </c>
      <c r="K376" s="2" t="str" cm="1">
        <f t="array" ref="K376">IFERROR(playerPoints($H376,$F376,$G376,K$1),"")</f>
        <v/>
      </c>
      <c r="L376" s="2" t="str" cm="1">
        <f t="array" ref="L376">IFERROR(playerPoints($H376,$F376,$G376,L$1),"")</f>
        <v/>
      </c>
      <c r="M376" s="2" t="str" cm="1">
        <f t="array" ref="M376">IFERROR(playerPoints($H376,$F376,$G376,M$1),"")</f>
        <v/>
      </c>
      <c r="N376" s="2" t="str" cm="1">
        <f t="array" ref="N376">IFERROR(playerPoints($H376,$F376,$G376,N$1),"")</f>
        <v/>
      </c>
      <c r="O376" s="2" t="str" cm="1">
        <f t="array" ref="O376">IFERROR(playerPoints($H376,$F376,$G376,O$1),"")</f>
        <v/>
      </c>
      <c r="Q376" s="2">
        <f t="shared" si="5"/>
        <v>0</v>
      </c>
    </row>
    <row r="377" spans="1:17">
      <c r="A377" s="2">
        <v>376</v>
      </c>
      <c r="B377" s="2" t="s">
        <v>1641</v>
      </c>
      <c r="C377" s="2" t="s">
        <v>1642</v>
      </c>
      <c r="D377" s="2" t="s">
        <v>909</v>
      </c>
      <c r="F377" s="2" t="str">
        <f>LOOKUP(D377,Sheet3!A$1:A$32,Sheet3!B$1:B$32)</f>
        <v>GHA</v>
      </c>
      <c r="G377" s="2" t="s">
        <v>2715</v>
      </c>
      <c r="H377" s="2" t="s">
        <v>48</v>
      </c>
      <c r="I377" s="2" t="str" cm="1">
        <f t="array" ref="I377">IFERROR(playerPoints($H377,$F377,$G377,I$1),"")</f>
        <v/>
      </c>
      <c r="J377" s="2" t="str" cm="1">
        <f t="array" ref="J377">IFERROR(playerPoints($H377,$F377,$G377,J$1),"")</f>
        <v/>
      </c>
      <c r="K377" s="2" t="str" cm="1">
        <f t="array" ref="K377">IFERROR(playerPoints($H377,$F377,$G377,K$1),"")</f>
        <v/>
      </c>
      <c r="L377" s="2" t="str" cm="1">
        <f t="array" ref="L377">IFERROR(playerPoints($H377,$F377,$G377,L$1),"")</f>
        <v/>
      </c>
      <c r="M377" s="2" t="str" cm="1">
        <f t="array" ref="M377">IFERROR(playerPoints($H377,$F377,$G377,M$1),"")</f>
        <v/>
      </c>
      <c r="N377" s="2" t="str" cm="1">
        <f t="array" ref="N377">IFERROR(playerPoints($H377,$F377,$G377,N$1),"")</f>
        <v/>
      </c>
      <c r="O377" s="2" t="str" cm="1">
        <f t="array" ref="O377">IFERROR(playerPoints($H377,$F377,$G377,O$1),"")</f>
        <v/>
      </c>
      <c r="Q377" s="2">
        <f t="shared" si="5"/>
        <v>0</v>
      </c>
    </row>
    <row r="378" spans="1:17">
      <c r="A378" s="2">
        <v>377</v>
      </c>
      <c r="B378" s="2" t="s">
        <v>1643</v>
      </c>
      <c r="C378" s="2" t="s">
        <v>1644</v>
      </c>
      <c r="D378" s="2" t="s">
        <v>909</v>
      </c>
      <c r="F378" s="2" t="str">
        <f>LOOKUP(D378,Sheet3!A$1:A$32,Sheet3!B$1:B$32)</f>
        <v>GHA</v>
      </c>
      <c r="G378" s="2" t="s">
        <v>2716</v>
      </c>
      <c r="H378" s="2" t="s">
        <v>48</v>
      </c>
      <c r="I378" s="2" t="str" cm="1">
        <f t="array" ref="I378">IFERROR(playerPoints($H378,$F378,$G378,I$1),"")</f>
        <v/>
      </c>
      <c r="J378" s="2" t="str" cm="1">
        <f t="array" ref="J378">IFERROR(playerPoints($H378,$F378,$G378,J$1),"")</f>
        <v/>
      </c>
      <c r="K378" s="2" t="str" cm="1">
        <f t="array" ref="K378">IFERROR(playerPoints($H378,$F378,$G378,K$1),"")</f>
        <v/>
      </c>
      <c r="L378" s="2" t="str" cm="1">
        <f t="array" ref="L378">IFERROR(playerPoints($H378,$F378,$G378,L$1),"")</f>
        <v/>
      </c>
      <c r="M378" s="2" t="str" cm="1">
        <f t="array" ref="M378">IFERROR(playerPoints($H378,$F378,$G378,M$1),"")</f>
        <v/>
      </c>
      <c r="N378" s="2" t="str" cm="1">
        <f t="array" ref="N378">IFERROR(playerPoints($H378,$F378,$G378,N$1),"")</f>
        <v/>
      </c>
      <c r="O378" s="2" t="str" cm="1">
        <f t="array" ref="O378">IFERROR(playerPoints($H378,$F378,$G378,O$1),"")</f>
        <v/>
      </c>
      <c r="Q378" s="2">
        <f t="shared" si="5"/>
        <v>0</v>
      </c>
    </row>
    <row r="379" spans="1:17">
      <c r="A379" s="2">
        <v>378</v>
      </c>
      <c r="B379" s="2" t="s">
        <v>1645</v>
      </c>
      <c r="C379" s="2" t="s">
        <v>1646</v>
      </c>
      <c r="D379" s="2" t="s">
        <v>909</v>
      </c>
      <c r="F379" s="2" t="str">
        <f>LOOKUP(D379,Sheet3!A$1:A$32,Sheet3!B$1:B$32)</f>
        <v>GHA</v>
      </c>
      <c r="G379" s="2" t="s">
        <v>2717</v>
      </c>
      <c r="H379" s="2" t="s">
        <v>57</v>
      </c>
      <c r="I379" s="2" t="str" cm="1">
        <f t="array" ref="I379">IFERROR(playerPoints($H379,$F379,$G379,I$1),"")</f>
        <v/>
      </c>
      <c r="J379" s="2" t="str" cm="1">
        <f t="array" ref="J379">IFERROR(playerPoints($H379,$F379,$G379,J$1),"")</f>
        <v/>
      </c>
      <c r="K379" s="2" t="str" cm="1">
        <f t="array" ref="K379">IFERROR(playerPoints($H379,$F379,$G379,K$1),"")</f>
        <v/>
      </c>
      <c r="L379" s="2" t="str" cm="1">
        <f t="array" ref="L379">IFERROR(playerPoints($H379,$F379,$G379,L$1),"")</f>
        <v/>
      </c>
      <c r="M379" s="2" t="str" cm="1">
        <f t="array" ref="M379">IFERROR(playerPoints($H379,$F379,$G379,M$1),"")</f>
        <v/>
      </c>
      <c r="N379" s="2" t="str" cm="1">
        <f t="array" ref="N379">IFERROR(playerPoints($H379,$F379,$G379,N$1),"")</f>
        <v/>
      </c>
      <c r="O379" s="2" t="str" cm="1">
        <f t="array" ref="O379">IFERROR(playerPoints($H379,$F379,$G379,O$1),"")</f>
        <v/>
      </c>
      <c r="Q379" s="2">
        <f t="shared" si="5"/>
        <v>0</v>
      </c>
    </row>
    <row r="380" spans="1:17">
      <c r="A380" s="2">
        <v>379</v>
      </c>
      <c r="B380" s="2" t="s">
        <v>1647</v>
      </c>
      <c r="C380" s="2" t="s">
        <v>1648</v>
      </c>
      <c r="D380" s="2" t="s">
        <v>909</v>
      </c>
      <c r="F380" s="2" t="str">
        <f>LOOKUP(D380,Sheet3!A$1:A$32,Sheet3!B$1:B$32)</f>
        <v>GHA</v>
      </c>
      <c r="G380" s="2" t="s">
        <v>2718</v>
      </c>
      <c r="H380" s="2" t="s">
        <v>57</v>
      </c>
      <c r="I380" s="2" t="str" cm="1">
        <f t="array" ref="I380">IFERROR(playerPoints($H380,$F380,$G380,I$1),"")</f>
        <v/>
      </c>
      <c r="J380" s="2" t="str" cm="1">
        <f t="array" ref="J380">IFERROR(playerPoints($H380,$F380,$G380,J$1),"")</f>
        <v/>
      </c>
      <c r="K380" s="2" t="str" cm="1">
        <f t="array" ref="K380">IFERROR(playerPoints($H380,$F380,$G380,K$1),"")</f>
        <v/>
      </c>
      <c r="L380" s="2" t="str" cm="1">
        <f t="array" ref="L380">IFERROR(playerPoints($H380,$F380,$G380,L$1),"")</f>
        <v/>
      </c>
      <c r="M380" s="2" t="str" cm="1">
        <f t="array" ref="M380">IFERROR(playerPoints($H380,$F380,$G380,M$1),"")</f>
        <v/>
      </c>
      <c r="N380" s="2" t="str" cm="1">
        <f t="array" ref="N380">IFERROR(playerPoints($H380,$F380,$G380,N$1),"")</f>
        <v/>
      </c>
      <c r="O380" s="2" t="str" cm="1">
        <f t="array" ref="O380">IFERROR(playerPoints($H380,$F380,$G380,O$1),"")</f>
        <v/>
      </c>
      <c r="Q380" s="2">
        <f t="shared" si="5"/>
        <v>0</v>
      </c>
    </row>
    <row r="381" spans="1:17">
      <c r="A381" s="2">
        <v>380</v>
      </c>
      <c r="B381" s="2" t="s">
        <v>1621</v>
      </c>
      <c r="C381" s="2" t="s">
        <v>1649</v>
      </c>
      <c r="D381" s="2" t="s">
        <v>909</v>
      </c>
      <c r="F381" s="2" t="str">
        <f>LOOKUP(D381,Sheet3!A$1:A$32,Sheet3!B$1:B$32)</f>
        <v>GHA</v>
      </c>
      <c r="G381" s="2" t="s">
        <v>2719</v>
      </c>
      <c r="H381" s="2" t="s">
        <v>57</v>
      </c>
      <c r="I381" s="2" t="str" cm="1">
        <f t="array" ref="I381">IFERROR(playerPoints($H381,$F381,$G381,I$1),"")</f>
        <v/>
      </c>
      <c r="J381" s="2" t="str" cm="1">
        <f t="array" ref="J381">IFERROR(playerPoints($H381,$F381,$G381,J$1),"")</f>
        <v/>
      </c>
      <c r="K381" s="2" t="str" cm="1">
        <f t="array" ref="K381">IFERROR(playerPoints($H381,$F381,$G381,K$1),"")</f>
        <v/>
      </c>
      <c r="L381" s="2" t="str" cm="1">
        <f t="array" ref="L381">IFERROR(playerPoints($H381,$F381,$G381,L$1),"")</f>
        <v/>
      </c>
      <c r="M381" s="2" t="str" cm="1">
        <f t="array" ref="M381">IFERROR(playerPoints($H381,$F381,$G381,M$1),"")</f>
        <v/>
      </c>
      <c r="N381" s="2" t="str" cm="1">
        <f t="array" ref="N381">IFERROR(playerPoints($H381,$F381,$G381,N$1),"")</f>
        <v/>
      </c>
      <c r="O381" s="2" t="str" cm="1">
        <f t="array" ref="O381">IFERROR(playerPoints($H381,$F381,$G381,O$1),"")</f>
        <v/>
      </c>
      <c r="Q381" s="2">
        <f t="shared" si="5"/>
        <v>0</v>
      </c>
    </row>
    <row r="382" spans="1:17">
      <c r="A382" s="2">
        <v>381</v>
      </c>
      <c r="B382" s="2" t="s">
        <v>1650</v>
      </c>
      <c r="C382" s="2" t="s">
        <v>1651</v>
      </c>
      <c r="D382" s="2" t="s">
        <v>909</v>
      </c>
      <c r="F382" s="2" t="str">
        <f>LOOKUP(D382,Sheet3!A$1:A$32,Sheet3!B$1:B$32)</f>
        <v>GHA</v>
      </c>
      <c r="G382" s="2" t="s">
        <v>2720</v>
      </c>
      <c r="H382" s="2" t="s">
        <v>57</v>
      </c>
      <c r="I382" s="2" t="str" cm="1">
        <f t="array" ref="I382">IFERROR(playerPoints($H382,$F382,$G382,I$1),"")</f>
        <v/>
      </c>
      <c r="J382" s="2" t="str" cm="1">
        <f t="array" ref="J382">IFERROR(playerPoints($H382,$F382,$G382,J$1),"")</f>
        <v/>
      </c>
      <c r="K382" s="2" t="str" cm="1">
        <f t="array" ref="K382">IFERROR(playerPoints($H382,$F382,$G382,K$1),"")</f>
        <v/>
      </c>
      <c r="L382" s="2" t="str" cm="1">
        <f t="array" ref="L382">IFERROR(playerPoints($H382,$F382,$G382,L$1),"")</f>
        <v/>
      </c>
      <c r="M382" s="2" t="str" cm="1">
        <f t="array" ref="M382">IFERROR(playerPoints($H382,$F382,$G382,M$1),"")</f>
        <v/>
      </c>
      <c r="N382" s="2" t="str" cm="1">
        <f t="array" ref="N382">IFERROR(playerPoints($H382,$F382,$G382,N$1),"")</f>
        <v/>
      </c>
      <c r="O382" s="2" t="str" cm="1">
        <f t="array" ref="O382">IFERROR(playerPoints($H382,$F382,$G382,O$1),"")</f>
        <v/>
      </c>
      <c r="Q382" s="2">
        <f t="shared" si="5"/>
        <v>0</v>
      </c>
    </row>
    <row r="383" spans="1:17">
      <c r="A383" s="2">
        <v>382</v>
      </c>
      <c r="B383" s="2" t="s">
        <v>1652</v>
      </c>
      <c r="C383" s="2" t="s">
        <v>1653</v>
      </c>
      <c r="D383" s="2" t="s">
        <v>909</v>
      </c>
      <c r="F383" s="2" t="str">
        <f>LOOKUP(D383,Sheet3!A$1:A$32,Sheet3!B$1:B$32)</f>
        <v>GHA</v>
      </c>
      <c r="G383" s="2" t="s">
        <v>2721</v>
      </c>
      <c r="H383" s="2" t="s">
        <v>57</v>
      </c>
      <c r="I383" s="2" t="str" cm="1">
        <f t="array" ref="I383">IFERROR(playerPoints($H383,$F383,$G383,I$1),"")</f>
        <v/>
      </c>
      <c r="J383" s="2" t="str" cm="1">
        <f t="array" ref="J383">IFERROR(playerPoints($H383,$F383,$G383,J$1),"")</f>
        <v/>
      </c>
      <c r="K383" s="2" t="str" cm="1">
        <f t="array" ref="K383">IFERROR(playerPoints($H383,$F383,$G383,K$1),"")</f>
        <v/>
      </c>
      <c r="L383" s="2" t="str" cm="1">
        <f t="array" ref="L383">IFERROR(playerPoints($H383,$F383,$G383,L$1),"")</f>
        <v/>
      </c>
      <c r="M383" s="2" t="str" cm="1">
        <f t="array" ref="M383">IFERROR(playerPoints($H383,$F383,$G383,M$1),"")</f>
        <v/>
      </c>
      <c r="N383" s="2" t="str" cm="1">
        <f t="array" ref="N383">IFERROR(playerPoints($H383,$F383,$G383,N$1),"")</f>
        <v/>
      </c>
      <c r="O383" s="2" t="str" cm="1">
        <f t="array" ref="O383">IFERROR(playerPoints($H383,$F383,$G383,O$1),"")</f>
        <v/>
      </c>
      <c r="Q383" s="2">
        <f t="shared" si="5"/>
        <v>0</v>
      </c>
    </row>
    <row r="384" spans="1:17">
      <c r="A384" s="2">
        <v>383</v>
      </c>
      <c r="B384" s="2" t="s">
        <v>1654</v>
      </c>
      <c r="C384" s="2" t="s">
        <v>1655</v>
      </c>
      <c r="D384" s="2" t="s">
        <v>909</v>
      </c>
      <c r="F384" s="2" t="str">
        <f>LOOKUP(D384,Sheet3!A$1:A$32,Sheet3!B$1:B$32)</f>
        <v>GHA</v>
      </c>
      <c r="G384" s="2" t="s">
        <v>2722</v>
      </c>
      <c r="H384" s="2" t="s">
        <v>57</v>
      </c>
      <c r="I384" s="2" t="str" cm="1">
        <f t="array" ref="I384">IFERROR(playerPoints($H384,$F384,$G384,I$1),"")</f>
        <v/>
      </c>
      <c r="J384" s="2" t="str" cm="1">
        <f t="array" ref="J384">IFERROR(playerPoints($H384,$F384,$G384,J$1),"")</f>
        <v/>
      </c>
      <c r="K384" s="2" t="str" cm="1">
        <f t="array" ref="K384">IFERROR(playerPoints($H384,$F384,$G384,K$1),"")</f>
        <v/>
      </c>
      <c r="L384" s="2" t="str" cm="1">
        <f t="array" ref="L384">IFERROR(playerPoints($H384,$F384,$G384,L$1),"")</f>
        <v/>
      </c>
      <c r="M384" s="2" t="str" cm="1">
        <f t="array" ref="M384">IFERROR(playerPoints($H384,$F384,$G384,M$1),"")</f>
        <v/>
      </c>
      <c r="N384" s="2" t="str" cm="1">
        <f t="array" ref="N384">IFERROR(playerPoints($H384,$F384,$G384,N$1),"")</f>
        <v/>
      </c>
      <c r="O384" s="2" t="str" cm="1">
        <f t="array" ref="O384">IFERROR(playerPoints($H384,$F384,$G384,O$1),"")</f>
        <v/>
      </c>
      <c r="Q384" s="2">
        <f t="shared" si="5"/>
        <v>0</v>
      </c>
    </row>
    <row r="385" spans="1:17">
      <c r="A385" s="2">
        <v>384</v>
      </c>
      <c r="B385" s="2" t="s">
        <v>1654</v>
      </c>
      <c r="C385" s="2" t="s">
        <v>1656</v>
      </c>
      <c r="D385" s="2" t="s">
        <v>909</v>
      </c>
      <c r="F385" s="2" t="str">
        <f>LOOKUP(D385,Sheet3!A$1:A$32,Sheet3!B$1:B$32)</f>
        <v>GHA</v>
      </c>
      <c r="G385" s="2" t="s">
        <v>2723</v>
      </c>
      <c r="H385" s="2" t="s">
        <v>57</v>
      </c>
      <c r="I385" s="2" t="str" cm="1">
        <f t="array" ref="I385">IFERROR(playerPoints($H385,$F385,$G385,I$1),"")</f>
        <v/>
      </c>
      <c r="J385" s="2" t="str" cm="1">
        <f t="array" ref="J385">IFERROR(playerPoints($H385,$F385,$G385,J$1),"")</f>
        <v/>
      </c>
      <c r="K385" s="2" t="str" cm="1">
        <f t="array" ref="K385">IFERROR(playerPoints($H385,$F385,$G385,K$1),"")</f>
        <v/>
      </c>
      <c r="L385" s="2" t="str" cm="1">
        <f t="array" ref="L385">IFERROR(playerPoints($H385,$F385,$G385,L$1),"")</f>
        <v/>
      </c>
      <c r="M385" s="2" t="str" cm="1">
        <f t="array" ref="M385">IFERROR(playerPoints($H385,$F385,$G385,M$1),"")</f>
        <v/>
      </c>
      <c r="N385" s="2" t="str" cm="1">
        <f t="array" ref="N385">IFERROR(playerPoints($H385,$F385,$G385,N$1),"")</f>
        <v/>
      </c>
      <c r="O385" s="2" t="str" cm="1">
        <f t="array" ref="O385">IFERROR(playerPoints($H385,$F385,$G385,O$1),"")</f>
        <v/>
      </c>
      <c r="Q385" s="2">
        <f t="shared" si="5"/>
        <v>0</v>
      </c>
    </row>
    <row r="386" spans="1:17">
      <c r="A386" s="2">
        <v>385</v>
      </c>
      <c r="B386" s="2" t="s">
        <v>1657</v>
      </c>
      <c r="C386" s="2" t="s">
        <v>1658</v>
      </c>
      <c r="D386" s="2" t="s">
        <v>909</v>
      </c>
      <c r="F386" s="2" t="str">
        <f>LOOKUP(D386,Sheet3!A$1:A$32,Sheet3!B$1:B$32)</f>
        <v>GHA</v>
      </c>
      <c r="G386" s="2" t="s">
        <v>2724</v>
      </c>
      <c r="H386" s="2" t="s">
        <v>57</v>
      </c>
      <c r="I386" s="2" t="str" cm="1">
        <f t="array" ref="I386">IFERROR(playerPoints($H386,$F386,$G386,I$1),"")</f>
        <v/>
      </c>
      <c r="J386" s="2" t="str" cm="1">
        <f t="array" ref="J386">IFERROR(playerPoints($H386,$F386,$G386,J$1),"")</f>
        <v/>
      </c>
      <c r="K386" s="2" t="str" cm="1">
        <f t="array" ref="K386">IFERROR(playerPoints($H386,$F386,$G386,K$1),"")</f>
        <v/>
      </c>
      <c r="L386" s="2" t="str" cm="1">
        <f t="array" ref="L386">IFERROR(playerPoints($H386,$F386,$G386,L$1),"")</f>
        <v/>
      </c>
      <c r="M386" s="2" t="str" cm="1">
        <f t="array" ref="M386">IFERROR(playerPoints($H386,$F386,$G386,M$1),"")</f>
        <v/>
      </c>
      <c r="N386" s="2" t="str" cm="1">
        <f t="array" ref="N386">IFERROR(playerPoints($H386,$F386,$G386,N$1),"")</f>
        <v/>
      </c>
      <c r="O386" s="2" t="str" cm="1">
        <f t="array" ref="O386">IFERROR(playerPoints($H386,$F386,$G386,O$1),"")</f>
        <v/>
      </c>
      <c r="Q386" s="2">
        <f t="shared" si="5"/>
        <v>0</v>
      </c>
    </row>
    <row r="387" spans="1:17">
      <c r="A387" s="2">
        <v>386</v>
      </c>
      <c r="B387" s="2" t="s">
        <v>1652</v>
      </c>
      <c r="C387" s="2" t="s">
        <v>1659</v>
      </c>
      <c r="D387" s="2" t="s">
        <v>909</v>
      </c>
      <c r="F387" s="2" t="str">
        <f>LOOKUP(D387,Sheet3!A$1:A$32,Sheet3!B$1:B$32)</f>
        <v>GHA</v>
      </c>
      <c r="G387" s="2" t="s">
        <v>924</v>
      </c>
      <c r="H387" s="2" t="s">
        <v>66</v>
      </c>
      <c r="I387" s="2" t="str" cm="1">
        <f t="array" ref="I387">IFERROR(playerPoints($H387,$F387,$G387,I$1),"")</f>
        <v/>
      </c>
      <c r="J387" s="2" t="str" cm="1">
        <f t="array" ref="J387">IFERROR(playerPoints($H387,$F387,$G387,J$1),"")</f>
        <v/>
      </c>
      <c r="K387" s="2" t="str" cm="1">
        <f t="array" ref="K387">IFERROR(playerPoints($H387,$F387,$G387,K$1),"")</f>
        <v/>
      </c>
      <c r="L387" s="2" t="str" cm="1">
        <f t="array" ref="L387">IFERROR(playerPoints($H387,$F387,$G387,L$1),"")</f>
        <v/>
      </c>
      <c r="M387" s="2" t="str" cm="1">
        <f t="array" ref="M387">IFERROR(playerPoints($H387,$F387,$G387,M$1),"")</f>
        <v/>
      </c>
      <c r="N387" s="2" t="str" cm="1">
        <f t="array" ref="N387">IFERROR(playerPoints($H387,$F387,$G387,N$1),"")</f>
        <v/>
      </c>
      <c r="O387" s="2" t="str" cm="1">
        <f t="array" ref="O387">IFERROR(playerPoints($H387,$F387,$G387,O$1),"")</f>
        <v/>
      </c>
      <c r="Q387" s="2">
        <f t="shared" ref="Q387:Q450" si="6">SUM(I387:O387)</f>
        <v>0</v>
      </c>
    </row>
    <row r="388" spans="1:17">
      <c r="A388" s="2">
        <v>387</v>
      </c>
      <c r="B388" s="2" t="s">
        <v>1529</v>
      </c>
      <c r="C388" s="2" t="s">
        <v>1660</v>
      </c>
      <c r="D388" s="2" t="s">
        <v>909</v>
      </c>
      <c r="F388" s="2" t="str">
        <f>LOOKUP(D388,Sheet3!A$1:A$32,Sheet3!B$1:B$32)</f>
        <v>GHA</v>
      </c>
      <c r="G388" s="2" t="s">
        <v>2725</v>
      </c>
      <c r="H388" s="2" t="s">
        <v>66</v>
      </c>
      <c r="I388" s="2" t="str" cm="1">
        <f t="array" ref="I388">IFERROR(playerPoints($H388,$F388,$G388,I$1),"")</f>
        <v/>
      </c>
      <c r="J388" s="2" t="str" cm="1">
        <f t="array" ref="J388">IFERROR(playerPoints($H388,$F388,$G388,J$1),"")</f>
        <v/>
      </c>
      <c r="K388" s="2" t="str" cm="1">
        <f t="array" ref="K388">IFERROR(playerPoints($H388,$F388,$G388,K$1),"")</f>
        <v/>
      </c>
      <c r="L388" s="2" t="str" cm="1">
        <f t="array" ref="L388">IFERROR(playerPoints($H388,$F388,$G388,L$1),"")</f>
        <v/>
      </c>
      <c r="M388" s="2" t="str" cm="1">
        <f t="array" ref="M388">IFERROR(playerPoints($H388,$F388,$G388,M$1),"")</f>
        <v/>
      </c>
      <c r="N388" s="2" t="str" cm="1">
        <f t="array" ref="N388">IFERROR(playerPoints($H388,$F388,$G388,N$1),"")</f>
        <v/>
      </c>
      <c r="O388" s="2" t="str" cm="1">
        <f t="array" ref="O388">IFERROR(playerPoints($H388,$F388,$G388,O$1),"")</f>
        <v/>
      </c>
      <c r="Q388" s="2">
        <f t="shared" si="6"/>
        <v>0</v>
      </c>
    </row>
    <row r="389" spans="1:17">
      <c r="A389" s="2">
        <v>388</v>
      </c>
      <c r="B389" s="2" t="s">
        <v>1661</v>
      </c>
      <c r="C389" s="2" t="s">
        <v>1662</v>
      </c>
      <c r="D389" s="2" t="s">
        <v>909</v>
      </c>
      <c r="F389" s="2" t="str">
        <f>LOOKUP(D389,Sheet3!A$1:A$32,Sheet3!B$1:B$32)</f>
        <v>GHA</v>
      </c>
      <c r="G389" s="2" t="s">
        <v>2726</v>
      </c>
      <c r="H389" s="2" t="s">
        <v>66</v>
      </c>
      <c r="I389" s="2" t="str" cm="1">
        <f t="array" ref="I389">IFERROR(playerPoints($H389,$F389,$G389,I$1),"")</f>
        <v/>
      </c>
      <c r="J389" s="2" t="str" cm="1">
        <f t="array" ref="J389">IFERROR(playerPoints($H389,$F389,$G389,J$1),"")</f>
        <v/>
      </c>
      <c r="K389" s="2" t="str" cm="1">
        <f t="array" ref="K389">IFERROR(playerPoints($H389,$F389,$G389,K$1),"")</f>
        <v/>
      </c>
      <c r="L389" s="2" t="str" cm="1">
        <f t="array" ref="L389">IFERROR(playerPoints($H389,$F389,$G389,L$1),"")</f>
        <v/>
      </c>
      <c r="M389" s="2" t="str" cm="1">
        <f t="array" ref="M389">IFERROR(playerPoints($H389,$F389,$G389,M$1),"")</f>
        <v/>
      </c>
      <c r="N389" s="2" t="str" cm="1">
        <f t="array" ref="N389">IFERROR(playerPoints($H389,$F389,$G389,N$1),"")</f>
        <v/>
      </c>
      <c r="O389" s="2" t="str" cm="1">
        <f t="array" ref="O389">IFERROR(playerPoints($H389,$F389,$G389,O$1),"")</f>
        <v/>
      </c>
      <c r="Q389" s="2">
        <f t="shared" si="6"/>
        <v>0</v>
      </c>
    </row>
    <row r="390" spans="1:17">
      <c r="A390" s="2">
        <v>389</v>
      </c>
      <c r="B390" s="2" t="s">
        <v>1663</v>
      </c>
      <c r="C390" s="2" t="s">
        <v>1664</v>
      </c>
      <c r="D390" s="2" t="s">
        <v>909</v>
      </c>
      <c r="F390" s="2" t="str">
        <f>LOOKUP(D390,Sheet3!A$1:A$32,Sheet3!B$1:B$32)</f>
        <v>GHA</v>
      </c>
      <c r="G390" s="2" t="s">
        <v>2727</v>
      </c>
      <c r="H390" s="2" t="s">
        <v>66</v>
      </c>
      <c r="I390" s="2" t="str" cm="1">
        <f t="array" ref="I390">IFERROR(playerPoints($H390,$F390,$G390,I$1),"")</f>
        <v/>
      </c>
      <c r="J390" s="2" t="str" cm="1">
        <f t="array" ref="J390">IFERROR(playerPoints($H390,$F390,$G390,J$1),"")</f>
        <v/>
      </c>
      <c r="K390" s="2" t="str" cm="1">
        <f t="array" ref="K390">IFERROR(playerPoints($H390,$F390,$G390,K$1),"")</f>
        <v/>
      </c>
      <c r="L390" s="2" t="str" cm="1">
        <f t="array" ref="L390">IFERROR(playerPoints($H390,$F390,$G390,L$1),"")</f>
        <v/>
      </c>
      <c r="M390" s="2" t="str" cm="1">
        <f t="array" ref="M390">IFERROR(playerPoints($H390,$F390,$G390,M$1),"")</f>
        <v/>
      </c>
      <c r="N390" s="2" t="str" cm="1">
        <f t="array" ref="N390">IFERROR(playerPoints($H390,$F390,$G390,N$1),"")</f>
        <v/>
      </c>
      <c r="O390" s="2" t="str" cm="1">
        <f t="array" ref="O390">IFERROR(playerPoints($H390,$F390,$G390,O$1),"")</f>
        <v/>
      </c>
      <c r="Q390" s="2">
        <f t="shared" si="6"/>
        <v>0</v>
      </c>
    </row>
    <row r="391" spans="1:17">
      <c r="A391" s="2">
        <v>390</v>
      </c>
      <c r="B391" s="2" t="s">
        <v>1665</v>
      </c>
      <c r="C391" s="2" t="s">
        <v>1666</v>
      </c>
      <c r="D391" s="2" t="s">
        <v>910</v>
      </c>
      <c r="F391" s="2" t="str">
        <f>LOOKUP(D391,Sheet3!A$1:A$32,Sheet3!B$1:B$32)</f>
        <v>JAP</v>
      </c>
      <c r="G391" s="2" t="s">
        <v>2728</v>
      </c>
      <c r="H391" s="2" t="s">
        <v>44</v>
      </c>
      <c r="I391" s="2" t="str" cm="1">
        <f t="array" ref="I391">IFERROR(playerPoints($H391,$F391,$G391,I$1),"")</f>
        <v/>
      </c>
      <c r="J391" s="2" t="str" cm="1">
        <f t="array" ref="J391">IFERROR(playerPoints($H391,$F391,$G391,J$1),"")</f>
        <v/>
      </c>
      <c r="K391" s="2" t="str" cm="1">
        <f t="array" ref="K391">IFERROR(playerPoints($H391,$F391,$G391,K$1),"")</f>
        <v/>
      </c>
      <c r="L391" s="2" t="str" cm="1">
        <f t="array" ref="L391">IFERROR(playerPoints($H391,$F391,$G391,L$1),"")</f>
        <v/>
      </c>
      <c r="M391" s="2" t="str" cm="1">
        <f t="array" ref="M391">IFERROR(playerPoints($H391,$F391,$G391,M$1),"")</f>
        <v/>
      </c>
      <c r="N391" s="2" t="str" cm="1">
        <f t="array" ref="N391">IFERROR(playerPoints($H391,$F391,$G391,N$1),"")</f>
        <v/>
      </c>
      <c r="O391" s="2" t="str" cm="1">
        <f t="array" ref="O391">IFERROR(playerPoints($H391,$F391,$G391,O$1),"")</f>
        <v/>
      </c>
      <c r="Q391" s="2">
        <f t="shared" si="6"/>
        <v>0</v>
      </c>
    </row>
    <row r="392" spans="1:17">
      <c r="A392" s="2">
        <v>391</v>
      </c>
      <c r="B392" s="2" t="s">
        <v>1667</v>
      </c>
      <c r="C392" s="2" t="s">
        <v>1668</v>
      </c>
      <c r="D392" s="2" t="s">
        <v>910</v>
      </c>
      <c r="F392" s="2" t="str">
        <f>LOOKUP(D392,Sheet3!A$1:A$32,Sheet3!B$1:B$32)</f>
        <v>JAP</v>
      </c>
      <c r="G392" s="2" t="s">
        <v>2729</v>
      </c>
      <c r="H392" s="2" t="s">
        <v>44</v>
      </c>
      <c r="I392" s="2" t="str" cm="1">
        <f t="array" ref="I392">IFERROR(playerPoints($H392,$F392,$G392,I$1),"")</f>
        <v/>
      </c>
      <c r="J392" s="2" t="str" cm="1">
        <f t="array" ref="J392">IFERROR(playerPoints($H392,$F392,$G392,J$1),"")</f>
        <v/>
      </c>
      <c r="K392" s="2" t="str" cm="1">
        <f t="array" ref="K392">IFERROR(playerPoints($H392,$F392,$G392,K$1),"")</f>
        <v/>
      </c>
      <c r="L392" s="2" t="str" cm="1">
        <f t="array" ref="L392">IFERROR(playerPoints($H392,$F392,$G392,L$1),"")</f>
        <v/>
      </c>
      <c r="M392" s="2" t="str" cm="1">
        <f t="array" ref="M392">IFERROR(playerPoints($H392,$F392,$G392,M$1),"")</f>
        <v/>
      </c>
      <c r="N392" s="2" t="str" cm="1">
        <f t="array" ref="N392">IFERROR(playerPoints($H392,$F392,$G392,N$1),"")</f>
        <v/>
      </c>
      <c r="O392" s="2" t="str" cm="1">
        <f t="array" ref="O392">IFERROR(playerPoints($H392,$F392,$G392,O$1),"")</f>
        <v/>
      </c>
      <c r="Q392" s="2">
        <f t="shared" si="6"/>
        <v>0</v>
      </c>
    </row>
    <row r="393" spans="1:17">
      <c r="A393" s="2">
        <v>392</v>
      </c>
      <c r="B393" s="2" t="s">
        <v>1295</v>
      </c>
      <c r="C393" s="2" t="s">
        <v>1669</v>
      </c>
      <c r="D393" s="2" t="s">
        <v>910</v>
      </c>
      <c r="F393" s="2" t="str">
        <f>LOOKUP(D393,Sheet3!A$1:A$32,Sheet3!B$1:B$32)</f>
        <v>JAP</v>
      </c>
      <c r="G393" s="2" t="s">
        <v>2730</v>
      </c>
      <c r="H393" s="2" t="s">
        <v>44</v>
      </c>
      <c r="I393" s="2" t="str" cm="1">
        <f t="array" ref="I393">IFERROR(playerPoints($H393,$F393,$G393,I$1),"")</f>
        <v/>
      </c>
      <c r="J393" s="2" t="str" cm="1">
        <f t="array" ref="J393">IFERROR(playerPoints($H393,$F393,$G393,J$1),"")</f>
        <v/>
      </c>
      <c r="K393" s="2" t="str" cm="1">
        <f t="array" ref="K393">IFERROR(playerPoints($H393,$F393,$G393,K$1),"")</f>
        <v/>
      </c>
      <c r="L393" s="2" t="str" cm="1">
        <f t="array" ref="L393">IFERROR(playerPoints($H393,$F393,$G393,L$1),"")</f>
        <v/>
      </c>
      <c r="M393" s="2" t="str" cm="1">
        <f t="array" ref="M393">IFERROR(playerPoints($H393,$F393,$G393,M$1),"")</f>
        <v/>
      </c>
      <c r="N393" s="2" t="str" cm="1">
        <f t="array" ref="N393">IFERROR(playerPoints($H393,$F393,$G393,N$1),"")</f>
        <v/>
      </c>
      <c r="O393" s="2" t="str" cm="1">
        <f t="array" ref="O393">IFERROR(playerPoints($H393,$F393,$G393,O$1),"")</f>
        <v/>
      </c>
      <c r="Q393" s="2">
        <f t="shared" si="6"/>
        <v>0</v>
      </c>
    </row>
    <row r="394" spans="1:17">
      <c r="A394" s="2">
        <v>393</v>
      </c>
      <c r="B394" s="2" t="s">
        <v>1670</v>
      </c>
      <c r="C394" s="2" t="s">
        <v>1671</v>
      </c>
      <c r="D394" s="2" t="s">
        <v>910</v>
      </c>
      <c r="F394" s="2" t="str">
        <f>LOOKUP(D394,Sheet3!A$1:A$32,Sheet3!B$1:B$32)</f>
        <v>JAP</v>
      </c>
      <c r="G394" s="2" t="s">
        <v>2731</v>
      </c>
      <c r="H394" s="2" t="s">
        <v>48</v>
      </c>
      <c r="I394" s="2" t="str" cm="1">
        <f t="array" ref="I394">IFERROR(playerPoints($H394,$F394,$G394,I$1),"")</f>
        <v/>
      </c>
      <c r="J394" s="2" t="str" cm="1">
        <f t="array" ref="J394">IFERROR(playerPoints($H394,$F394,$G394,J$1),"")</f>
        <v/>
      </c>
      <c r="K394" s="2" t="str" cm="1">
        <f t="array" ref="K394">IFERROR(playerPoints($H394,$F394,$G394,K$1),"")</f>
        <v/>
      </c>
      <c r="L394" s="2" t="str" cm="1">
        <f t="array" ref="L394">IFERROR(playerPoints($H394,$F394,$G394,L$1),"")</f>
        <v/>
      </c>
      <c r="M394" s="2" t="str" cm="1">
        <f t="array" ref="M394">IFERROR(playerPoints($H394,$F394,$G394,M$1),"")</f>
        <v/>
      </c>
      <c r="N394" s="2" t="str" cm="1">
        <f t="array" ref="N394">IFERROR(playerPoints($H394,$F394,$G394,N$1),"")</f>
        <v/>
      </c>
      <c r="O394" s="2" t="str" cm="1">
        <f t="array" ref="O394">IFERROR(playerPoints($H394,$F394,$G394,O$1),"")</f>
        <v/>
      </c>
      <c r="Q394" s="2">
        <f t="shared" si="6"/>
        <v>0</v>
      </c>
    </row>
    <row r="395" spans="1:17">
      <c r="A395" s="2">
        <v>394</v>
      </c>
      <c r="B395" s="2" t="s">
        <v>1672</v>
      </c>
      <c r="C395" s="2" t="s">
        <v>1673</v>
      </c>
      <c r="D395" s="2" t="s">
        <v>910</v>
      </c>
      <c r="F395" s="2" t="str">
        <f>LOOKUP(D395,Sheet3!A$1:A$32,Sheet3!B$1:B$32)</f>
        <v>JAP</v>
      </c>
      <c r="G395" s="2" t="s">
        <v>2732</v>
      </c>
      <c r="H395" s="2" t="s">
        <v>48</v>
      </c>
      <c r="I395" s="2" t="str" cm="1">
        <f t="array" ref="I395">IFERROR(playerPoints($H395,$F395,$G395,I$1),"")</f>
        <v/>
      </c>
      <c r="J395" s="2" t="str" cm="1">
        <f t="array" ref="J395">IFERROR(playerPoints($H395,$F395,$G395,J$1),"")</f>
        <v/>
      </c>
      <c r="K395" s="2" t="str" cm="1">
        <f t="array" ref="K395">IFERROR(playerPoints($H395,$F395,$G395,K$1),"")</f>
        <v/>
      </c>
      <c r="L395" s="2" t="str" cm="1">
        <f t="array" ref="L395">IFERROR(playerPoints($H395,$F395,$G395,L$1),"")</f>
        <v/>
      </c>
      <c r="M395" s="2" t="str" cm="1">
        <f t="array" ref="M395">IFERROR(playerPoints($H395,$F395,$G395,M$1),"")</f>
        <v/>
      </c>
      <c r="N395" s="2" t="str" cm="1">
        <f t="array" ref="N395">IFERROR(playerPoints($H395,$F395,$G395,N$1),"")</f>
        <v/>
      </c>
      <c r="O395" s="2" t="str" cm="1">
        <f t="array" ref="O395">IFERROR(playerPoints($H395,$F395,$G395,O$1),"")</f>
        <v/>
      </c>
      <c r="Q395" s="2">
        <f t="shared" si="6"/>
        <v>0</v>
      </c>
    </row>
    <row r="396" spans="1:17">
      <c r="A396" s="2">
        <v>395</v>
      </c>
      <c r="B396" s="2" t="s">
        <v>1674</v>
      </c>
      <c r="C396" s="2" t="s">
        <v>1675</v>
      </c>
      <c r="D396" s="2" t="s">
        <v>910</v>
      </c>
      <c r="F396" s="2" t="str">
        <f>LOOKUP(D396,Sheet3!A$1:A$32,Sheet3!B$1:B$32)</f>
        <v>JAP</v>
      </c>
      <c r="G396" s="2" t="s">
        <v>2733</v>
      </c>
      <c r="H396" s="2" t="s">
        <v>48</v>
      </c>
      <c r="I396" s="2" t="str" cm="1">
        <f t="array" ref="I396">IFERROR(playerPoints($H396,$F396,$G396,I$1),"")</f>
        <v/>
      </c>
      <c r="J396" s="2" t="str" cm="1">
        <f t="array" ref="J396">IFERROR(playerPoints($H396,$F396,$G396,J$1),"")</f>
        <v/>
      </c>
      <c r="K396" s="2" t="str" cm="1">
        <f t="array" ref="K396">IFERROR(playerPoints($H396,$F396,$G396,K$1),"")</f>
        <v/>
      </c>
      <c r="L396" s="2" t="str" cm="1">
        <f t="array" ref="L396">IFERROR(playerPoints($H396,$F396,$G396,L$1),"")</f>
        <v/>
      </c>
      <c r="M396" s="2" t="str" cm="1">
        <f t="array" ref="M396">IFERROR(playerPoints($H396,$F396,$G396,M$1),"")</f>
        <v/>
      </c>
      <c r="N396" s="2" t="str" cm="1">
        <f t="array" ref="N396">IFERROR(playerPoints($H396,$F396,$G396,N$1),"")</f>
        <v/>
      </c>
      <c r="O396" s="2" t="str" cm="1">
        <f t="array" ref="O396">IFERROR(playerPoints($H396,$F396,$G396,O$1),"")</f>
        <v/>
      </c>
      <c r="Q396" s="2">
        <f t="shared" si="6"/>
        <v>0</v>
      </c>
    </row>
    <row r="397" spans="1:17">
      <c r="A397" s="2">
        <v>396</v>
      </c>
      <c r="B397" s="2" t="s">
        <v>1676</v>
      </c>
      <c r="C397" s="2" t="s">
        <v>1677</v>
      </c>
      <c r="D397" s="2" t="s">
        <v>910</v>
      </c>
      <c r="F397" s="2" t="str">
        <f>LOOKUP(D397,Sheet3!A$1:A$32,Sheet3!B$1:B$32)</f>
        <v>JAP</v>
      </c>
      <c r="G397" s="2" t="s">
        <v>2734</v>
      </c>
      <c r="H397" s="2" t="s">
        <v>48</v>
      </c>
      <c r="I397" s="2" t="str" cm="1">
        <f t="array" ref="I397">IFERROR(playerPoints($H397,$F397,$G397,I$1),"")</f>
        <v/>
      </c>
      <c r="J397" s="2" t="str" cm="1">
        <f t="array" ref="J397">IFERROR(playerPoints($H397,$F397,$G397,J$1),"")</f>
        <v/>
      </c>
      <c r="K397" s="2" t="str" cm="1">
        <f t="array" ref="K397">IFERROR(playerPoints($H397,$F397,$G397,K$1),"")</f>
        <v/>
      </c>
      <c r="L397" s="2" t="str" cm="1">
        <f t="array" ref="L397">IFERROR(playerPoints($H397,$F397,$G397,L$1),"")</f>
        <v/>
      </c>
      <c r="M397" s="2" t="str" cm="1">
        <f t="array" ref="M397">IFERROR(playerPoints($H397,$F397,$G397,M$1),"")</f>
        <v/>
      </c>
      <c r="N397" s="2" t="str" cm="1">
        <f t="array" ref="N397">IFERROR(playerPoints($H397,$F397,$G397,N$1),"")</f>
        <v/>
      </c>
      <c r="O397" s="2" t="str" cm="1">
        <f t="array" ref="O397">IFERROR(playerPoints($H397,$F397,$G397,O$1),"")</f>
        <v/>
      </c>
      <c r="Q397" s="2">
        <f t="shared" si="6"/>
        <v>0</v>
      </c>
    </row>
    <row r="398" spans="1:17">
      <c r="A398" s="2">
        <v>397</v>
      </c>
      <c r="B398" s="2" t="s">
        <v>1678</v>
      </c>
      <c r="C398" s="2" t="s">
        <v>1679</v>
      </c>
      <c r="D398" s="2" t="s">
        <v>910</v>
      </c>
      <c r="F398" s="2" t="str">
        <f>LOOKUP(D398,Sheet3!A$1:A$32,Sheet3!B$1:B$32)</f>
        <v>JAP</v>
      </c>
      <c r="G398" s="2" t="s">
        <v>2735</v>
      </c>
      <c r="H398" s="2" t="s">
        <v>48</v>
      </c>
      <c r="I398" s="2" t="str" cm="1">
        <f t="array" ref="I398">IFERROR(playerPoints($H398,$F398,$G398,I$1),"")</f>
        <v/>
      </c>
      <c r="J398" s="2" t="str" cm="1">
        <f t="array" ref="J398">IFERROR(playerPoints($H398,$F398,$G398,J$1),"")</f>
        <v/>
      </c>
      <c r="K398" s="2" t="str" cm="1">
        <f t="array" ref="K398">IFERROR(playerPoints($H398,$F398,$G398,K$1),"")</f>
        <v/>
      </c>
      <c r="L398" s="2" t="str" cm="1">
        <f t="array" ref="L398">IFERROR(playerPoints($H398,$F398,$G398,L$1),"")</f>
        <v/>
      </c>
      <c r="M398" s="2" t="str" cm="1">
        <f t="array" ref="M398">IFERROR(playerPoints($H398,$F398,$G398,M$1),"")</f>
        <v/>
      </c>
      <c r="N398" s="2" t="str" cm="1">
        <f t="array" ref="N398">IFERROR(playerPoints($H398,$F398,$G398,N$1),"")</f>
        <v/>
      </c>
      <c r="O398" s="2" t="str" cm="1">
        <f t="array" ref="O398">IFERROR(playerPoints($H398,$F398,$G398,O$1),"")</f>
        <v/>
      </c>
      <c r="Q398" s="2">
        <f t="shared" si="6"/>
        <v>0</v>
      </c>
    </row>
    <row r="399" spans="1:17">
      <c r="A399" s="2">
        <v>398</v>
      </c>
      <c r="B399" s="2" t="s">
        <v>1680</v>
      </c>
      <c r="C399" s="2" t="s">
        <v>1681</v>
      </c>
      <c r="D399" s="2" t="s">
        <v>910</v>
      </c>
      <c r="F399" s="2" t="str">
        <f>LOOKUP(D399,Sheet3!A$1:A$32,Sheet3!B$1:B$32)</f>
        <v>JAP</v>
      </c>
      <c r="G399" s="2" t="s">
        <v>2736</v>
      </c>
      <c r="H399" s="2" t="s">
        <v>48</v>
      </c>
      <c r="I399" s="2" t="str" cm="1">
        <f t="array" ref="I399">IFERROR(playerPoints($H399,$F399,$G399,I$1),"")</f>
        <v/>
      </c>
      <c r="J399" s="2" t="str" cm="1">
        <f t="array" ref="J399">IFERROR(playerPoints($H399,$F399,$G399,J$1),"")</f>
        <v/>
      </c>
      <c r="K399" s="2" t="str" cm="1">
        <f t="array" ref="K399">IFERROR(playerPoints($H399,$F399,$G399,K$1),"")</f>
        <v/>
      </c>
      <c r="L399" s="2" t="str" cm="1">
        <f t="array" ref="L399">IFERROR(playerPoints($H399,$F399,$G399,L$1),"")</f>
        <v/>
      </c>
      <c r="M399" s="2" t="str" cm="1">
        <f t="array" ref="M399">IFERROR(playerPoints($H399,$F399,$G399,M$1),"")</f>
        <v/>
      </c>
      <c r="N399" s="2" t="str" cm="1">
        <f t="array" ref="N399">IFERROR(playerPoints($H399,$F399,$G399,N$1),"")</f>
        <v/>
      </c>
      <c r="O399" s="2" t="str" cm="1">
        <f t="array" ref="O399">IFERROR(playerPoints($H399,$F399,$G399,O$1),"")</f>
        <v/>
      </c>
      <c r="Q399" s="2">
        <f t="shared" si="6"/>
        <v>0</v>
      </c>
    </row>
    <row r="400" spans="1:17">
      <c r="A400" s="2">
        <v>399</v>
      </c>
      <c r="B400" s="2" t="s">
        <v>1682</v>
      </c>
      <c r="C400" s="2" t="s">
        <v>1683</v>
      </c>
      <c r="D400" s="2" t="s">
        <v>910</v>
      </c>
      <c r="F400" s="2" t="str">
        <f>LOOKUP(D400,Sheet3!A$1:A$32,Sheet3!B$1:B$32)</f>
        <v>JAP</v>
      </c>
      <c r="G400" s="2" t="s">
        <v>2737</v>
      </c>
      <c r="H400" s="2" t="s">
        <v>48</v>
      </c>
      <c r="I400" s="2" t="str" cm="1">
        <f t="array" ref="I400">IFERROR(playerPoints($H400,$F400,$G400,I$1),"")</f>
        <v/>
      </c>
      <c r="J400" s="2" t="str" cm="1">
        <f t="array" ref="J400">IFERROR(playerPoints($H400,$F400,$G400,J$1),"")</f>
        <v/>
      </c>
      <c r="K400" s="2" t="str" cm="1">
        <f t="array" ref="K400">IFERROR(playerPoints($H400,$F400,$G400,K$1),"")</f>
        <v/>
      </c>
      <c r="L400" s="2" t="str" cm="1">
        <f t="array" ref="L400">IFERROR(playerPoints($H400,$F400,$G400,L$1),"")</f>
        <v/>
      </c>
      <c r="M400" s="2" t="str" cm="1">
        <f t="array" ref="M400">IFERROR(playerPoints($H400,$F400,$G400,M$1),"")</f>
        <v/>
      </c>
      <c r="N400" s="2" t="str" cm="1">
        <f t="array" ref="N400">IFERROR(playerPoints($H400,$F400,$G400,N$1),"")</f>
        <v/>
      </c>
      <c r="O400" s="2" t="str" cm="1">
        <f t="array" ref="O400">IFERROR(playerPoints($H400,$F400,$G400,O$1),"")</f>
        <v/>
      </c>
      <c r="Q400" s="2">
        <f t="shared" si="6"/>
        <v>0</v>
      </c>
    </row>
    <row r="401" spans="1:17">
      <c r="A401" s="2">
        <v>400</v>
      </c>
      <c r="B401" s="2" t="s">
        <v>1680</v>
      </c>
      <c r="C401" s="2" t="s">
        <v>1684</v>
      </c>
      <c r="D401" s="2" t="s">
        <v>910</v>
      </c>
      <c r="F401" s="2" t="str">
        <f>LOOKUP(D401,Sheet3!A$1:A$32,Sheet3!B$1:B$32)</f>
        <v>JAP</v>
      </c>
      <c r="G401" s="2" t="s">
        <v>2738</v>
      </c>
      <c r="H401" s="2" t="s">
        <v>48</v>
      </c>
      <c r="I401" s="2" t="str" cm="1">
        <f t="array" ref="I401">IFERROR(playerPoints($H401,$F401,$G401,I$1),"")</f>
        <v/>
      </c>
      <c r="J401" s="2" t="str" cm="1">
        <f t="array" ref="J401">IFERROR(playerPoints($H401,$F401,$G401,J$1),"")</f>
        <v/>
      </c>
      <c r="K401" s="2" t="str" cm="1">
        <f t="array" ref="K401">IFERROR(playerPoints($H401,$F401,$G401,K$1),"")</f>
        <v/>
      </c>
      <c r="L401" s="2" t="str" cm="1">
        <f t="array" ref="L401">IFERROR(playerPoints($H401,$F401,$G401,L$1),"")</f>
        <v/>
      </c>
      <c r="M401" s="2" t="str" cm="1">
        <f t="array" ref="M401">IFERROR(playerPoints($H401,$F401,$G401,M$1),"")</f>
        <v/>
      </c>
      <c r="N401" s="2" t="str" cm="1">
        <f t="array" ref="N401">IFERROR(playerPoints($H401,$F401,$G401,N$1),"")</f>
        <v/>
      </c>
      <c r="O401" s="2" t="str" cm="1">
        <f t="array" ref="O401">IFERROR(playerPoints($H401,$F401,$G401,O$1),"")</f>
        <v/>
      </c>
      <c r="Q401" s="2">
        <f t="shared" si="6"/>
        <v>0</v>
      </c>
    </row>
    <row r="402" spans="1:17">
      <c r="A402" s="2">
        <v>401</v>
      </c>
      <c r="B402" s="2" t="s">
        <v>1685</v>
      </c>
      <c r="C402" s="2" t="s">
        <v>1686</v>
      </c>
      <c r="D402" s="2" t="s">
        <v>910</v>
      </c>
      <c r="F402" s="2" t="str">
        <f>LOOKUP(D402,Sheet3!A$1:A$32,Sheet3!B$1:B$32)</f>
        <v>JAP</v>
      </c>
      <c r="G402" s="2" t="s">
        <v>2739</v>
      </c>
      <c r="H402" s="2" t="s">
        <v>57</v>
      </c>
      <c r="I402" s="2" t="str" cm="1">
        <f t="array" ref="I402">IFERROR(playerPoints($H402,$F402,$G402,I$1),"")</f>
        <v/>
      </c>
      <c r="J402" s="2" t="str" cm="1">
        <f t="array" ref="J402">IFERROR(playerPoints($H402,$F402,$G402,J$1),"")</f>
        <v/>
      </c>
      <c r="K402" s="2" t="str" cm="1">
        <f t="array" ref="K402">IFERROR(playerPoints($H402,$F402,$G402,K$1),"")</f>
        <v/>
      </c>
      <c r="L402" s="2" t="str" cm="1">
        <f t="array" ref="L402">IFERROR(playerPoints($H402,$F402,$G402,L$1),"")</f>
        <v/>
      </c>
      <c r="M402" s="2" t="str" cm="1">
        <f t="array" ref="M402">IFERROR(playerPoints($H402,$F402,$G402,M$1),"")</f>
        <v/>
      </c>
      <c r="N402" s="2" t="str" cm="1">
        <f t="array" ref="N402">IFERROR(playerPoints($H402,$F402,$G402,N$1),"")</f>
        <v/>
      </c>
      <c r="O402" s="2" t="str" cm="1">
        <f t="array" ref="O402">IFERROR(playerPoints($H402,$F402,$G402,O$1),"")</f>
        <v/>
      </c>
      <c r="Q402" s="2">
        <f t="shared" si="6"/>
        <v>0</v>
      </c>
    </row>
    <row r="403" spans="1:17">
      <c r="A403" s="2">
        <v>402</v>
      </c>
      <c r="B403" s="2" t="s">
        <v>1687</v>
      </c>
      <c r="C403" s="2" t="s">
        <v>1688</v>
      </c>
      <c r="D403" s="2" t="s">
        <v>910</v>
      </c>
      <c r="F403" s="2" t="str">
        <f>LOOKUP(D403,Sheet3!A$1:A$32,Sheet3!B$1:B$32)</f>
        <v>JAP</v>
      </c>
      <c r="G403" s="2" t="s">
        <v>2740</v>
      </c>
      <c r="H403" s="2" t="s">
        <v>57</v>
      </c>
      <c r="I403" s="2" t="str" cm="1">
        <f t="array" ref="I403">IFERROR(playerPoints($H403,$F403,$G403,I$1),"")</f>
        <v/>
      </c>
      <c r="J403" s="2" t="str" cm="1">
        <f t="array" ref="J403">IFERROR(playerPoints($H403,$F403,$G403,J$1),"")</f>
        <v/>
      </c>
      <c r="K403" s="2" t="str" cm="1">
        <f t="array" ref="K403">IFERROR(playerPoints($H403,$F403,$G403,K$1),"")</f>
        <v/>
      </c>
      <c r="L403" s="2" t="str" cm="1">
        <f t="array" ref="L403">IFERROR(playerPoints($H403,$F403,$G403,L$1),"")</f>
        <v/>
      </c>
      <c r="M403" s="2" t="str" cm="1">
        <f t="array" ref="M403">IFERROR(playerPoints($H403,$F403,$G403,M$1),"")</f>
        <v/>
      </c>
      <c r="N403" s="2" t="str" cm="1">
        <f t="array" ref="N403">IFERROR(playerPoints($H403,$F403,$G403,N$1),"")</f>
        <v/>
      </c>
      <c r="O403" s="2" t="str" cm="1">
        <f t="array" ref="O403">IFERROR(playerPoints($H403,$F403,$G403,O$1),"")</f>
        <v/>
      </c>
      <c r="Q403" s="2">
        <f t="shared" si="6"/>
        <v>0</v>
      </c>
    </row>
    <row r="404" spans="1:17">
      <c r="A404" s="2">
        <v>403</v>
      </c>
      <c r="B404" s="2" t="s">
        <v>1689</v>
      </c>
      <c r="C404" s="2" t="s">
        <v>1690</v>
      </c>
      <c r="D404" s="2" t="s">
        <v>910</v>
      </c>
      <c r="F404" s="2" t="str">
        <f>LOOKUP(D404,Sheet3!A$1:A$32,Sheet3!B$1:B$32)</f>
        <v>JAP</v>
      </c>
      <c r="G404" s="2" t="s">
        <v>2741</v>
      </c>
      <c r="H404" s="2" t="s">
        <v>57</v>
      </c>
      <c r="I404" s="2" t="str" cm="1">
        <f t="array" ref="I404">IFERROR(playerPoints($H404,$F404,$G404,I$1),"")</f>
        <v/>
      </c>
      <c r="J404" s="2" t="str" cm="1">
        <f t="array" ref="J404">IFERROR(playerPoints($H404,$F404,$G404,J$1),"")</f>
        <v/>
      </c>
      <c r="K404" s="2" t="str" cm="1">
        <f t="array" ref="K404">IFERROR(playerPoints($H404,$F404,$G404,K$1),"")</f>
        <v/>
      </c>
      <c r="L404" s="2" t="str" cm="1">
        <f t="array" ref="L404">IFERROR(playerPoints($H404,$F404,$G404,L$1),"")</f>
        <v/>
      </c>
      <c r="M404" s="2" t="str" cm="1">
        <f t="array" ref="M404">IFERROR(playerPoints($H404,$F404,$G404,M$1),"")</f>
        <v/>
      </c>
      <c r="N404" s="2" t="str" cm="1">
        <f t="array" ref="N404">IFERROR(playerPoints($H404,$F404,$G404,N$1),"")</f>
        <v/>
      </c>
      <c r="O404" s="2" t="str" cm="1">
        <f t="array" ref="O404">IFERROR(playerPoints($H404,$F404,$G404,O$1),"")</f>
        <v/>
      </c>
      <c r="Q404" s="2">
        <f t="shared" si="6"/>
        <v>0</v>
      </c>
    </row>
    <row r="405" spans="1:17">
      <c r="A405" s="2">
        <v>404</v>
      </c>
      <c r="B405" s="2" t="s">
        <v>1691</v>
      </c>
      <c r="C405" s="2" t="s">
        <v>1692</v>
      </c>
      <c r="D405" s="2" t="s">
        <v>910</v>
      </c>
      <c r="F405" s="2" t="str">
        <f>LOOKUP(D405,Sheet3!A$1:A$32,Sheet3!B$1:B$32)</f>
        <v>JAP</v>
      </c>
      <c r="G405" s="2" t="s">
        <v>2742</v>
      </c>
      <c r="H405" s="2" t="s">
        <v>57</v>
      </c>
      <c r="I405" s="2" t="str" cm="1">
        <f t="array" ref="I405">IFERROR(playerPoints($H405,$F405,$G405,I$1),"")</f>
        <v/>
      </c>
      <c r="J405" s="2" t="str" cm="1">
        <f t="array" ref="J405">IFERROR(playerPoints($H405,$F405,$G405,J$1),"")</f>
        <v/>
      </c>
      <c r="K405" s="2" t="str" cm="1">
        <f t="array" ref="K405">IFERROR(playerPoints($H405,$F405,$G405,K$1),"")</f>
        <v/>
      </c>
      <c r="L405" s="2" t="str" cm="1">
        <f t="array" ref="L405">IFERROR(playerPoints($H405,$F405,$G405,L$1),"")</f>
        <v/>
      </c>
      <c r="M405" s="2" t="str" cm="1">
        <f t="array" ref="M405">IFERROR(playerPoints($H405,$F405,$G405,M$1),"")</f>
        <v/>
      </c>
      <c r="N405" s="2" t="str" cm="1">
        <f t="array" ref="N405">IFERROR(playerPoints($H405,$F405,$G405,N$1),"")</f>
        <v/>
      </c>
      <c r="O405" s="2" t="str" cm="1">
        <f t="array" ref="O405">IFERROR(playerPoints($H405,$F405,$G405,O$1),"")</f>
        <v/>
      </c>
      <c r="Q405" s="2">
        <f t="shared" si="6"/>
        <v>0</v>
      </c>
    </row>
    <row r="406" spans="1:17">
      <c r="A406" s="2">
        <v>405</v>
      </c>
      <c r="B406" s="2" t="s">
        <v>1693</v>
      </c>
      <c r="C406" s="2" t="s">
        <v>1694</v>
      </c>
      <c r="D406" s="2" t="s">
        <v>910</v>
      </c>
      <c r="F406" s="2" t="str">
        <f>LOOKUP(D406,Sheet3!A$1:A$32,Sheet3!B$1:B$32)</f>
        <v>JAP</v>
      </c>
      <c r="G406" s="2" t="s">
        <v>2743</v>
      </c>
      <c r="H406" s="2" t="s">
        <v>57</v>
      </c>
      <c r="I406" s="2" t="str" cm="1">
        <f t="array" ref="I406">IFERROR(playerPoints($H406,$F406,$G406,I$1),"")</f>
        <v/>
      </c>
      <c r="J406" s="2" t="str" cm="1">
        <f t="array" ref="J406">IFERROR(playerPoints($H406,$F406,$G406,J$1),"")</f>
        <v/>
      </c>
      <c r="K406" s="2" t="str" cm="1">
        <f t="array" ref="K406">IFERROR(playerPoints($H406,$F406,$G406,K$1),"")</f>
        <v/>
      </c>
      <c r="L406" s="2" t="str" cm="1">
        <f t="array" ref="L406">IFERROR(playerPoints($H406,$F406,$G406,L$1),"")</f>
        <v/>
      </c>
      <c r="M406" s="2" t="str" cm="1">
        <f t="array" ref="M406">IFERROR(playerPoints($H406,$F406,$G406,M$1),"")</f>
        <v/>
      </c>
      <c r="N406" s="2" t="str" cm="1">
        <f t="array" ref="N406">IFERROR(playerPoints($H406,$F406,$G406,N$1),"")</f>
        <v/>
      </c>
      <c r="O406" s="2" t="str" cm="1">
        <f t="array" ref="O406">IFERROR(playerPoints($H406,$F406,$G406,O$1),"")</f>
        <v/>
      </c>
      <c r="Q406" s="2">
        <f t="shared" si="6"/>
        <v>0</v>
      </c>
    </row>
    <row r="407" spans="1:17">
      <c r="A407" s="2">
        <v>406</v>
      </c>
      <c r="B407" s="2" t="s">
        <v>1695</v>
      </c>
      <c r="C407" s="2" t="s">
        <v>1696</v>
      </c>
      <c r="D407" s="2" t="s">
        <v>910</v>
      </c>
      <c r="F407" s="2" t="str">
        <f>LOOKUP(D407,Sheet3!A$1:A$32,Sheet3!B$1:B$32)</f>
        <v>JAP</v>
      </c>
      <c r="G407" s="2" t="s">
        <v>2744</v>
      </c>
      <c r="H407" s="2" t="s">
        <v>57</v>
      </c>
      <c r="I407" s="2" t="str" cm="1">
        <f t="array" ref="I407">IFERROR(playerPoints($H407,$F407,$G407,I$1),"")</f>
        <v/>
      </c>
      <c r="J407" s="2" t="str" cm="1">
        <f t="array" ref="J407">IFERROR(playerPoints($H407,$F407,$G407,J$1),"")</f>
        <v/>
      </c>
      <c r="K407" s="2" t="str" cm="1">
        <f t="array" ref="K407">IFERROR(playerPoints($H407,$F407,$G407,K$1),"")</f>
        <v/>
      </c>
      <c r="L407" s="2" t="str" cm="1">
        <f t="array" ref="L407">IFERROR(playerPoints($H407,$F407,$G407,L$1),"")</f>
        <v/>
      </c>
      <c r="M407" s="2" t="str" cm="1">
        <f t="array" ref="M407">IFERROR(playerPoints($H407,$F407,$G407,M$1),"")</f>
        <v/>
      </c>
      <c r="N407" s="2" t="str" cm="1">
        <f t="array" ref="N407">IFERROR(playerPoints($H407,$F407,$G407,N$1),"")</f>
        <v/>
      </c>
      <c r="O407" s="2" t="str" cm="1">
        <f t="array" ref="O407">IFERROR(playerPoints($H407,$F407,$G407,O$1),"")</f>
        <v/>
      </c>
      <c r="Q407" s="2">
        <f t="shared" si="6"/>
        <v>0</v>
      </c>
    </row>
    <row r="408" spans="1:17">
      <c r="A408" s="2">
        <v>407</v>
      </c>
      <c r="B408" s="2" t="s">
        <v>1697</v>
      </c>
      <c r="C408" s="2" t="s">
        <v>1698</v>
      </c>
      <c r="D408" s="2" t="s">
        <v>910</v>
      </c>
      <c r="F408" s="2" t="str">
        <f>LOOKUP(D408,Sheet3!A$1:A$32,Sheet3!B$1:B$32)</f>
        <v>JAP</v>
      </c>
      <c r="G408" s="2" t="s">
        <v>2745</v>
      </c>
      <c r="H408" s="2" t="s">
        <v>57</v>
      </c>
      <c r="I408" s="2" t="str" cm="1">
        <f t="array" ref="I408">IFERROR(playerPoints($H408,$F408,$G408,I$1),"")</f>
        <v/>
      </c>
      <c r="J408" s="2" t="str" cm="1">
        <f t="array" ref="J408">IFERROR(playerPoints($H408,$F408,$G408,J$1),"")</f>
        <v/>
      </c>
      <c r="K408" s="2" t="str" cm="1">
        <f t="array" ref="K408">IFERROR(playerPoints($H408,$F408,$G408,K$1),"")</f>
        <v/>
      </c>
      <c r="L408" s="2" t="str" cm="1">
        <f t="array" ref="L408">IFERROR(playerPoints($H408,$F408,$G408,L$1),"")</f>
        <v/>
      </c>
      <c r="M408" s="2" t="str" cm="1">
        <f t="array" ref="M408">IFERROR(playerPoints($H408,$F408,$G408,M$1),"")</f>
        <v/>
      </c>
      <c r="N408" s="2" t="str" cm="1">
        <f t="array" ref="N408">IFERROR(playerPoints($H408,$F408,$G408,N$1),"")</f>
        <v/>
      </c>
      <c r="O408" s="2" t="str" cm="1">
        <f t="array" ref="O408">IFERROR(playerPoints($H408,$F408,$G408,O$1),"")</f>
        <v/>
      </c>
      <c r="Q408" s="2">
        <f t="shared" si="6"/>
        <v>0</v>
      </c>
    </row>
    <row r="409" spans="1:17">
      <c r="A409" s="2">
        <v>408</v>
      </c>
      <c r="B409" s="2" t="s">
        <v>1699</v>
      </c>
      <c r="C409" s="2" t="s">
        <v>1700</v>
      </c>
      <c r="D409" s="2" t="s">
        <v>910</v>
      </c>
      <c r="F409" s="2" t="str">
        <f>LOOKUP(D409,Sheet3!A$1:A$32,Sheet3!B$1:B$32)</f>
        <v>JAP</v>
      </c>
      <c r="G409" s="2" t="s">
        <v>2746</v>
      </c>
      <c r="H409" s="2" t="s">
        <v>57</v>
      </c>
      <c r="I409" s="2" t="str" cm="1">
        <f t="array" ref="I409">IFERROR(playerPoints($H409,$F409,$G409,I$1),"")</f>
        <v/>
      </c>
      <c r="J409" s="2" t="str" cm="1">
        <f t="array" ref="J409">IFERROR(playerPoints($H409,$F409,$G409,J$1),"")</f>
        <v/>
      </c>
      <c r="K409" s="2" t="str" cm="1">
        <f t="array" ref="K409">IFERROR(playerPoints($H409,$F409,$G409,K$1),"")</f>
        <v/>
      </c>
      <c r="L409" s="2" t="str" cm="1">
        <f t="array" ref="L409">IFERROR(playerPoints($H409,$F409,$G409,L$1),"")</f>
        <v/>
      </c>
      <c r="M409" s="2" t="str" cm="1">
        <f t="array" ref="M409">IFERROR(playerPoints($H409,$F409,$G409,M$1),"")</f>
        <v/>
      </c>
      <c r="N409" s="2" t="str" cm="1">
        <f t="array" ref="N409">IFERROR(playerPoints($H409,$F409,$G409,N$1),"")</f>
        <v/>
      </c>
      <c r="O409" s="2" t="str" cm="1">
        <f t="array" ref="O409">IFERROR(playerPoints($H409,$F409,$G409,O$1),"")</f>
        <v/>
      </c>
      <c r="Q409" s="2">
        <f t="shared" si="6"/>
        <v>0</v>
      </c>
    </row>
    <row r="410" spans="1:17">
      <c r="A410" s="2">
        <v>409</v>
      </c>
      <c r="B410" s="2" t="s">
        <v>1701</v>
      </c>
      <c r="C410" s="2" t="s">
        <v>1702</v>
      </c>
      <c r="D410" s="2" t="s">
        <v>910</v>
      </c>
      <c r="F410" s="2" t="str">
        <f>LOOKUP(D410,Sheet3!A$1:A$32,Sheet3!B$1:B$32)</f>
        <v>JAP</v>
      </c>
      <c r="G410" s="2" t="s">
        <v>2747</v>
      </c>
      <c r="H410" s="2" t="s">
        <v>66</v>
      </c>
      <c r="I410" s="2" t="str" cm="1">
        <f t="array" ref="I410">IFERROR(playerPoints($H410,$F410,$G410,I$1),"")</f>
        <v/>
      </c>
      <c r="J410" s="2" t="str" cm="1">
        <f t="array" ref="J410">IFERROR(playerPoints($H410,$F410,$G410,J$1),"")</f>
        <v/>
      </c>
      <c r="K410" s="2" t="str" cm="1">
        <f t="array" ref="K410">IFERROR(playerPoints($H410,$F410,$G410,K$1),"")</f>
        <v/>
      </c>
      <c r="L410" s="2" t="str" cm="1">
        <f t="array" ref="L410">IFERROR(playerPoints($H410,$F410,$G410,L$1),"")</f>
        <v/>
      </c>
      <c r="M410" s="2" t="str" cm="1">
        <f t="array" ref="M410">IFERROR(playerPoints($H410,$F410,$G410,M$1),"")</f>
        <v/>
      </c>
      <c r="N410" s="2" t="str" cm="1">
        <f t="array" ref="N410">IFERROR(playerPoints($H410,$F410,$G410,N$1),"")</f>
        <v/>
      </c>
      <c r="O410" s="2" t="str" cm="1">
        <f t="array" ref="O410">IFERROR(playerPoints($H410,$F410,$G410,O$1),"")</f>
        <v/>
      </c>
      <c r="Q410" s="2">
        <f t="shared" si="6"/>
        <v>0</v>
      </c>
    </row>
    <row r="411" spans="1:17">
      <c r="A411" s="2">
        <v>410</v>
      </c>
      <c r="B411" s="2" t="s">
        <v>1703</v>
      </c>
      <c r="C411" s="2" t="s">
        <v>1684</v>
      </c>
      <c r="D411" s="2" t="s">
        <v>910</v>
      </c>
      <c r="F411" s="2" t="str">
        <f>LOOKUP(D411,Sheet3!A$1:A$32,Sheet3!B$1:B$32)</f>
        <v>JAP</v>
      </c>
      <c r="G411" s="2" t="s">
        <v>2748</v>
      </c>
      <c r="H411" s="2" t="s">
        <v>66</v>
      </c>
      <c r="I411" s="2" t="str" cm="1">
        <f t="array" ref="I411">IFERROR(playerPoints($H411,$F411,$G411,I$1),"")</f>
        <v/>
      </c>
      <c r="J411" s="2" t="str" cm="1">
        <f t="array" ref="J411">IFERROR(playerPoints($H411,$F411,$G411,J$1),"")</f>
        <v/>
      </c>
      <c r="K411" s="2" t="str" cm="1">
        <f t="array" ref="K411">IFERROR(playerPoints($H411,$F411,$G411,K$1),"")</f>
        <v/>
      </c>
      <c r="L411" s="2" t="str" cm="1">
        <f t="array" ref="L411">IFERROR(playerPoints($H411,$F411,$G411,L$1),"")</f>
        <v/>
      </c>
      <c r="M411" s="2" t="str" cm="1">
        <f t="array" ref="M411">IFERROR(playerPoints($H411,$F411,$G411,M$1),"")</f>
        <v/>
      </c>
      <c r="N411" s="2" t="str" cm="1">
        <f t="array" ref="N411">IFERROR(playerPoints($H411,$F411,$G411,N$1),"")</f>
        <v/>
      </c>
      <c r="O411" s="2" t="str" cm="1">
        <f t="array" ref="O411">IFERROR(playerPoints($H411,$F411,$G411,O$1),"")</f>
        <v/>
      </c>
      <c r="Q411" s="2">
        <f t="shared" si="6"/>
        <v>0</v>
      </c>
    </row>
    <row r="412" spans="1:17">
      <c r="A412" s="2">
        <v>411</v>
      </c>
      <c r="B412" s="2" t="s">
        <v>1704</v>
      </c>
      <c r="C412" s="2" t="s">
        <v>1705</v>
      </c>
      <c r="D412" s="2" t="s">
        <v>910</v>
      </c>
      <c r="F412" s="2" t="str">
        <f>LOOKUP(D412,Sheet3!A$1:A$32,Sheet3!B$1:B$32)</f>
        <v>JAP</v>
      </c>
      <c r="G412" s="2" t="s">
        <v>2749</v>
      </c>
      <c r="H412" s="2" t="s">
        <v>66</v>
      </c>
      <c r="I412" s="2" t="str" cm="1">
        <f t="array" ref="I412">IFERROR(playerPoints($H412,$F412,$G412,I$1),"")</f>
        <v/>
      </c>
      <c r="J412" s="2" t="str" cm="1">
        <f t="array" ref="J412">IFERROR(playerPoints($H412,$F412,$G412,J$1),"")</f>
        <v/>
      </c>
      <c r="K412" s="2" t="str" cm="1">
        <f t="array" ref="K412">IFERROR(playerPoints($H412,$F412,$G412,K$1),"")</f>
        <v/>
      </c>
      <c r="L412" s="2" t="str" cm="1">
        <f t="array" ref="L412">IFERROR(playerPoints($H412,$F412,$G412,L$1),"")</f>
        <v/>
      </c>
      <c r="M412" s="2" t="str" cm="1">
        <f t="array" ref="M412">IFERROR(playerPoints($H412,$F412,$G412,M$1),"")</f>
        <v/>
      </c>
      <c r="N412" s="2" t="str" cm="1">
        <f t="array" ref="N412">IFERROR(playerPoints($H412,$F412,$G412,N$1),"")</f>
        <v/>
      </c>
      <c r="O412" s="2" t="str" cm="1">
        <f t="array" ref="O412">IFERROR(playerPoints($H412,$F412,$G412,O$1),"")</f>
        <v/>
      </c>
      <c r="Q412" s="2">
        <f t="shared" si="6"/>
        <v>0</v>
      </c>
    </row>
    <row r="413" spans="1:17">
      <c r="A413" s="2">
        <v>412</v>
      </c>
      <c r="B413" s="2" t="s">
        <v>1706</v>
      </c>
      <c r="C413" s="2" t="s">
        <v>1707</v>
      </c>
      <c r="D413" s="2" t="s">
        <v>910</v>
      </c>
      <c r="F413" s="2" t="str">
        <f>LOOKUP(D413,Sheet3!A$1:A$32,Sheet3!B$1:B$32)</f>
        <v>JAP</v>
      </c>
      <c r="G413" s="2" t="s">
        <v>2750</v>
      </c>
      <c r="H413" s="2" t="s">
        <v>66</v>
      </c>
      <c r="I413" s="2" t="str" cm="1">
        <f t="array" ref="I413">IFERROR(playerPoints($H413,$F413,$G413,I$1),"")</f>
        <v/>
      </c>
      <c r="J413" s="2" t="str" cm="1">
        <f t="array" ref="J413">IFERROR(playerPoints($H413,$F413,$G413,J$1),"")</f>
        <v/>
      </c>
      <c r="K413" s="2" t="str" cm="1">
        <f t="array" ref="K413">IFERROR(playerPoints($H413,$F413,$G413,K$1),"")</f>
        <v/>
      </c>
      <c r="L413" s="2" t="str" cm="1">
        <f t="array" ref="L413">IFERROR(playerPoints($H413,$F413,$G413,L$1),"")</f>
        <v/>
      </c>
      <c r="M413" s="2" t="str" cm="1">
        <f t="array" ref="M413">IFERROR(playerPoints($H413,$F413,$G413,M$1),"")</f>
        <v/>
      </c>
      <c r="N413" s="2" t="str" cm="1">
        <f t="array" ref="N413">IFERROR(playerPoints($H413,$F413,$G413,N$1),"")</f>
        <v/>
      </c>
      <c r="O413" s="2" t="str" cm="1">
        <f t="array" ref="O413">IFERROR(playerPoints($H413,$F413,$G413,O$1),"")</f>
        <v/>
      </c>
      <c r="Q413" s="2">
        <f t="shared" si="6"/>
        <v>0</v>
      </c>
    </row>
    <row r="414" spans="1:17">
      <c r="A414" s="2">
        <v>413</v>
      </c>
      <c r="B414" s="2" t="s">
        <v>1708</v>
      </c>
      <c r="C414" s="2" t="s">
        <v>1709</v>
      </c>
      <c r="D414" s="2" t="s">
        <v>910</v>
      </c>
      <c r="F414" s="2" t="str">
        <f>LOOKUP(D414,Sheet3!A$1:A$32,Sheet3!B$1:B$32)</f>
        <v>JAP</v>
      </c>
      <c r="G414" s="2" t="s">
        <v>2751</v>
      </c>
      <c r="H414" s="2" t="s">
        <v>66</v>
      </c>
      <c r="I414" s="2" t="str" cm="1">
        <f t="array" ref="I414">IFERROR(playerPoints($H414,$F414,$G414,I$1),"")</f>
        <v/>
      </c>
      <c r="J414" s="2" t="str" cm="1">
        <f t="array" ref="J414">IFERROR(playerPoints($H414,$F414,$G414,J$1),"")</f>
        <v/>
      </c>
      <c r="K414" s="2" t="str" cm="1">
        <f t="array" ref="K414">IFERROR(playerPoints($H414,$F414,$G414,K$1),"")</f>
        <v/>
      </c>
      <c r="L414" s="2" t="str" cm="1">
        <f t="array" ref="L414">IFERROR(playerPoints($H414,$F414,$G414,L$1),"")</f>
        <v/>
      </c>
      <c r="M414" s="2" t="str" cm="1">
        <f t="array" ref="M414">IFERROR(playerPoints($H414,$F414,$G414,M$1),"")</f>
        <v/>
      </c>
      <c r="N414" s="2" t="str" cm="1">
        <f t="array" ref="N414">IFERROR(playerPoints($H414,$F414,$G414,N$1),"")</f>
        <v/>
      </c>
      <c r="O414" s="2" t="str" cm="1">
        <f t="array" ref="O414">IFERROR(playerPoints($H414,$F414,$G414,O$1),"")</f>
        <v/>
      </c>
      <c r="Q414" s="2">
        <f t="shared" si="6"/>
        <v>0</v>
      </c>
    </row>
    <row r="415" spans="1:17">
      <c r="A415" s="2">
        <v>414</v>
      </c>
      <c r="B415" s="2" t="s">
        <v>1710</v>
      </c>
      <c r="C415" s="2" t="s">
        <v>1711</v>
      </c>
      <c r="D415" s="2" t="s">
        <v>910</v>
      </c>
      <c r="F415" s="2" t="str">
        <f>LOOKUP(D415,Sheet3!A$1:A$32,Sheet3!B$1:B$32)</f>
        <v>JAP</v>
      </c>
      <c r="G415" s="2" t="s">
        <v>2752</v>
      </c>
      <c r="H415" s="2" t="s">
        <v>66</v>
      </c>
      <c r="I415" s="2" t="str" cm="1">
        <f t="array" ref="I415">IFERROR(playerPoints($H415,$F415,$G415,I$1),"")</f>
        <v/>
      </c>
      <c r="J415" s="2" t="str" cm="1">
        <f t="array" ref="J415">IFERROR(playerPoints($H415,$F415,$G415,J$1),"")</f>
        <v/>
      </c>
      <c r="K415" s="2" t="str" cm="1">
        <f t="array" ref="K415">IFERROR(playerPoints($H415,$F415,$G415,K$1),"")</f>
        <v/>
      </c>
      <c r="L415" s="2" t="str" cm="1">
        <f t="array" ref="L415">IFERROR(playerPoints($H415,$F415,$G415,L$1),"")</f>
        <v/>
      </c>
      <c r="M415" s="2" t="str" cm="1">
        <f t="array" ref="M415">IFERROR(playerPoints($H415,$F415,$G415,M$1),"")</f>
        <v/>
      </c>
      <c r="N415" s="2" t="str" cm="1">
        <f t="array" ref="N415">IFERROR(playerPoints($H415,$F415,$G415,N$1),"")</f>
        <v/>
      </c>
      <c r="O415" s="2" t="str" cm="1">
        <f t="array" ref="O415">IFERROR(playerPoints($H415,$F415,$G415,O$1),"")</f>
        <v/>
      </c>
      <c r="Q415" s="2">
        <f t="shared" si="6"/>
        <v>0</v>
      </c>
    </row>
    <row r="416" spans="1:17">
      <c r="A416" s="2">
        <v>415</v>
      </c>
      <c r="B416" s="2" t="s">
        <v>1712</v>
      </c>
      <c r="C416" s="2" t="s">
        <v>1713</v>
      </c>
      <c r="D416" s="2" t="s">
        <v>910</v>
      </c>
      <c r="F416" s="2" t="str">
        <f>LOOKUP(D416,Sheet3!A$1:A$32,Sheet3!B$1:B$32)</f>
        <v>JAP</v>
      </c>
      <c r="G416" s="2" t="s">
        <v>2753</v>
      </c>
      <c r="H416" s="2" t="s">
        <v>66</v>
      </c>
      <c r="I416" s="2" t="str" cm="1">
        <f t="array" ref="I416">IFERROR(playerPoints($H416,$F416,$G416,I$1),"")</f>
        <v/>
      </c>
      <c r="J416" s="2" t="str" cm="1">
        <f t="array" ref="J416">IFERROR(playerPoints($H416,$F416,$G416,J$1),"")</f>
        <v/>
      </c>
      <c r="K416" s="2" t="str" cm="1">
        <f t="array" ref="K416">IFERROR(playerPoints($H416,$F416,$G416,K$1),"")</f>
        <v/>
      </c>
      <c r="L416" s="2" t="str" cm="1">
        <f t="array" ref="L416">IFERROR(playerPoints($H416,$F416,$G416,L$1),"")</f>
        <v/>
      </c>
      <c r="M416" s="2" t="str" cm="1">
        <f t="array" ref="M416">IFERROR(playerPoints($H416,$F416,$G416,M$1),"")</f>
        <v/>
      </c>
      <c r="N416" s="2" t="str" cm="1">
        <f t="array" ref="N416">IFERROR(playerPoints($H416,$F416,$G416,N$1),"")</f>
        <v/>
      </c>
      <c r="O416" s="2" t="str" cm="1">
        <f t="array" ref="O416">IFERROR(playerPoints($H416,$F416,$G416,O$1),"")</f>
        <v/>
      </c>
      <c r="Q416" s="2">
        <f t="shared" si="6"/>
        <v>0</v>
      </c>
    </row>
    <row r="417" spans="1:17">
      <c r="A417" s="2">
        <v>416</v>
      </c>
      <c r="B417" s="2" t="s">
        <v>1714</v>
      </c>
      <c r="C417" s="2" t="s">
        <v>1715</v>
      </c>
      <c r="D417" s="2" t="s">
        <v>879</v>
      </c>
      <c r="F417" s="2" t="str">
        <f>LOOKUP(D417,Sheet3!A$1:A$32,Sheet3!B$1:B$32)</f>
        <v>MEX</v>
      </c>
      <c r="G417" s="2" t="s">
        <v>2754</v>
      </c>
      <c r="H417" s="2" t="s">
        <v>44</v>
      </c>
      <c r="I417" s="2" t="str" cm="1">
        <f t="array" ref="I417">IFERROR(playerPoints($H417,$F417,$G417,I$1),"")</f>
        <v/>
      </c>
      <c r="J417" s="2" t="str" cm="1">
        <f t="array" ref="J417">IFERROR(playerPoints($H417,$F417,$G417,J$1),"")</f>
        <v/>
      </c>
      <c r="K417" s="2" t="str" cm="1">
        <f t="array" ref="K417">IFERROR(playerPoints($H417,$F417,$G417,K$1),"")</f>
        <v/>
      </c>
      <c r="L417" s="2" t="str" cm="1">
        <f t="array" ref="L417">IFERROR(playerPoints($H417,$F417,$G417,L$1),"")</f>
        <v/>
      </c>
      <c r="M417" s="2" t="str" cm="1">
        <f t="array" ref="M417">IFERROR(playerPoints($H417,$F417,$G417,M$1),"")</f>
        <v/>
      </c>
      <c r="N417" s="2" t="str" cm="1">
        <f t="array" ref="N417">IFERROR(playerPoints($H417,$F417,$G417,N$1),"")</f>
        <v/>
      </c>
      <c r="O417" s="2" t="str" cm="1">
        <f t="array" ref="O417">IFERROR(playerPoints($H417,$F417,$G417,O$1),"")</f>
        <v/>
      </c>
      <c r="Q417" s="2">
        <f t="shared" si="6"/>
        <v>0</v>
      </c>
    </row>
    <row r="418" spans="1:17">
      <c r="A418" s="2">
        <v>417</v>
      </c>
      <c r="B418" s="2" t="s">
        <v>1716</v>
      </c>
      <c r="C418" s="2" t="s">
        <v>1717</v>
      </c>
      <c r="D418" s="2" t="s">
        <v>879</v>
      </c>
      <c r="F418" s="2" t="str">
        <f>LOOKUP(D418,Sheet3!A$1:A$32,Sheet3!B$1:B$32)</f>
        <v>MEX</v>
      </c>
      <c r="G418" s="2" t="s">
        <v>2755</v>
      </c>
      <c r="H418" s="2" t="s">
        <v>44</v>
      </c>
      <c r="I418" s="2" t="str" cm="1">
        <f t="array" ref="I418">IFERROR(playerPoints($H418,$F418,$G418,I$1),"")</f>
        <v/>
      </c>
      <c r="J418" s="2" t="str" cm="1">
        <f t="array" ref="J418">IFERROR(playerPoints($H418,$F418,$G418,J$1),"")</f>
        <v/>
      </c>
      <c r="K418" s="2" t="str" cm="1">
        <f t="array" ref="K418">IFERROR(playerPoints($H418,$F418,$G418,K$1),"")</f>
        <v/>
      </c>
      <c r="L418" s="2" t="str" cm="1">
        <f t="array" ref="L418">IFERROR(playerPoints($H418,$F418,$G418,L$1),"")</f>
        <v/>
      </c>
      <c r="M418" s="2" t="str" cm="1">
        <f t="array" ref="M418">IFERROR(playerPoints($H418,$F418,$G418,M$1),"")</f>
        <v/>
      </c>
      <c r="N418" s="2" t="str" cm="1">
        <f t="array" ref="N418">IFERROR(playerPoints($H418,$F418,$G418,N$1),"")</f>
        <v/>
      </c>
      <c r="O418" s="2" t="str" cm="1">
        <f t="array" ref="O418">IFERROR(playerPoints($H418,$F418,$G418,O$1),"")</f>
        <v/>
      </c>
      <c r="Q418" s="2">
        <f t="shared" si="6"/>
        <v>0</v>
      </c>
    </row>
    <row r="419" spans="1:17">
      <c r="A419" s="2">
        <v>418</v>
      </c>
      <c r="B419" s="2" t="s">
        <v>1718</v>
      </c>
      <c r="C419" s="2" t="s">
        <v>1719</v>
      </c>
      <c r="D419" s="2" t="s">
        <v>879</v>
      </c>
      <c r="F419" s="2" t="str">
        <f>LOOKUP(D419,Sheet3!A$1:A$32,Sheet3!B$1:B$32)</f>
        <v>MEX</v>
      </c>
      <c r="G419" s="2" t="s">
        <v>2756</v>
      </c>
      <c r="H419" s="2" t="s">
        <v>44</v>
      </c>
      <c r="I419" s="2" t="str" cm="1">
        <f t="array" ref="I419">IFERROR(playerPoints($H419,$F419,$G419,I$1),"")</f>
        <v/>
      </c>
      <c r="J419" s="2" t="str" cm="1">
        <f t="array" ref="J419">IFERROR(playerPoints($H419,$F419,$G419,J$1),"")</f>
        <v/>
      </c>
      <c r="K419" s="2" t="str" cm="1">
        <f t="array" ref="K419">IFERROR(playerPoints($H419,$F419,$G419,K$1),"")</f>
        <v/>
      </c>
      <c r="L419" s="2" t="str" cm="1">
        <f t="array" ref="L419">IFERROR(playerPoints($H419,$F419,$G419,L$1),"")</f>
        <v/>
      </c>
      <c r="M419" s="2" t="str" cm="1">
        <f t="array" ref="M419">IFERROR(playerPoints($H419,$F419,$G419,M$1),"")</f>
        <v/>
      </c>
      <c r="N419" s="2" t="str" cm="1">
        <f t="array" ref="N419">IFERROR(playerPoints($H419,$F419,$G419,N$1),"")</f>
        <v/>
      </c>
      <c r="O419" s="2" t="str" cm="1">
        <f t="array" ref="O419">IFERROR(playerPoints($H419,$F419,$G419,O$1),"")</f>
        <v/>
      </c>
      <c r="Q419" s="2">
        <f t="shared" si="6"/>
        <v>0</v>
      </c>
    </row>
    <row r="420" spans="1:17">
      <c r="A420" s="2">
        <v>419</v>
      </c>
      <c r="B420" s="2" t="s">
        <v>1720</v>
      </c>
      <c r="C420" s="2" t="s">
        <v>1721</v>
      </c>
      <c r="D420" s="2" t="s">
        <v>879</v>
      </c>
      <c r="F420" s="2" t="str">
        <f>LOOKUP(D420,Sheet3!A$1:A$32,Sheet3!B$1:B$32)</f>
        <v>MEX</v>
      </c>
      <c r="G420" s="2" t="s">
        <v>2757</v>
      </c>
      <c r="H420" s="2" t="s">
        <v>48</v>
      </c>
      <c r="I420" s="2" t="str" cm="1">
        <f t="array" ref="I420">IFERROR(playerPoints($H420,$F420,$G420,I$1),"")</f>
        <v/>
      </c>
      <c r="J420" s="2" t="str" cm="1">
        <f t="array" ref="J420">IFERROR(playerPoints($H420,$F420,$G420,J$1),"")</f>
        <v/>
      </c>
      <c r="K420" s="2" t="str" cm="1">
        <f t="array" ref="K420">IFERROR(playerPoints($H420,$F420,$G420,K$1),"")</f>
        <v/>
      </c>
      <c r="L420" s="2" t="str" cm="1">
        <f t="array" ref="L420">IFERROR(playerPoints($H420,$F420,$G420,L$1),"")</f>
        <v/>
      </c>
      <c r="M420" s="2" t="str" cm="1">
        <f t="array" ref="M420">IFERROR(playerPoints($H420,$F420,$G420,M$1),"")</f>
        <v/>
      </c>
      <c r="N420" s="2" t="str" cm="1">
        <f t="array" ref="N420">IFERROR(playerPoints($H420,$F420,$G420,N$1),"")</f>
        <v/>
      </c>
      <c r="O420" s="2" t="str" cm="1">
        <f t="array" ref="O420">IFERROR(playerPoints($H420,$F420,$G420,O$1),"")</f>
        <v/>
      </c>
      <c r="Q420" s="2">
        <f t="shared" si="6"/>
        <v>0</v>
      </c>
    </row>
    <row r="421" spans="1:17">
      <c r="A421" s="2">
        <v>420</v>
      </c>
      <c r="B421" s="2" t="s">
        <v>1722</v>
      </c>
      <c r="C421" s="2" t="s">
        <v>1723</v>
      </c>
      <c r="D421" s="2" t="s">
        <v>879</v>
      </c>
      <c r="F421" s="2" t="str">
        <f>LOOKUP(D421,Sheet3!A$1:A$32,Sheet3!B$1:B$32)</f>
        <v>MEX</v>
      </c>
      <c r="G421" s="2" t="s">
        <v>2758</v>
      </c>
      <c r="H421" s="2" t="s">
        <v>48</v>
      </c>
      <c r="I421" s="2" t="str" cm="1">
        <f t="array" ref="I421">IFERROR(playerPoints($H421,$F421,$G421,I$1),"")</f>
        <v/>
      </c>
      <c r="J421" s="2" t="str" cm="1">
        <f t="array" ref="J421">IFERROR(playerPoints($H421,$F421,$G421,J$1),"")</f>
        <v/>
      </c>
      <c r="K421" s="2" t="str" cm="1">
        <f t="array" ref="K421">IFERROR(playerPoints($H421,$F421,$G421,K$1),"")</f>
        <v/>
      </c>
      <c r="L421" s="2" t="str" cm="1">
        <f t="array" ref="L421">IFERROR(playerPoints($H421,$F421,$G421,L$1),"")</f>
        <v/>
      </c>
      <c r="M421" s="2" t="str" cm="1">
        <f t="array" ref="M421">IFERROR(playerPoints($H421,$F421,$G421,M$1),"")</f>
        <v/>
      </c>
      <c r="N421" s="2" t="str" cm="1">
        <f t="array" ref="N421">IFERROR(playerPoints($H421,$F421,$G421,N$1),"")</f>
        <v/>
      </c>
      <c r="O421" s="2" t="str" cm="1">
        <f t="array" ref="O421">IFERROR(playerPoints($H421,$F421,$G421,O$1),"")</f>
        <v/>
      </c>
      <c r="Q421" s="2">
        <f t="shared" si="6"/>
        <v>0</v>
      </c>
    </row>
    <row r="422" spans="1:17">
      <c r="A422" s="2">
        <v>421</v>
      </c>
      <c r="B422" s="2" t="s">
        <v>1299</v>
      </c>
      <c r="C422" s="2" t="s">
        <v>1724</v>
      </c>
      <c r="D422" s="2" t="s">
        <v>879</v>
      </c>
      <c r="F422" s="2" t="str">
        <f>LOOKUP(D422,Sheet3!A$1:A$32,Sheet3!B$1:B$32)</f>
        <v>MEX</v>
      </c>
      <c r="G422" s="2" t="s">
        <v>2759</v>
      </c>
      <c r="H422" s="2" t="s">
        <v>48</v>
      </c>
      <c r="I422" s="2" t="str" cm="1">
        <f t="array" ref="I422">IFERROR(playerPoints($H422,$F422,$G422,I$1),"")</f>
        <v/>
      </c>
      <c r="J422" s="2" t="str" cm="1">
        <f t="array" ref="J422">IFERROR(playerPoints($H422,$F422,$G422,J$1),"")</f>
        <v/>
      </c>
      <c r="K422" s="2" t="str" cm="1">
        <f t="array" ref="K422">IFERROR(playerPoints($H422,$F422,$G422,K$1),"")</f>
        <v/>
      </c>
      <c r="L422" s="2" t="str" cm="1">
        <f t="array" ref="L422">IFERROR(playerPoints($H422,$F422,$G422,L$1),"")</f>
        <v/>
      </c>
      <c r="M422" s="2" t="str" cm="1">
        <f t="array" ref="M422">IFERROR(playerPoints($H422,$F422,$G422,M$1),"")</f>
        <v/>
      </c>
      <c r="N422" s="2" t="str" cm="1">
        <f t="array" ref="N422">IFERROR(playerPoints($H422,$F422,$G422,N$1),"")</f>
        <v/>
      </c>
      <c r="O422" s="2" t="str" cm="1">
        <f t="array" ref="O422">IFERROR(playerPoints($H422,$F422,$G422,O$1),"")</f>
        <v/>
      </c>
      <c r="Q422" s="2">
        <f t="shared" si="6"/>
        <v>0</v>
      </c>
    </row>
    <row r="423" spans="1:17">
      <c r="A423" s="2">
        <v>422</v>
      </c>
      <c r="B423" s="2" t="s">
        <v>1725</v>
      </c>
      <c r="C423" s="2" t="s">
        <v>1726</v>
      </c>
      <c r="D423" s="2" t="s">
        <v>879</v>
      </c>
      <c r="F423" s="2" t="str">
        <f>LOOKUP(D423,Sheet3!A$1:A$32,Sheet3!B$1:B$32)</f>
        <v>MEX</v>
      </c>
      <c r="G423" s="2" t="s">
        <v>2760</v>
      </c>
      <c r="H423" s="2" t="s">
        <v>48</v>
      </c>
      <c r="I423" s="2" t="str" cm="1">
        <f t="array" ref="I423">IFERROR(playerPoints($H423,$F423,$G423,I$1),"")</f>
        <v/>
      </c>
      <c r="J423" s="2" t="str" cm="1">
        <f t="array" ref="J423">IFERROR(playerPoints($H423,$F423,$G423,J$1),"")</f>
        <v/>
      </c>
      <c r="K423" s="2" t="str" cm="1">
        <f t="array" ref="K423">IFERROR(playerPoints($H423,$F423,$G423,K$1),"")</f>
        <v/>
      </c>
      <c r="L423" s="2" t="str" cm="1">
        <f t="array" ref="L423">IFERROR(playerPoints($H423,$F423,$G423,L$1),"")</f>
        <v/>
      </c>
      <c r="M423" s="2" t="str" cm="1">
        <f t="array" ref="M423">IFERROR(playerPoints($H423,$F423,$G423,M$1),"")</f>
        <v/>
      </c>
      <c r="N423" s="2" t="str" cm="1">
        <f t="array" ref="N423">IFERROR(playerPoints($H423,$F423,$G423,N$1),"")</f>
        <v/>
      </c>
      <c r="O423" s="2" t="str" cm="1">
        <f t="array" ref="O423">IFERROR(playerPoints($H423,$F423,$G423,O$1),"")</f>
        <v/>
      </c>
      <c r="Q423" s="2">
        <f t="shared" si="6"/>
        <v>0</v>
      </c>
    </row>
    <row r="424" spans="1:17">
      <c r="A424" s="2">
        <v>423</v>
      </c>
      <c r="B424" s="2" t="s">
        <v>1727</v>
      </c>
      <c r="C424" s="2" t="s">
        <v>1728</v>
      </c>
      <c r="D424" s="2" t="s">
        <v>879</v>
      </c>
      <c r="F424" s="2" t="str">
        <f>LOOKUP(D424,Sheet3!A$1:A$32,Sheet3!B$1:B$32)</f>
        <v>MEX</v>
      </c>
      <c r="G424" s="2" t="s">
        <v>2761</v>
      </c>
      <c r="H424" s="2" t="s">
        <v>48</v>
      </c>
      <c r="I424" s="2" t="str" cm="1">
        <f t="array" ref="I424">IFERROR(playerPoints($H424,$F424,$G424,I$1),"")</f>
        <v/>
      </c>
      <c r="J424" s="2" t="str" cm="1">
        <f t="array" ref="J424">IFERROR(playerPoints($H424,$F424,$G424,J$1),"")</f>
        <v/>
      </c>
      <c r="K424" s="2" t="str" cm="1">
        <f t="array" ref="K424">IFERROR(playerPoints($H424,$F424,$G424,K$1),"")</f>
        <v/>
      </c>
      <c r="L424" s="2" t="str" cm="1">
        <f t="array" ref="L424">IFERROR(playerPoints($H424,$F424,$G424,L$1),"")</f>
        <v/>
      </c>
      <c r="M424" s="2" t="str" cm="1">
        <f t="array" ref="M424">IFERROR(playerPoints($H424,$F424,$G424,M$1),"")</f>
        <v/>
      </c>
      <c r="N424" s="2" t="str" cm="1">
        <f t="array" ref="N424">IFERROR(playerPoints($H424,$F424,$G424,N$1),"")</f>
        <v/>
      </c>
      <c r="O424" s="2" t="str" cm="1">
        <f t="array" ref="O424">IFERROR(playerPoints($H424,$F424,$G424,O$1),"")</f>
        <v/>
      </c>
      <c r="Q424" s="2">
        <f t="shared" si="6"/>
        <v>0</v>
      </c>
    </row>
    <row r="425" spans="1:17">
      <c r="A425" s="2">
        <v>424</v>
      </c>
      <c r="B425" s="2" t="s">
        <v>1729</v>
      </c>
      <c r="C425" s="2" t="s">
        <v>1730</v>
      </c>
      <c r="D425" s="2" t="s">
        <v>879</v>
      </c>
      <c r="F425" s="2" t="str">
        <f>LOOKUP(D425,Sheet3!A$1:A$32,Sheet3!B$1:B$32)</f>
        <v>MEX</v>
      </c>
      <c r="G425" s="2" t="s">
        <v>2762</v>
      </c>
      <c r="H425" s="2" t="s">
        <v>48</v>
      </c>
      <c r="I425" s="2" t="str" cm="1">
        <f t="array" ref="I425">IFERROR(playerPoints($H425,$F425,$G425,I$1),"")</f>
        <v/>
      </c>
      <c r="J425" s="2" t="str" cm="1">
        <f t="array" ref="J425">IFERROR(playerPoints($H425,$F425,$G425,J$1),"")</f>
        <v/>
      </c>
      <c r="K425" s="2" t="str" cm="1">
        <f t="array" ref="K425">IFERROR(playerPoints($H425,$F425,$G425,K$1),"")</f>
        <v/>
      </c>
      <c r="L425" s="2" t="str" cm="1">
        <f t="array" ref="L425">IFERROR(playerPoints($H425,$F425,$G425,L$1),"")</f>
        <v/>
      </c>
      <c r="M425" s="2" t="str" cm="1">
        <f t="array" ref="M425">IFERROR(playerPoints($H425,$F425,$G425,M$1),"")</f>
        <v/>
      </c>
      <c r="N425" s="2" t="str" cm="1">
        <f t="array" ref="N425">IFERROR(playerPoints($H425,$F425,$G425,N$1),"")</f>
        <v/>
      </c>
      <c r="O425" s="2" t="str" cm="1">
        <f t="array" ref="O425">IFERROR(playerPoints($H425,$F425,$G425,O$1),"")</f>
        <v/>
      </c>
      <c r="Q425" s="2">
        <f t="shared" si="6"/>
        <v>0</v>
      </c>
    </row>
    <row r="426" spans="1:17">
      <c r="A426" s="2">
        <v>425</v>
      </c>
      <c r="B426" s="2" t="s">
        <v>1731</v>
      </c>
      <c r="C426" s="2" t="s">
        <v>1732</v>
      </c>
      <c r="D426" s="2" t="s">
        <v>879</v>
      </c>
      <c r="F426" s="2" t="str">
        <f>LOOKUP(D426,Sheet3!A$1:A$32,Sheet3!B$1:B$32)</f>
        <v>MEX</v>
      </c>
      <c r="G426" s="2" t="s">
        <v>2763</v>
      </c>
      <c r="H426" s="2" t="s">
        <v>48</v>
      </c>
      <c r="I426" s="2" t="str" cm="1">
        <f t="array" ref="I426">IFERROR(playerPoints($H426,$F426,$G426,I$1),"")</f>
        <v/>
      </c>
      <c r="J426" s="2" t="str" cm="1">
        <f t="array" ref="J426">IFERROR(playerPoints($H426,$F426,$G426,J$1),"")</f>
        <v/>
      </c>
      <c r="K426" s="2" t="str" cm="1">
        <f t="array" ref="K426">IFERROR(playerPoints($H426,$F426,$G426,K$1),"")</f>
        <v/>
      </c>
      <c r="L426" s="2" t="str" cm="1">
        <f t="array" ref="L426">IFERROR(playerPoints($H426,$F426,$G426,L$1),"")</f>
        <v/>
      </c>
      <c r="M426" s="2" t="str" cm="1">
        <f t="array" ref="M426">IFERROR(playerPoints($H426,$F426,$G426,M$1),"")</f>
        <v/>
      </c>
      <c r="N426" s="2" t="str" cm="1">
        <f t="array" ref="N426">IFERROR(playerPoints($H426,$F426,$G426,N$1),"")</f>
        <v/>
      </c>
      <c r="O426" s="2" t="str" cm="1">
        <f t="array" ref="O426">IFERROR(playerPoints($H426,$F426,$G426,O$1),"")</f>
        <v/>
      </c>
      <c r="Q426" s="2">
        <f t="shared" si="6"/>
        <v>0</v>
      </c>
    </row>
    <row r="427" spans="1:17">
      <c r="A427" s="2">
        <v>426</v>
      </c>
      <c r="B427" s="2" t="s">
        <v>1132</v>
      </c>
      <c r="C427" s="2" t="s">
        <v>1051</v>
      </c>
      <c r="D427" s="2" t="s">
        <v>879</v>
      </c>
      <c r="F427" s="2" t="str">
        <f>LOOKUP(D427,Sheet3!A$1:A$32,Sheet3!B$1:B$32)</f>
        <v>MEX</v>
      </c>
      <c r="G427" s="2" t="s">
        <v>2764</v>
      </c>
      <c r="H427" s="2" t="s">
        <v>48</v>
      </c>
      <c r="I427" s="2" t="str" cm="1">
        <f t="array" ref="I427">IFERROR(playerPoints($H427,$F427,$G427,I$1),"")</f>
        <v/>
      </c>
      <c r="J427" s="2" t="str" cm="1">
        <f t="array" ref="J427">IFERROR(playerPoints($H427,$F427,$G427,J$1),"")</f>
        <v/>
      </c>
      <c r="K427" s="2" t="str" cm="1">
        <f t="array" ref="K427">IFERROR(playerPoints($H427,$F427,$G427,K$1),"")</f>
        <v/>
      </c>
      <c r="L427" s="2" t="str" cm="1">
        <f t="array" ref="L427">IFERROR(playerPoints($H427,$F427,$G427,L$1),"")</f>
        <v/>
      </c>
      <c r="M427" s="2" t="str" cm="1">
        <f t="array" ref="M427">IFERROR(playerPoints($H427,$F427,$G427,M$1),"")</f>
        <v/>
      </c>
      <c r="N427" s="2" t="str" cm="1">
        <f t="array" ref="N427">IFERROR(playerPoints($H427,$F427,$G427,N$1),"")</f>
        <v/>
      </c>
      <c r="O427" s="2" t="str" cm="1">
        <f t="array" ref="O427">IFERROR(playerPoints($H427,$F427,$G427,O$1),"")</f>
        <v/>
      </c>
      <c r="Q427" s="2">
        <f t="shared" si="6"/>
        <v>0</v>
      </c>
    </row>
    <row r="428" spans="1:17">
      <c r="A428" s="2">
        <v>427</v>
      </c>
      <c r="B428" s="2" t="s">
        <v>1733</v>
      </c>
      <c r="C428" s="2" t="s">
        <v>1051</v>
      </c>
      <c r="D428" s="2" t="s">
        <v>879</v>
      </c>
      <c r="F428" s="2" t="str">
        <f>LOOKUP(D428,Sheet3!A$1:A$32,Sheet3!B$1:B$32)</f>
        <v>MEX</v>
      </c>
      <c r="G428" s="2" t="s">
        <v>2765</v>
      </c>
      <c r="H428" s="2" t="s">
        <v>57</v>
      </c>
      <c r="I428" s="2" t="str" cm="1">
        <f t="array" ref="I428">IFERROR(playerPoints($H428,$F428,$G428,I$1),"")</f>
        <v/>
      </c>
      <c r="J428" s="2" t="str" cm="1">
        <f t="array" ref="J428">IFERROR(playerPoints($H428,$F428,$G428,J$1),"")</f>
        <v/>
      </c>
      <c r="K428" s="2" t="str" cm="1">
        <f t="array" ref="K428">IFERROR(playerPoints($H428,$F428,$G428,K$1),"")</f>
        <v/>
      </c>
      <c r="L428" s="2" t="str" cm="1">
        <f t="array" ref="L428">IFERROR(playerPoints($H428,$F428,$G428,L$1),"")</f>
        <v/>
      </c>
      <c r="M428" s="2" t="str" cm="1">
        <f t="array" ref="M428">IFERROR(playerPoints($H428,$F428,$G428,M$1),"")</f>
        <v/>
      </c>
      <c r="N428" s="2" t="str" cm="1">
        <f t="array" ref="N428">IFERROR(playerPoints($H428,$F428,$G428,N$1),"")</f>
        <v/>
      </c>
      <c r="O428" s="2" t="str" cm="1">
        <f t="array" ref="O428">IFERROR(playerPoints($H428,$F428,$G428,O$1),"")</f>
        <v/>
      </c>
      <c r="Q428" s="2">
        <f t="shared" si="6"/>
        <v>0</v>
      </c>
    </row>
    <row r="429" spans="1:17">
      <c r="A429" s="2">
        <v>428</v>
      </c>
      <c r="B429" s="2" t="s">
        <v>1734</v>
      </c>
      <c r="C429" s="2" t="s">
        <v>1735</v>
      </c>
      <c r="D429" s="2" t="s">
        <v>879</v>
      </c>
      <c r="F429" s="2" t="str">
        <f>LOOKUP(D429,Sheet3!A$1:A$32,Sheet3!B$1:B$32)</f>
        <v>MEX</v>
      </c>
      <c r="G429" s="2" t="s">
        <v>2766</v>
      </c>
      <c r="H429" s="2" t="s">
        <v>57</v>
      </c>
      <c r="I429" s="2" t="str" cm="1">
        <f t="array" ref="I429">IFERROR(playerPoints($H429,$F429,$G429,I$1),"")</f>
        <v/>
      </c>
      <c r="J429" s="2" t="str" cm="1">
        <f t="array" ref="J429">IFERROR(playerPoints($H429,$F429,$G429,J$1),"")</f>
        <v/>
      </c>
      <c r="K429" s="2" t="str" cm="1">
        <f t="array" ref="K429">IFERROR(playerPoints($H429,$F429,$G429,K$1),"")</f>
        <v/>
      </c>
      <c r="L429" s="2" t="str" cm="1">
        <f t="array" ref="L429">IFERROR(playerPoints($H429,$F429,$G429,L$1),"")</f>
        <v/>
      </c>
      <c r="M429" s="2" t="str" cm="1">
        <f t="array" ref="M429">IFERROR(playerPoints($H429,$F429,$G429,M$1),"")</f>
        <v/>
      </c>
      <c r="N429" s="2" t="str" cm="1">
        <f t="array" ref="N429">IFERROR(playerPoints($H429,$F429,$G429,N$1),"")</f>
        <v/>
      </c>
      <c r="O429" s="2" t="str" cm="1">
        <f t="array" ref="O429">IFERROR(playerPoints($H429,$F429,$G429,O$1),"")</f>
        <v/>
      </c>
      <c r="Q429" s="2">
        <f t="shared" si="6"/>
        <v>0</v>
      </c>
    </row>
    <row r="430" spans="1:17">
      <c r="A430" s="2">
        <v>429</v>
      </c>
      <c r="B430" s="2" t="s">
        <v>1287</v>
      </c>
      <c r="C430" s="2" t="s">
        <v>1045</v>
      </c>
      <c r="D430" s="2" t="s">
        <v>879</v>
      </c>
      <c r="F430" s="2" t="str">
        <f>LOOKUP(D430,Sheet3!A$1:A$32,Sheet3!B$1:B$32)</f>
        <v>MEX</v>
      </c>
      <c r="G430" s="2" t="s">
        <v>2767</v>
      </c>
      <c r="H430" s="2" t="s">
        <v>57</v>
      </c>
      <c r="I430" s="2" t="str" cm="1">
        <f t="array" ref="I430">IFERROR(playerPoints($H430,$F430,$G430,I$1),"")</f>
        <v/>
      </c>
      <c r="J430" s="2" t="str" cm="1">
        <f t="array" ref="J430">IFERROR(playerPoints($H430,$F430,$G430,J$1),"")</f>
        <v/>
      </c>
      <c r="K430" s="2" t="str" cm="1">
        <f t="array" ref="K430">IFERROR(playerPoints($H430,$F430,$G430,K$1),"")</f>
        <v/>
      </c>
      <c r="L430" s="2" t="str" cm="1">
        <f t="array" ref="L430">IFERROR(playerPoints($H430,$F430,$G430,L$1),"")</f>
        <v/>
      </c>
      <c r="M430" s="2" t="str" cm="1">
        <f t="array" ref="M430">IFERROR(playerPoints($H430,$F430,$G430,M$1),"")</f>
        <v/>
      </c>
      <c r="N430" s="2" t="str" cm="1">
        <f t="array" ref="N430">IFERROR(playerPoints($H430,$F430,$G430,N$1),"")</f>
        <v/>
      </c>
      <c r="O430" s="2" t="str" cm="1">
        <f t="array" ref="O430">IFERROR(playerPoints($H430,$F430,$G430,O$1),"")</f>
        <v/>
      </c>
      <c r="Q430" s="2">
        <f t="shared" si="6"/>
        <v>0</v>
      </c>
    </row>
    <row r="431" spans="1:17">
      <c r="A431" s="2">
        <v>430</v>
      </c>
      <c r="B431" s="2" t="s">
        <v>1736</v>
      </c>
      <c r="C431" s="2" t="s">
        <v>1737</v>
      </c>
      <c r="D431" s="2" t="s">
        <v>879</v>
      </c>
      <c r="F431" s="2" t="str">
        <f>LOOKUP(D431,Sheet3!A$1:A$32,Sheet3!B$1:B$32)</f>
        <v>MEX</v>
      </c>
      <c r="G431" s="2" t="s">
        <v>2768</v>
      </c>
      <c r="H431" s="2" t="s">
        <v>57</v>
      </c>
      <c r="I431" s="2" t="str" cm="1">
        <f t="array" ref="I431">IFERROR(playerPoints($H431,$F431,$G431,I$1),"")</f>
        <v/>
      </c>
      <c r="J431" s="2" t="str" cm="1">
        <f t="array" ref="J431">IFERROR(playerPoints($H431,$F431,$G431,J$1),"")</f>
        <v/>
      </c>
      <c r="K431" s="2" t="str" cm="1">
        <f t="array" ref="K431">IFERROR(playerPoints($H431,$F431,$G431,K$1),"")</f>
        <v/>
      </c>
      <c r="L431" s="2" t="str" cm="1">
        <f t="array" ref="L431">IFERROR(playerPoints($H431,$F431,$G431,L$1),"")</f>
        <v/>
      </c>
      <c r="M431" s="2" t="str" cm="1">
        <f t="array" ref="M431">IFERROR(playerPoints($H431,$F431,$G431,M$1),"")</f>
        <v/>
      </c>
      <c r="N431" s="2" t="str" cm="1">
        <f t="array" ref="N431">IFERROR(playerPoints($H431,$F431,$G431,N$1),"")</f>
        <v/>
      </c>
      <c r="O431" s="2" t="str" cm="1">
        <f t="array" ref="O431">IFERROR(playerPoints($H431,$F431,$G431,O$1),"")</f>
        <v/>
      </c>
      <c r="Q431" s="2">
        <f t="shared" si="6"/>
        <v>0</v>
      </c>
    </row>
    <row r="432" spans="1:17">
      <c r="A432" s="2">
        <v>431</v>
      </c>
      <c r="B432" s="2" t="s">
        <v>1727</v>
      </c>
      <c r="C432" s="2" t="s">
        <v>1738</v>
      </c>
      <c r="D432" s="2" t="s">
        <v>879</v>
      </c>
      <c r="F432" s="2" t="str">
        <f>LOOKUP(D432,Sheet3!A$1:A$32,Sheet3!B$1:B$32)</f>
        <v>MEX</v>
      </c>
      <c r="G432" s="2" t="s">
        <v>2769</v>
      </c>
      <c r="H432" s="2" t="s">
        <v>57</v>
      </c>
      <c r="I432" s="2" t="str" cm="1">
        <f t="array" ref="I432">IFERROR(playerPoints($H432,$F432,$G432,I$1),"")</f>
        <v/>
      </c>
      <c r="J432" s="2" t="str" cm="1">
        <f t="array" ref="J432">IFERROR(playerPoints($H432,$F432,$G432,J$1),"")</f>
        <v/>
      </c>
      <c r="K432" s="2" t="str" cm="1">
        <f t="array" ref="K432">IFERROR(playerPoints($H432,$F432,$G432,K$1),"")</f>
        <v/>
      </c>
      <c r="L432" s="2" t="str" cm="1">
        <f t="array" ref="L432">IFERROR(playerPoints($H432,$F432,$G432,L$1),"")</f>
        <v/>
      </c>
      <c r="M432" s="2" t="str" cm="1">
        <f t="array" ref="M432">IFERROR(playerPoints($H432,$F432,$G432,M$1),"")</f>
        <v/>
      </c>
      <c r="N432" s="2" t="str" cm="1">
        <f t="array" ref="N432">IFERROR(playerPoints($H432,$F432,$G432,N$1),"")</f>
        <v/>
      </c>
      <c r="O432" s="2" t="str" cm="1">
        <f t="array" ref="O432">IFERROR(playerPoints($H432,$F432,$G432,O$1),"")</f>
        <v/>
      </c>
      <c r="Q432" s="2">
        <f t="shared" si="6"/>
        <v>0</v>
      </c>
    </row>
    <row r="433" spans="1:17">
      <c r="A433" s="2">
        <v>432</v>
      </c>
      <c r="B433" s="2" t="s">
        <v>1739</v>
      </c>
      <c r="C433" s="2" t="s">
        <v>1740</v>
      </c>
      <c r="D433" s="2" t="s">
        <v>879</v>
      </c>
      <c r="F433" s="2" t="str">
        <f>LOOKUP(D433,Sheet3!A$1:A$32,Sheet3!B$1:B$32)</f>
        <v>MEX</v>
      </c>
      <c r="G433" s="2" t="s">
        <v>2770</v>
      </c>
      <c r="H433" s="2" t="s">
        <v>57</v>
      </c>
      <c r="I433" s="2" t="str" cm="1">
        <f t="array" ref="I433">IFERROR(playerPoints($H433,$F433,$G433,I$1),"")</f>
        <v/>
      </c>
      <c r="J433" s="2" t="str" cm="1">
        <f t="array" ref="J433">IFERROR(playerPoints($H433,$F433,$G433,J$1),"")</f>
        <v/>
      </c>
      <c r="K433" s="2" t="str" cm="1">
        <f t="array" ref="K433">IFERROR(playerPoints($H433,$F433,$G433,K$1),"")</f>
        <v/>
      </c>
      <c r="L433" s="2" t="str" cm="1">
        <f t="array" ref="L433">IFERROR(playerPoints($H433,$F433,$G433,L$1),"")</f>
        <v/>
      </c>
      <c r="M433" s="2" t="str" cm="1">
        <f t="array" ref="M433">IFERROR(playerPoints($H433,$F433,$G433,M$1),"")</f>
        <v/>
      </c>
      <c r="N433" s="2" t="str" cm="1">
        <f t="array" ref="N433">IFERROR(playerPoints($H433,$F433,$G433,N$1),"")</f>
        <v/>
      </c>
      <c r="O433" s="2" t="str" cm="1">
        <f t="array" ref="O433">IFERROR(playerPoints($H433,$F433,$G433,O$1),"")</f>
        <v/>
      </c>
      <c r="Q433" s="2">
        <f t="shared" si="6"/>
        <v>0</v>
      </c>
    </row>
    <row r="434" spans="1:17">
      <c r="A434" s="2">
        <v>433</v>
      </c>
      <c r="B434" s="2" t="s">
        <v>1741</v>
      </c>
      <c r="C434" s="2" t="s">
        <v>1742</v>
      </c>
      <c r="D434" s="2" t="s">
        <v>879</v>
      </c>
      <c r="F434" s="2" t="str">
        <f>LOOKUP(D434,Sheet3!A$1:A$32,Sheet3!B$1:B$32)</f>
        <v>MEX</v>
      </c>
      <c r="G434" s="2" t="s">
        <v>2771</v>
      </c>
      <c r="H434" s="2" t="s">
        <v>57</v>
      </c>
      <c r="I434" s="2" t="str" cm="1">
        <f t="array" ref="I434">IFERROR(playerPoints($H434,$F434,$G434,I$1),"")</f>
        <v/>
      </c>
      <c r="J434" s="2" t="str" cm="1">
        <f t="array" ref="J434">IFERROR(playerPoints($H434,$F434,$G434,J$1),"")</f>
        <v/>
      </c>
      <c r="K434" s="2" t="str" cm="1">
        <f t="array" ref="K434">IFERROR(playerPoints($H434,$F434,$G434,K$1),"")</f>
        <v/>
      </c>
      <c r="L434" s="2" t="str" cm="1">
        <f t="array" ref="L434">IFERROR(playerPoints($H434,$F434,$G434,L$1),"")</f>
        <v/>
      </c>
      <c r="M434" s="2" t="str" cm="1">
        <f t="array" ref="M434">IFERROR(playerPoints($H434,$F434,$G434,M$1),"")</f>
        <v/>
      </c>
      <c r="N434" s="2" t="str" cm="1">
        <f t="array" ref="N434">IFERROR(playerPoints($H434,$F434,$G434,N$1),"")</f>
        <v/>
      </c>
      <c r="O434" s="2" t="str" cm="1">
        <f t="array" ref="O434">IFERROR(playerPoints($H434,$F434,$G434,O$1),"")</f>
        <v/>
      </c>
      <c r="Q434" s="2">
        <f t="shared" si="6"/>
        <v>0</v>
      </c>
    </row>
    <row r="435" spans="1:17">
      <c r="A435" s="2">
        <v>434</v>
      </c>
      <c r="B435" s="2" t="s">
        <v>1734</v>
      </c>
      <c r="C435" s="2" t="s">
        <v>1743</v>
      </c>
      <c r="D435" s="2" t="s">
        <v>879</v>
      </c>
      <c r="F435" s="2" t="str">
        <f>LOOKUP(D435,Sheet3!A$1:A$32,Sheet3!B$1:B$32)</f>
        <v>MEX</v>
      </c>
      <c r="G435" s="2" t="s">
        <v>2772</v>
      </c>
      <c r="H435" s="2" t="s">
        <v>57</v>
      </c>
      <c r="I435" s="2" t="str" cm="1">
        <f t="array" ref="I435">IFERROR(playerPoints($H435,$F435,$G435,I$1),"")</f>
        <v/>
      </c>
      <c r="J435" s="2" t="str" cm="1">
        <f t="array" ref="J435">IFERROR(playerPoints($H435,$F435,$G435,J$1),"")</f>
        <v/>
      </c>
      <c r="K435" s="2" t="str" cm="1">
        <f t="array" ref="K435">IFERROR(playerPoints($H435,$F435,$G435,K$1),"")</f>
        <v/>
      </c>
      <c r="L435" s="2" t="str" cm="1">
        <f t="array" ref="L435">IFERROR(playerPoints($H435,$F435,$G435,L$1),"")</f>
        <v/>
      </c>
      <c r="M435" s="2" t="str" cm="1">
        <f t="array" ref="M435">IFERROR(playerPoints($H435,$F435,$G435,M$1),"")</f>
        <v/>
      </c>
      <c r="N435" s="2" t="str" cm="1">
        <f t="array" ref="N435">IFERROR(playerPoints($H435,$F435,$G435,N$1),"")</f>
        <v/>
      </c>
      <c r="O435" s="2" t="str" cm="1">
        <f t="array" ref="O435">IFERROR(playerPoints($H435,$F435,$G435,O$1),"")</f>
        <v/>
      </c>
      <c r="Q435" s="2">
        <f t="shared" si="6"/>
        <v>0</v>
      </c>
    </row>
    <row r="436" spans="1:17">
      <c r="A436" s="2">
        <v>435</v>
      </c>
      <c r="B436" s="2" t="s">
        <v>1744</v>
      </c>
      <c r="C436" s="2" t="s">
        <v>1745</v>
      </c>
      <c r="D436" s="2" t="s">
        <v>879</v>
      </c>
      <c r="F436" s="2" t="str">
        <f>LOOKUP(D436,Sheet3!A$1:A$32,Sheet3!B$1:B$32)</f>
        <v>MEX</v>
      </c>
      <c r="G436" s="2" t="s">
        <v>2773</v>
      </c>
      <c r="H436" s="2" t="s">
        <v>66</v>
      </c>
      <c r="I436" s="2" t="str" cm="1">
        <f t="array" ref="I436">IFERROR(playerPoints($H436,$F436,$G436,I$1),"")</f>
        <v/>
      </c>
      <c r="J436" s="2" t="str" cm="1">
        <f t="array" ref="J436">IFERROR(playerPoints($H436,$F436,$G436,J$1),"")</f>
        <v/>
      </c>
      <c r="K436" s="2" t="str" cm="1">
        <f t="array" ref="K436">IFERROR(playerPoints($H436,$F436,$G436,K$1),"")</f>
        <v/>
      </c>
      <c r="L436" s="2" t="str" cm="1">
        <f t="array" ref="L436">IFERROR(playerPoints($H436,$F436,$G436,L$1),"")</f>
        <v/>
      </c>
      <c r="M436" s="2" t="str" cm="1">
        <f t="array" ref="M436">IFERROR(playerPoints($H436,$F436,$G436,M$1),"")</f>
        <v/>
      </c>
      <c r="N436" s="2" t="str" cm="1">
        <f t="array" ref="N436">IFERROR(playerPoints($H436,$F436,$G436,N$1),"")</f>
        <v/>
      </c>
      <c r="O436" s="2" t="str" cm="1">
        <f t="array" ref="O436">IFERROR(playerPoints($H436,$F436,$G436,O$1),"")</f>
        <v/>
      </c>
      <c r="Q436" s="2">
        <f t="shared" si="6"/>
        <v>0</v>
      </c>
    </row>
    <row r="437" spans="1:17">
      <c r="A437" s="2">
        <v>436</v>
      </c>
      <c r="B437" s="2" t="s">
        <v>1046</v>
      </c>
      <c r="C437" s="2" t="s">
        <v>1746</v>
      </c>
      <c r="D437" s="2" t="s">
        <v>879</v>
      </c>
      <c r="F437" s="2" t="str">
        <f>LOOKUP(D437,Sheet3!A$1:A$32,Sheet3!B$1:B$32)</f>
        <v>MEX</v>
      </c>
      <c r="G437" s="2" t="s">
        <v>2774</v>
      </c>
      <c r="H437" s="2" t="s">
        <v>66</v>
      </c>
      <c r="I437" s="2" t="str" cm="1">
        <f t="array" ref="I437">IFERROR(playerPoints($H437,$F437,$G437,I$1),"")</f>
        <v/>
      </c>
      <c r="J437" s="2" t="str" cm="1">
        <f t="array" ref="J437">IFERROR(playerPoints($H437,$F437,$G437,J$1),"")</f>
        <v/>
      </c>
      <c r="K437" s="2" t="str" cm="1">
        <f t="array" ref="K437">IFERROR(playerPoints($H437,$F437,$G437,K$1),"")</f>
        <v/>
      </c>
      <c r="L437" s="2" t="str" cm="1">
        <f t="array" ref="L437">IFERROR(playerPoints($H437,$F437,$G437,L$1),"")</f>
        <v/>
      </c>
      <c r="M437" s="2" t="str" cm="1">
        <f t="array" ref="M437">IFERROR(playerPoints($H437,$F437,$G437,M$1),"")</f>
        <v/>
      </c>
      <c r="N437" s="2" t="str" cm="1">
        <f t="array" ref="N437">IFERROR(playerPoints($H437,$F437,$G437,N$1),"")</f>
        <v/>
      </c>
      <c r="O437" s="2" t="str" cm="1">
        <f t="array" ref="O437">IFERROR(playerPoints($H437,$F437,$G437,O$1),"")</f>
        <v/>
      </c>
      <c r="Q437" s="2">
        <f t="shared" si="6"/>
        <v>0</v>
      </c>
    </row>
    <row r="438" spans="1:17">
      <c r="A438" s="2">
        <v>437</v>
      </c>
      <c r="B438" s="2" t="s">
        <v>1747</v>
      </c>
      <c r="C438" s="2" t="s">
        <v>1748</v>
      </c>
      <c r="D438" s="2" t="s">
        <v>879</v>
      </c>
      <c r="F438" s="2" t="str">
        <f>LOOKUP(D438,Sheet3!A$1:A$32,Sheet3!B$1:B$32)</f>
        <v>MEX</v>
      </c>
      <c r="G438" s="2" t="s">
        <v>2775</v>
      </c>
      <c r="H438" s="2" t="s">
        <v>66</v>
      </c>
      <c r="I438" s="2" t="str" cm="1">
        <f t="array" ref="I438">IFERROR(playerPoints($H438,$F438,$G438,I$1),"")</f>
        <v/>
      </c>
      <c r="J438" s="2" t="str" cm="1">
        <f t="array" ref="J438">IFERROR(playerPoints($H438,$F438,$G438,J$1),"")</f>
        <v/>
      </c>
      <c r="K438" s="2" t="str" cm="1">
        <f t="array" ref="K438">IFERROR(playerPoints($H438,$F438,$G438,K$1),"")</f>
        <v/>
      </c>
      <c r="L438" s="2" t="str" cm="1">
        <f t="array" ref="L438">IFERROR(playerPoints($H438,$F438,$G438,L$1),"")</f>
        <v/>
      </c>
      <c r="M438" s="2" t="str" cm="1">
        <f t="array" ref="M438">IFERROR(playerPoints($H438,$F438,$G438,M$1),"")</f>
        <v/>
      </c>
      <c r="N438" s="2" t="str" cm="1">
        <f t="array" ref="N438">IFERROR(playerPoints($H438,$F438,$G438,N$1),"")</f>
        <v/>
      </c>
      <c r="O438" s="2" t="str" cm="1">
        <f t="array" ref="O438">IFERROR(playerPoints($H438,$F438,$G438,O$1),"")</f>
        <v/>
      </c>
      <c r="Q438" s="2">
        <f t="shared" si="6"/>
        <v>0</v>
      </c>
    </row>
    <row r="439" spans="1:17">
      <c r="A439" s="2">
        <v>438</v>
      </c>
      <c r="B439" s="2" t="s">
        <v>1749</v>
      </c>
      <c r="C439" s="2" t="s">
        <v>1750</v>
      </c>
      <c r="D439" s="2" t="s">
        <v>879</v>
      </c>
      <c r="F439" s="2" t="str">
        <f>LOOKUP(D439,Sheet3!A$1:A$32,Sheet3!B$1:B$32)</f>
        <v>MEX</v>
      </c>
      <c r="G439" s="2" t="s">
        <v>2776</v>
      </c>
      <c r="H439" s="2" t="s">
        <v>66</v>
      </c>
      <c r="I439" s="2" t="str" cm="1">
        <f t="array" ref="I439">IFERROR(playerPoints($H439,$F439,$G439,I$1),"")</f>
        <v/>
      </c>
      <c r="J439" s="2" t="str" cm="1">
        <f t="array" ref="J439">IFERROR(playerPoints($H439,$F439,$G439,J$1),"")</f>
        <v/>
      </c>
      <c r="K439" s="2" t="str" cm="1">
        <f t="array" ref="K439">IFERROR(playerPoints($H439,$F439,$G439,K$1),"")</f>
        <v/>
      </c>
      <c r="L439" s="2" t="str" cm="1">
        <f t="array" ref="L439">IFERROR(playerPoints($H439,$F439,$G439,L$1),"")</f>
        <v/>
      </c>
      <c r="M439" s="2" t="str" cm="1">
        <f t="array" ref="M439">IFERROR(playerPoints($H439,$F439,$G439,M$1),"")</f>
        <v/>
      </c>
      <c r="N439" s="2" t="str" cm="1">
        <f t="array" ref="N439">IFERROR(playerPoints($H439,$F439,$G439,N$1),"")</f>
        <v/>
      </c>
      <c r="O439" s="2" t="str" cm="1">
        <f t="array" ref="O439">IFERROR(playerPoints($H439,$F439,$G439,O$1),"")</f>
        <v/>
      </c>
      <c r="Q439" s="2">
        <f t="shared" si="6"/>
        <v>0</v>
      </c>
    </row>
    <row r="440" spans="1:17">
      <c r="A440" s="2">
        <v>439</v>
      </c>
      <c r="B440" s="2" t="s">
        <v>1751</v>
      </c>
      <c r="C440" s="2" t="s">
        <v>1752</v>
      </c>
      <c r="D440" s="2" t="s">
        <v>879</v>
      </c>
      <c r="F440" s="2" t="str">
        <f>LOOKUP(D440,Sheet3!A$1:A$32,Sheet3!B$1:B$32)</f>
        <v>MEX</v>
      </c>
      <c r="G440" s="2" t="s">
        <v>2777</v>
      </c>
      <c r="H440" s="2" t="s">
        <v>66</v>
      </c>
      <c r="I440" s="2" t="str" cm="1">
        <f t="array" ref="I440">IFERROR(playerPoints($H440,$F440,$G440,I$1),"")</f>
        <v/>
      </c>
      <c r="J440" s="2" t="str" cm="1">
        <f t="array" ref="J440">IFERROR(playerPoints($H440,$F440,$G440,J$1),"")</f>
        <v/>
      </c>
      <c r="K440" s="2" t="str" cm="1">
        <f t="array" ref="K440">IFERROR(playerPoints($H440,$F440,$G440,K$1),"")</f>
        <v/>
      </c>
      <c r="L440" s="2" t="str" cm="1">
        <f t="array" ref="L440">IFERROR(playerPoints($H440,$F440,$G440,L$1),"")</f>
        <v/>
      </c>
      <c r="M440" s="2" t="str" cm="1">
        <f t="array" ref="M440">IFERROR(playerPoints($H440,$F440,$G440,M$1),"")</f>
        <v/>
      </c>
      <c r="N440" s="2" t="str" cm="1">
        <f t="array" ref="N440">IFERROR(playerPoints($H440,$F440,$G440,N$1),"")</f>
        <v/>
      </c>
      <c r="O440" s="2" t="str" cm="1">
        <f t="array" ref="O440">IFERROR(playerPoints($H440,$F440,$G440,O$1),"")</f>
        <v/>
      </c>
      <c r="Q440" s="2">
        <f t="shared" si="6"/>
        <v>0</v>
      </c>
    </row>
    <row r="441" spans="1:17">
      <c r="A441" s="2">
        <v>440</v>
      </c>
      <c r="B441" s="2" t="s">
        <v>1753</v>
      </c>
      <c r="C441" s="2" t="s">
        <v>1754</v>
      </c>
      <c r="D441" s="2" t="s">
        <v>879</v>
      </c>
      <c r="F441" s="2" t="str">
        <f>LOOKUP(D441,Sheet3!A$1:A$32,Sheet3!B$1:B$32)</f>
        <v>MEX</v>
      </c>
      <c r="G441" s="2" t="s">
        <v>2778</v>
      </c>
      <c r="H441" s="2" t="s">
        <v>66</v>
      </c>
      <c r="I441" s="2" t="str" cm="1">
        <f t="array" ref="I441">IFERROR(playerPoints($H441,$F441,$G441,I$1),"")</f>
        <v/>
      </c>
      <c r="J441" s="2" t="str" cm="1">
        <f t="array" ref="J441">IFERROR(playerPoints($H441,$F441,$G441,J$1),"")</f>
        <v/>
      </c>
      <c r="K441" s="2" t="str" cm="1">
        <f t="array" ref="K441">IFERROR(playerPoints($H441,$F441,$G441,K$1),"")</f>
        <v/>
      </c>
      <c r="L441" s="2" t="str" cm="1">
        <f t="array" ref="L441">IFERROR(playerPoints($H441,$F441,$G441,L$1),"")</f>
        <v/>
      </c>
      <c r="M441" s="2" t="str" cm="1">
        <f t="array" ref="M441">IFERROR(playerPoints($H441,$F441,$G441,M$1),"")</f>
        <v/>
      </c>
      <c r="N441" s="2" t="str" cm="1">
        <f t="array" ref="N441">IFERROR(playerPoints($H441,$F441,$G441,N$1),"")</f>
        <v/>
      </c>
      <c r="O441" s="2" t="str" cm="1">
        <f t="array" ref="O441">IFERROR(playerPoints($H441,$F441,$G441,O$1),"")</f>
        <v/>
      </c>
      <c r="Q441" s="2">
        <f t="shared" si="6"/>
        <v>0</v>
      </c>
    </row>
    <row r="442" spans="1:17">
      <c r="A442" s="2">
        <v>441</v>
      </c>
      <c r="B442" s="2" t="s">
        <v>1755</v>
      </c>
      <c r="C442" s="2" t="s">
        <v>1276</v>
      </c>
      <c r="D442" s="2" t="s">
        <v>879</v>
      </c>
      <c r="F442" s="2" t="str">
        <f>LOOKUP(D442,Sheet3!A$1:A$32,Sheet3!B$1:B$32)</f>
        <v>MEX</v>
      </c>
      <c r="G442" s="2" t="s">
        <v>2779</v>
      </c>
      <c r="H442" s="2" t="s">
        <v>66</v>
      </c>
      <c r="I442" s="2" t="str" cm="1">
        <f t="array" ref="I442">IFERROR(playerPoints($H442,$F442,$G442,I$1),"")</f>
        <v/>
      </c>
      <c r="J442" s="2" t="str" cm="1">
        <f t="array" ref="J442">IFERROR(playerPoints($H442,$F442,$G442,J$1),"")</f>
        <v/>
      </c>
      <c r="K442" s="2" t="str" cm="1">
        <f t="array" ref="K442">IFERROR(playerPoints($H442,$F442,$G442,K$1),"")</f>
        <v/>
      </c>
      <c r="L442" s="2" t="str" cm="1">
        <f t="array" ref="L442">IFERROR(playerPoints($H442,$F442,$G442,L$1),"")</f>
        <v/>
      </c>
      <c r="M442" s="2" t="str" cm="1">
        <f t="array" ref="M442">IFERROR(playerPoints($H442,$F442,$G442,M$1),"")</f>
        <v/>
      </c>
      <c r="N442" s="2" t="str" cm="1">
        <f t="array" ref="N442">IFERROR(playerPoints($H442,$F442,$G442,N$1),"")</f>
        <v/>
      </c>
      <c r="O442" s="2" t="str" cm="1">
        <f t="array" ref="O442">IFERROR(playerPoints($H442,$F442,$G442,O$1),"")</f>
        <v/>
      </c>
      <c r="Q442" s="2">
        <f t="shared" si="6"/>
        <v>0</v>
      </c>
    </row>
    <row r="443" spans="1:17">
      <c r="A443" s="2">
        <v>442</v>
      </c>
      <c r="B443" s="2" t="s">
        <v>1756</v>
      </c>
      <c r="C443" s="2" t="s">
        <v>1757</v>
      </c>
      <c r="D443" s="2" t="s">
        <v>880</v>
      </c>
      <c r="F443" s="2" t="str">
        <f>LOOKUP(D443,Sheet3!A$1:A$32,Sheet3!B$1:B$32)</f>
        <v>MAR</v>
      </c>
      <c r="G443" s="2" t="s">
        <v>2780</v>
      </c>
      <c r="H443" s="2" t="s">
        <v>44</v>
      </c>
      <c r="I443" s="2" t="str" cm="1">
        <f t="array" ref="I443">IFERROR(playerPoints($H443,$F443,$G443,I$1),"")</f>
        <v/>
      </c>
      <c r="J443" s="2" t="str" cm="1">
        <f t="array" ref="J443">IFERROR(playerPoints($H443,$F443,$G443,J$1),"")</f>
        <v/>
      </c>
      <c r="K443" s="2" t="str" cm="1">
        <f t="array" ref="K443">IFERROR(playerPoints($H443,$F443,$G443,K$1),"")</f>
        <v/>
      </c>
      <c r="L443" s="2" t="str" cm="1">
        <f t="array" ref="L443">IFERROR(playerPoints($H443,$F443,$G443,L$1),"")</f>
        <v/>
      </c>
      <c r="M443" s="2" t="str" cm="1">
        <f t="array" ref="M443">IFERROR(playerPoints($H443,$F443,$G443,M$1),"")</f>
        <v/>
      </c>
      <c r="N443" s="2" t="str" cm="1">
        <f t="array" ref="N443">IFERROR(playerPoints($H443,$F443,$G443,N$1),"")</f>
        <v/>
      </c>
      <c r="O443" s="2" t="str" cm="1">
        <f t="array" ref="O443">IFERROR(playerPoints($H443,$F443,$G443,O$1),"")</f>
        <v/>
      </c>
      <c r="Q443" s="2">
        <f t="shared" si="6"/>
        <v>0</v>
      </c>
    </row>
    <row r="444" spans="1:17">
      <c r="A444" s="2">
        <v>443</v>
      </c>
      <c r="B444" s="2" t="s">
        <v>1758</v>
      </c>
      <c r="C444" s="2" t="s">
        <v>1759</v>
      </c>
      <c r="D444" s="2" t="s">
        <v>880</v>
      </c>
      <c r="F444" s="2" t="str">
        <f>LOOKUP(D444,Sheet3!A$1:A$32,Sheet3!B$1:B$32)</f>
        <v>MAR</v>
      </c>
      <c r="G444" s="2" t="s">
        <v>2781</v>
      </c>
      <c r="H444" s="2" t="s">
        <v>44</v>
      </c>
      <c r="I444" s="2" t="str" cm="1">
        <f t="array" ref="I444">IFERROR(playerPoints($H444,$F444,$G444,I$1),"")</f>
        <v/>
      </c>
      <c r="J444" s="2" t="str" cm="1">
        <f t="array" ref="J444">IFERROR(playerPoints($H444,$F444,$G444,J$1),"")</f>
        <v/>
      </c>
      <c r="K444" s="2" t="str" cm="1">
        <f t="array" ref="K444">IFERROR(playerPoints($H444,$F444,$G444,K$1),"")</f>
        <v/>
      </c>
      <c r="L444" s="2" t="str" cm="1">
        <f t="array" ref="L444">IFERROR(playerPoints($H444,$F444,$G444,L$1),"")</f>
        <v/>
      </c>
      <c r="M444" s="2" t="str" cm="1">
        <f t="array" ref="M444">IFERROR(playerPoints($H444,$F444,$G444,M$1),"")</f>
        <v/>
      </c>
      <c r="N444" s="2" t="str" cm="1">
        <f t="array" ref="N444">IFERROR(playerPoints($H444,$F444,$G444,N$1),"")</f>
        <v/>
      </c>
      <c r="O444" s="2" t="str" cm="1">
        <f t="array" ref="O444">IFERROR(playerPoints($H444,$F444,$G444,O$1),"")</f>
        <v/>
      </c>
      <c r="Q444" s="2">
        <f t="shared" si="6"/>
        <v>0</v>
      </c>
    </row>
    <row r="445" spans="1:17">
      <c r="A445" s="2">
        <v>444</v>
      </c>
      <c r="B445" s="2" t="s">
        <v>1760</v>
      </c>
      <c r="C445" s="2" t="s">
        <v>1761</v>
      </c>
      <c r="D445" s="2" t="s">
        <v>880</v>
      </c>
      <c r="F445" s="2" t="str">
        <f>LOOKUP(D445,Sheet3!A$1:A$32,Sheet3!B$1:B$32)</f>
        <v>MAR</v>
      </c>
      <c r="G445" s="2" t="s">
        <v>2782</v>
      </c>
      <c r="H445" s="2" t="s">
        <v>44</v>
      </c>
      <c r="I445" s="2" t="str" cm="1">
        <f t="array" ref="I445">IFERROR(playerPoints($H445,$F445,$G445,I$1),"")</f>
        <v/>
      </c>
      <c r="J445" s="2" t="str" cm="1">
        <f t="array" ref="J445">IFERROR(playerPoints($H445,$F445,$G445,J$1),"")</f>
        <v/>
      </c>
      <c r="K445" s="2" t="str" cm="1">
        <f t="array" ref="K445">IFERROR(playerPoints($H445,$F445,$G445,K$1),"")</f>
        <v/>
      </c>
      <c r="L445" s="2" t="str" cm="1">
        <f t="array" ref="L445">IFERROR(playerPoints($H445,$F445,$G445,L$1),"")</f>
        <v/>
      </c>
      <c r="M445" s="2" t="str" cm="1">
        <f t="array" ref="M445">IFERROR(playerPoints($H445,$F445,$G445,M$1),"")</f>
        <v/>
      </c>
      <c r="N445" s="2" t="str" cm="1">
        <f t="array" ref="N445">IFERROR(playerPoints($H445,$F445,$G445,N$1),"")</f>
        <v/>
      </c>
      <c r="O445" s="2" t="str" cm="1">
        <f t="array" ref="O445">IFERROR(playerPoints($H445,$F445,$G445,O$1),"")</f>
        <v/>
      </c>
      <c r="Q445" s="2">
        <f t="shared" si="6"/>
        <v>0</v>
      </c>
    </row>
    <row r="446" spans="1:17">
      <c r="A446" s="2">
        <v>445</v>
      </c>
      <c r="B446" s="2" t="s">
        <v>1762</v>
      </c>
      <c r="C446" s="2" t="s">
        <v>1763</v>
      </c>
      <c r="D446" s="2" t="s">
        <v>880</v>
      </c>
      <c r="F446" s="2" t="str">
        <f>LOOKUP(D446,Sheet3!A$1:A$32,Sheet3!B$1:B$32)</f>
        <v>MAR</v>
      </c>
      <c r="G446" s="2" t="s">
        <v>2783</v>
      </c>
      <c r="H446" s="2" t="s">
        <v>48</v>
      </c>
      <c r="I446" s="2" t="str" cm="1">
        <f t="array" ref="I446">IFERROR(playerPoints($H446,$F446,$G446,I$1),"")</f>
        <v/>
      </c>
      <c r="J446" s="2" t="str" cm="1">
        <f t="array" ref="J446">IFERROR(playerPoints($H446,$F446,$G446,J$1),"")</f>
        <v/>
      </c>
      <c r="K446" s="2" t="str" cm="1">
        <f t="array" ref="K446">IFERROR(playerPoints($H446,$F446,$G446,K$1),"")</f>
        <v/>
      </c>
      <c r="L446" s="2" t="str" cm="1">
        <f t="array" ref="L446">IFERROR(playerPoints($H446,$F446,$G446,L$1),"")</f>
        <v/>
      </c>
      <c r="M446" s="2" t="str" cm="1">
        <f t="array" ref="M446">IFERROR(playerPoints($H446,$F446,$G446,M$1),"")</f>
        <v/>
      </c>
      <c r="N446" s="2" t="str" cm="1">
        <f t="array" ref="N446">IFERROR(playerPoints($H446,$F446,$G446,N$1),"")</f>
        <v/>
      </c>
      <c r="O446" s="2" t="str" cm="1">
        <f t="array" ref="O446">IFERROR(playerPoints($H446,$F446,$G446,O$1),"")</f>
        <v/>
      </c>
      <c r="Q446" s="2">
        <f t="shared" si="6"/>
        <v>0</v>
      </c>
    </row>
    <row r="447" spans="1:17">
      <c r="A447" s="2">
        <v>446</v>
      </c>
      <c r="B447" s="2" t="s">
        <v>1764</v>
      </c>
      <c r="C447" s="2" t="s">
        <v>1765</v>
      </c>
      <c r="D447" s="2" t="s">
        <v>880</v>
      </c>
      <c r="F447" s="2" t="str">
        <f>LOOKUP(D447,Sheet3!A$1:A$32,Sheet3!B$1:B$32)</f>
        <v>MAR</v>
      </c>
      <c r="G447" s="2" t="s">
        <v>2784</v>
      </c>
      <c r="H447" s="2" t="s">
        <v>48</v>
      </c>
      <c r="I447" s="2" t="str" cm="1">
        <f t="array" ref="I447">IFERROR(playerPoints($H447,$F447,$G447,I$1),"")</f>
        <v/>
      </c>
      <c r="J447" s="2" t="str" cm="1">
        <f t="array" ref="J447">IFERROR(playerPoints($H447,$F447,$G447,J$1),"")</f>
        <v/>
      </c>
      <c r="K447" s="2" t="str" cm="1">
        <f t="array" ref="K447">IFERROR(playerPoints($H447,$F447,$G447,K$1),"")</f>
        <v/>
      </c>
      <c r="L447" s="2" t="str" cm="1">
        <f t="array" ref="L447">IFERROR(playerPoints($H447,$F447,$G447,L$1),"")</f>
        <v/>
      </c>
      <c r="M447" s="2" t="str" cm="1">
        <f t="array" ref="M447">IFERROR(playerPoints($H447,$F447,$G447,M$1),"")</f>
        <v/>
      </c>
      <c r="N447" s="2" t="str" cm="1">
        <f t="array" ref="N447">IFERROR(playerPoints($H447,$F447,$G447,N$1),"")</f>
        <v/>
      </c>
      <c r="O447" s="2" t="str" cm="1">
        <f t="array" ref="O447">IFERROR(playerPoints($H447,$F447,$G447,O$1),"")</f>
        <v/>
      </c>
      <c r="Q447" s="2">
        <f t="shared" si="6"/>
        <v>0</v>
      </c>
    </row>
    <row r="448" spans="1:17">
      <c r="A448" s="2">
        <v>447</v>
      </c>
      <c r="B448" s="2" t="s">
        <v>1766</v>
      </c>
      <c r="C448" s="2" t="s">
        <v>1767</v>
      </c>
      <c r="D448" s="2" t="s">
        <v>880</v>
      </c>
      <c r="F448" s="2" t="str">
        <f>LOOKUP(D448,Sheet3!A$1:A$32,Sheet3!B$1:B$32)</f>
        <v>MAR</v>
      </c>
      <c r="G448" s="2" t="s">
        <v>2785</v>
      </c>
      <c r="H448" s="2" t="s">
        <v>48</v>
      </c>
      <c r="I448" s="2" t="str" cm="1">
        <f t="array" ref="I448">IFERROR(playerPoints($H448,$F448,$G448,I$1),"")</f>
        <v/>
      </c>
      <c r="J448" s="2" t="str" cm="1">
        <f t="array" ref="J448">IFERROR(playerPoints($H448,$F448,$G448,J$1),"")</f>
        <v/>
      </c>
      <c r="K448" s="2" t="str" cm="1">
        <f t="array" ref="K448">IFERROR(playerPoints($H448,$F448,$G448,K$1),"")</f>
        <v/>
      </c>
      <c r="L448" s="2" t="str" cm="1">
        <f t="array" ref="L448">IFERROR(playerPoints($H448,$F448,$G448,L$1),"")</f>
        <v/>
      </c>
      <c r="M448" s="2" t="str" cm="1">
        <f t="array" ref="M448">IFERROR(playerPoints($H448,$F448,$G448,M$1),"")</f>
        <v/>
      </c>
      <c r="N448" s="2" t="str" cm="1">
        <f t="array" ref="N448">IFERROR(playerPoints($H448,$F448,$G448,N$1),"")</f>
        <v/>
      </c>
      <c r="O448" s="2" t="str" cm="1">
        <f t="array" ref="O448">IFERROR(playerPoints($H448,$F448,$G448,O$1),"")</f>
        <v/>
      </c>
      <c r="Q448" s="2">
        <f t="shared" si="6"/>
        <v>0</v>
      </c>
    </row>
    <row r="449" spans="1:17">
      <c r="A449" s="2">
        <v>448</v>
      </c>
      <c r="B449" s="2" t="s">
        <v>1768</v>
      </c>
      <c r="C449" s="2" t="s">
        <v>1769</v>
      </c>
      <c r="D449" s="2" t="s">
        <v>880</v>
      </c>
      <c r="F449" s="2" t="str">
        <f>LOOKUP(D449,Sheet3!A$1:A$32,Sheet3!B$1:B$32)</f>
        <v>MAR</v>
      </c>
      <c r="G449" s="2" t="s">
        <v>2786</v>
      </c>
      <c r="H449" s="2" t="s">
        <v>48</v>
      </c>
      <c r="I449" s="2" t="str" cm="1">
        <f t="array" ref="I449">IFERROR(playerPoints($H449,$F449,$G449,I$1),"")</f>
        <v/>
      </c>
      <c r="J449" s="2" t="str" cm="1">
        <f t="array" ref="J449">IFERROR(playerPoints($H449,$F449,$G449,J$1),"")</f>
        <v/>
      </c>
      <c r="K449" s="2" t="str" cm="1">
        <f t="array" ref="K449">IFERROR(playerPoints($H449,$F449,$G449,K$1),"")</f>
        <v/>
      </c>
      <c r="L449" s="2" t="str" cm="1">
        <f t="array" ref="L449">IFERROR(playerPoints($H449,$F449,$G449,L$1),"")</f>
        <v/>
      </c>
      <c r="M449" s="2" t="str" cm="1">
        <f t="array" ref="M449">IFERROR(playerPoints($H449,$F449,$G449,M$1),"")</f>
        <v/>
      </c>
      <c r="N449" s="2" t="str" cm="1">
        <f t="array" ref="N449">IFERROR(playerPoints($H449,$F449,$G449,N$1),"")</f>
        <v/>
      </c>
      <c r="O449" s="2" t="str" cm="1">
        <f t="array" ref="O449">IFERROR(playerPoints($H449,$F449,$G449,O$1),"")</f>
        <v/>
      </c>
      <c r="Q449" s="2">
        <f t="shared" si="6"/>
        <v>0</v>
      </c>
    </row>
    <row r="450" spans="1:17">
      <c r="A450" s="2">
        <v>449</v>
      </c>
      <c r="B450" s="2" t="s">
        <v>1770</v>
      </c>
      <c r="C450" s="2" t="s">
        <v>1771</v>
      </c>
      <c r="D450" s="2" t="s">
        <v>880</v>
      </c>
      <c r="F450" s="2" t="str">
        <f>LOOKUP(D450,Sheet3!A$1:A$32,Sheet3!B$1:B$32)</f>
        <v>MAR</v>
      </c>
      <c r="G450" s="2" t="s">
        <v>2787</v>
      </c>
      <c r="H450" s="2" t="s">
        <v>48</v>
      </c>
      <c r="I450" s="2" t="str" cm="1">
        <f t="array" ref="I450">IFERROR(playerPoints($H450,$F450,$G450,I$1),"")</f>
        <v/>
      </c>
      <c r="J450" s="2" t="str" cm="1">
        <f t="array" ref="J450">IFERROR(playerPoints($H450,$F450,$G450,J$1),"")</f>
        <v/>
      </c>
      <c r="K450" s="2" t="str" cm="1">
        <f t="array" ref="K450">IFERROR(playerPoints($H450,$F450,$G450,K$1),"")</f>
        <v/>
      </c>
      <c r="L450" s="2" t="str" cm="1">
        <f t="array" ref="L450">IFERROR(playerPoints($H450,$F450,$G450,L$1),"")</f>
        <v/>
      </c>
      <c r="M450" s="2" t="str" cm="1">
        <f t="array" ref="M450">IFERROR(playerPoints($H450,$F450,$G450,M$1),"")</f>
        <v/>
      </c>
      <c r="N450" s="2" t="str" cm="1">
        <f t="array" ref="N450">IFERROR(playerPoints($H450,$F450,$G450,N$1),"")</f>
        <v/>
      </c>
      <c r="O450" s="2" t="str" cm="1">
        <f t="array" ref="O450">IFERROR(playerPoints($H450,$F450,$G450,O$1),"")</f>
        <v/>
      </c>
      <c r="Q450" s="2">
        <f t="shared" si="6"/>
        <v>0</v>
      </c>
    </row>
    <row r="451" spans="1:17">
      <c r="A451" s="2">
        <v>450</v>
      </c>
      <c r="B451" s="2" t="s">
        <v>1762</v>
      </c>
      <c r="C451" s="2" t="s">
        <v>1772</v>
      </c>
      <c r="D451" s="2" t="s">
        <v>880</v>
      </c>
      <c r="F451" s="2" t="str">
        <f>LOOKUP(D451,Sheet3!A$1:A$32,Sheet3!B$1:B$32)</f>
        <v>MAR</v>
      </c>
      <c r="G451" s="2" t="s">
        <v>2788</v>
      </c>
      <c r="H451" s="2" t="s">
        <v>48</v>
      </c>
      <c r="I451" s="2" t="str" cm="1">
        <f t="array" ref="I451">IFERROR(playerPoints($H451,$F451,$G451,I$1),"")</f>
        <v/>
      </c>
      <c r="J451" s="2" t="str" cm="1">
        <f t="array" ref="J451">IFERROR(playerPoints($H451,$F451,$G451,J$1),"")</f>
        <v/>
      </c>
      <c r="K451" s="2" t="str" cm="1">
        <f t="array" ref="K451">IFERROR(playerPoints($H451,$F451,$G451,K$1),"")</f>
        <v/>
      </c>
      <c r="L451" s="2" t="str" cm="1">
        <f t="array" ref="L451">IFERROR(playerPoints($H451,$F451,$G451,L$1),"")</f>
        <v/>
      </c>
      <c r="M451" s="2" t="str" cm="1">
        <f t="array" ref="M451">IFERROR(playerPoints($H451,$F451,$G451,M$1),"")</f>
        <v/>
      </c>
      <c r="N451" s="2" t="str" cm="1">
        <f t="array" ref="N451">IFERROR(playerPoints($H451,$F451,$G451,N$1),"")</f>
        <v/>
      </c>
      <c r="O451" s="2" t="str" cm="1">
        <f t="array" ref="O451">IFERROR(playerPoints($H451,$F451,$G451,O$1),"")</f>
        <v/>
      </c>
      <c r="Q451" s="2">
        <f t="shared" ref="Q451:Q514" si="7">SUM(I451:O451)</f>
        <v>0</v>
      </c>
    </row>
    <row r="452" spans="1:17">
      <c r="A452" s="2">
        <v>451</v>
      </c>
      <c r="B452" s="2" t="s">
        <v>1773</v>
      </c>
      <c r="C452" s="2" t="s">
        <v>1774</v>
      </c>
      <c r="D452" s="2" t="s">
        <v>880</v>
      </c>
      <c r="F452" s="2" t="str">
        <f>LOOKUP(D452,Sheet3!A$1:A$32,Sheet3!B$1:B$32)</f>
        <v>MAR</v>
      </c>
      <c r="G452" s="2" t="s">
        <v>2789</v>
      </c>
      <c r="H452" s="2" t="s">
        <v>48</v>
      </c>
      <c r="I452" s="2" t="str" cm="1">
        <f t="array" ref="I452">IFERROR(playerPoints($H452,$F452,$G452,I$1),"")</f>
        <v/>
      </c>
      <c r="J452" s="2" t="str" cm="1">
        <f t="array" ref="J452">IFERROR(playerPoints($H452,$F452,$G452,J$1),"")</f>
        <v/>
      </c>
      <c r="K452" s="2" t="str" cm="1">
        <f t="array" ref="K452">IFERROR(playerPoints($H452,$F452,$G452,K$1),"")</f>
        <v/>
      </c>
      <c r="L452" s="2" t="str" cm="1">
        <f t="array" ref="L452">IFERROR(playerPoints($H452,$F452,$G452,L$1),"")</f>
        <v/>
      </c>
      <c r="M452" s="2" t="str" cm="1">
        <f t="array" ref="M452">IFERROR(playerPoints($H452,$F452,$G452,M$1),"")</f>
        <v/>
      </c>
      <c r="N452" s="2" t="str" cm="1">
        <f t="array" ref="N452">IFERROR(playerPoints($H452,$F452,$G452,N$1),"")</f>
        <v/>
      </c>
      <c r="O452" s="2" t="str" cm="1">
        <f t="array" ref="O452">IFERROR(playerPoints($H452,$F452,$G452,O$1),"")</f>
        <v/>
      </c>
      <c r="Q452" s="2">
        <f t="shared" si="7"/>
        <v>0</v>
      </c>
    </row>
    <row r="453" spans="1:17">
      <c r="A453" s="2">
        <v>452</v>
      </c>
      <c r="B453" s="2" t="s">
        <v>1775</v>
      </c>
      <c r="C453" s="2" t="s">
        <v>1776</v>
      </c>
      <c r="D453" s="2" t="s">
        <v>880</v>
      </c>
      <c r="F453" s="2" t="str">
        <f>LOOKUP(D453,Sheet3!A$1:A$32,Sheet3!B$1:B$32)</f>
        <v>MAR</v>
      </c>
      <c r="G453" s="2" t="s">
        <v>2790</v>
      </c>
      <c r="H453" s="2" t="s">
        <v>48</v>
      </c>
      <c r="I453" s="2" t="str" cm="1">
        <f t="array" ref="I453">IFERROR(playerPoints($H453,$F453,$G453,I$1),"")</f>
        <v/>
      </c>
      <c r="J453" s="2" t="str" cm="1">
        <f t="array" ref="J453">IFERROR(playerPoints($H453,$F453,$G453,J$1),"")</f>
        <v/>
      </c>
      <c r="K453" s="2" t="str" cm="1">
        <f t="array" ref="K453">IFERROR(playerPoints($H453,$F453,$G453,K$1),"")</f>
        <v/>
      </c>
      <c r="L453" s="2" t="str" cm="1">
        <f t="array" ref="L453">IFERROR(playerPoints($H453,$F453,$G453,L$1),"")</f>
        <v/>
      </c>
      <c r="M453" s="2" t="str" cm="1">
        <f t="array" ref="M453">IFERROR(playerPoints($H453,$F453,$G453,M$1),"")</f>
        <v/>
      </c>
      <c r="N453" s="2" t="str" cm="1">
        <f t="array" ref="N453">IFERROR(playerPoints($H453,$F453,$G453,N$1),"")</f>
        <v/>
      </c>
      <c r="O453" s="2" t="str" cm="1">
        <f t="array" ref="O453">IFERROR(playerPoints($H453,$F453,$G453,O$1),"")</f>
        <v/>
      </c>
      <c r="Q453" s="2">
        <f t="shared" si="7"/>
        <v>0</v>
      </c>
    </row>
    <row r="454" spans="1:17">
      <c r="A454" s="2">
        <v>453</v>
      </c>
      <c r="B454" s="2" t="s">
        <v>1777</v>
      </c>
      <c r="C454" s="2" t="s">
        <v>1778</v>
      </c>
      <c r="D454" s="2" t="s">
        <v>880</v>
      </c>
      <c r="F454" s="2" t="str">
        <f>LOOKUP(D454,Sheet3!A$1:A$32,Sheet3!B$1:B$32)</f>
        <v>MAR</v>
      </c>
      <c r="G454" s="2" t="s">
        <v>2791</v>
      </c>
      <c r="H454" s="2" t="s">
        <v>57</v>
      </c>
      <c r="I454" s="2" t="str" cm="1">
        <f t="array" ref="I454">IFERROR(playerPoints($H454,$F454,$G454,I$1),"")</f>
        <v/>
      </c>
      <c r="J454" s="2" t="str" cm="1">
        <f t="array" ref="J454">IFERROR(playerPoints($H454,$F454,$G454,J$1),"")</f>
        <v/>
      </c>
      <c r="K454" s="2" t="str" cm="1">
        <f t="array" ref="K454">IFERROR(playerPoints($H454,$F454,$G454,K$1),"")</f>
        <v/>
      </c>
      <c r="L454" s="2" t="str" cm="1">
        <f t="array" ref="L454">IFERROR(playerPoints($H454,$F454,$G454,L$1),"")</f>
        <v/>
      </c>
      <c r="M454" s="2" t="str" cm="1">
        <f t="array" ref="M454">IFERROR(playerPoints($H454,$F454,$G454,M$1),"")</f>
        <v/>
      </c>
      <c r="N454" s="2" t="str" cm="1">
        <f t="array" ref="N454">IFERROR(playerPoints($H454,$F454,$G454,N$1),"")</f>
        <v/>
      </c>
      <c r="O454" s="2" t="str" cm="1">
        <f t="array" ref="O454">IFERROR(playerPoints($H454,$F454,$G454,O$1),"")</f>
        <v/>
      </c>
      <c r="Q454" s="2">
        <f t="shared" si="7"/>
        <v>0</v>
      </c>
    </row>
    <row r="455" spans="1:17">
      <c r="A455" s="2">
        <v>454</v>
      </c>
      <c r="B455" s="2" t="s">
        <v>1779</v>
      </c>
      <c r="C455" s="2" t="s">
        <v>1780</v>
      </c>
      <c r="D455" s="2" t="s">
        <v>880</v>
      </c>
      <c r="F455" s="2" t="str">
        <f>LOOKUP(D455,Sheet3!A$1:A$32,Sheet3!B$1:B$32)</f>
        <v>MAR</v>
      </c>
      <c r="G455" s="2" t="s">
        <v>2792</v>
      </c>
      <c r="H455" s="2" t="s">
        <v>57</v>
      </c>
      <c r="I455" s="2" t="str" cm="1">
        <f t="array" ref="I455">IFERROR(playerPoints($H455,$F455,$G455,I$1),"")</f>
        <v/>
      </c>
      <c r="J455" s="2" t="str" cm="1">
        <f t="array" ref="J455">IFERROR(playerPoints($H455,$F455,$G455,J$1),"")</f>
        <v/>
      </c>
      <c r="K455" s="2" t="str" cm="1">
        <f t="array" ref="K455">IFERROR(playerPoints($H455,$F455,$G455,K$1),"")</f>
        <v/>
      </c>
      <c r="L455" s="2" t="str" cm="1">
        <f t="array" ref="L455">IFERROR(playerPoints($H455,$F455,$G455,L$1),"")</f>
        <v/>
      </c>
      <c r="M455" s="2" t="str" cm="1">
        <f t="array" ref="M455">IFERROR(playerPoints($H455,$F455,$G455,M$1),"")</f>
        <v/>
      </c>
      <c r="N455" s="2" t="str" cm="1">
        <f t="array" ref="N455">IFERROR(playerPoints($H455,$F455,$G455,N$1),"")</f>
        <v/>
      </c>
      <c r="O455" s="2" t="str" cm="1">
        <f t="array" ref="O455">IFERROR(playerPoints($H455,$F455,$G455,O$1),"")</f>
        <v/>
      </c>
      <c r="Q455" s="2">
        <f t="shared" si="7"/>
        <v>0</v>
      </c>
    </row>
    <row r="456" spans="1:17">
      <c r="A456" s="2">
        <v>455</v>
      </c>
      <c r="B456" s="2" t="s">
        <v>1781</v>
      </c>
      <c r="C456" s="2" t="s">
        <v>1782</v>
      </c>
      <c r="D456" s="2" t="s">
        <v>880</v>
      </c>
      <c r="F456" s="2" t="str">
        <f>LOOKUP(D456,Sheet3!A$1:A$32,Sheet3!B$1:B$32)</f>
        <v>MAR</v>
      </c>
      <c r="G456" s="2" t="s">
        <v>2793</v>
      </c>
      <c r="H456" s="2" t="s">
        <v>57</v>
      </c>
      <c r="I456" s="2" t="str" cm="1">
        <f t="array" ref="I456">IFERROR(playerPoints($H456,$F456,$G456,I$1),"")</f>
        <v/>
      </c>
      <c r="J456" s="2" t="str" cm="1">
        <f t="array" ref="J456">IFERROR(playerPoints($H456,$F456,$G456,J$1),"")</f>
        <v/>
      </c>
      <c r="K456" s="2" t="str" cm="1">
        <f t="array" ref="K456">IFERROR(playerPoints($H456,$F456,$G456,K$1),"")</f>
        <v/>
      </c>
      <c r="L456" s="2" t="str" cm="1">
        <f t="array" ref="L456">IFERROR(playerPoints($H456,$F456,$G456,L$1),"")</f>
        <v/>
      </c>
      <c r="M456" s="2" t="str" cm="1">
        <f t="array" ref="M456">IFERROR(playerPoints($H456,$F456,$G456,M$1),"")</f>
        <v/>
      </c>
      <c r="N456" s="2" t="str" cm="1">
        <f t="array" ref="N456">IFERROR(playerPoints($H456,$F456,$G456,N$1),"")</f>
        <v/>
      </c>
      <c r="O456" s="2" t="str" cm="1">
        <f t="array" ref="O456">IFERROR(playerPoints($H456,$F456,$G456,O$1),"")</f>
        <v/>
      </c>
      <c r="Q456" s="2">
        <f t="shared" si="7"/>
        <v>0</v>
      </c>
    </row>
    <row r="457" spans="1:17">
      <c r="A457" s="2">
        <v>456</v>
      </c>
      <c r="B457" s="2" t="s">
        <v>1783</v>
      </c>
      <c r="C457" s="2" t="s">
        <v>1784</v>
      </c>
      <c r="D457" s="2" t="s">
        <v>880</v>
      </c>
      <c r="F457" s="2" t="str">
        <f>LOOKUP(D457,Sheet3!A$1:A$32,Sheet3!B$1:B$32)</f>
        <v>MAR</v>
      </c>
      <c r="G457" s="2" t="s">
        <v>2794</v>
      </c>
      <c r="H457" s="2" t="s">
        <v>57</v>
      </c>
      <c r="I457" s="2" t="str" cm="1">
        <f t="array" ref="I457">IFERROR(playerPoints($H457,$F457,$G457,I$1),"")</f>
        <v/>
      </c>
      <c r="J457" s="2" t="str" cm="1">
        <f t="array" ref="J457">IFERROR(playerPoints($H457,$F457,$G457,J$1),"")</f>
        <v/>
      </c>
      <c r="K457" s="2" t="str" cm="1">
        <f t="array" ref="K457">IFERROR(playerPoints($H457,$F457,$G457,K$1),"")</f>
        <v/>
      </c>
      <c r="L457" s="2" t="str" cm="1">
        <f t="array" ref="L457">IFERROR(playerPoints($H457,$F457,$G457,L$1),"")</f>
        <v/>
      </c>
      <c r="M457" s="2" t="str" cm="1">
        <f t="array" ref="M457">IFERROR(playerPoints($H457,$F457,$G457,M$1),"")</f>
        <v/>
      </c>
      <c r="N457" s="2" t="str" cm="1">
        <f t="array" ref="N457">IFERROR(playerPoints($H457,$F457,$G457,N$1),"")</f>
        <v/>
      </c>
      <c r="O457" s="2" t="str" cm="1">
        <f t="array" ref="O457">IFERROR(playerPoints($H457,$F457,$G457,O$1),"")</f>
        <v/>
      </c>
      <c r="Q457" s="2">
        <f t="shared" si="7"/>
        <v>0</v>
      </c>
    </row>
    <row r="458" spans="1:17">
      <c r="A458" s="2">
        <v>457</v>
      </c>
      <c r="B458" s="2" t="s">
        <v>1785</v>
      </c>
      <c r="C458" s="2" t="s">
        <v>1786</v>
      </c>
      <c r="D458" s="2" t="s">
        <v>880</v>
      </c>
      <c r="F458" s="2" t="str">
        <f>LOOKUP(D458,Sheet3!A$1:A$32,Sheet3!B$1:B$32)</f>
        <v>MAR</v>
      </c>
      <c r="G458" s="2" t="s">
        <v>2795</v>
      </c>
      <c r="H458" s="2" t="s">
        <v>57</v>
      </c>
      <c r="I458" s="2" t="str" cm="1">
        <f t="array" ref="I458">IFERROR(playerPoints($H458,$F458,$G458,I$1),"")</f>
        <v/>
      </c>
      <c r="J458" s="2" t="str" cm="1">
        <f t="array" ref="J458">IFERROR(playerPoints($H458,$F458,$G458,J$1),"")</f>
        <v/>
      </c>
      <c r="K458" s="2" t="str" cm="1">
        <f t="array" ref="K458">IFERROR(playerPoints($H458,$F458,$G458,K$1),"")</f>
        <v/>
      </c>
      <c r="L458" s="2" t="str" cm="1">
        <f t="array" ref="L458">IFERROR(playerPoints($H458,$F458,$G458,L$1),"")</f>
        <v/>
      </c>
      <c r="M458" s="2" t="str" cm="1">
        <f t="array" ref="M458">IFERROR(playerPoints($H458,$F458,$G458,M$1),"")</f>
        <v/>
      </c>
      <c r="N458" s="2" t="str" cm="1">
        <f t="array" ref="N458">IFERROR(playerPoints($H458,$F458,$G458,N$1),"")</f>
        <v/>
      </c>
      <c r="O458" s="2" t="str" cm="1">
        <f t="array" ref="O458">IFERROR(playerPoints($H458,$F458,$G458,O$1),"")</f>
        <v/>
      </c>
      <c r="Q458" s="2">
        <f t="shared" si="7"/>
        <v>0</v>
      </c>
    </row>
    <row r="459" spans="1:17">
      <c r="A459" s="2">
        <v>458</v>
      </c>
      <c r="B459" s="2" t="s">
        <v>1787</v>
      </c>
      <c r="C459" s="2" t="s">
        <v>1788</v>
      </c>
      <c r="D459" s="2" t="s">
        <v>880</v>
      </c>
      <c r="F459" s="2" t="str">
        <f>LOOKUP(D459,Sheet3!A$1:A$32,Sheet3!B$1:B$32)</f>
        <v>MAR</v>
      </c>
      <c r="G459" s="2" t="s">
        <v>2796</v>
      </c>
      <c r="H459" s="2" t="s">
        <v>57</v>
      </c>
      <c r="I459" s="2" t="str" cm="1">
        <f t="array" ref="I459">IFERROR(playerPoints($H459,$F459,$G459,I$1),"")</f>
        <v/>
      </c>
      <c r="J459" s="2" t="str" cm="1">
        <f t="array" ref="J459">IFERROR(playerPoints($H459,$F459,$G459,J$1),"")</f>
        <v/>
      </c>
      <c r="K459" s="2" t="str" cm="1">
        <f t="array" ref="K459">IFERROR(playerPoints($H459,$F459,$G459,K$1),"")</f>
        <v/>
      </c>
      <c r="L459" s="2" t="str" cm="1">
        <f t="array" ref="L459">IFERROR(playerPoints($H459,$F459,$G459,L$1),"")</f>
        <v/>
      </c>
      <c r="M459" s="2" t="str" cm="1">
        <f t="array" ref="M459">IFERROR(playerPoints($H459,$F459,$G459,M$1),"")</f>
        <v/>
      </c>
      <c r="N459" s="2" t="str" cm="1">
        <f t="array" ref="N459">IFERROR(playerPoints($H459,$F459,$G459,N$1),"")</f>
        <v/>
      </c>
      <c r="O459" s="2" t="str" cm="1">
        <f t="array" ref="O459">IFERROR(playerPoints($H459,$F459,$G459,O$1),"")</f>
        <v/>
      </c>
      <c r="Q459" s="2">
        <f t="shared" si="7"/>
        <v>0</v>
      </c>
    </row>
    <row r="460" spans="1:17">
      <c r="A460" s="2">
        <v>459</v>
      </c>
      <c r="B460" s="2" t="s">
        <v>1789</v>
      </c>
      <c r="C460" s="2" t="s">
        <v>1790</v>
      </c>
      <c r="D460" s="2" t="s">
        <v>880</v>
      </c>
      <c r="F460" s="2" t="str">
        <f>LOOKUP(D460,Sheet3!A$1:A$32,Sheet3!B$1:B$32)</f>
        <v>MAR</v>
      </c>
      <c r="G460" s="2" t="s">
        <v>2797</v>
      </c>
      <c r="H460" s="2" t="s">
        <v>57</v>
      </c>
      <c r="I460" s="2" t="str" cm="1">
        <f t="array" ref="I460">IFERROR(playerPoints($H460,$F460,$G460,I$1),"")</f>
        <v/>
      </c>
      <c r="J460" s="2" t="str" cm="1">
        <f t="array" ref="J460">IFERROR(playerPoints($H460,$F460,$G460,J$1),"")</f>
        <v/>
      </c>
      <c r="K460" s="2" t="str" cm="1">
        <f t="array" ref="K460">IFERROR(playerPoints($H460,$F460,$G460,K$1),"")</f>
        <v/>
      </c>
      <c r="L460" s="2" t="str" cm="1">
        <f t="array" ref="L460">IFERROR(playerPoints($H460,$F460,$G460,L$1),"")</f>
        <v/>
      </c>
      <c r="M460" s="2" t="str" cm="1">
        <f t="array" ref="M460">IFERROR(playerPoints($H460,$F460,$G460,M$1),"")</f>
        <v/>
      </c>
      <c r="N460" s="2" t="str" cm="1">
        <f t="array" ref="N460">IFERROR(playerPoints($H460,$F460,$G460,N$1),"")</f>
        <v/>
      </c>
      <c r="O460" s="2" t="str" cm="1">
        <f t="array" ref="O460">IFERROR(playerPoints($H460,$F460,$G460,O$1),"")</f>
        <v/>
      </c>
      <c r="Q460" s="2">
        <f t="shared" si="7"/>
        <v>0</v>
      </c>
    </row>
    <row r="461" spans="1:17">
      <c r="A461" s="2">
        <v>460</v>
      </c>
      <c r="B461" s="2" t="s">
        <v>1791</v>
      </c>
      <c r="C461" s="2" t="s">
        <v>1792</v>
      </c>
      <c r="D461" s="2" t="s">
        <v>880</v>
      </c>
      <c r="F461" s="2" t="str">
        <f>LOOKUP(D461,Sheet3!A$1:A$32,Sheet3!B$1:B$32)</f>
        <v>MAR</v>
      </c>
      <c r="G461" s="2" t="s">
        <v>2798</v>
      </c>
      <c r="H461" s="2" t="s">
        <v>57</v>
      </c>
      <c r="I461" s="2" t="str" cm="1">
        <f t="array" ref="I461">IFERROR(playerPoints($H461,$F461,$G461,I$1),"")</f>
        <v/>
      </c>
      <c r="J461" s="2" t="str" cm="1">
        <f t="array" ref="J461">IFERROR(playerPoints($H461,$F461,$G461,J$1),"")</f>
        <v/>
      </c>
      <c r="K461" s="2" t="str" cm="1">
        <f t="array" ref="K461">IFERROR(playerPoints($H461,$F461,$G461,K$1),"")</f>
        <v/>
      </c>
      <c r="L461" s="2" t="str" cm="1">
        <f t="array" ref="L461">IFERROR(playerPoints($H461,$F461,$G461,L$1),"")</f>
        <v/>
      </c>
      <c r="M461" s="2" t="str" cm="1">
        <f t="array" ref="M461">IFERROR(playerPoints($H461,$F461,$G461,M$1),"")</f>
        <v/>
      </c>
      <c r="N461" s="2" t="str" cm="1">
        <f t="array" ref="N461">IFERROR(playerPoints($H461,$F461,$G461,N$1),"")</f>
        <v/>
      </c>
      <c r="O461" s="2" t="str" cm="1">
        <f t="array" ref="O461">IFERROR(playerPoints($H461,$F461,$G461,O$1),"")</f>
        <v/>
      </c>
      <c r="Q461" s="2">
        <f t="shared" si="7"/>
        <v>0</v>
      </c>
    </row>
    <row r="462" spans="1:17">
      <c r="A462" s="2">
        <v>461</v>
      </c>
      <c r="B462" s="2" t="s">
        <v>1775</v>
      </c>
      <c r="C462" s="2" t="s">
        <v>1793</v>
      </c>
      <c r="D462" s="2" t="s">
        <v>880</v>
      </c>
      <c r="F462" s="2" t="str">
        <f>LOOKUP(D462,Sheet3!A$1:A$32,Sheet3!B$1:B$32)</f>
        <v>MAR</v>
      </c>
      <c r="G462" s="2" t="s">
        <v>2799</v>
      </c>
      <c r="H462" s="2" t="s">
        <v>57</v>
      </c>
      <c r="I462" s="2" t="str" cm="1">
        <f t="array" ref="I462">IFERROR(playerPoints($H462,$F462,$G462,I$1),"")</f>
        <v/>
      </c>
      <c r="J462" s="2" t="str" cm="1">
        <f t="array" ref="J462">IFERROR(playerPoints($H462,$F462,$G462,J$1),"")</f>
        <v/>
      </c>
      <c r="K462" s="2" t="str" cm="1">
        <f t="array" ref="K462">IFERROR(playerPoints($H462,$F462,$G462,K$1),"")</f>
        <v/>
      </c>
      <c r="L462" s="2" t="str" cm="1">
        <f t="array" ref="L462">IFERROR(playerPoints($H462,$F462,$G462,L$1),"")</f>
        <v/>
      </c>
      <c r="M462" s="2" t="str" cm="1">
        <f t="array" ref="M462">IFERROR(playerPoints($H462,$F462,$G462,M$1),"")</f>
        <v/>
      </c>
      <c r="N462" s="2" t="str" cm="1">
        <f t="array" ref="N462">IFERROR(playerPoints($H462,$F462,$G462,N$1),"")</f>
        <v/>
      </c>
      <c r="O462" s="2" t="str" cm="1">
        <f t="array" ref="O462">IFERROR(playerPoints($H462,$F462,$G462,O$1),"")</f>
        <v/>
      </c>
      <c r="Q462" s="2">
        <f t="shared" si="7"/>
        <v>0</v>
      </c>
    </row>
    <row r="463" spans="1:17">
      <c r="A463" s="2">
        <v>462</v>
      </c>
      <c r="B463" s="2" t="s">
        <v>1794</v>
      </c>
      <c r="C463" s="2" t="s">
        <v>1795</v>
      </c>
      <c r="D463" s="2" t="s">
        <v>880</v>
      </c>
      <c r="F463" s="2" t="str">
        <f>LOOKUP(D463,Sheet3!A$1:A$32,Sheet3!B$1:B$32)</f>
        <v>MAR</v>
      </c>
      <c r="G463" s="2" t="s">
        <v>2800</v>
      </c>
      <c r="H463" s="2" t="s">
        <v>66</v>
      </c>
      <c r="I463" s="2" t="str" cm="1">
        <f t="array" ref="I463">IFERROR(playerPoints($H463,$F463,$G463,I$1),"")</f>
        <v/>
      </c>
      <c r="J463" s="2" t="str" cm="1">
        <f t="array" ref="J463">IFERROR(playerPoints($H463,$F463,$G463,J$1),"")</f>
        <v/>
      </c>
      <c r="K463" s="2" t="str" cm="1">
        <f t="array" ref="K463">IFERROR(playerPoints($H463,$F463,$G463,K$1),"")</f>
        <v/>
      </c>
      <c r="L463" s="2" t="str" cm="1">
        <f t="array" ref="L463">IFERROR(playerPoints($H463,$F463,$G463,L$1),"")</f>
        <v/>
      </c>
      <c r="M463" s="2" t="str" cm="1">
        <f t="array" ref="M463">IFERROR(playerPoints($H463,$F463,$G463,M$1),"")</f>
        <v/>
      </c>
      <c r="N463" s="2" t="str" cm="1">
        <f t="array" ref="N463">IFERROR(playerPoints($H463,$F463,$G463,N$1),"")</f>
        <v/>
      </c>
      <c r="O463" s="2" t="str" cm="1">
        <f t="array" ref="O463">IFERROR(playerPoints($H463,$F463,$G463,O$1),"")</f>
        <v/>
      </c>
      <c r="Q463" s="2">
        <f t="shared" si="7"/>
        <v>0</v>
      </c>
    </row>
    <row r="464" spans="1:17">
      <c r="A464" s="2">
        <v>463</v>
      </c>
      <c r="B464" s="2" t="s">
        <v>1796</v>
      </c>
      <c r="C464" s="2" t="s">
        <v>1797</v>
      </c>
      <c r="D464" s="2" t="s">
        <v>880</v>
      </c>
      <c r="F464" s="2" t="str">
        <f>LOOKUP(D464,Sheet3!A$1:A$32,Sheet3!B$1:B$32)</f>
        <v>MAR</v>
      </c>
      <c r="G464" s="2" t="s">
        <v>2801</v>
      </c>
      <c r="H464" s="2" t="s">
        <v>66</v>
      </c>
      <c r="I464" s="2" t="str" cm="1">
        <f t="array" ref="I464">IFERROR(playerPoints($H464,$F464,$G464,I$1),"")</f>
        <v/>
      </c>
      <c r="J464" s="2" t="str" cm="1">
        <f t="array" ref="J464">IFERROR(playerPoints($H464,$F464,$G464,J$1),"")</f>
        <v/>
      </c>
      <c r="K464" s="2" t="str" cm="1">
        <f t="array" ref="K464">IFERROR(playerPoints($H464,$F464,$G464,K$1),"")</f>
        <v/>
      </c>
      <c r="L464" s="2" t="str" cm="1">
        <f t="array" ref="L464">IFERROR(playerPoints($H464,$F464,$G464,L$1),"")</f>
        <v/>
      </c>
      <c r="M464" s="2" t="str" cm="1">
        <f t="array" ref="M464">IFERROR(playerPoints($H464,$F464,$G464,M$1),"")</f>
        <v/>
      </c>
      <c r="N464" s="2" t="str" cm="1">
        <f t="array" ref="N464">IFERROR(playerPoints($H464,$F464,$G464,N$1),"")</f>
        <v/>
      </c>
      <c r="O464" s="2" t="str" cm="1">
        <f t="array" ref="O464">IFERROR(playerPoints($H464,$F464,$G464,O$1),"")</f>
        <v/>
      </c>
      <c r="Q464" s="2">
        <f t="shared" si="7"/>
        <v>0</v>
      </c>
    </row>
    <row r="465" spans="1:17">
      <c r="A465" s="2">
        <v>464</v>
      </c>
      <c r="B465" s="2" t="s">
        <v>1798</v>
      </c>
      <c r="C465" s="2" t="s">
        <v>1799</v>
      </c>
      <c r="D465" s="2" t="s">
        <v>880</v>
      </c>
      <c r="F465" s="2" t="str">
        <f>LOOKUP(D465,Sheet3!A$1:A$32,Sheet3!B$1:B$32)</f>
        <v>MAR</v>
      </c>
      <c r="G465" s="2" t="s">
        <v>2802</v>
      </c>
      <c r="H465" s="2" t="s">
        <v>66</v>
      </c>
      <c r="I465" s="2" t="str" cm="1">
        <f t="array" ref="I465">IFERROR(playerPoints($H465,$F465,$G465,I$1),"")</f>
        <v/>
      </c>
      <c r="J465" s="2" t="str" cm="1">
        <f t="array" ref="J465">IFERROR(playerPoints($H465,$F465,$G465,J$1),"")</f>
        <v/>
      </c>
      <c r="K465" s="2" t="str" cm="1">
        <f t="array" ref="K465">IFERROR(playerPoints($H465,$F465,$G465,K$1),"")</f>
        <v/>
      </c>
      <c r="L465" s="2" t="str" cm="1">
        <f t="array" ref="L465">IFERROR(playerPoints($H465,$F465,$G465,L$1),"")</f>
        <v/>
      </c>
      <c r="M465" s="2" t="str" cm="1">
        <f t="array" ref="M465">IFERROR(playerPoints($H465,$F465,$G465,M$1),"")</f>
        <v/>
      </c>
      <c r="N465" s="2" t="str" cm="1">
        <f t="array" ref="N465">IFERROR(playerPoints($H465,$F465,$G465,N$1),"")</f>
        <v/>
      </c>
      <c r="O465" s="2" t="str" cm="1">
        <f t="array" ref="O465">IFERROR(playerPoints($H465,$F465,$G465,O$1),"")</f>
        <v/>
      </c>
      <c r="Q465" s="2">
        <f t="shared" si="7"/>
        <v>0</v>
      </c>
    </row>
    <row r="466" spans="1:17">
      <c r="A466" s="2">
        <v>465</v>
      </c>
      <c r="B466" s="2" t="s">
        <v>1800</v>
      </c>
      <c r="C466" s="2" t="s">
        <v>1801</v>
      </c>
      <c r="D466" s="2" t="s">
        <v>880</v>
      </c>
      <c r="F466" s="2" t="str">
        <f>LOOKUP(D466,Sheet3!A$1:A$32,Sheet3!B$1:B$32)</f>
        <v>MAR</v>
      </c>
      <c r="G466" s="2" t="s">
        <v>2803</v>
      </c>
      <c r="H466" s="2" t="s">
        <v>66</v>
      </c>
      <c r="I466" s="2" t="str" cm="1">
        <f t="array" ref="I466">IFERROR(playerPoints($H466,$F466,$G466,I$1),"")</f>
        <v/>
      </c>
      <c r="J466" s="2" t="str" cm="1">
        <f t="array" ref="J466">IFERROR(playerPoints($H466,$F466,$G466,J$1),"")</f>
        <v/>
      </c>
      <c r="K466" s="2" t="str" cm="1">
        <f t="array" ref="K466">IFERROR(playerPoints($H466,$F466,$G466,K$1),"")</f>
        <v/>
      </c>
      <c r="L466" s="2" t="str" cm="1">
        <f t="array" ref="L466">IFERROR(playerPoints($H466,$F466,$G466,L$1),"")</f>
        <v/>
      </c>
      <c r="M466" s="2" t="str" cm="1">
        <f t="array" ref="M466">IFERROR(playerPoints($H466,$F466,$G466,M$1),"")</f>
        <v/>
      </c>
      <c r="N466" s="2" t="str" cm="1">
        <f t="array" ref="N466">IFERROR(playerPoints($H466,$F466,$G466,N$1),"")</f>
        <v/>
      </c>
      <c r="O466" s="2" t="str" cm="1">
        <f t="array" ref="O466">IFERROR(playerPoints($H466,$F466,$G466,O$1),"")</f>
        <v/>
      </c>
      <c r="Q466" s="2">
        <f t="shared" si="7"/>
        <v>0</v>
      </c>
    </row>
    <row r="467" spans="1:17">
      <c r="A467" s="2">
        <v>466</v>
      </c>
      <c r="B467" s="2" t="s">
        <v>1802</v>
      </c>
      <c r="C467" s="2" t="s">
        <v>1803</v>
      </c>
      <c r="D467" s="2" t="s">
        <v>880</v>
      </c>
      <c r="F467" s="2" t="str">
        <f>LOOKUP(D467,Sheet3!A$1:A$32,Sheet3!B$1:B$32)</f>
        <v>MAR</v>
      </c>
      <c r="G467" s="2" t="s">
        <v>2804</v>
      </c>
      <c r="H467" s="2" t="s">
        <v>66</v>
      </c>
      <c r="I467" s="2" t="str" cm="1">
        <f t="array" ref="I467">IFERROR(playerPoints($H467,$F467,$G467,I$1),"")</f>
        <v/>
      </c>
      <c r="J467" s="2" t="str" cm="1">
        <f t="array" ref="J467">IFERROR(playerPoints($H467,$F467,$G467,J$1),"")</f>
        <v/>
      </c>
      <c r="K467" s="2" t="str" cm="1">
        <f t="array" ref="K467">IFERROR(playerPoints($H467,$F467,$G467,K$1),"")</f>
        <v/>
      </c>
      <c r="L467" s="2" t="str" cm="1">
        <f t="array" ref="L467">IFERROR(playerPoints($H467,$F467,$G467,L$1),"")</f>
        <v/>
      </c>
      <c r="M467" s="2" t="str" cm="1">
        <f t="array" ref="M467">IFERROR(playerPoints($H467,$F467,$G467,M$1),"")</f>
        <v/>
      </c>
      <c r="N467" s="2" t="str" cm="1">
        <f t="array" ref="N467">IFERROR(playerPoints($H467,$F467,$G467,N$1),"")</f>
        <v/>
      </c>
      <c r="O467" s="2" t="str" cm="1">
        <f t="array" ref="O467">IFERROR(playerPoints($H467,$F467,$G467,O$1),"")</f>
        <v/>
      </c>
      <c r="Q467" s="2">
        <f t="shared" si="7"/>
        <v>0</v>
      </c>
    </row>
    <row r="468" spans="1:17">
      <c r="A468" s="2">
        <v>467</v>
      </c>
      <c r="B468" s="2" t="s">
        <v>1804</v>
      </c>
      <c r="C468" s="2" t="s">
        <v>1805</v>
      </c>
      <c r="D468" s="2" t="s">
        <v>880</v>
      </c>
      <c r="F468" s="2" t="str">
        <f>LOOKUP(D468,Sheet3!A$1:A$32,Sheet3!B$1:B$32)</f>
        <v>MAR</v>
      </c>
      <c r="G468" s="2" t="s">
        <v>2805</v>
      </c>
      <c r="H468" s="2" t="s">
        <v>66</v>
      </c>
      <c r="I468" s="2" t="str" cm="1">
        <f t="array" ref="I468">IFERROR(playerPoints($H468,$F468,$G468,I$1),"")</f>
        <v/>
      </c>
      <c r="J468" s="2" t="str" cm="1">
        <f t="array" ref="J468">IFERROR(playerPoints($H468,$F468,$G468,J$1),"")</f>
        <v/>
      </c>
      <c r="K468" s="2" t="str" cm="1">
        <f t="array" ref="K468">IFERROR(playerPoints($H468,$F468,$G468,K$1),"")</f>
        <v/>
      </c>
      <c r="L468" s="2" t="str" cm="1">
        <f t="array" ref="L468">IFERROR(playerPoints($H468,$F468,$G468,L$1),"")</f>
        <v/>
      </c>
      <c r="M468" s="2" t="str" cm="1">
        <f t="array" ref="M468">IFERROR(playerPoints($H468,$F468,$G468,M$1),"")</f>
        <v/>
      </c>
      <c r="N468" s="2" t="str" cm="1">
        <f t="array" ref="N468">IFERROR(playerPoints($H468,$F468,$G468,N$1),"")</f>
        <v/>
      </c>
      <c r="O468" s="2" t="str" cm="1">
        <f t="array" ref="O468">IFERROR(playerPoints($H468,$F468,$G468,O$1),"")</f>
        <v/>
      </c>
      <c r="Q468" s="2">
        <f t="shared" si="7"/>
        <v>0</v>
      </c>
    </row>
    <row r="469" spans="1:17">
      <c r="A469" s="2">
        <v>468</v>
      </c>
      <c r="B469" s="2" t="s">
        <v>1806</v>
      </c>
      <c r="C469" s="2" t="s">
        <v>1807</v>
      </c>
      <c r="D469" s="2" t="s">
        <v>880</v>
      </c>
      <c r="F469" s="2" t="str">
        <f>LOOKUP(D469,Sheet3!A$1:A$32,Sheet3!B$1:B$32)</f>
        <v>MAR</v>
      </c>
      <c r="G469" s="2" t="s">
        <v>2806</v>
      </c>
      <c r="H469" s="2" t="s">
        <v>66</v>
      </c>
      <c r="I469" s="2" t="str" cm="1">
        <f t="array" ref="I469">IFERROR(playerPoints($H469,$F469,$G469,I$1),"")</f>
        <v/>
      </c>
      <c r="J469" s="2" t="str" cm="1">
        <f t="array" ref="J469">IFERROR(playerPoints($H469,$F469,$G469,J$1),"")</f>
        <v/>
      </c>
      <c r="K469" s="2" t="str" cm="1">
        <f t="array" ref="K469">IFERROR(playerPoints($H469,$F469,$G469,K$1),"")</f>
        <v/>
      </c>
      <c r="L469" s="2" t="str" cm="1">
        <f t="array" ref="L469">IFERROR(playerPoints($H469,$F469,$G469,L$1),"")</f>
        <v/>
      </c>
      <c r="M469" s="2" t="str" cm="1">
        <f t="array" ref="M469">IFERROR(playerPoints($H469,$F469,$G469,M$1),"")</f>
        <v/>
      </c>
      <c r="N469" s="2" t="str" cm="1">
        <f t="array" ref="N469">IFERROR(playerPoints($H469,$F469,$G469,N$1),"")</f>
        <v/>
      </c>
      <c r="O469" s="2" t="str" cm="1">
        <f t="array" ref="O469">IFERROR(playerPoints($H469,$F469,$G469,O$1),"")</f>
        <v/>
      </c>
      <c r="Q469" s="2">
        <f t="shared" si="7"/>
        <v>0</v>
      </c>
    </row>
    <row r="470" spans="1:17">
      <c r="A470" s="2">
        <v>469</v>
      </c>
      <c r="B470" s="2" t="s">
        <v>1808</v>
      </c>
      <c r="C470" s="2" t="s">
        <v>1809</v>
      </c>
      <c r="D470" s="2" t="s">
        <v>881</v>
      </c>
      <c r="F470" s="2" t="str">
        <f>LOOKUP(D470,Sheet3!A$1:A$32,Sheet3!B$1:B$32)</f>
        <v>NED</v>
      </c>
      <c r="G470" s="2" t="s">
        <v>2807</v>
      </c>
      <c r="H470" s="2" t="s">
        <v>44</v>
      </c>
      <c r="I470" s="2" t="str" cm="1">
        <f t="array" ref="I470">IFERROR(playerPoints($H470,$F470,$G470,I$1),"")</f>
        <v/>
      </c>
      <c r="J470" s="2" t="str" cm="1">
        <f t="array" ref="J470">IFERROR(playerPoints($H470,$F470,$G470,J$1),"")</f>
        <v/>
      </c>
      <c r="K470" s="2" t="str" cm="1">
        <f t="array" ref="K470">IFERROR(playerPoints($H470,$F470,$G470,K$1),"")</f>
        <v/>
      </c>
      <c r="L470" s="2" t="str" cm="1">
        <f t="array" ref="L470">IFERROR(playerPoints($H470,$F470,$G470,L$1),"")</f>
        <v/>
      </c>
      <c r="M470" s="2" t="str" cm="1">
        <f t="array" ref="M470">IFERROR(playerPoints($H470,$F470,$G470,M$1),"")</f>
        <v/>
      </c>
      <c r="N470" s="2" t="str" cm="1">
        <f t="array" ref="N470">IFERROR(playerPoints($H470,$F470,$G470,N$1),"")</f>
        <v/>
      </c>
      <c r="O470" s="2" t="str" cm="1">
        <f t="array" ref="O470">IFERROR(playerPoints($H470,$F470,$G470,O$1),"")</f>
        <v/>
      </c>
      <c r="Q470" s="2">
        <f t="shared" si="7"/>
        <v>0</v>
      </c>
    </row>
    <row r="471" spans="1:17">
      <c r="A471" s="2">
        <v>470</v>
      </c>
      <c r="B471" s="2" t="s">
        <v>1810</v>
      </c>
      <c r="C471" s="2" t="s">
        <v>1811</v>
      </c>
      <c r="D471" s="2" t="s">
        <v>881</v>
      </c>
      <c r="F471" s="2" t="str">
        <f>LOOKUP(D471,Sheet3!A$1:A$32,Sheet3!B$1:B$32)</f>
        <v>NED</v>
      </c>
      <c r="G471" s="2" t="s">
        <v>2808</v>
      </c>
      <c r="H471" s="2" t="s">
        <v>44</v>
      </c>
      <c r="I471" s="2" t="str" cm="1">
        <f t="array" ref="I471">IFERROR(playerPoints($H471,$F471,$G471,I$1),"")</f>
        <v/>
      </c>
      <c r="J471" s="2" t="str" cm="1">
        <f t="array" ref="J471">IFERROR(playerPoints($H471,$F471,$G471,J$1),"")</f>
        <v/>
      </c>
      <c r="K471" s="2" t="str" cm="1">
        <f t="array" ref="K471">IFERROR(playerPoints($H471,$F471,$G471,K$1),"")</f>
        <v/>
      </c>
      <c r="L471" s="2" t="str" cm="1">
        <f t="array" ref="L471">IFERROR(playerPoints($H471,$F471,$G471,L$1),"")</f>
        <v/>
      </c>
      <c r="M471" s="2" t="str" cm="1">
        <f t="array" ref="M471">IFERROR(playerPoints($H471,$F471,$G471,M$1),"")</f>
        <v/>
      </c>
      <c r="N471" s="2" t="str" cm="1">
        <f t="array" ref="N471">IFERROR(playerPoints($H471,$F471,$G471,N$1),"")</f>
        <v/>
      </c>
      <c r="O471" s="2" t="str" cm="1">
        <f t="array" ref="O471">IFERROR(playerPoints($H471,$F471,$G471,O$1),"")</f>
        <v/>
      </c>
      <c r="Q471" s="2">
        <f t="shared" si="7"/>
        <v>0</v>
      </c>
    </row>
    <row r="472" spans="1:17">
      <c r="A472" s="2">
        <v>471</v>
      </c>
      <c r="B472" s="2" t="s">
        <v>1812</v>
      </c>
      <c r="C472" s="2" t="s">
        <v>1813</v>
      </c>
      <c r="D472" s="2" t="s">
        <v>881</v>
      </c>
      <c r="F472" s="2" t="str">
        <f>LOOKUP(D472,Sheet3!A$1:A$32,Sheet3!B$1:B$32)</f>
        <v>NED</v>
      </c>
      <c r="G472" s="2" t="s">
        <v>2809</v>
      </c>
      <c r="H472" s="2" t="s">
        <v>44</v>
      </c>
      <c r="I472" s="2" t="str" cm="1">
        <f t="array" ref="I472">IFERROR(playerPoints($H472,$F472,$G472,I$1),"")</f>
        <v/>
      </c>
      <c r="J472" s="2" t="str" cm="1">
        <f t="array" ref="J472">IFERROR(playerPoints($H472,$F472,$G472,J$1),"")</f>
        <v/>
      </c>
      <c r="K472" s="2" t="str" cm="1">
        <f t="array" ref="K472">IFERROR(playerPoints($H472,$F472,$G472,K$1),"")</f>
        <v/>
      </c>
      <c r="L472" s="2" t="str" cm="1">
        <f t="array" ref="L472">IFERROR(playerPoints($H472,$F472,$G472,L$1),"")</f>
        <v/>
      </c>
      <c r="M472" s="2" t="str" cm="1">
        <f t="array" ref="M472">IFERROR(playerPoints($H472,$F472,$G472,M$1),"")</f>
        <v/>
      </c>
      <c r="N472" s="2" t="str" cm="1">
        <f t="array" ref="N472">IFERROR(playerPoints($H472,$F472,$G472,N$1),"")</f>
        <v/>
      </c>
      <c r="O472" s="2" t="str" cm="1">
        <f t="array" ref="O472">IFERROR(playerPoints($H472,$F472,$G472,O$1),"")</f>
        <v/>
      </c>
      <c r="Q472" s="2">
        <f t="shared" si="7"/>
        <v>0</v>
      </c>
    </row>
    <row r="473" spans="1:17">
      <c r="A473" s="2">
        <v>472</v>
      </c>
      <c r="B473" s="2" t="s">
        <v>1814</v>
      </c>
      <c r="C473" s="2" t="s">
        <v>1815</v>
      </c>
      <c r="D473" s="2" t="s">
        <v>881</v>
      </c>
      <c r="F473" s="2" t="str">
        <f>LOOKUP(D473,Sheet3!A$1:A$32,Sheet3!B$1:B$32)</f>
        <v>NED</v>
      </c>
      <c r="G473" s="2" t="s">
        <v>2810</v>
      </c>
      <c r="H473" s="2" t="s">
        <v>48</v>
      </c>
      <c r="I473" s="2" t="str" cm="1">
        <f t="array" ref="I473">IFERROR(playerPoints($H473,$F473,$G473,I$1),"")</f>
        <v/>
      </c>
      <c r="J473" s="2" t="str" cm="1">
        <f t="array" ref="J473">IFERROR(playerPoints($H473,$F473,$G473,J$1),"")</f>
        <v/>
      </c>
      <c r="K473" s="2" t="str" cm="1">
        <f t="array" ref="K473">IFERROR(playerPoints($H473,$F473,$G473,K$1),"")</f>
        <v/>
      </c>
      <c r="L473" s="2" t="str" cm="1">
        <f t="array" ref="L473">IFERROR(playerPoints($H473,$F473,$G473,L$1),"")</f>
        <v/>
      </c>
      <c r="M473" s="2" t="str" cm="1">
        <f t="array" ref="M473">IFERROR(playerPoints($H473,$F473,$G473,M$1),"")</f>
        <v/>
      </c>
      <c r="N473" s="2" t="str" cm="1">
        <f t="array" ref="N473">IFERROR(playerPoints($H473,$F473,$G473,N$1),"")</f>
        <v/>
      </c>
      <c r="O473" s="2" t="str" cm="1">
        <f t="array" ref="O473">IFERROR(playerPoints($H473,$F473,$G473,O$1),"")</f>
        <v/>
      </c>
      <c r="Q473" s="2">
        <f t="shared" si="7"/>
        <v>0</v>
      </c>
    </row>
    <row r="474" spans="1:17">
      <c r="A474" s="2">
        <v>473</v>
      </c>
      <c r="B474" s="2" t="s">
        <v>1816</v>
      </c>
      <c r="C474" s="2" t="s">
        <v>1817</v>
      </c>
      <c r="D474" s="2" t="s">
        <v>881</v>
      </c>
      <c r="F474" s="2" t="str">
        <f>LOOKUP(D474,Sheet3!A$1:A$32,Sheet3!B$1:B$32)</f>
        <v>NED</v>
      </c>
      <c r="G474" s="2" t="s">
        <v>2811</v>
      </c>
      <c r="H474" s="2" t="s">
        <v>48</v>
      </c>
      <c r="I474" s="2" t="str" cm="1">
        <f t="array" ref="I474">IFERROR(playerPoints($H474,$F474,$G474,I$1),"")</f>
        <v/>
      </c>
      <c r="J474" s="2" t="str" cm="1">
        <f t="array" ref="J474">IFERROR(playerPoints($H474,$F474,$G474,J$1),"")</f>
        <v/>
      </c>
      <c r="K474" s="2" t="str" cm="1">
        <f t="array" ref="K474">IFERROR(playerPoints($H474,$F474,$G474,K$1),"")</f>
        <v/>
      </c>
      <c r="L474" s="2" t="str" cm="1">
        <f t="array" ref="L474">IFERROR(playerPoints($H474,$F474,$G474,L$1),"")</f>
        <v/>
      </c>
      <c r="M474" s="2" t="str" cm="1">
        <f t="array" ref="M474">IFERROR(playerPoints($H474,$F474,$G474,M$1),"")</f>
        <v/>
      </c>
      <c r="N474" s="2" t="str" cm="1">
        <f t="array" ref="N474">IFERROR(playerPoints($H474,$F474,$G474,N$1),"")</f>
        <v/>
      </c>
      <c r="O474" s="2" t="str" cm="1">
        <f t="array" ref="O474">IFERROR(playerPoints($H474,$F474,$G474,O$1),"")</f>
        <v/>
      </c>
      <c r="Q474" s="2">
        <f t="shared" si="7"/>
        <v>0</v>
      </c>
    </row>
    <row r="475" spans="1:17">
      <c r="A475" s="2">
        <v>474</v>
      </c>
      <c r="B475" s="2" t="s">
        <v>1818</v>
      </c>
      <c r="C475" s="2" t="s">
        <v>1819</v>
      </c>
      <c r="D475" s="2" t="s">
        <v>881</v>
      </c>
      <c r="F475" s="2" t="str">
        <f>LOOKUP(D475,Sheet3!A$1:A$32,Sheet3!B$1:B$32)</f>
        <v>NED</v>
      </c>
      <c r="G475" s="2" t="s">
        <v>2812</v>
      </c>
      <c r="H475" s="2" t="s">
        <v>48</v>
      </c>
      <c r="I475" s="2" t="str" cm="1">
        <f t="array" ref="I475">IFERROR(playerPoints($H475,$F475,$G475,I$1),"")</f>
        <v/>
      </c>
      <c r="J475" s="2" t="str" cm="1">
        <f t="array" ref="J475">IFERROR(playerPoints($H475,$F475,$G475,J$1),"")</f>
        <v/>
      </c>
      <c r="K475" s="2" t="str" cm="1">
        <f t="array" ref="K475">IFERROR(playerPoints($H475,$F475,$G475,K$1),"")</f>
        <v/>
      </c>
      <c r="L475" s="2" t="str" cm="1">
        <f t="array" ref="L475">IFERROR(playerPoints($H475,$F475,$G475,L$1),"")</f>
        <v/>
      </c>
      <c r="M475" s="2" t="str" cm="1">
        <f t="array" ref="M475">IFERROR(playerPoints($H475,$F475,$G475,M$1),"")</f>
        <v/>
      </c>
      <c r="N475" s="2" t="str" cm="1">
        <f t="array" ref="N475">IFERROR(playerPoints($H475,$F475,$G475,N$1),"")</f>
        <v/>
      </c>
      <c r="O475" s="2" t="str" cm="1">
        <f t="array" ref="O475">IFERROR(playerPoints($H475,$F475,$G475,O$1),"")</f>
        <v/>
      </c>
      <c r="Q475" s="2">
        <f t="shared" si="7"/>
        <v>0</v>
      </c>
    </row>
    <row r="476" spans="1:17">
      <c r="A476" s="2">
        <v>475</v>
      </c>
      <c r="B476" s="2" t="s">
        <v>1820</v>
      </c>
      <c r="C476" s="2" t="s">
        <v>1821</v>
      </c>
      <c r="D476" s="2" t="s">
        <v>881</v>
      </c>
      <c r="F476" s="2" t="str">
        <f>LOOKUP(D476,Sheet3!A$1:A$32,Sheet3!B$1:B$32)</f>
        <v>NED</v>
      </c>
      <c r="G476" s="2" t="s">
        <v>2813</v>
      </c>
      <c r="H476" s="2" t="s">
        <v>48</v>
      </c>
      <c r="I476" s="2" t="str" cm="1">
        <f t="array" ref="I476">IFERROR(playerPoints($H476,$F476,$G476,I$1),"")</f>
        <v/>
      </c>
      <c r="J476" s="2" t="str" cm="1">
        <f t="array" ref="J476">IFERROR(playerPoints($H476,$F476,$G476,J$1),"")</f>
        <v/>
      </c>
      <c r="K476" s="2" t="str" cm="1">
        <f t="array" ref="K476">IFERROR(playerPoints($H476,$F476,$G476,K$1),"")</f>
        <v/>
      </c>
      <c r="L476" s="2" t="str" cm="1">
        <f t="array" ref="L476">IFERROR(playerPoints($H476,$F476,$G476,L$1),"")</f>
        <v/>
      </c>
      <c r="M476" s="2" t="str" cm="1">
        <f t="array" ref="M476">IFERROR(playerPoints($H476,$F476,$G476,M$1),"")</f>
        <v/>
      </c>
      <c r="N476" s="2" t="str" cm="1">
        <f t="array" ref="N476">IFERROR(playerPoints($H476,$F476,$G476,N$1),"")</f>
        <v/>
      </c>
      <c r="O476" s="2" t="str" cm="1">
        <f t="array" ref="O476">IFERROR(playerPoints($H476,$F476,$G476,O$1),"")</f>
        <v/>
      </c>
      <c r="Q476" s="2">
        <f t="shared" si="7"/>
        <v>0</v>
      </c>
    </row>
    <row r="477" spans="1:17">
      <c r="A477" s="2">
        <v>476</v>
      </c>
      <c r="B477" s="2" t="s">
        <v>1822</v>
      </c>
      <c r="C477" s="2" t="s">
        <v>1823</v>
      </c>
      <c r="D477" s="2" t="s">
        <v>881</v>
      </c>
      <c r="F477" s="2" t="str">
        <f>LOOKUP(D477,Sheet3!A$1:A$32,Sheet3!B$1:B$32)</f>
        <v>NED</v>
      </c>
      <c r="G477" s="2" t="s">
        <v>2814</v>
      </c>
      <c r="H477" s="2" t="s">
        <v>48</v>
      </c>
      <c r="I477" s="2" t="str" cm="1">
        <f t="array" ref="I477">IFERROR(playerPoints($H477,$F477,$G477,I$1),"")</f>
        <v/>
      </c>
      <c r="J477" s="2" t="str" cm="1">
        <f t="array" ref="J477">IFERROR(playerPoints($H477,$F477,$G477,J$1),"")</f>
        <v/>
      </c>
      <c r="K477" s="2" t="str" cm="1">
        <f t="array" ref="K477">IFERROR(playerPoints($H477,$F477,$G477,K$1),"")</f>
        <v/>
      </c>
      <c r="L477" s="2" t="str" cm="1">
        <f t="array" ref="L477">IFERROR(playerPoints($H477,$F477,$G477,L$1),"")</f>
        <v/>
      </c>
      <c r="M477" s="2" t="str" cm="1">
        <f t="array" ref="M477">IFERROR(playerPoints($H477,$F477,$G477,M$1),"")</f>
        <v/>
      </c>
      <c r="N477" s="2" t="str" cm="1">
        <f t="array" ref="N477">IFERROR(playerPoints($H477,$F477,$G477,N$1),"")</f>
        <v/>
      </c>
      <c r="O477" s="2" t="str" cm="1">
        <f t="array" ref="O477">IFERROR(playerPoints($H477,$F477,$G477,O$1),"")</f>
        <v/>
      </c>
      <c r="Q477" s="2">
        <f t="shared" si="7"/>
        <v>0</v>
      </c>
    </row>
    <row r="478" spans="1:17">
      <c r="A478" s="2">
        <v>477</v>
      </c>
      <c r="B478" s="2" t="s">
        <v>1824</v>
      </c>
      <c r="C478" s="2" t="s">
        <v>1825</v>
      </c>
      <c r="D478" s="2" t="s">
        <v>881</v>
      </c>
      <c r="F478" s="2" t="str">
        <f>LOOKUP(D478,Sheet3!A$1:A$32,Sheet3!B$1:B$32)</f>
        <v>NED</v>
      </c>
      <c r="G478" s="2" t="s">
        <v>2815</v>
      </c>
      <c r="H478" s="2" t="s">
        <v>48</v>
      </c>
      <c r="I478" s="2" t="str" cm="1">
        <f t="array" ref="I478">IFERROR(playerPoints($H478,$F478,$G478,I$1),"")</f>
        <v/>
      </c>
      <c r="J478" s="2" t="str" cm="1">
        <f t="array" ref="J478">IFERROR(playerPoints($H478,$F478,$G478,J$1),"")</f>
        <v/>
      </c>
      <c r="K478" s="2" t="str" cm="1">
        <f t="array" ref="K478">IFERROR(playerPoints($H478,$F478,$G478,K$1),"")</f>
        <v/>
      </c>
      <c r="L478" s="2" t="str" cm="1">
        <f t="array" ref="L478">IFERROR(playerPoints($H478,$F478,$G478,L$1),"")</f>
        <v/>
      </c>
      <c r="M478" s="2" t="str" cm="1">
        <f t="array" ref="M478">IFERROR(playerPoints($H478,$F478,$G478,M$1),"")</f>
        <v/>
      </c>
      <c r="N478" s="2" t="str" cm="1">
        <f t="array" ref="N478">IFERROR(playerPoints($H478,$F478,$G478,N$1),"")</f>
        <v/>
      </c>
      <c r="O478" s="2" t="str" cm="1">
        <f t="array" ref="O478">IFERROR(playerPoints($H478,$F478,$G478,O$1),"")</f>
        <v/>
      </c>
      <c r="Q478" s="2">
        <f t="shared" si="7"/>
        <v>0</v>
      </c>
    </row>
    <row r="479" spans="1:17">
      <c r="A479" s="2">
        <v>478</v>
      </c>
      <c r="B479" s="2" t="s">
        <v>1826</v>
      </c>
      <c r="C479" s="2" t="s">
        <v>1827</v>
      </c>
      <c r="D479" s="2" t="s">
        <v>881</v>
      </c>
      <c r="F479" s="2" t="str">
        <f>LOOKUP(D479,Sheet3!A$1:A$32,Sheet3!B$1:B$32)</f>
        <v>NED</v>
      </c>
      <c r="G479" s="2" t="s">
        <v>2816</v>
      </c>
      <c r="H479" s="2" t="s">
        <v>48</v>
      </c>
      <c r="I479" s="2" t="str" cm="1">
        <f t="array" ref="I479">IFERROR(playerPoints($H479,$F479,$G479,I$1),"")</f>
        <v/>
      </c>
      <c r="J479" s="2" t="str" cm="1">
        <f t="array" ref="J479">IFERROR(playerPoints($H479,$F479,$G479,J$1),"")</f>
        <v/>
      </c>
      <c r="K479" s="2" t="str" cm="1">
        <f t="array" ref="K479">IFERROR(playerPoints($H479,$F479,$G479,K$1),"")</f>
        <v/>
      </c>
      <c r="L479" s="2" t="str" cm="1">
        <f t="array" ref="L479">IFERROR(playerPoints($H479,$F479,$G479,L$1),"")</f>
        <v/>
      </c>
      <c r="M479" s="2" t="str" cm="1">
        <f t="array" ref="M479">IFERROR(playerPoints($H479,$F479,$G479,M$1),"")</f>
        <v/>
      </c>
      <c r="N479" s="2" t="str" cm="1">
        <f t="array" ref="N479">IFERROR(playerPoints($H479,$F479,$G479,N$1),"")</f>
        <v/>
      </c>
      <c r="O479" s="2" t="str" cm="1">
        <f t="array" ref="O479">IFERROR(playerPoints($H479,$F479,$G479,O$1),"")</f>
        <v/>
      </c>
      <c r="Q479" s="2">
        <f t="shared" si="7"/>
        <v>0</v>
      </c>
    </row>
    <row r="480" spans="1:17">
      <c r="A480" s="2">
        <v>479</v>
      </c>
      <c r="B480" s="2" t="s">
        <v>1828</v>
      </c>
      <c r="C480" s="2" t="s">
        <v>1829</v>
      </c>
      <c r="D480" s="2" t="s">
        <v>881</v>
      </c>
      <c r="F480" s="2" t="str">
        <f>LOOKUP(D480,Sheet3!A$1:A$32,Sheet3!B$1:B$32)</f>
        <v>NED</v>
      </c>
      <c r="G480" s="2" t="s">
        <v>2817</v>
      </c>
      <c r="H480" s="2" t="s">
        <v>48</v>
      </c>
      <c r="I480" s="2" t="str" cm="1">
        <f t="array" ref="I480">IFERROR(playerPoints($H480,$F480,$G480,I$1),"")</f>
        <v/>
      </c>
      <c r="J480" s="2" t="str" cm="1">
        <f t="array" ref="J480">IFERROR(playerPoints($H480,$F480,$G480,J$1),"")</f>
        <v/>
      </c>
      <c r="K480" s="2" t="str" cm="1">
        <f t="array" ref="K480">IFERROR(playerPoints($H480,$F480,$G480,K$1),"")</f>
        <v/>
      </c>
      <c r="L480" s="2" t="str" cm="1">
        <f t="array" ref="L480">IFERROR(playerPoints($H480,$F480,$G480,L$1),"")</f>
        <v/>
      </c>
      <c r="M480" s="2" t="str" cm="1">
        <f t="array" ref="M480">IFERROR(playerPoints($H480,$F480,$G480,M$1),"")</f>
        <v/>
      </c>
      <c r="N480" s="2" t="str" cm="1">
        <f t="array" ref="N480">IFERROR(playerPoints($H480,$F480,$G480,N$1),"")</f>
        <v/>
      </c>
      <c r="O480" s="2" t="str" cm="1">
        <f t="array" ref="O480">IFERROR(playerPoints($H480,$F480,$G480,O$1),"")</f>
        <v/>
      </c>
      <c r="Q480" s="2">
        <f t="shared" si="7"/>
        <v>0</v>
      </c>
    </row>
    <row r="481" spans="1:17">
      <c r="A481" s="2">
        <v>480</v>
      </c>
      <c r="B481" s="2" t="s">
        <v>1830</v>
      </c>
      <c r="C481" s="2" t="s">
        <v>1831</v>
      </c>
      <c r="D481" s="2" t="s">
        <v>881</v>
      </c>
      <c r="F481" s="2" t="str">
        <f>LOOKUP(D481,Sheet3!A$1:A$32,Sheet3!B$1:B$32)</f>
        <v>NED</v>
      </c>
      <c r="G481" s="2" t="s">
        <v>2818</v>
      </c>
      <c r="H481" s="2" t="s">
        <v>48</v>
      </c>
      <c r="I481" s="2" t="str" cm="1">
        <f t="array" ref="I481">IFERROR(playerPoints($H481,$F481,$G481,I$1),"")</f>
        <v/>
      </c>
      <c r="J481" s="2" t="str" cm="1">
        <f t="array" ref="J481">IFERROR(playerPoints($H481,$F481,$G481,J$1),"")</f>
        <v/>
      </c>
      <c r="K481" s="2" t="str" cm="1">
        <f t="array" ref="K481">IFERROR(playerPoints($H481,$F481,$G481,K$1),"")</f>
        <v/>
      </c>
      <c r="L481" s="2" t="str" cm="1">
        <f t="array" ref="L481">IFERROR(playerPoints($H481,$F481,$G481,L$1),"")</f>
        <v/>
      </c>
      <c r="M481" s="2" t="str" cm="1">
        <f t="array" ref="M481">IFERROR(playerPoints($H481,$F481,$G481,M$1),"")</f>
        <v/>
      </c>
      <c r="N481" s="2" t="str" cm="1">
        <f t="array" ref="N481">IFERROR(playerPoints($H481,$F481,$G481,N$1),"")</f>
        <v/>
      </c>
      <c r="O481" s="2" t="str" cm="1">
        <f t="array" ref="O481">IFERROR(playerPoints($H481,$F481,$G481,O$1),"")</f>
        <v/>
      </c>
      <c r="Q481" s="2">
        <f t="shared" si="7"/>
        <v>0</v>
      </c>
    </row>
    <row r="482" spans="1:17">
      <c r="A482" s="2">
        <v>481</v>
      </c>
      <c r="B482" s="2" t="s">
        <v>1832</v>
      </c>
      <c r="C482" s="2" t="s">
        <v>1833</v>
      </c>
      <c r="D482" s="2" t="s">
        <v>881</v>
      </c>
      <c r="F482" s="2" t="str">
        <f>LOOKUP(D482,Sheet3!A$1:A$32,Sheet3!B$1:B$32)</f>
        <v>NED</v>
      </c>
      <c r="G482" s="2" t="s">
        <v>2819</v>
      </c>
      <c r="H482" s="2" t="s">
        <v>57</v>
      </c>
      <c r="I482" s="2" t="str" cm="1">
        <f t="array" ref="I482">IFERROR(playerPoints($H482,$F482,$G482,I$1),"")</f>
        <v/>
      </c>
      <c r="J482" s="2" t="str" cm="1">
        <f t="array" ref="J482">IFERROR(playerPoints($H482,$F482,$G482,J$1),"")</f>
        <v/>
      </c>
      <c r="K482" s="2" t="str" cm="1">
        <f t="array" ref="K482">IFERROR(playerPoints($H482,$F482,$G482,K$1),"")</f>
        <v/>
      </c>
      <c r="L482" s="2" t="str" cm="1">
        <f t="array" ref="L482">IFERROR(playerPoints($H482,$F482,$G482,L$1),"")</f>
        <v/>
      </c>
      <c r="M482" s="2" t="str" cm="1">
        <f t="array" ref="M482">IFERROR(playerPoints($H482,$F482,$G482,M$1),"")</f>
        <v/>
      </c>
      <c r="N482" s="2" t="str" cm="1">
        <f t="array" ref="N482">IFERROR(playerPoints($H482,$F482,$G482,N$1),"")</f>
        <v/>
      </c>
      <c r="O482" s="2" t="str" cm="1">
        <f t="array" ref="O482">IFERROR(playerPoints($H482,$F482,$G482,O$1),"")</f>
        <v/>
      </c>
      <c r="Q482" s="2">
        <f t="shared" si="7"/>
        <v>0</v>
      </c>
    </row>
    <row r="483" spans="1:17">
      <c r="A483" s="2">
        <v>482</v>
      </c>
      <c r="B483" s="2" t="s">
        <v>1834</v>
      </c>
      <c r="C483" s="2" t="s">
        <v>1835</v>
      </c>
      <c r="D483" s="2" t="s">
        <v>881</v>
      </c>
      <c r="F483" s="2" t="str">
        <f>LOOKUP(D483,Sheet3!A$1:A$32,Sheet3!B$1:B$32)</f>
        <v>NED</v>
      </c>
      <c r="G483" s="2" t="s">
        <v>928</v>
      </c>
      <c r="H483" s="2" t="s">
        <v>57</v>
      </c>
      <c r="I483" s="2" t="str" cm="1">
        <f t="array" ref="I483">IFERROR(playerPoints($H483,$F483,$G483,I$1),"")</f>
        <v/>
      </c>
      <c r="J483" s="2" t="str" cm="1">
        <f t="array" ref="J483">IFERROR(playerPoints($H483,$F483,$G483,J$1),"")</f>
        <v/>
      </c>
      <c r="K483" s="2" t="str" cm="1">
        <f t="array" ref="K483">IFERROR(playerPoints($H483,$F483,$G483,K$1),"")</f>
        <v/>
      </c>
      <c r="L483" s="2" t="str" cm="1">
        <f t="array" ref="L483">IFERROR(playerPoints($H483,$F483,$G483,L$1),"")</f>
        <v/>
      </c>
      <c r="M483" s="2" t="str" cm="1">
        <f t="array" ref="M483">IFERROR(playerPoints($H483,$F483,$G483,M$1),"")</f>
        <v/>
      </c>
      <c r="N483" s="2" t="str" cm="1">
        <f t="array" ref="N483">IFERROR(playerPoints($H483,$F483,$G483,N$1),"")</f>
        <v/>
      </c>
      <c r="O483" s="2" t="str" cm="1">
        <f t="array" ref="O483">IFERROR(playerPoints($H483,$F483,$G483,O$1),"")</f>
        <v/>
      </c>
      <c r="Q483" s="2">
        <f t="shared" si="7"/>
        <v>0</v>
      </c>
    </row>
    <row r="484" spans="1:17">
      <c r="A484" s="2">
        <v>483</v>
      </c>
      <c r="B484" s="2" t="s">
        <v>1836</v>
      </c>
      <c r="C484" s="2" t="s">
        <v>1837</v>
      </c>
      <c r="D484" s="2" t="s">
        <v>881</v>
      </c>
      <c r="F484" s="2" t="str">
        <f>LOOKUP(D484,Sheet3!A$1:A$32,Sheet3!B$1:B$32)</f>
        <v>NED</v>
      </c>
      <c r="G484" s="2" t="s">
        <v>2820</v>
      </c>
      <c r="H484" s="2" t="s">
        <v>57</v>
      </c>
      <c r="I484" s="2" t="str" cm="1">
        <f t="array" ref="I484">IFERROR(playerPoints($H484,$F484,$G484,I$1),"")</f>
        <v/>
      </c>
      <c r="J484" s="2" t="str" cm="1">
        <f t="array" ref="J484">IFERROR(playerPoints($H484,$F484,$G484,J$1),"")</f>
        <v/>
      </c>
      <c r="K484" s="2" t="str" cm="1">
        <f t="array" ref="K484">IFERROR(playerPoints($H484,$F484,$G484,K$1),"")</f>
        <v/>
      </c>
      <c r="L484" s="2" t="str" cm="1">
        <f t="array" ref="L484">IFERROR(playerPoints($H484,$F484,$G484,L$1),"")</f>
        <v/>
      </c>
      <c r="M484" s="2" t="str" cm="1">
        <f t="array" ref="M484">IFERROR(playerPoints($H484,$F484,$G484,M$1),"")</f>
        <v/>
      </c>
      <c r="N484" s="2" t="str" cm="1">
        <f t="array" ref="N484">IFERROR(playerPoints($H484,$F484,$G484,N$1),"")</f>
        <v/>
      </c>
      <c r="O484" s="2" t="str" cm="1">
        <f t="array" ref="O484">IFERROR(playerPoints($H484,$F484,$G484,O$1),"")</f>
        <v/>
      </c>
      <c r="Q484" s="2">
        <f t="shared" si="7"/>
        <v>0</v>
      </c>
    </row>
    <row r="485" spans="1:17">
      <c r="A485" s="2">
        <v>484</v>
      </c>
      <c r="B485" s="2" t="s">
        <v>1838</v>
      </c>
      <c r="C485" s="2" t="s">
        <v>1839</v>
      </c>
      <c r="D485" s="2" t="s">
        <v>881</v>
      </c>
      <c r="F485" s="2" t="str">
        <f>LOOKUP(D485,Sheet3!A$1:A$32,Sheet3!B$1:B$32)</f>
        <v>NED</v>
      </c>
      <c r="G485" s="2" t="s">
        <v>2821</v>
      </c>
      <c r="H485" s="2" t="s">
        <v>57</v>
      </c>
      <c r="I485" s="2" t="str" cm="1">
        <f t="array" ref="I485">IFERROR(playerPoints($H485,$F485,$G485,I$1),"")</f>
        <v/>
      </c>
      <c r="J485" s="2" t="str" cm="1">
        <f t="array" ref="J485">IFERROR(playerPoints($H485,$F485,$G485,J$1),"")</f>
        <v/>
      </c>
      <c r="K485" s="2" t="str" cm="1">
        <f t="array" ref="K485">IFERROR(playerPoints($H485,$F485,$G485,K$1),"")</f>
        <v/>
      </c>
      <c r="L485" s="2" t="str" cm="1">
        <f t="array" ref="L485">IFERROR(playerPoints($H485,$F485,$G485,L$1),"")</f>
        <v/>
      </c>
      <c r="M485" s="2" t="str" cm="1">
        <f t="array" ref="M485">IFERROR(playerPoints($H485,$F485,$G485,M$1),"")</f>
        <v/>
      </c>
      <c r="N485" s="2" t="str" cm="1">
        <f t="array" ref="N485">IFERROR(playerPoints($H485,$F485,$G485,N$1),"")</f>
        <v/>
      </c>
      <c r="O485" s="2" t="str" cm="1">
        <f t="array" ref="O485">IFERROR(playerPoints($H485,$F485,$G485,O$1),"")</f>
        <v/>
      </c>
      <c r="Q485" s="2">
        <f t="shared" si="7"/>
        <v>0</v>
      </c>
    </row>
    <row r="486" spans="1:17">
      <c r="A486" s="2">
        <v>485</v>
      </c>
      <c r="B486" s="2" t="s">
        <v>1840</v>
      </c>
      <c r="C486" s="2" t="s">
        <v>1841</v>
      </c>
      <c r="D486" s="2" t="s">
        <v>881</v>
      </c>
      <c r="F486" s="2" t="str">
        <f>LOOKUP(D486,Sheet3!A$1:A$32,Sheet3!B$1:B$32)</f>
        <v>NED</v>
      </c>
      <c r="G486" s="2" t="s">
        <v>2822</v>
      </c>
      <c r="H486" s="2" t="s">
        <v>57</v>
      </c>
      <c r="I486" s="2" t="str" cm="1">
        <f t="array" ref="I486">IFERROR(playerPoints($H486,$F486,$G486,I$1),"")</f>
        <v/>
      </c>
      <c r="J486" s="2" t="str" cm="1">
        <f t="array" ref="J486">IFERROR(playerPoints($H486,$F486,$G486,J$1),"")</f>
        <v/>
      </c>
      <c r="K486" s="2" t="str" cm="1">
        <f t="array" ref="K486">IFERROR(playerPoints($H486,$F486,$G486,K$1),"")</f>
        <v/>
      </c>
      <c r="L486" s="2" t="str" cm="1">
        <f t="array" ref="L486">IFERROR(playerPoints($H486,$F486,$G486,L$1),"")</f>
        <v/>
      </c>
      <c r="M486" s="2" t="str" cm="1">
        <f t="array" ref="M486">IFERROR(playerPoints($H486,$F486,$G486,M$1),"")</f>
        <v/>
      </c>
      <c r="N486" s="2" t="str" cm="1">
        <f t="array" ref="N486">IFERROR(playerPoints($H486,$F486,$G486,N$1),"")</f>
        <v/>
      </c>
      <c r="O486" s="2" t="str" cm="1">
        <f t="array" ref="O486">IFERROR(playerPoints($H486,$F486,$G486,O$1),"")</f>
        <v/>
      </c>
      <c r="Q486" s="2">
        <f t="shared" si="7"/>
        <v>0</v>
      </c>
    </row>
    <row r="487" spans="1:17">
      <c r="A487" s="2">
        <v>486</v>
      </c>
      <c r="B487" s="2" t="s">
        <v>1842</v>
      </c>
      <c r="C487" s="2" t="s">
        <v>1843</v>
      </c>
      <c r="D487" s="2" t="s">
        <v>881</v>
      </c>
      <c r="F487" s="2" t="str">
        <f>LOOKUP(D487,Sheet3!A$1:A$32,Sheet3!B$1:B$32)</f>
        <v>NED</v>
      </c>
      <c r="G487" s="2" t="s">
        <v>2823</v>
      </c>
      <c r="H487" s="2" t="s">
        <v>57</v>
      </c>
      <c r="I487" s="2" t="str" cm="1">
        <f t="array" ref="I487">IFERROR(playerPoints($H487,$F487,$G487,I$1),"")</f>
        <v/>
      </c>
      <c r="J487" s="2" t="str" cm="1">
        <f t="array" ref="J487">IFERROR(playerPoints($H487,$F487,$G487,J$1),"")</f>
        <v/>
      </c>
      <c r="K487" s="2" t="str" cm="1">
        <f t="array" ref="K487">IFERROR(playerPoints($H487,$F487,$G487,K$1),"")</f>
        <v/>
      </c>
      <c r="L487" s="2" t="str" cm="1">
        <f t="array" ref="L487">IFERROR(playerPoints($H487,$F487,$G487,L$1),"")</f>
        <v/>
      </c>
      <c r="M487" s="2" t="str" cm="1">
        <f t="array" ref="M487">IFERROR(playerPoints($H487,$F487,$G487,M$1),"")</f>
        <v/>
      </c>
      <c r="N487" s="2" t="str" cm="1">
        <f t="array" ref="N487">IFERROR(playerPoints($H487,$F487,$G487,N$1),"")</f>
        <v/>
      </c>
      <c r="O487" s="2" t="str" cm="1">
        <f t="array" ref="O487">IFERROR(playerPoints($H487,$F487,$G487,O$1),"")</f>
        <v/>
      </c>
      <c r="Q487" s="2">
        <f t="shared" si="7"/>
        <v>0</v>
      </c>
    </row>
    <row r="488" spans="1:17">
      <c r="A488" s="2">
        <v>487</v>
      </c>
      <c r="B488" s="2" t="s">
        <v>1844</v>
      </c>
      <c r="C488" s="2" t="s">
        <v>1845</v>
      </c>
      <c r="D488" s="2" t="s">
        <v>881</v>
      </c>
      <c r="F488" s="2" t="str">
        <f>LOOKUP(D488,Sheet3!A$1:A$32,Sheet3!B$1:B$32)</f>
        <v>NED</v>
      </c>
      <c r="G488" s="2" t="s">
        <v>2824</v>
      </c>
      <c r="H488" s="2" t="s">
        <v>57</v>
      </c>
      <c r="I488" s="2" t="str" cm="1">
        <f t="array" ref="I488">IFERROR(playerPoints($H488,$F488,$G488,I$1),"")</f>
        <v/>
      </c>
      <c r="J488" s="2" t="str" cm="1">
        <f t="array" ref="J488">IFERROR(playerPoints($H488,$F488,$G488,J$1),"")</f>
        <v/>
      </c>
      <c r="K488" s="2" t="str" cm="1">
        <f t="array" ref="K488">IFERROR(playerPoints($H488,$F488,$G488,K$1),"")</f>
        <v/>
      </c>
      <c r="L488" s="2" t="str" cm="1">
        <f t="array" ref="L488">IFERROR(playerPoints($H488,$F488,$G488,L$1),"")</f>
        <v/>
      </c>
      <c r="M488" s="2" t="str" cm="1">
        <f t="array" ref="M488">IFERROR(playerPoints($H488,$F488,$G488,M$1),"")</f>
        <v/>
      </c>
      <c r="N488" s="2" t="str" cm="1">
        <f t="array" ref="N488">IFERROR(playerPoints($H488,$F488,$G488,N$1),"")</f>
        <v/>
      </c>
      <c r="O488" s="2" t="str" cm="1">
        <f t="array" ref="O488">IFERROR(playerPoints($H488,$F488,$G488,O$1),"")</f>
        <v/>
      </c>
      <c r="Q488" s="2">
        <f t="shared" si="7"/>
        <v>0</v>
      </c>
    </row>
    <row r="489" spans="1:17">
      <c r="A489" s="2">
        <v>488</v>
      </c>
      <c r="B489" s="2" t="s">
        <v>1239</v>
      </c>
      <c r="C489" s="2" t="s">
        <v>1846</v>
      </c>
      <c r="D489" s="2" t="s">
        <v>881</v>
      </c>
      <c r="F489" s="2" t="str">
        <f>LOOKUP(D489,Sheet3!A$1:A$32,Sheet3!B$1:B$32)</f>
        <v>NED</v>
      </c>
      <c r="G489" s="2" t="s">
        <v>2825</v>
      </c>
      <c r="H489" s="2" t="s">
        <v>66</v>
      </c>
      <c r="I489" s="2" t="str" cm="1">
        <f t="array" ref="I489">IFERROR(playerPoints($H489,$F489,$G489,I$1),"")</f>
        <v/>
      </c>
      <c r="J489" s="2" t="str" cm="1">
        <f t="array" ref="J489">IFERROR(playerPoints($H489,$F489,$G489,J$1),"")</f>
        <v/>
      </c>
      <c r="K489" s="2" t="str" cm="1">
        <f t="array" ref="K489">IFERROR(playerPoints($H489,$F489,$G489,K$1),"")</f>
        <v/>
      </c>
      <c r="L489" s="2" t="str" cm="1">
        <f t="array" ref="L489">IFERROR(playerPoints($H489,$F489,$G489,L$1),"")</f>
        <v/>
      </c>
      <c r="M489" s="2" t="str" cm="1">
        <f t="array" ref="M489">IFERROR(playerPoints($H489,$F489,$G489,M$1),"")</f>
        <v/>
      </c>
      <c r="N489" s="2" t="str" cm="1">
        <f t="array" ref="N489">IFERROR(playerPoints($H489,$F489,$G489,N$1),"")</f>
        <v/>
      </c>
      <c r="O489" s="2" t="str" cm="1">
        <f t="array" ref="O489">IFERROR(playerPoints($H489,$F489,$G489,O$1),"")</f>
        <v/>
      </c>
      <c r="Q489" s="2">
        <f t="shared" si="7"/>
        <v>0</v>
      </c>
    </row>
    <row r="490" spans="1:17">
      <c r="A490" s="2">
        <v>489</v>
      </c>
      <c r="B490" s="2" t="s">
        <v>1847</v>
      </c>
      <c r="C490" s="2" t="s">
        <v>1848</v>
      </c>
      <c r="D490" s="2" t="s">
        <v>881</v>
      </c>
      <c r="F490" s="2" t="str">
        <f>LOOKUP(D490,Sheet3!A$1:A$32,Sheet3!B$1:B$32)</f>
        <v>NED</v>
      </c>
      <c r="G490" s="2" t="s">
        <v>927</v>
      </c>
      <c r="H490" s="2" t="s">
        <v>66</v>
      </c>
      <c r="I490" s="2" t="str" cm="1">
        <f t="array" ref="I490">IFERROR(playerPoints($H490,$F490,$G490,I$1),"")</f>
        <v/>
      </c>
      <c r="J490" s="2" t="str" cm="1">
        <f t="array" ref="J490">IFERROR(playerPoints($H490,$F490,$G490,J$1),"")</f>
        <v/>
      </c>
      <c r="K490" s="2" t="str" cm="1">
        <f t="array" ref="K490">IFERROR(playerPoints($H490,$F490,$G490,K$1),"")</f>
        <v/>
      </c>
      <c r="L490" s="2" t="str" cm="1">
        <f t="array" ref="L490">IFERROR(playerPoints($H490,$F490,$G490,L$1),"")</f>
        <v/>
      </c>
      <c r="M490" s="2" t="str" cm="1">
        <f t="array" ref="M490">IFERROR(playerPoints($H490,$F490,$G490,M$1),"")</f>
        <v/>
      </c>
      <c r="N490" s="2" t="str" cm="1">
        <f t="array" ref="N490">IFERROR(playerPoints($H490,$F490,$G490,N$1),"")</f>
        <v/>
      </c>
      <c r="O490" s="2" t="str" cm="1">
        <f t="array" ref="O490">IFERROR(playerPoints($H490,$F490,$G490,O$1),"")</f>
        <v/>
      </c>
      <c r="Q490" s="2">
        <f t="shared" si="7"/>
        <v>0</v>
      </c>
    </row>
    <row r="491" spans="1:17">
      <c r="A491" s="2">
        <v>490</v>
      </c>
      <c r="B491" s="2" t="s">
        <v>1849</v>
      </c>
      <c r="C491" s="2" t="s">
        <v>1841</v>
      </c>
      <c r="D491" s="2" t="s">
        <v>881</v>
      </c>
      <c r="F491" s="2" t="str">
        <f>LOOKUP(D491,Sheet3!A$1:A$32,Sheet3!B$1:B$32)</f>
        <v>NED</v>
      </c>
      <c r="G491" s="2" t="s">
        <v>2826</v>
      </c>
      <c r="H491" s="2" t="s">
        <v>66</v>
      </c>
      <c r="I491" s="2" t="str" cm="1">
        <f t="array" ref="I491">IFERROR(playerPoints($H491,$F491,$G491,I$1),"")</f>
        <v/>
      </c>
      <c r="J491" s="2" t="str" cm="1">
        <f t="array" ref="J491">IFERROR(playerPoints($H491,$F491,$G491,J$1),"")</f>
        <v/>
      </c>
      <c r="K491" s="2" t="str" cm="1">
        <f t="array" ref="K491">IFERROR(playerPoints($H491,$F491,$G491,K$1),"")</f>
        <v/>
      </c>
      <c r="L491" s="2" t="str" cm="1">
        <f t="array" ref="L491">IFERROR(playerPoints($H491,$F491,$G491,L$1),"")</f>
        <v/>
      </c>
      <c r="M491" s="2" t="str" cm="1">
        <f t="array" ref="M491">IFERROR(playerPoints($H491,$F491,$G491,M$1),"")</f>
        <v/>
      </c>
      <c r="N491" s="2" t="str" cm="1">
        <f t="array" ref="N491">IFERROR(playerPoints($H491,$F491,$G491,N$1),"")</f>
        <v/>
      </c>
      <c r="O491" s="2" t="str" cm="1">
        <f t="array" ref="O491">IFERROR(playerPoints($H491,$F491,$G491,O$1),"")</f>
        <v/>
      </c>
      <c r="Q491" s="2">
        <f t="shared" si="7"/>
        <v>0</v>
      </c>
    </row>
    <row r="492" spans="1:17">
      <c r="A492" s="2">
        <v>491</v>
      </c>
      <c r="B492" s="2" t="s">
        <v>1850</v>
      </c>
      <c r="C492" s="2" t="s">
        <v>1851</v>
      </c>
      <c r="D492" s="2" t="s">
        <v>881</v>
      </c>
      <c r="F492" s="2" t="str">
        <f>LOOKUP(D492,Sheet3!A$1:A$32,Sheet3!B$1:B$32)</f>
        <v>NED</v>
      </c>
      <c r="G492" s="2" t="s">
        <v>2827</v>
      </c>
      <c r="H492" s="2" t="s">
        <v>66</v>
      </c>
      <c r="I492" s="2" t="str" cm="1">
        <f t="array" ref="I492">IFERROR(playerPoints($H492,$F492,$G492,I$1),"")</f>
        <v/>
      </c>
      <c r="J492" s="2" t="str" cm="1">
        <f t="array" ref="J492">IFERROR(playerPoints($H492,$F492,$G492,J$1),"")</f>
        <v/>
      </c>
      <c r="K492" s="2" t="str" cm="1">
        <f t="array" ref="K492">IFERROR(playerPoints($H492,$F492,$G492,K$1),"")</f>
        <v/>
      </c>
      <c r="L492" s="2" t="str" cm="1">
        <f t="array" ref="L492">IFERROR(playerPoints($H492,$F492,$G492,L$1),"")</f>
        <v/>
      </c>
      <c r="M492" s="2" t="str" cm="1">
        <f t="array" ref="M492">IFERROR(playerPoints($H492,$F492,$G492,M$1),"")</f>
        <v/>
      </c>
      <c r="N492" s="2" t="str" cm="1">
        <f t="array" ref="N492">IFERROR(playerPoints($H492,$F492,$G492,N$1),"")</f>
        <v/>
      </c>
      <c r="O492" s="2" t="str" cm="1">
        <f t="array" ref="O492">IFERROR(playerPoints($H492,$F492,$G492,O$1),"")</f>
        <v/>
      </c>
      <c r="Q492" s="2">
        <f t="shared" si="7"/>
        <v>0</v>
      </c>
    </row>
    <row r="493" spans="1:17">
      <c r="A493" s="2">
        <v>492</v>
      </c>
      <c r="B493" s="2" t="s">
        <v>1239</v>
      </c>
      <c r="C493" s="2" t="s">
        <v>1852</v>
      </c>
      <c r="D493" s="2" t="s">
        <v>881</v>
      </c>
      <c r="F493" s="2" t="str">
        <f>LOOKUP(D493,Sheet3!A$1:A$32,Sheet3!B$1:B$32)</f>
        <v>NED</v>
      </c>
      <c r="G493" s="2" t="s">
        <v>2828</v>
      </c>
      <c r="H493" s="2" t="s">
        <v>66</v>
      </c>
      <c r="I493" s="2" t="str" cm="1">
        <f t="array" ref="I493">IFERROR(playerPoints($H493,$F493,$G493,I$1),"")</f>
        <v/>
      </c>
      <c r="J493" s="2" t="str" cm="1">
        <f t="array" ref="J493">IFERROR(playerPoints($H493,$F493,$G493,J$1),"")</f>
        <v/>
      </c>
      <c r="K493" s="2" t="str" cm="1">
        <f t="array" ref="K493">IFERROR(playerPoints($H493,$F493,$G493,K$1),"")</f>
        <v/>
      </c>
      <c r="L493" s="2" t="str" cm="1">
        <f t="array" ref="L493">IFERROR(playerPoints($H493,$F493,$G493,L$1),"")</f>
        <v/>
      </c>
      <c r="M493" s="2" t="str" cm="1">
        <f t="array" ref="M493">IFERROR(playerPoints($H493,$F493,$G493,M$1),"")</f>
        <v/>
      </c>
      <c r="N493" s="2" t="str" cm="1">
        <f t="array" ref="N493">IFERROR(playerPoints($H493,$F493,$G493,N$1),"")</f>
        <v/>
      </c>
      <c r="O493" s="2" t="str" cm="1">
        <f t="array" ref="O493">IFERROR(playerPoints($H493,$F493,$G493,O$1),"")</f>
        <v/>
      </c>
      <c r="Q493" s="2">
        <f t="shared" si="7"/>
        <v>0</v>
      </c>
    </row>
    <row r="494" spans="1:17">
      <c r="A494" s="2">
        <v>493</v>
      </c>
      <c r="B494" s="2" t="s">
        <v>1217</v>
      </c>
      <c r="C494" s="2" t="s">
        <v>1853</v>
      </c>
      <c r="D494" s="2" t="s">
        <v>881</v>
      </c>
      <c r="F494" s="2" t="str">
        <f>LOOKUP(D494,Sheet3!A$1:A$32,Sheet3!B$1:B$32)</f>
        <v>NED</v>
      </c>
      <c r="G494" s="2" t="s">
        <v>2829</v>
      </c>
      <c r="H494" s="2" t="s">
        <v>66</v>
      </c>
      <c r="I494" s="2" t="str" cm="1">
        <f t="array" ref="I494">IFERROR(playerPoints($H494,$F494,$G494,I$1),"")</f>
        <v/>
      </c>
      <c r="J494" s="2" t="str" cm="1">
        <f t="array" ref="J494">IFERROR(playerPoints($H494,$F494,$G494,J$1),"")</f>
        <v/>
      </c>
      <c r="K494" s="2" t="str" cm="1">
        <f t="array" ref="K494">IFERROR(playerPoints($H494,$F494,$G494,K$1),"")</f>
        <v/>
      </c>
      <c r="L494" s="2" t="str" cm="1">
        <f t="array" ref="L494">IFERROR(playerPoints($H494,$F494,$G494,L$1),"")</f>
        <v/>
      </c>
      <c r="M494" s="2" t="str" cm="1">
        <f t="array" ref="M494">IFERROR(playerPoints($H494,$F494,$G494,M$1),"")</f>
        <v/>
      </c>
      <c r="N494" s="2" t="str" cm="1">
        <f t="array" ref="N494">IFERROR(playerPoints($H494,$F494,$G494,N$1),"")</f>
        <v/>
      </c>
      <c r="O494" s="2" t="str" cm="1">
        <f t="array" ref="O494">IFERROR(playerPoints($H494,$F494,$G494,O$1),"")</f>
        <v/>
      </c>
      <c r="Q494" s="2">
        <f t="shared" si="7"/>
        <v>0</v>
      </c>
    </row>
    <row r="495" spans="1:17">
      <c r="A495" s="2">
        <v>494</v>
      </c>
      <c r="B495" s="2" t="s">
        <v>1121</v>
      </c>
      <c r="C495" s="2" t="s">
        <v>1854</v>
      </c>
      <c r="D495" s="2" t="s">
        <v>881</v>
      </c>
      <c r="F495" s="2" t="str">
        <f>LOOKUP(D495,Sheet3!A$1:A$32,Sheet3!B$1:B$32)</f>
        <v>NED</v>
      </c>
      <c r="G495" s="2" t="s">
        <v>2830</v>
      </c>
      <c r="H495" s="2" t="s">
        <v>66</v>
      </c>
      <c r="I495" s="2" t="str" cm="1">
        <f t="array" ref="I495">IFERROR(playerPoints($H495,$F495,$G495,I$1),"")</f>
        <v/>
      </c>
      <c r="J495" s="2" t="str" cm="1">
        <f t="array" ref="J495">IFERROR(playerPoints($H495,$F495,$G495,J$1),"")</f>
        <v/>
      </c>
      <c r="K495" s="2" t="str" cm="1">
        <f t="array" ref="K495">IFERROR(playerPoints($H495,$F495,$G495,K$1),"")</f>
        <v/>
      </c>
      <c r="L495" s="2" t="str" cm="1">
        <f t="array" ref="L495">IFERROR(playerPoints($H495,$F495,$G495,L$1),"")</f>
        <v/>
      </c>
      <c r="M495" s="2" t="str" cm="1">
        <f t="array" ref="M495">IFERROR(playerPoints($H495,$F495,$G495,M$1),"")</f>
        <v/>
      </c>
      <c r="N495" s="2" t="str" cm="1">
        <f t="array" ref="N495">IFERROR(playerPoints($H495,$F495,$G495,N$1),"")</f>
        <v/>
      </c>
      <c r="O495" s="2" t="str" cm="1">
        <f t="array" ref="O495">IFERROR(playerPoints($H495,$F495,$G495,O$1),"")</f>
        <v/>
      </c>
      <c r="Q495" s="2">
        <f t="shared" si="7"/>
        <v>0</v>
      </c>
    </row>
    <row r="496" spans="1:17">
      <c r="A496" s="2">
        <v>495</v>
      </c>
      <c r="B496" s="2" t="s">
        <v>1855</v>
      </c>
      <c r="C496" s="2" t="s">
        <v>1856</v>
      </c>
      <c r="D496" s="2" t="s">
        <v>882</v>
      </c>
      <c r="F496" s="2" t="str">
        <f>LOOKUP(D496,Sheet3!A$1:A$32,Sheet3!B$1:B$32)</f>
        <v>POL</v>
      </c>
      <c r="G496" s="2" t="s">
        <v>2831</v>
      </c>
      <c r="H496" s="2" t="s">
        <v>44</v>
      </c>
      <c r="I496" s="2" t="str" cm="1">
        <f t="array" ref="I496">IFERROR(playerPoints($H496,$F496,$G496,I$1),"")</f>
        <v/>
      </c>
      <c r="J496" s="2" t="str" cm="1">
        <f t="array" ref="J496">IFERROR(playerPoints($H496,$F496,$G496,J$1),"")</f>
        <v/>
      </c>
      <c r="K496" s="2" t="str" cm="1">
        <f t="array" ref="K496">IFERROR(playerPoints($H496,$F496,$G496,K$1),"")</f>
        <v/>
      </c>
      <c r="L496" s="2" t="str" cm="1">
        <f t="array" ref="L496">IFERROR(playerPoints($H496,$F496,$G496,L$1),"")</f>
        <v/>
      </c>
      <c r="M496" s="2" t="str" cm="1">
        <f t="array" ref="M496">IFERROR(playerPoints($H496,$F496,$G496,M$1),"")</f>
        <v/>
      </c>
      <c r="N496" s="2" t="str" cm="1">
        <f t="array" ref="N496">IFERROR(playerPoints($H496,$F496,$G496,N$1),"")</f>
        <v/>
      </c>
      <c r="O496" s="2" t="str" cm="1">
        <f t="array" ref="O496">IFERROR(playerPoints($H496,$F496,$G496,O$1),"")</f>
        <v/>
      </c>
      <c r="Q496" s="2">
        <f t="shared" si="7"/>
        <v>0</v>
      </c>
    </row>
    <row r="497" spans="1:17">
      <c r="A497" s="2">
        <v>496</v>
      </c>
      <c r="B497" s="2" t="s">
        <v>1857</v>
      </c>
      <c r="C497" s="2" t="s">
        <v>1858</v>
      </c>
      <c r="D497" s="2" t="s">
        <v>882</v>
      </c>
      <c r="F497" s="2" t="str">
        <f>LOOKUP(D497,Sheet3!A$1:A$32,Sheet3!B$1:B$32)</f>
        <v>POL</v>
      </c>
      <c r="G497" s="2" t="s">
        <v>2832</v>
      </c>
      <c r="H497" s="2" t="s">
        <v>44</v>
      </c>
      <c r="I497" s="2" t="str" cm="1">
        <f t="array" ref="I497">IFERROR(playerPoints($H497,$F497,$G497,I$1),"")</f>
        <v/>
      </c>
      <c r="J497" s="2" t="str" cm="1">
        <f t="array" ref="J497">IFERROR(playerPoints($H497,$F497,$G497,J$1),"")</f>
        <v/>
      </c>
      <c r="K497" s="2" t="str" cm="1">
        <f t="array" ref="K497">IFERROR(playerPoints($H497,$F497,$G497,K$1),"")</f>
        <v/>
      </c>
      <c r="L497" s="2" t="str" cm="1">
        <f t="array" ref="L497">IFERROR(playerPoints($H497,$F497,$G497,L$1),"")</f>
        <v/>
      </c>
      <c r="M497" s="2" t="str" cm="1">
        <f t="array" ref="M497">IFERROR(playerPoints($H497,$F497,$G497,M$1),"")</f>
        <v/>
      </c>
      <c r="N497" s="2" t="str" cm="1">
        <f t="array" ref="N497">IFERROR(playerPoints($H497,$F497,$G497,N$1),"")</f>
        <v/>
      </c>
      <c r="O497" s="2" t="str" cm="1">
        <f t="array" ref="O497">IFERROR(playerPoints($H497,$F497,$G497,O$1),"")</f>
        <v/>
      </c>
      <c r="Q497" s="2">
        <f t="shared" si="7"/>
        <v>0</v>
      </c>
    </row>
    <row r="498" spans="1:17">
      <c r="A498" s="2">
        <v>497</v>
      </c>
      <c r="B498" s="2" t="s">
        <v>1859</v>
      </c>
      <c r="C498" s="2" t="s">
        <v>1860</v>
      </c>
      <c r="D498" s="2" t="s">
        <v>882</v>
      </c>
      <c r="F498" s="2" t="str">
        <f>LOOKUP(D498,Sheet3!A$1:A$32,Sheet3!B$1:B$32)</f>
        <v>POL</v>
      </c>
      <c r="G498" s="2" t="s">
        <v>2833</v>
      </c>
      <c r="H498" s="2" t="s">
        <v>44</v>
      </c>
      <c r="I498" s="2" t="str" cm="1">
        <f t="array" ref="I498">IFERROR(playerPoints($H498,$F498,$G498,I$1),"")</f>
        <v/>
      </c>
      <c r="J498" s="2" t="str" cm="1">
        <f t="array" ref="J498">IFERROR(playerPoints($H498,$F498,$G498,J$1),"")</f>
        <v/>
      </c>
      <c r="K498" s="2" t="str" cm="1">
        <f t="array" ref="K498">IFERROR(playerPoints($H498,$F498,$G498,K$1),"")</f>
        <v/>
      </c>
      <c r="L498" s="2" t="str" cm="1">
        <f t="array" ref="L498">IFERROR(playerPoints($H498,$F498,$G498,L$1),"")</f>
        <v/>
      </c>
      <c r="M498" s="2" t="str" cm="1">
        <f t="array" ref="M498">IFERROR(playerPoints($H498,$F498,$G498,M$1),"")</f>
        <v/>
      </c>
      <c r="N498" s="2" t="str" cm="1">
        <f t="array" ref="N498">IFERROR(playerPoints($H498,$F498,$G498,N$1),"")</f>
        <v/>
      </c>
      <c r="O498" s="2" t="str" cm="1">
        <f t="array" ref="O498">IFERROR(playerPoints($H498,$F498,$G498,O$1),"")</f>
        <v/>
      </c>
      <c r="Q498" s="2">
        <f t="shared" si="7"/>
        <v>0</v>
      </c>
    </row>
    <row r="499" spans="1:17">
      <c r="A499" s="2">
        <v>498</v>
      </c>
      <c r="B499" s="2" t="s">
        <v>1861</v>
      </c>
      <c r="C499" s="2" t="s">
        <v>1862</v>
      </c>
      <c r="D499" s="2" t="s">
        <v>882</v>
      </c>
      <c r="F499" s="2" t="str">
        <f>LOOKUP(D499,Sheet3!A$1:A$32,Sheet3!B$1:B$32)</f>
        <v>POL</v>
      </c>
      <c r="G499" s="2" t="s">
        <v>2834</v>
      </c>
      <c r="H499" s="2" t="s">
        <v>48</v>
      </c>
      <c r="I499" s="2" t="str" cm="1">
        <f t="array" ref="I499">IFERROR(playerPoints($H499,$F499,$G499,I$1),"")</f>
        <v/>
      </c>
      <c r="J499" s="2" t="str" cm="1">
        <f t="array" ref="J499">IFERROR(playerPoints($H499,$F499,$G499,J$1),"")</f>
        <v/>
      </c>
      <c r="K499" s="2" t="str" cm="1">
        <f t="array" ref="K499">IFERROR(playerPoints($H499,$F499,$G499,K$1),"")</f>
        <v/>
      </c>
      <c r="L499" s="2" t="str" cm="1">
        <f t="array" ref="L499">IFERROR(playerPoints($H499,$F499,$G499,L$1),"")</f>
        <v/>
      </c>
      <c r="M499" s="2" t="str" cm="1">
        <f t="array" ref="M499">IFERROR(playerPoints($H499,$F499,$G499,M$1),"")</f>
        <v/>
      </c>
      <c r="N499" s="2" t="str" cm="1">
        <f t="array" ref="N499">IFERROR(playerPoints($H499,$F499,$G499,N$1),"")</f>
        <v/>
      </c>
      <c r="O499" s="2" t="str" cm="1">
        <f t="array" ref="O499">IFERROR(playerPoints($H499,$F499,$G499,O$1),"")</f>
        <v/>
      </c>
      <c r="Q499" s="2">
        <f t="shared" si="7"/>
        <v>0</v>
      </c>
    </row>
    <row r="500" spans="1:17">
      <c r="A500" s="2">
        <v>499</v>
      </c>
      <c r="B500" s="2" t="s">
        <v>1863</v>
      </c>
      <c r="C500" s="2" t="s">
        <v>1864</v>
      </c>
      <c r="D500" s="2" t="s">
        <v>882</v>
      </c>
      <c r="F500" s="2" t="str">
        <f>LOOKUP(D500,Sheet3!A$1:A$32,Sheet3!B$1:B$32)</f>
        <v>POL</v>
      </c>
      <c r="G500" s="2" t="s">
        <v>2835</v>
      </c>
      <c r="H500" s="2" t="s">
        <v>48</v>
      </c>
      <c r="I500" s="2" t="str" cm="1">
        <f t="array" ref="I500">IFERROR(playerPoints($H500,$F500,$G500,I$1),"")</f>
        <v/>
      </c>
      <c r="J500" s="2" t="str" cm="1">
        <f t="array" ref="J500">IFERROR(playerPoints($H500,$F500,$G500,J$1),"")</f>
        <v/>
      </c>
      <c r="K500" s="2" t="str" cm="1">
        <f t="array" ref="K500">IFERROR(playerPoints($H500,$F500,$G500,K$1),"")</f>
        <v/>
      </c>
      <c r="L500" s="2" t="str" cm="1">
        <f t="array" ref="L500">IFERROR(playerPoints($H500,$F500,$G500,L$1),"")</f>
        <v/>
      </c>
      <c r="M500" s="2" t="str" cm="1">
        <f t="array" ref="M500">IFERROR(playerPoints($H500,$F500,$G500,M$1),"")</f>
        <v/>
      </c>
      <c r="N500" s="2" t="str" cm="1">
        <f t="array" ref="N500">IFERROR(playerPoints($H500,$F500,$G500,N$1),"")</f>
        <v/>
      </c>
      <c r="O500" s="2" t="str" cm="1">
        <f t="array" ref="O500">IFERROR(playerPoints($H500,$F500,$G500,O$1),"")</f>
        <v/>
      </c>
      <c r="Q500" s="2">
        <f t="shared" si="7"/>
        <v>0</v>
      </c>
    </row>
    <row r="501" spans="1:17">
      <c r="A501" s="2">
        <v>500</v>
      </c>
      <c r="B501" s="2" t="s">
        <v>1865</v>
      </c>
      <c r="C501" s="2" t="s">
        <v>1866</v>
      </c>
      <c r="D501" s="2" t="s">
        <v>882</v>
      </c>
      <c r="F501" s="2" t="str">
        <f>LOOKUP(D501,Sheet3!A$1:A$32,Sheet3!B$1:B$32)</f>
        <v>POL</v>
      </c>
      <c r="G501" s="2" t="s">
        <v>2836</v>
      </c>
      <c r="H501" s="2" t="s">
        <v>48</v>
      </c>
      <c r="I501" s="2" t="str" cm="1">
        <f t="array" ref="I501">IFERROR(playerPoints($H501,$F501,$G501,I$1),"")</f>
        <v/>
      </c>
      <c r="J501" s="2" t="str" cm="1">
        <f t="array" ref="J501">IFERROR(playerPoints($H501,$F501,$G501,J$1),"")</f>
        <v/>
      </c>
      <c r="K501" s="2" t="str" cm="1">
        <f t="array" ref="K501">IFERROR(playerPoints($H501,$F501,$G501,K$1),"")</f>
        <v/>
      </c>
      <c r="L501" s="2" t="str" cm="1">
        <f t="array" ref="L501">IFERROR(playerPoints($H501,$F501,$G501,L$1),"")</f>
        <v/>
      </c>
      <c r="M501" s="2" t="str" cm="1">
        <f t="array" ref="M501">IFERROR(playerPoints($H501,$F501,$G501,M$1),"")</f>
        <v/>
      </c>
      <c r="N501" s="2" t="str" cm="1">
        <f t="array" ref="N501">IFERROR(playerPoints($H501,$F501,$G501,N$1),"")</f>
        <v/>
      </c>
      <c r="O501" s="2" t="str" cm="1">
        <f t="array" ref="O501">IFERROR(playerPoints($H501,$F501,$G501,O$1),"")</f>
        <v/>
      </c>
      <c r="Q501" s="2">
        <f t="shared" si="7"/>
        <v>0</v>
      </c>
    </row>
    <row r="502" spans="1:17">
      <c r="A502" s="2">
        <v>501</v>
      </c>
      <c r="B502" s="2" t="s">
        <v>1123</v>
      </c>
      <c r="C502" s="2" t="s">
        <v>1867</v>
      </c>
      <c r="D502" s="2" t="s">
        <v>882</v>
      </c>
      <c r="F502" s="2" t="str">
        <f>LOOKUP(D502,Sheet3!A$1:A$32,Sheet3!B$1:B$32)</f>
        <v>POL</v>
      </c>
      <c r="G502" s="2" t="s">
        <v>2837</v>
      </c>
      <c r="H502" s="2" t="s">
        <v>48</v>
      </c>
      <c r="I502" s="2" t="str" cm="1">
        <f t="array" ref="I502">IFERROR(playerPoints($H502,$F502,$G502,I$1),"")</f>
        <v/>
      </c>
      <c r="J502" s="2" t="str" cm="1">
        <f t="array" ref="J502">IFERROR(playerPoints($H502,$F502,$G502,J$1),"")</f>
        <v/>
      </c>
      <c r="K502" s="2" t="str" cm="1">
        <f t="array" ref="K502">IFERROR(playerPoints($H502,$F502,$G502,K$1),"")</f>
        <v/>
      </c>
      <c r="L502" s="2" t="str" cm="1">
        <f t="array" ref="L502">IFERROR(playerPoints($H502,$F502,$G502,L$1),"")</f>
        <v/>
      </c>
      <c r="M502" s="2" t="str" cm="1">
        <f t="array" ref="M502">IFERROR(playerPoints($H502,$F502,$G502,M$1),"")</f>
        <v/>
      </c>
      <c r="N502" s="2" t="str" cm="1">
        <f t="array" ref="N502">IFERROR(playerPoints($H502,$F502,$G502,N$1),"")</f>
        <v/>
      </c>
      <c r="O502" s="2" t="str" cm="1">
        <f t="array" ref="O502">IFERROR(playerPoints($H502,$F502,$G502,O$1),"")</f>
        <v/>
      </c>
      <c r="Q502" s="2">
        <f t="shared" si="7"/>
        <v>0</v>
      </c>
    </row>
    <row r="503" spans="1:17">
      <c r="A503" s="2">
        <v>502</v>
      </c>
      <c r="B503" s="2" t="s">
        <v>1868</v>
      </c>
      <c r="C503" s="2" t="s">
        <v>1869</v>
      </c>
      <c r="D503" s="2" t="s">
        <v>882</v>
      </c>
      <c r="F503" s="2" t="str">
        <f>LOOKUP(D503,Sheet3!A$1:A$32,Sheet3!B$1:B$32)</f>
        <v>POL</v>
      </c>
      <c r="G503" s="2" t="s">
        <v>2838</v>
      </c>
      <c r="H503" s="2" t="s">
        <v>48</v>
      </c>
      <c r="I503" s="2" t="str" cm="1">
        <f t="array" ref="I503">IFERROR(playerPoints($H503,$F503,$G503,I$1),"")</f>
        <v/>
      </c>
      <c r="J503" s="2" t="str" cm="1">
        <f t="array" ref="J503">IFERROR(playerPoints($H503,$F503,$G503,J$1),"")</f>
        <v/>
      </c>
      <c r="K503" s="2" t="str" cm="1">
        <f t="array" ref="K503">IFERROR(playerPoints($H503,$F503,$G503,K$1),"")</f>
        <v/>
      </c>
      <c r="L503" s="2" t="str" cm="1">
        <f t="array" ref="L503">IFERROR(playerPoints($H503,$F503,$G503,L$1),"")</f>
        <v/>
      </c>
      <c r="M503" s="2" t="str" cm="1">
        <f t="array" ref="M503">IFERROR(playerPoints($H503,$F503,$G503,M$1),"")</f>
        <v/>
      </c>
      <c r="N503" s="2" t="str" cm="1">
        <f t="array" ref="N503">IFERROR(playerPoints($H503,$F503,$G503,N$1),"")</f>
        <v/>
      </c>
      <c r="O503" s="2" t="str" cm="1">
        <f t="array" ref="O503">IFERROR(playerPoints($H503,$F503,$G503,O$1),"")</f>
        <v/>
      </c>
      <c r="Q503" s="2">
        <f t="shared" si="7"/>
        <v>0</v>
      </c>
    </row>
    <row r="504" spans="1:17">
      <c r="A504" s="2">
        <v>503</v>
      </c>
      <c r="B504" s="2" t="s">
        <v>1859</v>
      </c>
      <c r="C504" s="2" t="s">
        <v>1870</v>
      </c>
      <c r="D504" s="2" t="s">
        <v>882</v>
      </c>
      <c r="F504" s="2" t="str">
        <f>LOOKUP(D504,Sheet3!A$1:A$32,Sheet3!B$1:B$32)</f>
        <v>POL</v>
      </c>
      <c r="G504" s="2" t="s">
        <v>2839</v>
      </c>
      <c r="H504" s="2" t="s">
        <v>48</v>
      </c>
      <c r="I504" s="2" t="str" cm="1">
        <f t="array" ref="I504">IFERROR(playerPoints($H504,$F504,$G504,I$1),"")</f>
        <v/>
      </c>
      <c r="J504" s="2" t="str" cm="1">
        <f t="array" ref="J504">IFERROR(playerPoints($H504,$F504,$G504,J$1),"")</f>
        <v/>
      </c>
      <c r="K504" s="2" t="str" cm="1">
        <f t="array" ref="K504">IFERROR(playerPoints($H504,$F504,$G504,K$1),"")</f>
        <v/>
      </c>
      <c r="L504" s="2" t="str" cm="1">
        <f t="array" ref="L504">IFERROR(playerPoints($H504,$F504,$G504,L$1),"")</f>
        <v/>
      </c>
      <c r="M504" s="2" t="str" cm="1">
        <f t="array" ref="M504">IFERROR(playerPoints($H504,$F504,$G504,M$1),"")</f>
        <v/>
      </c>
      <c r="N504" s="2" t="str" cm="1">
        <f t="array" ref="N504">IFERROR(playerPoints($H504,$F504,$G504,N$1),"")</f>
        <v/>
      </c>
      <c r="O504" s="2" t="str" cm="1">
        <f t="array" ref="O504">IFERROR(playerPoints($H504,$F504,$G504,O$1),"")</f>
        <v/>
      </c>
      <c r="Q504" s="2">
        <f t="shared" si="7"/>
        <v>0</v>
      </c>
    </row>
    <row r="505" spans="1:17">
      <c r="A505" s="2">
        <v>504</v>
      </c>
      <c r="B505" s="2" t="s">
        <v>1871</v>
      </c>
      <c r="C505" s="2" t="s">
        <v>1872</v>
      </c>
      <c r="D505" s="2" t="s">
        <v>882</v>
      </c>
      <c r="F505" s="2" t="str">
        <f>LOOKUP(D505,Sheet3!A$1:A$32,Sheet3!B$1:B$32)</f>
        <v>POL</v>
      </c>
      <c r="G505" s="2" t="s">
        <v>2840</v>
      </c>
      <c r="H505" s="2" t="s">
        <v>48</v>
      </c>
      <c r="I505" s="2" t="str" cm="1">
        <f t="array" ref="I505">IFERROR(playerPoints($H505,$F505,$G505,I$1),"")</f>
        <v/>
      </c>
      <c r="J505" s="2" t="str" cm="1">
        <f t="array" ref="J505">IFERROR(playerPoints($H505,$F505,$G505,J$1),"")</f>
        <v/>
      </c>
      <c r="K505" s="2" t="str" cm="1">
        <f t="array" ref="K505">IFERROR(playerPoints($H505,$F505,$G505,K$1),"")</f>
        <v/>
      </c>
      <c r="L505" s="2" t="str" cm="1">
        <f t="array" ref="L505">IFERROR(playerPoints($H505,$F505,$G505,L$1),"")</f>
        <v/>
      </c>
      <c r="M505" s="2" t="str" cm="1">
        <f t="array" ref="M505">IFERROR(playerPoints($H505,$F505,$G505,M$1),"")</f>
        <v/>
      </c>
      <c r="N505" s="2" t="str" cm="1">
        <f t="array" ref="N505">IFERROR(playerPoints($H505,$F505,$G505,N$1),"")</f>
        <v/>
      </c>
      <c r="O505" s="2" t="str" cm="1">
        <f t="array" ref="O505">IFERROR(playerPoints($H505,$F505,$G505,O$1),"")</f>
        <v/>
      </c>
      <c r="Q505" s="2">
        <f t="shared" si="7"/>
        <v>0</v>
      </c>
    </row>
    <row r="506" spans="1:17">
      <c r="A506" s="2">
        <v>505</v>
      </c>
      <c r="B506" s="2" t="s">
        <v>1405</v>
      </c>
      <c r="C506" s="2" t="s">
        <v>1873</v>
      </c>
      <c r="D506" s="2" t="s">
        <v>882</v>
      </c>
      <c r="F506" s="2" t="str">
        <f>LOOKUP(D506,Sheet3!A$1:A$32,Sheet3!B$1:B$32)</f>
        <v>POL</v>
      </c>
      <c r="G506" s="2" t="s">
        <v>2841</v>
      </c>
      <c r="H506" s="2" t="s">
        <v>48</v>
      </c>
      <c r="I506" s="2" t="str" cm="1">
        <f t="array" ref="I506">IFERROR(playerPoints($H506,$F506,$G506,I$1),"")</f>
        <v/>
      </c>
      <c r="J506" s="2" t="str" cm="1">
        <f t="array" ref="J506">IFERROR(playerPoints($H506,$F506,$G506,J$1),"")</f>
        <v/>
      </c>
      <c r="K506" s="2" t="str" cm="1">
        <f t="array" ref="K506">IFERROR(playerPoints($H506,$F506,$G506,K$1),"")</f>
        <v/>
      </c>
      <c r="L506" s="2" t="str" cm="1">
        <f t="array" ref="L506">IFERROR(playerPoints($H506,$F506,$G506,L$1),"")</f>
        <v/>
      </c>
      <c r="M506" s="2" t="str" cm="1">
        <f t="array" ref="M506">IFERROR(playerPoints($H506,$F506,$G506,M$1),"")</f>
        <v/>
      </c>
      <c r="N506" s="2" t="str" cm="1">
        <f t="array" ref="N506">IFERROR(playerPoints($H506,$F506,$G506,N$1),"")</f>
        <v/>
      </c>
      <c r="O506" s="2" t="str" cm="1">
        <f t="array" ref="O506">IFERROR(playerPoints($H506,$F506,$G506,O$1),"")</f>
        <v/>
      </c>
      <c r="Q506" s="2">
        <f t="shared" si="7"/>
        <v>0</v>
      </c>
    </row>
    <row r="507" spans="1:17">
      <c r="A507" s="2">
        <v>506</v>
      </c>
      <c r="B507" s="2" t="s">
        <v>1874</v>
      </c>
      <c r="C507" s="2" t="s">
        <v>1875</v>
      </c>
      <c r="D507" s="2" t="s">
        <v>882</v>
      </c>
      <c r="F507" s="2" t="str">
        <f>LOOKUP(D507,Sheet3!A$1:A$32,Sheet3!B$1:B$32)</f>
        <v>POL</v>
      </c>
      <c r="G507" s="2" t="s">
        <v>2842</v>
      </c>
      <c r="H507" s="2" t="s">
        <v>57</v>
      </c>
      <c r="I507" s="2" t="str" cm="1">
        <f t="array" ref="I507">IFERROR(playerPoints($H507,$F507,$G507,I$1),"")</f>
        <v/>
      </c>
      <c r="J507" s="2" t="str" cm="1">
        <f t="array" ref="J507">IFERROR(playerPoints($H507,$F507,$G507,J$1),"")</f>
        <v/>
      </c>
      <c r="K507" s="2" t="str" cm="1">
        <f t="array" ref="K507">IFERROR(playerPoints($H507,$F507,$G507,K$1),"")</f>
        <v/>
      </c>
      <c r="L507" s="2" t="str" cm="1">
        <f t="array" ref="L507">IFERROR(playerPoints($H507,$F507,$G507,L$1),"")</f>
        <v/>
      </c>
      <c r="M507" s="2" t="str" cm="1">
        <f t="array" ref="M507">IFERROR(playerPoints($H507,$F507,$G507,M$1),"")</f>
        <v/>
      </c>
      <c r="N507" s="2" t="str" cm="1">
        <f t="array" ref="N507">IFERROR(playerPoints($H507,$F507,$G507,N$1),"")</f>
        <v/>
      </c>
      <c r="O507" s="2" t="str" cm="1">
        <f t="array" ref="O507">IFERROR(playerPoints($H507,$F507,$G507,O$1),"")</f>
        <v/>
      </c>
      <c r="Q507" s="2">
        <f t="shared" si="7"/>
        <v>0</v>
      </c>
    </row>
    <row r="508" spans="1:17">
      <c r="A508" s="2">
        <v>507</v>
      </c>
      <c r="B508" s="2" t="s">
        <v>1876</v>
      </c>
      <c r="C508" s="2" t="s">
        <v>1877</v>
      </c>
      <c r="D508" s="2" t="s">
        <v>882</v>
      </c>
      <c r="F508" s="2" t="str">
        <f>LOOKUP(D508,Sheet3!A$1:A$32,Sheet3!B$1:B$32)</f>
        <v>POL</v>
      </c>
      <c r="G508" s="2" t="s">
        <v>2843</v>
      </c>
      <c r="H508" s="2" t="s">
        <v>57</v>
      </c>
      <c r="I508" s="2" t="str" cm="1">
        <f t="array" ref="I508">IFERROR(playerPoints($H508,$F508,$G508,I$1),"")</f>
        <v/>
      </c>
      <c r="J508" s="2" t="str" cm="1">
        <f t="array" ref="J508">IFERROR(playerPoints($H508,$F508,$G508,J$1),"")</f>
        <v/>
      </c>
      <c r="K508" s="2" t="str" cm="1">
        <f t="array" ref="K508">IFERROR(playerPoints($H508,$F508,$G508,K$1),"")</f>
        <v/>
      </c>
      <c r="L508" s="2" t="str" cm="1">
        <f t="array" ref="L508">IFERROR(playerPoints($H508,$F508,$G508,L$1),"")</f>
        <v/>
      </c>
      <c r="M508" s="2" t="str" cm="1">
        <f t="array" ref="M508">IFERROR(playerPoints($H508,$F508,$G508,M$1),"")</f>
        <v/>
      </c>
      <c r="N508" s="2" t="str" cm="1">
        <f t="array" ref="N508">IFERROR(playerPoints($H508,$F508,$G508,N$1),"")</f>
        <v/>
      </c>
      <c r="O508" s="2" t="str" cm="1">
        <f t="array" ref="O508">IFERROR(playerPoints($H508,$F508,$G508,O$1),"")</f>
        <v/>
      </c>
      <c r="Q508" s="2">
        <f t="shared" si="7"/>
        <v>0</v>
      </c>
    </row>
    <row r="509" spans="1:17">
      <c r="A509" s="2">
        <v>508</v>
      </c>
      <c r="B509" s="2" t="s">
        <v>1878</v>
      </c>
      <c r="C509" s="2" t="s">
        <v>1879</v>
      </c>
      <c r="D509" s="2" t="s">
        <v>882</v>
      </c>
      <c r="F509" s="2" t="str">
        <f>LOOKUP(D509,Sheet3!A$1:A$32,Sheet3!B$1:B$32)</f>
        <v>POL</v>
      </c>
      <c r="G509" s="2" t="s">
        <v>2844</v>
      </c>
      <c r="H509" s="2" t="s">
        <v>57</v>
      </c>
      <c r="I509" s="2" t="str" cm="1">
        <f t="array" ref="I509">IFERROR(playerPoints($H509,$F509,$G509,I$1),"")</f>
        <v/>
      </c>
      <c r="J509" s="2" t="str" cm="1">
        <f t="array" ref="J509">IFERROR(playerPoints($H509,$F509,$G509,J$1),"")</f>
        <v/>
      </c>
      <c r="K509" s="2" t="str" cm="1">
        <f t="array" ref="K509">IFERROR(playerPoints($H509,$F509,$G509,K$1),"")</f>
        <v/>
      </c>
      <c r="L509" s="2" t="str" cm="1">
        <f t="array" ref="L509">IFERROR(playerPoints($H509,$F509,$G509,L$1),"")</f>
        <v/>
      </c>
      <c r="M509" s="2" t="str" cm="1">
        <f t="array" ref="M509">IFERROR(playerPoints($H509,$F509,$G509,M$1),"")</f>
        <v/>
      </c>
      <c r="N509" s="2" t="str" cm="1">
        <f t="array" ref="N509">IFERROR(playerPoints($H509,$F509,$G509,N$1),"")</f>
        <v/>
      </c>
      <c r="O509" s="2" t="str" cm="1">
        <f t="array" ref="O509">IFERROR(playerPoints($H509,$F509,$G509,O$1),"")</f>
        <v/>
      </c>
      <c r="Q509" s="2">
        <f t="shared" si="7"/>
        <v>0</v>
      </c>
    </row>
    <row r="510" spans="1:17">
      <c r="A510" s="2">
        <v>509</v>
      </c>
      <c r="B510" s="2" t="s">
        <v>1859</v>
      </c>
      <c r="C510" s="2" t="s">
        <v>1880</v>
      </c>
      <c r="D510" s="2" t="s">
        <v>882</v>
      </c>
      <c r="F510" s="2" t="str">
        <f>LOOKUP(D510,Sheet3!A$1:A$32,Sheet3!B$1:B$32)</f>
        <v>POL</v>
      </c>
      <c r="G510" s="2" t="s">
        <v>2845</v>
      </c>
      <c r="H510" s="2" t="s">
        <v>57</v>
      </c>
      <c r="I510" s="2" t="str" cm="1">
        <f t="array" ref="I510">IFERROR(playerPoints($H510,$F510,$G510,I$1),"")</f>
        <v/>
      </c>
      <c r="J510" s="2" t="str" cm="1">
        <f t="array" ref="J510">IFERROR(playerPoints($H510,$F510,$G510,J$1),"")</f>
        <v/>
      </c>
      <c r="K510" s="2" t="str" cm="1">
        <f t="array" ref="K510">IFERROR(playerPoints($H510,$F510,$G510,K$1),"")</f>
        <v/>
      </c>
      <c r="L510" s="2" t="str" cm="1">
        <f t="array" ref="L510">IFERROR(playerPoints($H510,$F510,$G510,L$1),"")</f>
        <v/>
      </c>
      <c r="M510" s="2" t="str" cm="1">
        <f t="array" ref="M510">IFERROR(playerPoints($H510,$F510,$G510,M$1),"")</f>
        <v/>
      </c>
      <c r="N510" s="2" t="str" cm="1">
        <f t="array" ref="N510">IFERROR(playerPoints($H510,$F510,$G510,N$1),"")</f>
        <v/>
      </c>
      <c r="O510" s="2" t="str" cm="1">
        <f t="array" ref="O510">IFERROR(playerPoints($H510,$F510,$G510,O$1),"")</f>
        <v/>
      </c>
      <c r="Q510" s="2">
        <f t="shared" si="7"/>
        <v>0</v>
      </c>
    </row>
    <row r="511" spans="1:17">
      <c r="A511" s="2">
        <v>510</v>
      </c>
      <c r="B511" s="2" t="s">
        <v>1868</v>
      </c>
      <c r="C511" s="2" t="s">
        <v>1881</v>
      </c>
      <c r="D511" s="2" t="s">
        <v>882</v>
      </c>
      <c r="F511" s="2" t="str">
        <f>LOOKUP(D511,Sheet3!A$1:A$32,Sheet3!B$1:B$32)</f>
        <v>POL</v>
      </c>
      <c r="G511" s="2" t="s">
        <v>2846</v>
      </c>
      <c r="H511" s="2" t="s">
        <v>57</v>
      </c>
      <c r="I511" s="2" t="str" cm="1">
        <f t="array" ref="I511">IFERROR(playerPoints($H511,$F511,$G511,I$1),"")</f>
        <v/>
      </c>
      <c r="J511" s="2" t="str" cm="1">
        <f t="array" ref="J511">IFERROR(playerPoints($H511,$F511,$G511,J$1),"")</f>
        <v/>
      </c>
      <c r="K511" s="2" t="str" cm="1">
        <f t="array" ref="K511">IFERROR(playerPoints($H511,$F511,$G511,K$1),"")</f>
        <v/>
      </c>
      <c r="L511" s="2" t="str" cm="1">
        <f t="array" ref="L511">IFERROR(playerPoints($H511,$F511,$G511,L$1),"")</f>
        <v/>
      </c>
      <c r="M511" s="2" t="str" cm="1">
        <f t="array" ref="M511">IFERROR(playerPoints($H511,$F511,$G511,M$1),"")</f>
        <v/>
      </c>
      <c r="N511" s="2" t="str" cm="1">
        <f t="array" ref="N511">IFERROR(playerPoints($H511,$F511,$G511,N$1),"")</f>
        <v/>
      </c>
      <c r="O511" s="2" t="str" cm="1">
        <f t="array" ref="O511">IFERROR(playerPoints($H511,$F511,$G511,O$1),"")</f>
        <v/>
      </c>
      <c r="Q511" s="2">
        <f t="shared" si="7"/>
        <v>0</v>
      </c>
    </row>
    <row r="512" spans="1:17">
      <c r="A512" s="2">
        <v>511</v>
      </c>
      <c r="B512" s="2" t="s">
        <v>1882</v>
      </c>
      <c r="C512" s="2" t="s">
        <v>1883</v>
      </c>
      <c r="D512" s="2" t="s">
        <v>882</v>
      </c>
      <c r="F512" s="2" t="str">
        <f>LOOKUP(D512,Sheet3!A$1:A$32,Sheet3!B$1:B$32)</f>
        <v>POL</v>
      </c>
      <c r="G512" s="2" t="s">
        <v>2847</v>
      </c>
      <c r="H512" s="2" t="s">
        <v>57</v>
      </c>
      <c r="I512" s="2" t="str" cm="1">
        <f t="array" ref="I512">IFERROR(playerPoints($H512,$F512,$G512,I$1),"")</f>
        <v/>
      </c>
      <c r="J512" s="2" t="str" cm="1">
        <f t="array" ref="J512">IFERROR(playerPoints($H512,$F512,$G512,J$1),"")</f>
        <v/>
      </c>
      <c r="K512" s="2" t="str" cm="1">
        <f t="array" ref="K512">IFERROR(playerPoints($H512,$F512,$G512,K$1),"")</f>
        <v/>
      </c>
      <c r="L512" s="2" t="str" cm="1">
        <f t="array" ref="L512">IFERROR(playerPoints($H512,$F512,$G512,L$1),"")</f>
        <v/>
      </c>
      <c r="M512" s="2" t="str" cm="1">
        <f t="array" ref="M512">IFERROR(playerPoints($H512,$F512,$G512,M$1),"")</f>
        <v/>
      </c>
      <c r="N512" s="2" t="str" cm="1">
        <f t="array" ref="N512">IFERROR(playerPoints($H512,$F512,$G512,N$1),"")</f>
        <v/>
      </c>
      <c r="O512" s="2" t="str" cm="1">
        <f t="array" ref="O512">IFERROR(playerPoints($H512,$F512,$G512,O$1),"")</f>
        <v/>
      </c>
      <c r="Q512" s="2">
        <f t="shared" si="7"/>
        <v>0</v>
      </c>
    </row>
    <row r="513" spans="1:17">
      <c r="A513" s="2">
        <v>512</v>
      </c>
      <c r="B513" s="2" t="s">
        <v>1884</v>
      </c>
      <c r="C513" s="2" t="s">
        <v>1877</v>
      </c>
      <c r="D513" s="2" t="s">
        <v>882</v>
      </c>
      <c r="F513" s="2" t="str">
        <f>LOOKUP(D513,Sheet3!A$1:A$32,Sheet3!B$1:B$32)</f>
        <v>POL</v>
      </c>
      <c r="G513" s="2" t="s">
        <v>2848</v>
      </c>
      <c r="H513" s="2" t="s">
        <v>57</v>
      </c>
      <c r="I513" s="2" t="str" cm="1">
        <f t="array" ref="I513">IFERROR(playerPoints($H513,$F513,$G513,I$1),"")</f>
        <v/>
      </c>
      <c r="J513" s="2" t="str" cm="1">
        <f t="array" ref="J513">IFERROR(playerPoints($H513,$F513,$G513,J$1),"")</f>
        <v/>
      </c>
      <c r="K513" s="2" t="str" cm="1">
        <f t="array" ref="K513">IFERROR(playerPoints($H513,$F513,$G513,K$1),"")</f>
        <v/>
      </c>
      <c r="L513" s="2" t="str" cm="1">
        <f t="array" ref="L513">IFERROR(playerPoints($H513,$F513,$G513,L$1),"")</f>
        <v/>
      </c>
      <c r="M513" s="2" t="str" cm="1">
        <f t="array" ref="M513">IFERROR(playerPoints($H513,$F513,$G513,M$1),"")</f>
        <v/>
      </c>
      <c r="N513" s="2" t="str" cm="1">
        <f t="array" ref="N513">IFERROR(playerPoints($H513,$F513,$G513,N$1),"")</f>
        <v/>
      </c>
      <c r="O513" s="2" t="str" cm="1">
        <f t="array" ref="O513">IFERROR(playerPoints($H513,$F513,$G513,O$1),"")</f>
        <v/>
      </c>
      <c r="Q513" s="2">
        <f t="shared" si="7"/>
        <v>0</v>
      </c>
    </row>
    <row r="514" spans="1:17">
      <c r="A514" s="2">
        <v>513</v>
      </c>
      <c r="B514" s="2" t="s">
        <v>1885</v>
      </c>
      <c r="C514" s="2" t="s">
        <v>1886</v>
      </c>
      <c r="D514" s="2" t="s">
        <v>882</v>
      </c>
      <c r="F514" s="2" t="str">
        <f>LOOKUP(D514,Sheet3!A$1:A$32,Sheet3!B$1:B$32)</f>
        <v>POL</v>
      </c>
      <c r="G514" s="2" t="s">
        <v>2849</v>
      </c>
      <c r="H514" s="2" t="s">
        <v>57</v>
      </c>
      <c r="I514" s="2" t="str" cm="1">
        <f t="array" ref="I514">IFERROR(playerPoints($H514,$F514,$G514,I$1),"")</f>
        <v/>
      </c>
      <c r="J514" s="2" t="str" cm="1">
        <f t="array" ref="J514">IFERROR(playerPoints($H514,$F514,$G514,J$1),"")</f>
        <v/>
      </c>
      <c r="K514" s="2" t="str" cm="1">
        <f t="array" ref="K514">IFERROR(playerPoints($H514,$F514,$G514,K$1),"")</f>
        <v/>
      </c>
      <c r="L514" s="2" t="str" cm="1">
        <f t="array" ref="L514">IFERROR(playerPoints($H514,$F514,$G514,L$1),"")</f>
        <v/>
      </c>
      <c r="M514" s="2" t="str" cm="1">
        <f t="array" ref="M514">IFERROR(playerPoints($H514,$F514,$G514,M$1),"")</f>
        <v/>
      </c>
      <c r="N514" s="2" t="str" cm="1">
        <f t="array" ref="N514">IFERROR(playerPoints($H514,$F514,$G514,N$1),"")</f>
        <v/>
      </c>
      <c r="O514" s="2" t="str" cm="1">
        <f t="array" ref="O514">IFERROR(playerPoints($H514,$F514,$G514,O$1),"")</f>
        <v/>
      </c>
      <c r="Q514" s="2">
        <f t="shared" si="7"/>
        <v>0</v>
      </c>
    </row>
    <row r="515" spans="1:17">
      <c r="A515" s="2">
        <v>514</v>
      </c>
      <c r="B515" s="2" t="s">
        <v>1887</v>
      </c>
      <c r="C515" s="2" t="s">
        <v>1888</v>
      </c>
      <c r="D515" s="2" t="s">
        <v>882</v>
      </c>
      <c r="F515" s="2" t="str">
        <f>LOOKUP(D515,Sheet3!A$1:A$32,Sheet3!B$1:B$32)</f>
        <v>POL</v>
      </c>
      <c r="G515" s="2" t="s">
        <v>2850</v>
      </c>
      <c r="H515" s="2" t="s">
        <v>57</v>
      </c>
      <c r="I515" s="2" t="str" cm="1">
        <f t="array" ref="I515">IFERROR(playerPoints($H515,$F515,$G515,I$1),"")</f>
        <v/>
      </c>
      <c r="J515" s="2" t="str" cm="1">
        <f t="array" ref="J515">IFERROR(playerPoints($H515,$F515,$G515,J$1),"")</f>
        <v/>
      </c>
      <c r="K515" s="2" t="str" cm="1">
        <f t="array" ref="K515">IFERROR(playerPoints($H515,$F515,$G515,K$1),"")</f>
        <v/>
      </c>
      <c r="L515" s="2" t="str" cm="1">
        <f t="array" ref="L515">IFERROR(playerPoints($H515,$F515,$G515,L$1),"")</f>
        <v/>
      </c>
      <c r="M515" s="2" t="str" cm="1">
        <f t="array" ref="M515">IFERROR(playerPoints($H515,$F515,$G515,M$1),"")</f>
        <v/>
      </c>
      <c r="N515" s="2" t="str" cm="1">
        <f t="array" ref="N515">IFERROR(playerPoints($H515,$F515,$G515,N$1),"")</f>
        <v/>
      </c>
      <c r="O515" s="2" t="str" cm="1">
        <f t="array" ref="O515">IFERROR(playerPoints($H515,$F515,$G515,O$1),"")</f>
        <v/>
      </c>
      <c r="Q515" s="2">
        <f t="shared" ref="Q515:Q578" si="8">SUM(I515:O515)</f>
        <v>0</v>
      </c>
    </row>
    <row r="516" spans="1:17">
      <c r="A516" s="2">
        <v>515</v>
      </c>
      <c r="B516" s="2" t="s">
        <v>1889</v>
      </c>
      <c r="C516" s="2" t="s">
        <v>1890</v>
      </c>
      <c r="D516" s="2" t="s">
        <v>882</v>
      </c>
      <c r="F516" s="2" t="str">
        <f>LOOKUP(D516,Sheet3!A$1:A$32,Sheet3!B$1:B$32)</f>
        <v>POL</v>
      </c>
      <c r="G516" s="2" t="s">
        <v>2851</v>
      </c>
      <c r="H516" s="2" t="s">
        <v>57</v>
      </c>
      <c r="I516" s="2" t="str" cm="1">
        <f t="array" ref="I516">IFERROR(playerPoints($H516,$F516,$G516,I$1),"")</f>
        <v/>
      </c>
      <c r="J516" s="2" t="str" cm="1">
        <f t="array" ref="J516">IFERROR(playerPoints($H516,$F516,$G516,J$1),"")</f>
        <v/>
      </c>
      <c r="K516" s="2" t="str" cm="1">
        <f t="array" ref="K516">IFERROR(playerPoints($H516,$F516,$G516,K$1),"")</f>
        <v/>
      </c>
      <c r="L516" s="2" t="str" cm="1">
        <f t="array" ref="L516">IFERROR(playerPoints($H516,$F516,$G516,L$1),"")</f>
        <v/>
      </c>
      <c r="M516" s="2" t="str" cm="1">
        <f t="array" ref="M516">IFERROR(playerPoints($H516,$F516,$G516,M$1),"")</f>
        <v/>
      </c>
      <c r="N516" s="2" t="str" cm="1">
        <f t="array" ref="N516">IFERROR(playerPoints($H516,$F516,$G516,N$1),"")</f>
        <v/>
      </c>
      <c r="O516" s="2" t="str" cm="1">
        <f t="array" ref="O516">IFERROR(playerPoints($H516,$F516,$G516,O$1),"")</f>
        <v/>
      </c>
      <c r="Q516" s="2">
        <f t="shared" si="8"/>
        <v>0</v>
      </c>
    </row>
    <row r="517" spans="1:17">
      <c r="A517" s="2">
        <v>516</v>
      </c>
      <c r="B517" s="2" t="s">
        <v>1891</v>
      </c>
      <c r="C517" s="2" t="s">
        <v>1892</v>
      </c>
      <c r="D517" s="2" t="s">
        <v>882</v>
      </c>
      <c r="F517" s="2" t="str">
        <f>LOOKUP(D517,Sheet3!A$1:A$32,Sheet3!B$1:B$32)</f>
        <v>POL</v>
      </c>
      <c r="G517" s="2" t="s">
        <v>2852</v>
      </c>
      <c r="H517" s="2" t="s">
        <v>66</v>
      </c>
      <c r="I517" s="2" t="str" cm="1">
        <f t="array" ref="I517">IFERROR(playerPoints($H517,$F517,$G517,I$1),"")</f>
        <v/>
      </c>
      <c r="J517" s="2" t="str" cm="1">
        <f t="array" ref="J517">IFERROR(playerPoints($H517,$F517,$G517,J$1),"")</f>
        <v/>
      </c>
      <c r="K517" s="2" t="str" cm="1">
        <f t="array" ref="K517">IFERROR(playerPoints($H517,$F517,$G517,K$1),"")</f>
        <v/>
      </c>
      <c r="L517" s="2" t="str" cm="1">
        <f t="array" ref="L517">IFERROR(playerPoints($H517,$F517,$G517,L$1),"")</f>
        <v/>
      </c>
      <c r="M517" s="2" t="str" cm="1">
        <f t="array" ref="M517">IFERROR(playerPoints($H517,$F517,$G517,M$1),"")</f>
        <v/>
      </c>
      <c r="N517" s="2" t="str" cm="1">
        <f t="array" ref="N517">IFERROR(playerPoints($H517,$F517,$G517,N$1),"")</f>
        <v/>
      </c>
      <c r="O517" s="2" t="str" cm="1">
        <f t="array" ref="O517">IFERROR(playerPoints($H517,$F517,$G517,O$1),"")</f>
        <v/>
      </c>
      <c r="Q517" s="2">
        <f t="shared" si="8"/>
        <v>0</v>
      </c>
    </row>
    <row r="518" spans="1:17">
      <c r="A518" s="2">
        <v>517</v>
      </c>
      <c r="B518" s="2" t="s">
        <v>1405</v>
      </c>
      <c r="C518" s="2" t="s">
        <v>1893</v>
      </c>
      <c r="D518" s="2" t="s">
        <v>882</v>
      </c>
      <c r="F518" s="2" t="str">
        <f>LOOKUP(D518,Sheet3!A$1:A$32,Sheet3!B$1:B$32)</f>
        <v>POL</v>
      </c>
      <c r="G518" s="2" t="s">
        <v>2853</v>
      </c>
      <c r="H518" s="2" t="s">
        <v>66</v>
      </c>
      <c r="I518" s="2" t="str" cm="1">
        <f t="array" ref="I518">IFERROR(playerPoints($H518,$F518,$G518,I$1),"")</f>
        <v/>
      </c>
      <c r="J518" s="2" t="str" cm="1">
        <f t="array" ref="J518">IFERROR(playerPoints($H518,$F518,$G518,J$1),"")</f>
        <v/>
      </c>
      <c r="K518" s="2" t="str" cm="1">
        <f t="array" ref="K518">IFERROR(playerPoints($H518,$F518,$G518,K$1),"")</f>
        <v/>
      </c>
      <c r="L518" s="2" t="str" cm="1">
        <f t="array" ref="L518">IFERROR(playerPoints($H518,$F518,$G518,L$1),"")</f>
        <v/>
      </c>
      <c r="M518" s="2" t="str" cm="1">
        <f t="array" ref="M518">IFERROR(playerPoints($H518,$F518,$G518,M$1),"")</f>
        <v/>
      </c>
      <c r="N518" s="2" t="str" cm="1">
        <f t="array" ref="N518">IFERROR(playerPoints($H518,$F518,$G518,N$1),"")</f>
        <v/>
      </c>
      <c r="O518" s="2" t="str" cm="1">
        <f t="array" ref="O518">IFERROR(playerPoints($H518,$F518,$G518,O$1),"")</f>
        <v/>
      </c>
      <c r="Q518" s="2">
        <f t="shared" si="8"/>
        <v>0</v>
      </c>
    </row>
    <row r="519" spans="1:17">
      <c r="A519" s="2">
        <v>518</v>
      </c>
      <c r="B519" s="2" t="s">
        <v>1894</v>
      </c>
      <c r="C519" s="2" t="s">
        <v>1895</v>
      </c>
      <c r="D519" s="2" t="s">
        <v>882</v>
      </c>
      <c r="F519" s="2" t="str">
        <f>LOOKUP(D519,Sheet3!A$1:A$32,Sheet3!B$1:B$32)</f>
        <v>POL</v>
      </c>
      <c r="G519" s="2" t="s">
        <v>2854</v>
      </c>
      <c r="H519" s="2" t="s">
        <v>66</v>
      </c>
      <c r="I519" s="2" t="str" cm="1">
        <f t="array" ref="I519">IFERROR(playerPoints($H519,$F519,$G519,I$1),"")</f>
        <v/>
      </c>
      <c r="J519" s="2" t="str" cm="1">
        <f t="array" ref="J519">IFERROR(playerPoints($H519,$F519,$G519,J$1),"")</f>
        <v/>
      </c>
      <c r="K519" s="2" t="str" cm="1">
        <f t="array" ref="K519">IFERROR(playerPoints($H519,$F519,$G519,K$1),"")</f>
        <v/>
      </c>
      <c r="L519" s="2" t="str" cm="1">
        <f t="array" ref="L519">IFERROR(playerPoints($H519,$F519,$G519,L$1),"")</f>
        <v/>
      </c>
      <c r="M519" s="2" t="str" cm="1">
        <f t="array" ref="M519">IFERROR(playerPoints($H519,$F519,$G519,M$1),"")</f>
        <v/>
      </c>
      <c r="N519" s="2" t="str" cm="1">
        <f t="array" ref="N519">IFERROR(playerPoints($H519,$F519,$G519,N$1),"")</f>
        <v/>
      </c>
      <c r="O519" s="2" t="str" cm="1">
        <f t="array" ref="O519">IFERROR(playerPoints($H519,$F519,$G519,O$1),"")</f>
        <v/>
      </c>
      <c r="Q519" s="2">
        <f t="shared" si="8"/>
        <v>0</v>
      </c>
    </row>
    <row r="520" spans="1:17">
      <c r="A520" s="2">
        <v>519</v>
      </c>
      <c r="B520" s="2" t="s">
        <v>1896</v>
      </c>
      <c r="C520" s="2" t="s">
        <v>1897</v>
      </c>
      <c r="D520" s="2" t="s">
        <v>882</v>
      </c>
      <c r="F520" s="2" t="str">
        <f>LOOKUP(D520,Sheet3!A$1:A$32,Sheet3!B$1:B$32)</f>
        <v>POL</v>
      </c>
      <c r="G520" s="2" t="s">
        <v>2855</v>
      </c>
      <c r="H520" s="2" t="s">
        <v>66</v>
      </c>
      <c r="I520" s="2" t="str" cm="1">
        <f t="array" ref="I520">IFERROR(playerPoints($H520,$F520,$G520,I$1),"")</f>
        <v/>
      </c>
      <c r="J520" s="2" t="str" cm="1">
        <f t="array" ref="J520">IFERROR(playerPoints($H520,$F520,$G520,J$1),"")</f>
        <v/>
      </c>
      <c r="K520" s="2" t="str" cm="1">
        <f t="array" ref="K520">IFERROR(playerPoints($H520,$F520,$G520,K$1),"")</f>
        <v/>
      </c>
      <c r="L520" s="2" t="str" cm="1">
        <f t="array" ref="L520">IFERROR(playerPoints($H520,$F520,$G520,L$1),"")</f>
        <v/>
      </c>
      <c r="M520" s="2" t="str" cm="1">
        <f t="array" ref="M520">IFERROR(playerPoints($H520,$F520,$G520,M$1),"")</f>
        <v/>
      </c>
      <c r="N520" s="2" t="str" cm="1">
        <f t="array" ref="N520">IFERROR(playerPoints($H520,$F520,$G520,N$1),"")</f>
        <v/>
      </c>
      <c r="O520" s="2" t="str" cm="1">
        <f t="array" ref="O520">IFERROR(playerPoints($H520,$F520,$G520,O$1),"")</f>
        <v/>
      </c>
      <c r="Q520" s="2">
        <f t="shared" si="8"/>
        <v>0</v>
      </c>
    </row>
    <row r="521" spans="1:17">
      <c r="A521" s="2">
        <v>520</v>
      </c>
      <c r="B521" s="2" t="s">
        <v>1898</v>
      </c>
      <c r="C521" s="2" t="s">
        <v>1899</v>
      </c>
      <c r="D521" s="2" t="s">
        <v>882</v>
      </c>
      <c r="F521" s="2" t="str">
        <f>LOOKUP(D521,Sheet3!A$1:A$32,Sheet3!B$1:B$32)</f>
        <v>POL</v>
      </c>
      <c r="G521" s="2" t="s">
        <v>2856</v>
      </c>
      <c r="H521" s="2" t="s">
        <v>66</v>
      </c>
      <c r="I521" s="2" t="str" cm="1">
        <f t="array" ref="I521">IFERROR(playerPoints($H521,$F521,$G521,I$1),"")</f>
        <v/>
      </c>
      <c r="J521" s="2" t="str" cm="1">
        <f t="array" ref="J521">IFERROR(playerPoints($H521,$F521,$G521,J$1),"")</f>
        <v/>
      </c>
      <c r="K521" s="2" t="str" cm="1">
        <f t="array" ref="K521">IFERROR(playerPoints($H521,$F521,$G521,K$1),"")</f>
        <v/>
      </c>
      <c r="L521" s="2" t="str" cm="1">
        <f t="array" ref="L521">IFERROR(playerPoints($H521,$F521,$G521,L$1),"")</f>
        <v/>
      </c>
      <c r="M521" s="2" t="str" cm="1">
        <f t="array" ref="M521">IFERROR(playerPoints($H521,$F521,$G521,M$1),"")</f>
        <v/>
      </c>
      <c r="N521" s="2" t="str" cm="1">
        <f t="array" ref="N521">IFERROR(playerPoints($H521,$F521,$G521,N$1),"")</f>
        <v/>
      </c>
      <c r="O521" s="2" t="str" cm="1">
        <f t="array" ref="O521">IFERROR(playerPoints($H521,$F521,$G521,O$1),"")</f>
        <v/>
      </c>
      <c r="Q521" s="2">
        <f t="shared" si="8"/>
        <v>0</v>
      </c>
    </row>
    <row r="522" spans="1:17">
      <c r="A522" s="2">
        <v>521</v>
      </c>
      <c r="B522" s="2" t="s">
        <v>1900</v>
      </c>
      <c r="C522" s="2" t="s">
        <v>1901</v>
      </c>
      <c r="D522" s="2" t="s">
        <v>883</v>
      </c>
      <c r="F522" s="2" t="str">
        <f>LOOKUP(D522,Sheet3!A$1:A$32,Sheet3!B$1:B$32)</f>
        <v>POR</v>
      </c>
      <c r="G522" s="2" t="s">
        <v>2857</v>
      </c>
      <c r="H522" s="2" t="s">
        <v>44</v>
      </c>
      <c r="I522" s="2" t="str" cm="1">
        <f t="array" ref="I522">IFERROR(playerPoints($H522,$F522,$G522,I$1),"")</f>
        <v/>
      </c>
      <c r="J522" s="2" t="str" cm="1">
        <f t="array" ref="J522">IFERROR(playerPoints($H522,$F522,$G522,J$1),"")</f>
        <v/>
      </c>
      <c r="K522" s="2" t="str" cm="1">
        <f t="array" ref="K522">IFERROR(playerPoints($H522,$F522,$G522,K$1),"")</f>
        <v/>
      </c>
      <c r="L522" s="2" t="str" cm="1">
        <f t="array" ref="L522">IFERROR(playerPoints($H522,$F522,$G522,L$1),"")</f>
        <v/>
      </c>
      <c r="M522" s="2" t="str" cm="1">
        <f t="array" ref="M522">IFERROR(playerPoints($H522,$F522,$G522,M$1),"")</f>
        <v/>
      </c>
      <c r="N522" s="2" t="str" cm="1">
        <f t="array" ref="N522">IFERROR(playerPoints($H522,$F522,$G522,N$1),"")</f>
        <v/>
      </c>
      <c r="O522" s="2" t="str" cm="1">
        <f t="array" ref="O522">IFERROR(playerPoints($H522,$F522,$G522,O$1),"")</f>
        <v/>
      </c>
      <c r="Q522" s="2">
        <f t="shared" si="8"/>
        <v>0</v>
      </c>
    </row>
    <row r="523" spans="1:17">
      <c r="A523" s="2">
        <v>522</v>
      </c>
      <c r="B523" s="2" t="s">
        <v>1426</v>
      </c>
      <c r="C523" s="2" t="s">
        <v>1902</v>
      </c>
      <c r="D523" s="2" t="s">
        <v>883</v>
      </c>
      <c r="F523" s="2" t="str">
        <f>LOOKUP(D523,Sheet3!A$1:A$32,Sheet3!B$1:B$32)</f>
        <v>POR</v>
      </c>
      <c r="G523" s="2" t="s">
        <v>2858</v>
      </c>
      <c r="H523" s="2" t="s">
        <v>44</v>
      </c>
      <c r="I523" s="2" t="str" cm="1">
        <f t="array" ref="I523">IFERROR(playerPoints($H523,$F523,$G523,I$1),"")</f>
        <v/>
      </c>
      <c r="J523" s="2" t="str" cm="1">
        <f t="array" ref="J523">IFERROR(playerPoints($H523,$F523,$G523,J$1),"")</f>
        <v/>
      </c>
      <c r="K523" s="2" t="str" cm="1">
        <f t="array" ref="K523">IFERROR(playerPoints($H523,$F523,$G523,K$1),"")</f>
        <v/>
      </c>
      <c r="L523" s="2" t="str" cm="1">
        <f t="array" ref="L523">IFERROR(playerPoints($H523,$F523,$G523,L$1),"")</f>
        <v/>
      </c>
      <c r="M523" s="2" t="str" cm="1">
        <f t="array" ref="M523">IFERROR(playerPoints($H523,$F523,$G523,M$1),"")</f>
        <v/>
      </c>
      <c r="N523" s="2" t="str" cm="1">
        <f t="array" ref="N523">IFERROR(playerPoints($H523,$F523,$G523,N$1),"")</f>
        <v/>
      </c>
      <c r="O523" s="2" t="str" cm="1">
        <f t="array" ref="O523">IFERROR(playerPoints($H523,$F523,$G523,O$1),"")</f>
        <v/>
      </c>
      <c r="Q523" s="2">
        <f t="shared" si="8"/>
        <v>0</v>
      </c>
    </row>
    <row r="524" spans="1:17">
      <c r="A524" s="2">
        <v>523</v>
      </c>
      <c r="B524" s="2" t="s">
        <v>1903</v>
      </c>
      <c r="C524" s="2" t="s">
        <v>1904</v>
      </c>
      <c r="D524" s="2" t="s">
        <v>883</v>
      </c>
      <c r="F524" s="2" t="str">
        <f>LOOKUP(D524,Sheet3!A$1:A$32,Sheet3!B$1:B$32)</f>
        <v>POR</v>
      </c>
      <c r="G524" s="2" t="s">
        <v>2859</v>
      </c>
      <c r="H524" s="2" t="s">
        <v>44</v>
      </c>
      <c r="I524" s="2" t="str" cm="1">
        <f t="array" ref="I524">IFERROR(playerPoints($H524,$F524,$G524,I$1),"")</f>
        <v/>
      </c>
      <c r="J524" s="2" t="str" cm="1">
        <f t="array" ref="J524">IFERROR(playerPoints($H524,$F524,$G524,J$1),"")</f>
        <v/>
      </c>
      <c r="K524" s="2" t="str" cm="1">
        <f t="array" ref="K524">IFERROR(playerPoints($H524,$F524,$G524,K$1),"")</f>
        <v/>
      </c>
      <c r="L524" s="2" t="str" cm="1">
        <f t="array" ref="L524">IFERROR(playerPoints($H524,$F524,$G524,L$1),"")</f>
        <v/>
      </c>
      <c r="M524" s="2" t="str" cm="1">
        <f t="array" ref="M524">IFERROR(playerPoints($H524,$F524,$G524,M$1),"")</f>
        <v/>
      </c>
      <c r="N524" s="2" t="str" cm="1">
        <f t="array" ref="N524">IFERROR(playerPoints($H524,$F524,$G524,N$1),"")</f>
        <v/>
      </c>
      <c r="O524" s="2" t="str" cm="1">
        <f t="array" ref="O524">IFERROR(playerPoints($H524,$F524,$G524,O$1),"")</f>
        <v/>
      </c>
      <c r="Q524" s="2">
        <f t="shared" si="8"/>
        <v>0</v>
      </c>
    </row>
    <row r="525" spans="1:17">
      <c r="A525" s="2">
        <v>524</v>
      </c>
      <c r="B525" s="2" t="s">
        <v>1903</v>
      </c>
      <c r="C525" s="2" t="s">
        <v>1905</v>
      </c>
      <c r="D525" s="2" t="s">
        <v>883</v>
      </c>
      <c r="F525" s="2" t="str">
        <f>LOOKUP(D525,Sheet3!A$1:A$32,Sheet3!B$1:B$32)</f>
        <v>POR</v>
      </c>
      <c r="G525" s="2" t="s">
        <v>2860</v>
      </c>
      <c r="H525" s="2" t="s">
        <v>48</v>
      </c>
      <c r="I525" s="2" t="str" cm="1">
        <f t="array" ref="I525">IFERROR(playerPoints($H525,$F525,$G525,I$1),"")</f>
        <v/>
      </c>
      <c r="J525" s="2" t="str" cm="1">
        <f t="array" ref="J525">IFERROR(playerPoints($H525,$F525,$G525,J$1),"")</f>
        <v/>
      </c>
      <c r="K525" s="2" t="str" cm="1">
        <f t="array" ref="K525">IFERROR(playerPoints($H525,$F525,$G525,K$1),"")</f>
        <v/>
      </c>
      <c r="L525" s="2" t="str" cm="1">
        <f t="array" ref="L525">IFERROR(playerPoints($H525,$F525,$G525,L$1),"")</f>
        <v/>
      </c>
      <c r="M525" s="2" t="str" cm="1">
        <f t="array" ref="M525">IFERROR(playerPoints($H525,$F525,$G525,M$1),"")</f>
        <v/>
      </c>
      <c r="N525" s="2" t="str" cm="1">
        <f t="array" ref="N525">IFERROR(playerPoints($H525,$F525,$G525,N$1),"")</f>
        <v/>
      </c>
      <c r="O525" s="2" t="str" cm="1">
        <f t="array" ref="O525">IFERROR(playerPoints($H525,$F525,$G525,O$1),"")</f>
        <v/>
      </c>
      <c r="Q525" s="2">
        <f t="shared" si="8"/>
        <v>0</v>
      </c>
    </row>
    <row r="526" spans="1:17">
      <c r="A526" s="2">
        <v>525</v>
      </c>
      <c r="B526" s="2" t="s">
        <v>1160</v>
      </c>
      <c r="C526" s="2" t="s">
        <v>156</v>
      </c>
      <c r="D526" s="2" t="s">
        <v>883</v>
      </c>
      <c r="F526" s="2" t="str">
        <f>LOOKUP(D526,Sheet3!A$1:A$32,Sheet3!B$1:B$32)</f>
        <v>POR</v>
      </c>
      <c r="G526" s="2" t="s">
        <v>2861</v>
      </c>
      <c r="H526" s="2" t="s">
        <v>48</v>
      </c>
      <c r="I526" s="2" t="str" cm="1">
        <f t="array" ref="I526">IFERROR(playerPoints($H526,$F526,$G526,I$1),"")</f>
        <v/>
      </c>
      <c r="J526" s="2" t="str" cm="1">
        <f t="array" ref="J526">IFERROR(playerPoints($H526,$F526,$G526,J$1),"")</f>
        <v/>
      </c>
      <c r="K526" s="2" t="str" cm="1">
        <f t="array" ref="K526">IFERROR(playerPoints($H526,$F526,$G526,K$1),"")</f>
        <v/>
      </c>
      <c r="L526" s="2" t="str" cm="1">
        <f t="array" ref="L526">IFERROR(playerPoints($H526,$F526,$G526,L$1),"")</f>
        <v/>
      </c>
      <c r="M526" s="2" t="str" cm="1">
        <f t="array" ref="M526">IFERROR(playerPoints($H526,$F526,$G526,M$1),"")</f>
        <v/>
      </c>
      <c r="N526" s="2" t="str" cm="1">
        <f t="array" ref="N526">IFERROR(playerPoints($H526,$F526,$G526,N$1),"")</f>
        <v/>
      </c>
      <c r="O526" s="2" t="str" cm="1">
        <f t="array" ref="O526">IFERROR(playerPoints($H526,$F526,$G526,O$1),"")</f>
        <v/>
      </c>
      <c r="Q526" s="2">
        <f t="shared" si="8"/>
        <v>0</v>
      </c>
    </row>
    <row r="527" spans="1:17">
      <c r="A527" s="2">
        <v>526</v>
      </c>
      <c r="B527" s="2" t="s">
        <v>1906</v>
      </c>
      <c r="C527" s="2" t="s">
        <v>1907</v>
      </c>
      <c r="D527" s="2" t="s">
        <v>883</v>
      </c>
      <c r="F527" s="2" t="str">
        <f>LOOKUP(D527,Sheet3!A$1:A$32,Sheet3!B$1:B$32)</f>
        <v>POR</v>
      </c>
      <c r="G527" s="2" t="s">
        <v>2862</v>
      </c>
      <c r="H527" s="2" t="s">
        <v>48</v>
      </c>
      <c r="I527" s="2" t="str" cm="1">
        <f t="array" ref="I527">IFERROR(playerPoints($H527,$F527,$G527,I$1),"")</f>
        <v/>
      </c>
      <c r="J527" s="2" t="str" cm="1">
        <f t="array" ref="J527">IFERROR(playerPoints($H527,$F527,$G527,J$1),"")</f>
        <v/>
      </c>
      <c r="K527" s="2" t="str" cm="1">
        <f t="array" ref="K527">IFERROR(playerPoints($H527,$F527,$G527,K$1),"")</f>
        <v/>
      </c>
      <c r="L527" s="2" t="str" cm="1">
        <f t="array" ref="L527">IFERROR(playerPoints($H527,$F527,$G527,L$1),"")</f>
        <v/>
      </c>
      <c r="M527" s="2" t="str" cm="1">
        <f t="array" ref="M527">IFERROR(playerPoints($H527,$F527,$G527,M$1),"")</f>
        <v/>
      </c>
      <c r="N527" s="2" t="str" cm="1">
        <f t="array" ref="N527">IFERROR(playerPoints($H527,$F527,$G527,N$1),"")</f>
        <v/>
      </c>
      <c r="O527" s="2" t="str" cm="1">
        <f t="array" ref="O527">IFERROR(playerPoints($H527,$F527,$G527,O$1),"")</f>
        <v/>
      </c>
      <c r="Q527" s="2">
        <f t="shared" si="8"/>
        <v>0</v>
      </c>
    </row>
    <row r="528" spans="1:17">
      <c r="A528" s="2">
        <v>527</v>
      </c>
      <c r="B528" s="2" t="s">
        <v>1499</v>
      </c>
      <c r="C528" s="2" t="s">
        <v>1908</v>
      </c>
      <c r="D528" s="2" t="s">
        <v>883</v>
      </c>
      <c r="F528" s="2" t="str">
        <f>LOOKUP(D528,Sheet3!A$1:A$32,Sheet3!B$1:B$32)</f>
        <v>POR</v>
      </c>
      <c r="G528" s="2" t="s">
        <v>2863</v>
      </c>
      <c r="H528" s="2" t="s">
        <v>48</v>
      </c>
      <c r="I528" s="2" t="str" cm="1">
        <f t="array" ref="I528">IFERROR(playerPoints($H528,$F528,$G528,I$1),"")</f>
        <v/>
      </c>
      <c r="J528" s="2" t="str" cm="1">
        <f t="array" ref="J528">IFERROR(playerPoints($H528,$F528,$G528,J$1),"")</f>
        <v/>
      </c>
      <c r="K528" s="2" t="str" cm="1">
        <f t="array" ref="K528">IFERROR(playerPoints($H528,$F528,$G528,K$1),"")</f>
        <v/>
      </c>
      <c r="L528" s="2" t="str" cm="1">
        <f t="array" ref="L528">IFERROR(playerPoints($H528,$F528,$G528,L$1),"")</f>
        <v/>
      </c>
      <c r="M528" s="2" t="str" cm="1">
        <f t="array" ref="M528">IFERROR(playerPoints($H528,$F528,$G528,M$1),"")</f>
        <v/>
      </c>
      <c r="N528" s="2" t="str" cm="1">
        <f t="array" ref="N528">IFERROR(playerPoints($H528,$F528,$G528,N$1),"")</f>
        <v/>
      </c>
      <c r="O528" s="2" t="str" cm="1">
        <f t="array" ref="O528">IFERROR(playerPoints($H528,$F528,$G528,O$1),"")</f>
        <v/>
      </c>
      <c r="Q528" s="2">
        <f t="shared" si="8"/>
        <v>0</v>
      </c>
    </row>
    <row r="529" spans="1:17">
      <c r="A529" s="2">
        <v>528</v>
      </c>
      <c r="B529" s="2" t="s">
        <v>1909</v>
      </c>
      <c r="C529" s="2" t="s">
        <v>1910</v>
      </c>
      <c r="D529" s="2" t="s">
        <v>883</v>
      </c>
      <c r="F529" s="2" t="str">
        <f>LOOKUP(D529,Sheet3!A$1:A$32,Sheet3!B$1:B$32)</f>
        <v>POR</v>
      </c>
      <c r="G529" s="2" t="s">
        <v>2864</v>
      </c>
      <c r="H529" s="2" t="s">
        <v>48</v>
      </c>
      <c r="I529" s="2" t="str" cm="1">
        <f t="array" ref="I529">IFERROR(playerPoints($H529,$F529,$G529,I$1),"")</f>
        <v/>
      </c>
      <c r="J529" s="2" t="str" cm="1">
        <f t="array" ref="J529">IFERROR(playerPoints($H529,$F529,$G529,J$1),"")</f>
        <v/>
      </c>
      <c r="K529" s="2" t="str" cm="1">
        <f t="array" ref="K529">IFERROR(playerPoints($H529,$F529,$G529,K$1),"")</f>
        <v/>
      </c>
      <c r="L529" s="2" t="str" cm="1">
        <f t="array" ref="L529">IFERROR(playerPoints($H529,$F529,$G529,L$1),"")</f>
        <v/>
      </c>
      <c r="M529" s="2" t="str" cm="1">
        <f t="array" ref="M529">IFERROR(playerPoints($H529,$F529,$G529,M$1),"")</f>
        <v/>
      </c>
      <c r="N529" s="2" t="str" cm="1">
        <f t="array" ref="N529">IFERROR(playerPoints($H529,$F529,$G529,N$1),"")</f>
        <v/>
      </c>
      <c r="O529" s="2" t="str" cm="1">
        <f t="array" ref="O529">IFERROR(playerPoints($H529,$F529,$G529,O$1),"")</f>
        <v/>
      </c>
      <c r="Q529" s="2">
        <f t="shared" si="8"/>
        <v>0</v>
      </c>
    </row>
    <row r="530" spans="1:17">
      <c r="A530" s="2">
        <v>529</v>
      </c>
      <c r="B530" s="2" t="s">
        <v>1911</v>
      </c>
      <c r="C530" s="2" t="s">
        <v>1912</v>
      </c>
      <c r="D530" s="2" t="s">
        <v>883</v>
      </c>
      <c r="F530" s="2" t="str">
        <f>LOOKUP(D530,Sheet3!A$1:A$32,Sheet3!B$1:B$32)</f>
        <v>POR</v>
      </c>
      <c r="G530" s="2" t="s">
        <v>2865</v>
      </c>
      <c r="H530" s="2" t="s">
        <v>48</v>
      </c>
      <c r="I530" s="2" t="str" cm="1">
        <f t="array" ref="I530">IFERROR(playerPoints($H530,$F530,$G530,I$1),"")</f>
        <v/>
      </c>
      <c r="J530" s="2" t="str" cm="1">
        <f t="array" ref="J530">IFERROR(playerPoints($H530,$F530,$G530,J$1),"")</f>
        <v/>
      </c>
      <c r="K530" s="2" t="str" cm="1">
        <f t="array" ref="K530">IFERROR(playerPoints($H530,$F530,$G530,K$1),"")</f>
        <v/>
      </c>
      <c r="L530" s="2" t="str" cm="1">
        <f t="array" ref="L530">IFERROR(playerPoints($H530,$F530,$G530,L$1),"")</f>
        <v/>
      </c>
      <c r="M530" s="2" t="str" cm="1">
        <f t="array" ref="M530">IFERROR(playerPoints($H530,$F530,$G530,M$1),"")</f>
        <v/>
      </c>
      <c r="N530" s="2" t="str" cm="1">
        <f t="array" ref="N530">IFERROR(playerPoints($H530,$F530,$G530,N$1),"")</f>
        <v/>
      </c>
      <c r="O530" s="2" t="str" cm="1">
        <f t="array" ref="O530">IFERROR(playerPoints($H530,$F530,$G530,O$1),"")</f>
        <v/>
      </c>
      <c r="Q530" s="2">
        <f t="shared" si="8"/>
        <v>0</v>
      </c>
    </row>
    <row r="531" spans="1:17">
      <c r="A531" s="2">
        <v>530</v>
      </c>
      <c r="B531" s="2" t="s">
        <v>1913</v>
      </c>
      <c r="C531" s="2" t="s">
        <v>1162</v>
      </c>
      <c r="D531" s="2" t="s">
        <v>883</v>
      </c>
      <c r="F531" s="2" t="str">
        <f>LOOKUP(D531,Sheet3!A$1:A$32,Sheet3!B$1:B$32)</f>
        <v>POR</v>
      </c>
      <c r="G531" s="2" t="s">
        <v>2866</v>
      </c>
      <c r="H531" s="2" t="s">
        <v>48</v>
      </c>
      <c r="I531" s="2" t="str" cm="1">
        <f t="array" ref="I531">IFERROR(playerPoints($H531,$F531,$G531,I$1),"")</f>
        <v/>
      </c>
      <c r="J531" s="2" t="str" cm="1">
        <f t="array" ref="J531">IFERROR(playerPoints($H531,$F531,$G531,J$1),"")</f>
        <v/>
      </c>
      <c r="K531" s="2" t="str" cm="1">
        <f t="array" ref="K531">IFERROR(playerPoints($H531,$F531,$G531,K$1),"")</f>
        <v/>
      </c>
      <c r="L531" s="2" t="str" cm="1">
        <f t="array" ref="L531">IFERROR(playerPoints($H531,$F531,$G531,L$1),"")</f>
        <v/>
      </c>
      <c r="M531" s="2" t="str" cm="1">
        <f t="array" ref="M531">IFERROR(playerPoints($H531,$F531,$G531,M$1),"")</f>
        <v/>
      </c>
      <c r="N531" s="2" t="str" cm="1">
        <f t="array" ref="N531">IFERROR(playerPoints($H531,$F531,$G531,N$1),"")</f>
        <v/>
      </c>
      <c r="O531" s="2" t="str" cm="1">
        <f t="array" ref="O531">IFERROR(playerPoints($H531,$F531,$G531,O$1),"")</f>
        <v/>
      </c>
      <c r="Q531" s="2">
        <f t="shared" si="8"/>
        <v>0</v>
      </c>
    </row>
    <row r="532" spans="1:17">
      <c r="A532" s="2">
        <v>531</v>
      </c>
      <c r="B532" s="2" t="s">
        <v>1911</v>
      </c>
      <c r="C532" s="2" t="s">
        <v>1914</v>
      </c>
      <c r="D532" s="2" t="s">
        <v>883</v>
      </c>
      <c r="F532" s="2" t="str">
        <f>LOOKUP(D532,Sheet3!A$1:A$32,Sheet3!B$1:B$32)</f>
        <v>POR</v>
      </c>
      <c r="G532" s="2" t="s">
        <v>2867</v>
      </c>
      <c r="H532" s="2" t="s">
        <v>57</v>
      </c>
      <c r="I532" s="2" t="str" cm="1">
        <f t="array" ref="I532">IFERROR(playerPoints($H532,$F532,$G532,I$1),"")</f>
        <v/>
      </c>
      <c r="J532" s="2" t="str" cm="1">
        <f t="array" ref="J532">IFERROR(playerPoints($H532,$F532,$G532,J$1),"")</f>
        <v/>
      </c>
      <c r="K532" s="2" t="str" cm="1">
        <f t="array" ref="K532">IFERROR(playerPoints($H532,$F532,$G532,K$1),"")</f>
        <v/>
      </c>
      <c r="L532" s="2" t="str" cm="1">
        <f t="array" ref="L532">IFERROR(playerPoints($H532,$F532,$G532,L$1),"")</f>
        <v/>
      </c>
      <c r="M532" s="2" t="str" cm="1">
        <f t="array" ref="M532">IFERROR(playerPoints($H532,$F532,$G532,M$1),"")</f>
        <v/>
      </c>
      <c r="N532" s="2" t="str" cm="1">
        <f t="array" ref="N532">IFERROR(playerPoints($H532,$F532,$G532,N$1),"")</f>
        <v/>
      </c>
      <c r="O532" s="2" t="str" cm="1">
        <f t="array" ref="O532">IFERROR(playerPoints($H532,$F532,$G532,O$1),"")</f>
        <v/>
      </c>
      <c r="Q532" s="2">
        <f t="shared" si="8"/>
        <v>0</v>
      </c>
    </row>
    <row r="533" spans="1:17">
      <c r="A533" s="2">
        <v>532</v>
      </c>
      <c r="B533" s="2" t="s">
        <v>1172</v>
      </c>
      <c r="C533" s="2" t="s">
        <v>1915</v>
      </c>
      <c r="D533" s="2" t="s">
        <v>883</v>
      </c>
      <c r="F533" s="2" t="str">
        <f>LOOKUP(D533,Sheet3!A$1:A$32,Sheet3!B$1:B$32)</f>
        <v>POR</v>
      </c>
      <c r="G533" s="2" t="s">
        <v>2868</v>
      </c>
      <c r="H533" s="2" t="s">
        <v>57</v>
      </c>
      <c r="I533" s="2" t="str" cm="1">
        <f t="array" ref="I533">IFERROR(playerPoints($H533,$F533,$G533,I$1),"")</f>
        <v/>
      </c>
      <c r="J533" s="2" t="str" cm="1">
        <f t="array" ref="J533">IFERROR(playerPoints($H533,$F533,$G533,J$1),"")</f>
        <v/>
      </c>
      <c r="K533" s="2" t="str" cm="1">
        <f t="array" ref="K533">IFERROR(playerPoints($H533,$F533,$G533,K$1),"")</f>
        <v/>
      </c>
      <c r="L533" s="2" t="str" cm="1">
        <f t="array" ref="L533">IFERROR(playerPoints($H533,$F533,$G533,L$1),"")</f>
        <v/>
      </c>
      <c r="M533" s="2" t="str" cm="1">
        <f t="array" ref="M533">IFERROR(playerPoints($H533,$F533,$G533,M$1),"")</f>
        <v/>
      </c>
      <c r="N533" s="2" t="str" cm="1">
        <f t="array" ref="N533">IFERROR(playerPoints($H533,$F533,$G533,N$1),"")</f>
        <v/>
      </c>
      <c r="O533" s="2" t="str" cm="1">
        <f t="array" ref="O533">IFERROR(playerPoints($H533,$F533,$G533,O$1),"")</f>
        <v/>
      </c>
      <c r="Q533" s="2">
        <f t="shared" si="8"/>
        <v>0</v>
      </c>
    </row>
    <row r="534" spans="1:17">
      <c r="A534" s="2">
        <v>533</v>
      </c>
      <c r="B534" s="2" t="s">
        <v>1916</v>
      </c>
      <c r="C534" s="2" t="s">
        <v>1162</v>
      </c>
      <c r="D534" s="2" t="s">
        <v>883</v>
      </c>
      <c r="F534" s="2" t="str">
        <f>LOOKUP(D534,Sheet3!A$1:A$32,Sheet3!B$1:B$32)</f>
        <v>POR</v>
      </c>
      <c r="G534" s="2" t="s">
        <v>2869</v>
      </c>
      <c r="H534" s="2" t="s">
        <v>57</v>
      </c>
      <c r="I534" s="2" t="str" cm="1">
        <f t="array" ref="I534">IFERROR(playerPoints($H534,$F534,$G534,I$1),"")</f>
        <v/>
      </c>
      <c r="J534" s="2" t="str" cm="1">
        <f t="array" ref="J534">IFERROR(playerPoints($H534,$F534,$G534,J$1),"")</f>
        <v/>
      </c>
      <c r="K534" s="2" t="str" cm="1">
        <f t="array" ref="K534">IFERROR(playerPoints($H534,$F534,$G534,K$1),"")</f>
        <v/>
      </c>
      <c r="L534" s="2" t="str" cm="1">
        <f t="array" ref="L534">IFERROR(playerPoints($H534,$F534,$G534,L$1),"")</f>
        <v/>
      </c>
      <c r="M534" s="2" t="str" cm="1">
        <f t="array" ref="M534">IFERROR(playerPoints($H534,$F534,$G534,M$1),"")</f>
        <v/>
      </c>
      <c r="N534" s="2" t="str" cm="1">
        <f t="array" ref="N534">IFERROR(playerPoints($H534,$F534,$G534,N$1),"")</f>
        <v/>
      </c>
      <c r="O534" s="2" t="str" cm="1">
        <f t="array" ref="O534">IFERROR(playerPoints($H534,$F534,$G534,O$1),"")</f>
        <v/>
      </c>
      <c r="Q534" s="2">
        <f t="shared" si="8"/>
        <v>0</v>
      </c>
    </row>
    <row r="535" spans="1:17">
      <c r="A535" s="2">
        <v>534</v>
      </c>
      <c r="B535" s="2" t="s">
        <v>545</v>
      </c>
      <c r="C535" s="2" t="s">
        <v>1917</v>
      </c>
      <c r="D535" s="2" t="s">
        <v>883</v>
      </c>
      <c r="F535" s="2" t="str">
        <f>LOOKUP(D535,Sheet3!A$1:A$32,Sheet3!B$1:B$32)</f>
        <v>POR</v>
      </c>
      <c r="G535" s="2" t="s">
        <v>2870</v>
      </c>
      <c r="H535" s="2" t="s">
        <v>57</v>
      </c>
      <c r="I535" s="2" t="str" cm="1">
        <f t="array" ref="I535">IFERROR(playerPoints($H535,$F535,$G535,I$1),"")</f>
        <v/>
      </c>
      <c r="J535" s="2" t="str" cm="1">
        <f t="array" ref="J535">IFERROR(playerPoints($H535,$F535,$G535,J$1),"")</f>
        <v/>
      </c>
      <c r="K535" s="2" t="str" cm="1">
        <f t="array" ref="K535">IFERROR(playerPoints($H535,$F535,$G535,K$1),"")</f>
        <v/>
      </c>
      <c r="L535" s="2" t="str" cm="1">
        <f t="array" ref="L535">IFERROR(playerPoints($H535,$F535,$G535,L$1),"")</f>
        <v/>
      </c>
      <c r="M535" s="2" t="str" cm="1">
        <f t="array" ref="M535">IFERROR(playerPoints($H535,$F535,$G535,M$1),"")</f>
        <v/>
      </c>
      <c r="N535" s="2" t="str" cm="1">
        <f t="array" ref="N535">IFERROR(playerPoints($H535,$F535,$G535,N$1),"")</f>
        <v/>
      </c>
      <c r="O535" s="2" t="str" cm="1">
        <f t="array" ref="O535">IFERROR(playerPoints($H535,$F535,$G535,O$1),"")</f>
        <v/>
      </c>
      <c r="Q535" s="2">
        <f t="shared" si="8"/>
        <v>0</v>
      </c>
    </row>
    <row r="536" spans="1:17">
      <c r="A536" s="2">
        <v>535</v>
      </c>
      <c r="B536" s="2" t="s">
        <v>1416</v>
      </c>
      <c r="C536" s="2" t="s">
        <v>1918</v>
      </c>
      <c r="D536" s="2" t="s">
        <v>883</v>
      </c>
      <c r="F536" s="2" t="str">
        <f>LOOKUP(D536,Sheet3!A$1:A$32,Sheet3!B$1:B$32)</f>
        <v>POR</v>
      </c>
      <c r="G536" s="2" t="s">
        <v>2871</v>
      </c>
      <c r="H536" s="2" t="s">
        <v>57</v>
      </c>
      <c r="I536" s="2" t="str" cm="1">
        <f t="array" ref="I536">IFERROR(playerPoints($H536,$F536,$G536,I$1),"")</f>
        <v/>
      </c>
      <c r="J536" s="2" t="str" cm="1">
        <f t="array" ref="J536">IFERROR(playerPoints($H536,$F536,$G536,J$1),"")</f>
        <v/>
      </c>
      <c r="K536" s="2" t="str" cm="1">
        <f t="array" ref="K536">IFERROR(playerPoints($H536,$F536,$G536,K$1),"")</f>
        <v/>
      </c>
      <c r="L536" s="2" t="str" cm="1">
        <f t="array" ref="L536">IFERROR(playerPoints($H536,$F536,$G536,L$1),"")</f>
        <v/>
      </c>
      <c r="M536" s="2" t="str" cm="1">
        <f t="array" ref="M536">IFERROR(playerPoints($H536,$F536,$G536,M$1),"")</f>
        <v/>
      </c>
      <c r="N536" s="2" t="str" cm="1">
        <f t="array" ref="N536">IFERROR(playerPoints($H536,$F536,$G536,N$1),"")</f>
        <v/>
      </c>
      <c r="O536" s="2" t="str" cm="1">
        <f t="array" ref="O536">IFERROR(playerPoints($H536,$F536,$G536,O$1),"")</f>
        <v/>
      </c>
      <c r="Q536" s="2">
        <f t="shared" si="8"/>
        <v>0</v>
      </c>
    </row>
    <row r="537" spans="1:17">
      <c r="A537" s="2">
        <v>536</v>
      </c>
      <c r="B537" s="2" t="s">
        <v>1160</v>
      </c>
      <c r="C537" s="2" t="s">
        <v>167</v>
      </c>
      <c r="D537" s="2" t="s">
        <v>883</v>
      </c>
      <c r="F537" s="2" t="str">
        <f>LOOKUP(D537,Sheet3!A$1:A$32,Sheet3!B$1:B$32)</f>
        <v>POR</v>
      </c>
      <c r="G537" s="2" t="s">
        <v>2872</v>
      </c>
      <c r="H537" s="2" t="s">
        <v>57</v>
      </c>
      <c r="I537" s="2" t="str" cm="1">
        <f t="array" ref="I537">IFERROR(playerPoints($H537,$F537,$G537,I$1),"")</f>
        <v/>
      </c>
      <c r="J537" s="2" t="str" cm="1">
        <f t="array" ref="J537">IFERROR(playerPoints($H537,$F537,$G537,J$1),"")</f>
        <v/>
      </c>
      <c r="K537" s="2" t="str" cm="1">
        <f t="array" ref="K537">IFERROR(playerPoints($H537,$F537,$G537,K$1),"")</f>
        <v/>
      </c>
      <c r="L537" s="2" t="str" cm="1">
        <f t="array" ref="L537">IFERROR(playerPoints($H537,$F537,$G537,L$1),"")</f>
        <v/>
      </c>
      <c r="M537" s="2" t="str" cm="1">
        <f t="array" ref="M537">IFERROR(playerPoints($H537,$F537,$G537,M$1),"")</f>
        <v/>
      </c>
      <c r="N537" s="2" t="str" cm="1">
        <f t="array" ref="N537">IFERROR(playerPoints($H537,$F537,$G537,N$1),"")</f>
        <v/>
      </c>
      <c r="O537" s="2" t="str" cm="1">
        <f t="array" ref="O537">IFERROR(playerPoints($H537,$F537,$G537,O$1),"")</f>
        <v/>
      </c>
      <c r="Q537" s="2">
        <f t="shared" si="8"/>
        <v>0</v>
      </c>
    </row>
    <row r="538" spans="1:17">
      <c r="A538" s="2">
        <v>537</v>
      </c>
      <c r="B538" s="2" t="s">
        <v>1911</v>
      </c>
      <c r="C538" s="2" t="s">
        <v>1919</v>
      </c>
      <c r="D538" s="2" t="s">
        <v>883</v>
      </c>
      <c r="F538" s="2" t="str">
        <f>LOOKUP(D538,Sheet3!A$1:A$32,Sheet3!B$1:B$32)</f>
        <v>POR</v>
      </c>
      <c r="G538" s="2" t="s">
        <v>2873</v>
      </c>
      <c r="H538" s="2" t="s">
        <v>57</v>
      </c>
      <c r="I538" s="2" t="str" cm="1">
        <f t="array" ref="I538">IFERROR(playerPoints($H538,$F538,$G538,I$1),"")</f>
        <v/>
      </c>
      <c r="J538" s="2" t="str" cm="1">
        <f t="array" ref="J538">IFERROR(playerPoints($H538,$F538,$G538,J$1),"")</f>
        <v/>
      </c>
      <c r="K538" s="2" t="str" cm="1">
        <f t="array" ref="K538">IFERROR(playerPoints($H538,$F538,$G538,K$1),"")</f>
        <v/>
      </c>
      <c r="L538" s="2" t="str" cm="1">
        <f t="array" ref="L538">IFERROR(playerPoints($H538,$F538,$G538,L$1),"")</f>
        <v/>
      </c>
      <c r="M538" s="2" t="str" cm="1">
        <f t="array" ref="M538">IFERROR(playerPoints($H538,$F538,$G538,M$1),"")</f>
        <v/>
      </c>
      <c r="N538" s="2" t="str" cm="1">
        <f t="array" ref="N538">IFERROR(playerPoints($H538,$F538,$G538,N$1),"")</f>
        <v/>
      </c>
      <c r="O538" s="2" t="str" cm="1">
        <f t="array" ref="O538">IFERROR(playerPoints($H538,$F538,$G538,O$1),"")</f>
        <v/>
      </c>
      <c r="Q538" s="2">
        <f t="shared" si="8"/>
        <v>0</v>
      </c>
    </row>
    <row r="539" spans="1:17">
      <c r="A539" s="2">
        <v>538</v>
      </c>
      <c r="B539" s="2" t="s">
        <v>1906</v>
      </c>
      <c r="C539" s="2" t="s">
        <v>1920</v>
      </c>
      <c r="D539" s="2" t="s">
        <v>883</v>
      </c>
      <c r="F539" s="2" t="str">
        <f>LOOKUP(D539,Sheet3!A$1:A$32,Sheet3!B$1:B$32)</f>
        <v>POR</v>
      </c>
      <c r="G539" s="2" t="s">
        <v>2874</v>
      </c>
      <c r="H539" s="2" t="s">
        <v>57</v>
      </c>
      <c r="I539" s="2" t="str" cm="1">
        <f t="array" ref="I539">IFERROR(playerPoints($H539,$F539,$G539,I$1),"")</f>
        <v/>
      </c>
      <c r="J539" s="2" t="str" cm="1">
        <f t="array" ref="J539">IFERROR(playerPoints($H539,$F539,$G539,J$1),"")</f>
        <v/>
      </c>
      <c r="K539" s="2" t="str" cm="1">
        <f t="array" ref="K539">IFERROR(playerPoints($H539,$F539,$G539,K$1),"")</f>
        <v/>
      </c>
      <c r="L539" s="2" t="str" cm="1">
        <f t="array" ref="L539">IFERROR(playerPoints($H539,$F539,$G539,L$1),"")</f>
        <v/>
      </c>
      <c r="M539" s="2" t="str" cm="1">
        <f t="array" ref="M539">IFERROR(playerPoints($H539,$F539,$G539,M$1),"")</f>
        <v/>
      </c>
      <c r="N539" s="2" t="str" cm="1">
        <f t="array" ref="N539">IFERROR(playerPoints($H539,$F539,$G539,N$1),"")</f>
        <v/>
      </c>
      <c r="O539" s="2" t="str" cm="1">
        <f t="array" ref="O539">IFERROR(playerPoints($H539,$F539,$G539,O$1),"")</f>
        <v/>
      </c>
      <c r="Q539" s="2">
        <f t="shared" si="8"/>
        <v>0</v>
      </c>
    </row>
    <row r="540" spans="1:17">
      <c r="A540" s="2">
        <v>539</v>
      </c>
      <c r="B540" s="2" t="s">
        <v>1921</v>
      </c>
      <c r="C540" s="2" t="s">
        <v>1922</v>
      </c>
      <c r="D540" s="2" t="s">
        <v>883</v>
      </c>
      <c r="F540" s="2" t="str">
        <f>LOOKUP(D540,Sheet3!A$1:A$32,Sheet3!B$1:B$32)</f>
        <v>POR</v>
      </c>
      <c r="G540" s="2" t="s">
        <v>2875</v>
      </c>
      <c r="H540" s="2" t="s">
        <v>57</v>
      </c>
      <c r="I540" s="2" t="str" cm="1">
        <f t="array" ref="I540">IFERROR(playerPoints($H540,$F540,$G540,I$1),"")</f>
        <v/>
      </c>
      <c r="J540" s="2" t="str" cm="1">
        <f t="array" ref="J540">IFERROR(playerPoints($H540,$F540,$G540,J$1),"")</f>
        <v/>
      </c>
      <c r="K540" s="2" t="str" cm="1">
        <f t="array" ref="K540">IFERROR(playerPoints($H540,$F540,$G540,K$1),"")</f>
        <v/>
      </c>
      <c r="L540" s="2" t="str" cm="1">
        <f t="array" ref="L540">IFERROR(playerPoints($H540,$F540,$G540,L$1),"")</f>
        <v/>
      </c>
      <c r="M540" s="2" t="str" cm="1">
        <f t="array" ref="M540">IFERROR(playerPoints($H540,$F540,$G540,M$1),"")</f>
        <v/>
      </c>
      <c r="N540" s="2" t="str" cm="1">
        <f t="array" ref="N540">IFERROR(playerPoints($H540,$F540,$G540,N$1),"")</f>
        <v/>
      </c>
      <c r="O540" s="2" t="str" cm="1">
        <f t="array" ref="O540">IFERROR(playerPoints($H540,$F540,$G540,O$1),"")</f>
        <v/>
      </c>
      <c r="Q540" s="2">
        <f t="shared" si="8"/>
        <v>0</v>
      </c>
    </row>
    <row r="541" spans="1:17">
      <c r="A541" s="2">
        <v>540</v>
      </c>
      <c r="B541" s="2" t="s">
        <v>1160</v>
      </c>
      <c r="C541" s="2" t="s">
        <v>171</v>
      </c>
      <c r="D541" s="2" t="s">
        <v>883</v>
      </c>
      <c r="F541" s="2" t="str">
        <f>LOOKUP(D541,Sheet3!A$1:A$32,Sheet3!B$1:B$32)</f>
        <v>POR</v>
      </c>
      <c r="G541" s="2" t="s">
        <v>2876</v>
      </c>
      <c r="H541" s="2" t="s">
        <v>57</v>
      </c>
      <c r="I541" s="2" t="str" cm="1">
        <f t="array" ref="I541">IFERROR(playerPoints($H541,$F541,$G541,I$1),"")</f>
        <v/>
      </c>
      <c r="J541" s="2" t="str" cm="1">
        <f t="array" ref="J541">IFERROR(playerPoints($H541,$F541,$G541,J$1),"")</f>
        <v/>
      </c>
      <c r="K541" s="2" t="str" cm="1">
        <f t="array" ref="K541">IFERROR(playerPoints($H541,$F541,$G541,K$1),"")</f>
        <v/>
      </c>
      <c r="L541" s="2" t="str" cm="1">
        <f t="array" ref="L541">IFERROR(playerPoints($H541,$F541,$G541,L$1),"")</f>
        <v/>
      </c>
      <c r="M541" s="2" t="str" cm="1">
        <f t="array" ref="M541">IFERROR(playerPoints($H541,$F541,$G541,M$1),"")</f>
        <v/>
      </c>
      <c r="N541" s="2" t="str" cm="1">
        <f t="array" ref="N541">IFERROR(playerPoints($H541,$F541,$G541,N$1),"")</f>
        <v/>
      </c>
      <c r="O541" s="2" t="str" cm="1">
        <f t="array" ref="O541">IFERROR(playerPoints($H541,$F541,$G541,O$1),"")</f>
        <v/>
      </c>
      <c r="Q541" s="2">
        <f t="shared" si="8"/>
        <v>0</v>
      </c>
    </row>
    <row r="542" spans="1:17">
      <c r="A542" s="2">
        <v>541</v>
      </c>
      <c r="B542" s="2" t="s">
        <v>1923</v>
      </c>
      <c r="C542" s="2" t="s">
        <v>1924</v>
      </c>
      <c r="D542" s="2" t="s">
        <v>883</v>
      </c>
      <c r="F542" s="2" t="str">
        <f>LOOKUP(D542,Sheet3!A$1:A$32,Sheet3!B$1:B$32)</f>
        <v>POR</v>
      </c>
      <c r="G542" s="2" t="s">
        <v>2877</v>
      </c>
      <c r="H542" s="2" t="s">
        <v>66</v>
      </c>
      <c r="I542" s="2" t="str" cm="1">
        <f t="array" ref="I542">IFERROR(playerPoints($H542,$F542,$G542,I$1),"")</f>
        <v/>
      </c>
      <c r="J542" s="2" t="str" cm="1">
        <f t="array" ref="J542">IFERROR(playerPoints($H542,$F542,$G542,J$1),"")</f>
        <v/>
      </c>
      <c r="K542" s="2" t="str" cm="1">
        <f t="array" ref="K542">IFERROR(playerPoints($H542,$F542,$G542,K$1),"")</f>
        <v/>
      </c>
      <c r="L542" s="2" t="str" cm="1">
        <f t="array" ref="L542">IFERROR(playerPoints($H542,$F542,$G542,L$1),"")</f>
        <v/>
      </c>
      <c r="M542" s="2" t="str" cm="1">
        <f t="array" ref="M542">IFERROR(playerPoints($H542,$F542,$G542,M$1),"")</f>
        <v/>
      </c>
      <c r="N542" s="2" t="str" cm="1">
        <f t="array" ref="N542">IFERROR(playerPoints($H542,$F542,$G542,N$1),"")</f>
        <v/>
      </c>
      <c r="O542" s="2" t="str" cm="1">
        <f t="array" ref="O542">IFERROR(playerPoints($H542,$F542,$G542,O$1),"")</f>
        <v/>
      </c>
      <c r="Q542" s="2">
        <f t="shared" si="8"/>
        <v>0</v>
      </c>
    </row>
    <row r="543" spans="1:17">
      <c r="A543" s="2">
        <v>542</v>
      </c>
      <c r="B543" s="2" t="s">
        <v>1613</v>
      </c>
      <c r="C543" s="2" t="s">
        <v>1162</v>
      </c>
      <c r="D543" s="2" t="s">
        <v>883</v>
      </c>
      <c r="F543" s="2" t="str">
        <f>LOOKUP(D543,Sheet3!A$1:A$32,Sheet3!B$1:B$32)</f>
        <v>POR</v>
      </c>
      <c r="G543" s="2" t="s">
        <v>2866</v>
      </c>
      <c r="H543" s="2" t="s">
        <v>66</v>
      </c>
      <c r="I543" s="2" t="str" cm="1">
        <f t="array" ref="I543">IFERROR(playerPoints($H543,$F543,$G543,I$1),"")</f>
        <v/>
      </c>
      <c r="J543" s="2" t="str" cm="1">
        <f t="array" ref="J543">IFERROR(playerPoints($H543,$F543,$G543,J$1),"")</f>
        <v/>
      </c>
      <c r="K543" s="2" t="str" cm="1">
        <f t="array" ref="K543">IFERROR(playerPoints($H543,$F543,$G543,K$1),"")</f>
        <v/>
      </c>
      <c r="L543" s="2" t="str" cm="1">
        <f t="array" ref="L543">IFERROR(playerPoints($H543,$F543,$G543,L$1),"")</f>
        <v/>
      </c>
      <c r="M543" s="2" t="str" cm="1">
        <f t="array" ref="M543">IFERROR(playerPoints($H543,$F543,$G543,M$1),"")</f>
        <v/>
      </c>
      <c r="N543" s="2" t="str" cm="1">
        <f t="array" ref="N543">IFERROR(playerPoints($H543,$F543,$G543,N$1),"")</f>
        <v/>
      </c>
      <c r="O543" s="2" t="str" cm="1">
        <f t="array" ref="O543">IFERROR(playerPoints($H543,$F543,$G543,O$1),"")</f>
        <v/>
      </c>
      <c r="Q543" s="2">
        <f t="shared" si="8"/>
        <v>0</v>
      </c>
    </row>
    <row r="544" spans="1:17">
      <c r="A544" s="2">
        <v>543</v>
      </c>
      <c r="B544" s="2" t="s">
        <v>1911</v>
      </c>
      <c r="C544" s="2" t="s">
        <v>1412</v>
      </c>
      <c r="D544" s="2" t="s">
        <v>883</v>
      </c>
      <c r="F544" s="2" t="str">
        <f>LOOKUP(D544,Sheet3!A$1:A$32,Sheet3!B$1:B$32)</f>
        <v>POR</v>
      </c>
      <c r="G544" s="2" t="s">
        <v>2878</v>
      </c>
      <c r="H544" s="2" t="s">
        <v>66</v>
      </c>
      <c r="I544" s="2" t="str" cm="1">
        <f t="array" ref="I544">IFERROR(playerPoints($H544,$F544,$G544,I$1),"")</f>
        <v/>
      </c>
      <c r="J544" s="2" t="str" cm="1">
        <f t="array" ref="J544">IFERROR(playerPoints($H544,$F544,$G544,J$1),"")</f>
        <v/>
      </c>
      <c r="K544" s="2" t="str" cm="1">
        <f t="array" ref="K544">IFERROR(playerPoints($H544,$F544,$G544,K$1),"")</f>
        <v/>
      </c>
      <c r="L544" s="2" t="str" cm="1">
        <f t="array" ref="L544">IFERROR(playerPoints($H544,$F544,$G544,L$1),"")</f>
        <v/>
      </c>
      <c r="M544" s="2" t="str" cm="1">
        <f t="array" ref="M544">IFERROR(playerPoints($H544,$F544,$G544,M$1),"")</f>
        <v/>
      </c>
      <c r="N544" s="2" t="str" cm="1">
        <f t="array" ref="N544">IFERROR(playerPoints($H544,$F544,$G544,N$1),"")</f>
        <v/>
      </c>
      <c r="O544" s="2" t="str" cm="1">
        <f t="array" ref="O544">IFERROR(playerPoints($H544,$F544,$G544,O$1),"")</f>
        <v/>
      </c>
      <c r="Q544" s="2">
        <f t="shared" si="8"/>
        <v>0</v>
      </c>
    </row>
    <row r="545" spans="1:17">
      <c r="A545" s="2">
        <v>544</v>
      </c>
      <c r="B545" s="2" t="s">
        <v>1925</v>
      </c>
      <c r="C545" s="2" t="s">
        <v>1926</v>
      </c>
      <c r="D545" s="2" t="s">
        <v>883</v>
      </c>
      <c r="F545" s="2" t="str">
        <f>LOOKUP(D545,Sheet3!A$1:A$32,Sheet3!B$1:B$32)</f>
        <v>POR</v>
      </c>
      <c r="G545" s="2" t="s">
        <v>2879</v>
      </c>
      <c r="H545" s="2" t="s">
        <v>66</v>
      </c>
      <c r="I545" s="2" t="str" cm="1">
        <f t="array" ref="I545">IFERROR(playerPoints($H545,$F545,$G545,I$1),"")</f>
        <v/>
      </c>
      <c r="J545" s="2" t="str" cm="1">
        <f t="array" ref="J545">IFERROR(playerPoints($H545,$F545,$G545,J$1),"")</f>
        <v/>
      </c>
      <c r="K545" s="2" t="str" cm="1">
        <f t="array" ref="K545">IFERROR(playerPoints($H545,$F545,$G545,K$1),"")</f>
        <v/>
      </c>
      <c r="L545" s="2" t="str" cm="1">
        <f t="array" ref="L545">IFERROR(playerPoints($H545,$F545,$G545,L$1),"")</f>
        <v/>
      </c>
      <c r="M545" s="2" t="str" cm="1">
        <f t="array" ref="M545">IFERROR(playerPoints($H545,$F545,$G545,M$1),"")</f>
        <v/>
      </c>
      <c r="N545" s="2" t="str" cm="1">
        <f t="array" ref="N545">IFERROR(playerPoints($H545,$F545,$G545,N$1),"")</f>
        <v/>
      </c>
      <c r="O545" s="2" t="str" cm="1">
        <f t="array" ref="O545">IFERROR(playerPoints($H545,$F545,$G545,O$1),"")</f>
        <v/>
      </c>
      <c r="Q545" s="2">
        <f t="shared" si="8"/>
        <v>0</v>
      </c>
    </row>
    <row r="546" spans="1:17">
      <c r="A546" s="2">
        <v>545</v>
      </c>
      <c r="B546" s="2" t="s">
        <v>1927</v>
      </c>
      <c r="C546" s="2" t="s">
        <v>1928</v>
      </c>
      <c r="D546" s="2" t="s">
        <v>883</v>
      </c>
      <c r="F546" s="2" t="str">
        <f>LOOKUP(D546,Sheet3!A$1:A$32,Sheet3!B$1:B$32)</f>
        <v>POR</v>
      </c>
      <c r="G546" s="2" t="s">
        <v>2880</v>
      </c>
      <c r="H546" s="2" t="s">
        <v>66</v>
      </c>
      <c r="I546" s="2" t="str" cm="1">
        <f t="array" ref="I546">IFERROR(playerPoints($H546,$F546,$G546,I$1),"")</f>
        <v/>
      </c>
      <c r="J546" s="2" t="str" cm="1">
        <f t="array" ref="J546">IFERROR(playerPoints($H546,$F546,$G546,J$1),"")</f>
        <v/>
      </c>
      <c r="K546" s="2" t="str" cm="1">
        <f t="array" ref="K546">IFERROR(playerPoints($H546,$F546,$G546,K$1),"")</f>
        <v/>
      </c>
      <c r="L546" s="2" t="str" cm="1">
        <f t="array" ref="L546">IFERROR(playerPoints($H546,$F546,$G546,L$1),"")</f>
        <v/>
      </c>
      <c r="M546" s="2" t="str" cm="1">
        <f t="array" ref="M546">IFERROR(playerPoints($H546,$F546,$G546,M$1),"")</f>
        <v/>
      </c>
      <c r="N546" s="2" t="str" cm="1">
        <f t="array" ref="N546">IFERROR(playerPoints($H546,$F546,$G546,N$1),"")</f>
        <v/>
      </c>
      <c r="O546" s="2" t="str" cm="1">
        <f t="array" ref="O546">IFERROR(playerPoints($H546,$F546,$G546,O$1),"")</f>
        <v/>
      </c>
      <c r="Q546" s="2">
        <f t="shared" si="8"/>
        <v>0</v>
      </c>
    </row>
    <row r="547" spans="1:17">
      <c r="A547" s="2">
        <v>546</v>
      </c>
      <c r="B547" s="2" t="s">
        <v>1929</v>
      </c>
      <c r="C547" s="2" t="s">
        <v>1930</v>
      </c>
      <c r="D547" s="2" t="s">
        <v>883</v>
      </c>
      <c r="F547" s="2" t="str">
        <f>LOOKUP(D547,Sheet3!A$1:A$32,Sheet3!B$1:B$32)</f>
        <v>POR</v>
      </c>
      <c r="G547" s="2" t="s">
        <v>2881</v>
      </c>
      <c r="H547" s="2" t="s">
        <v>66</v>
      </c>
      <c r="I547" s="2" t="str" cm="1">
        <f t="array" ref="I547">IFERROR(playerPoints($H547,$F547,$G547,I$1),"")</f>
        <v/>
      </c>
      <c r="J547" s="2" t="str" cm="1">
        <f t="array" ref="J547">IFERROR(playerPoints($H547,$F547,$G547,J$1),"")</f>
        <v/>
      </c>
      <c r="K547" s="2" t="str" cm="1">
        <f t="array" ref="K547">IFERROR(playerPoints($H547,$F547,$G547,K$1),"")</f>
        <v/>
      </c>
      <c r="L547" s="2" t="str" cm="1">
        <f t="array" ref="L547">IFERROR(playerPoints($H547,$F547,$G547,L$1),"")</f>
        <v/>
      </c>
      <c r="M547" s="2" t="str" cm="1">
        <f t="array" ref="M547">IFERROR(playerPoints($H547,$F547,$G547,M$1),"")</f>
        <v/>
      </c>
      <c r="N547" s="2" t="str" cm="1">
        <f t="array" ref="N547">IFERROR(playerPoints($H547,$F547,$G547,N$1),"")</f>
        <v/>
      </c>
      <c r="O547" s="2" t="str" cm="1">
        <f t="array" ref="O547">IFERROR(playerPoints($H547,$F547,$G547,O$1),"")</f>
        <v/>
      </c>
      <c r="Q547" s="2">
        <f t="shared" si="8"/>
        <v>0</v>
      </c>
    </row>
    <row r="548" spans="1:17">
      <c r="A548" s="2">
        <v>547</v>
      </c>
      <c r="B548" s="2" t="s">
        <v>1931</v>
      </c>
      <c r="C548" s="2" t="s">
        <v>1932</v>
      </c>
      <c r="D548" s="2" t="s">
        <v>884</v>
      </c>
      <c r="F548" s="2" t="str">
        <f>LOOKUP(D548,Sheet3!A$1:A$32,Sheet3!B$1:B$32)</f>
        <v>QAT</v>
      </c>
      <c r="G548" s="2" t="s">
        <v>2882</v>
      </c>
      <c r="H548" s="2" t="s">
        <v>44</v>
      </c>
      <c r="I548" s="2" t="str" cm="1">
        <f t="array" ref="I548">IFERROR(playerPoints($H548,$F548,$G548,I$1),"")</f>
        <v/>
      </c>
      <c r="J548" s="2" t="str" cm="1">
        <f t="array" ref="J548">IFERROR(playerPoints($H548,$F548,$G548,J$1),"")</f>
        <v/>
      </c>
      <c r="K548" s="2" t="str" cm="1">
        <f t="array" ref="K548">IFERROR(playerPoints($H548,$F548,$G548,K$1),"")</f>
        <v/>
      </c>
      <c r="L548" s="2" t="str" cm="1">
        <f t="array" ref="L548">IFERROR(playerPoints($H548,$F548,$G548,L$1),"")</f>
        <v/>
      </c>
      <c r="M548" s="2" t="str" cm="1">
        <f t="array" ref="M548">IFERROR(playerPoints($H548,$F548,$G548,M$1),"")</f>
        <v/>
      </c>
      <c r="N548" s="2" t="str" cm="1">
        <f t="array" ref="N548">IFERROR(playerPoints($H548,$F548,$G548,N$1),"")</f>
        <v/>
      </c>
      <c r="O548" s="2" t="str" cm="1">
        <f t="array" ref="O548">IFERROR(playerPoints($H548,$F548,$G548,O$1),"")</f>
        <v/>
      </c>
      <c r="Q548" s="2">
        <f t="shared" si="8"/>
        <v>0</v>
      </c>
    </row>
    <row r="549" spans="1:17">
      <c r="A549" s="2">
        <v>548</v>
      </c>
      <c r="B549" s="2" t="s">
        <v>1933</v>
      </c>
      <c r="C549" s="2" t="s">
        <v>1934</v>
      </c>
      <c r="D549" s="2" t="s">
        <v>884</v>
      </c>
      <c r="F549" s="2" t="str">
        <f>LOOKUP(D549,Sheet3!A$1:A$32,Sheet3!B$1:B$32)</f>
        <v>QAT</v>
      </c>
      <c r="G549" s="2" t="s">
        <v>2883</v>
      </c>
      <c r="H549" s="2" t="s">
        <v>44</v>
      </c>
      <c r="I549" s="2" t="str" cm="1">
        <f t="array" ref="I549">IFERROR(playerPoints($H549,$F549,$G549,I$1),"")</f>
        <v/>
      </c>
      <c r="J549" s="2" t="str" cm="1">
        <f t="array" ref="J549">IFERROR(playerPoints($H549,$F549,$G549,J$1),"")</f>
        <v/>
      </c>
      <c r="K549" s="2" t="str" cm="1">
        <f t="array" ref="K549">IFERROR(playerPoints($H549,$F549,$G549,K$1),"")</f>
        <v/>
      </c>
      <c r="L549" s="2" t="str" cm="1">
        <f t="array" ref="L549">IFERROR(playerPoints($H549,$F549,$G549,L$1),"")</f>
        <v/>
      </c>
      <c r="M549" s="2" t="str" cm="1">
        <f t="array" ref="M549">IFERROR(playerPoints($H549,$F549,$G549,M$1),"")</f>
        <v/>
      </c>
      <c r="N549" s="2" t="str" cm="1">
        <f t="array" ref="N549">IFERROR(playerPoints($H549,$F549,$G549,N$1),"")</f>
        <v/>
      </c>
      <c r="O549" s="2" t="str" cm="1">
        <f t="array" ref="O549">IFERROR(playerPoints($H549,$F549,$G549,O$1),"")</f>
        <v/>
      </c>
      <c r="Q549" s="2">
        <f t="shared" si="8"/>
        <v>0</v>
      </c>
    </row>
    <row r="550" spans="1:17">
      <c r="A550" s="2">
        <v>549</v>
      </c>
      <c r="B550" s="2" t="s">
        <v>1935</v>
      </c>
      <c r="C550" s="2" t="s">
        <v>1936</v>
      </c>
      <c r="D550" s="2" t="s">
        <v>884</v>
      </c>
      <c r="F550" s="2" t="str">
        <f>LOOKUP(D550,Sheet3!A$1:A$32,Sheet3!B$1:B$32)</f>
        <v>QAT</v>
      </c>
      <c r="G550" s="2" t="s">
        <v>2884</v>
      </c>
      <c r="H550" s="2" t="s">
        <v>44</v>
      </c>
      <c r="I550" s="2" t="str" cm="1">
        <f t="array" ref="I550">IFERROR(playerPoints($H550,$F550,$G550,I$1),"")</f>
        <v/>
      </c>
      <c r="J550" s="2" t="str" cm="1">
        <f t="array" ref="J550">IFERROR(playerPoints($H550,$F550,$G550,J$1),"")</f>
        <v/>
      </c>
      <c r="K550" s="2" t="str" cm="1">
        <f t="array" ref="K550">IFERROR(playerPoints($H550,$F550,$G550,K$1),"")</f>
        <v/>
      </c>
      <c r="L550" s="2" t="str" cm="1">
        <f t="array" ref="L550">IFERROR(playerPoints($H550,$F550,$G550,L$1),"")</f>
        <v/>
      </c>
      <c r="M550" s="2" t="str" cm="1">
        <f t="array" ref="M550">IFERROR(playerPoints($H550,$F550,$G550,M$1),"")</f>
        <v/>
      </c>
      <c r="N550" s="2" t="str" cm="1">
        <f t="array" ref="N550">IFERROR(playerPoints($H550,$F550,$G550,N$1),"")</f>
        <v/>
      </c>
      <c r="O550" s="2" t="str" cm="1">
        <f t="array" ref="O550">IFERROR(playerPoints($H550,$F550,$G550,O$1),"")</f>
        <v/>
      </c>
      <c r="Q550" s="2">
        <f t="shared" si="8"/>
        <v>0</v>
      </c>
    </row>
    <row r="551" spans="1:17">
      <c r="A551" s="2">
        <v>550</v>
      </c>
      <c r="B551" s="2" t="s">
        <v>566</v>
      </c>
      <c r="C551" s="2" t="s">
        <v>1937</v>
      </c>
      <c r="D551" s="2" t="s">
        <v>884</v>
      </c>
      <c r="F551" s="2" t="str">
        <f>LOOKUP(D551,Sheet3!A$1:A$32,Sheet3!B$1:B$32)</f>
        <v>QAT</v>
      </c>
      <c r="G551" s="2" t="s">
        <v>2885</v>
      </c>
      <c r="H551" s="2" t="s">
        <v>48</v>
      </c>
      <c r="I551" s="2" t="str" cm="1">
        <f t="array" ref="I551">IFERROR(playerPoints($H551,$F551,$G551,I$1),"")</f>
        <v/>
      </c>
      <c r="J551" s="2" t="str" cm="1">
        <f t="array" ref="J551">IFERROR(playerPoints($H551,$F551,$G551,J$1),"")</f>
        <v/>
      </c>
      <c r="K551" s="2" t="str" cm="1">
        <f t="array" ref="K551">IFERROR(playerPoints($H551,$F551,$G551,K$1),"")</f>
        <v/>
      </c>
      <c r="L551" s="2" t="str" cm="1">
        <f t="array" ref="L551">IFERROR(playerPoints($H551,$F551,$G551,L$1),"")</f>
        <v/>
      </c>
      <c r="M551" s="2" t="str" cm="1">
        <f t="array" ref="M551">IFERROR(playerPoints($H551,$F551,$G551,M$1),"")</f>
        <v/>
      </c>
      <c r="N551" s="2" t="str" cm="1">
        <f t="array" ref="N551">IFERROR(playerPoints($H551,$F551,$G551,N$1),"")</f>
        <v/>
      </c>
      <c r="O551" s="2" t="str" cm="1">
        <f t="array" ref="O551">IFERROR(playerPoints($H551,$F551,$G551,O$1),"")</f>
        <v/>
      </c>
      <c r="Q551" s="2">
        <f t="shared" si="8"/>
        <v>0</v>
      </c>
    </row>
    <row r="552" spans="1:17">
      <c r="A552" s="2">
        <v>551</v>
      </c>
      <c r="B552" s="2" t="s">
        <v>1938</v>
      </c>
      <c r="C552" s="2" t="s">
        <v>1934</v>
      </c>
      <c r="D552" s="2" t="s">
        <v>884</v>
      </c>
      <c r="F552" s="2" t="str">
        <f>LOOKUP(D552,Sheet3!A$1:A$32,Sheet3!B$1:B$32)</f>
        <v>QAT</v>
      </c>
      <c r="G552" s="2" t="s">
        <v>2886</v>
      </c>
      <c r="H552" s="2" t="s">
        <v>48</v>
      </c>
      <c r="I552" s="2" t="str" cm="1">
        <f t="array" ref="I552">IFERROR(playerPoints($H552,$F552,$G552,I$1),"")</f>
        <v/>
      </c>
      <c r="J552" s="2" t="str" cm="1">
        <f t="array" ref="J552">IFERROR(playerPoints($H552,$F552,$G552,J$1),"")</f>
        <v/>
      </c>
      <c r="K552" s="2" t="str" cm="1">
        <f t="array" ref="K552">IFERROR(playerPoints($H552,$F552,$G552,K$1),"")</f>
        <v/>
      </c>
      <c r="L552" s="2" t="str" cm="1">
        <f t="array" ref="L552">IFERROR(playerPoints($H552,$F552,$G552,L$1),"")</f>
        <v/>
      </c>
      <c r="M552" s="2" t="str" cm="1">
        <f t="array" ref="M552">IFERROR(playerPoints($H552,$F552,$G552,M$1),"")</f>
        <v/>
      </c>
      <c r="N552" s="2" t="str" cm="1">
        <f t="array" ref="N552">IFERROR(playerPoints($H552,$F552,$G552,N$1),"")</f>
        <v/>
      </c>
      <c r="O552" s="2" t="str" cm="1">
        <f t="array" ref="O552">IFERROR(playerPoints($H552,$F552,$G552,O$1),"")</f>
        <v/>
      </c>
      <c r="Q552" s="2">
        <f t="shared" si="8"/>
        <v>0</v>
      </c>
    </row>
    <row r="553" spans="1:17">
      <c r="A553" s="2">
        <v>552</v>
      </c>
      <c r="B553" s="2" t="s">
        <v>1939</v>
      </c>
      <c r="C553" s="2" t="s">
        <v>1940</v>
      </c>
      <c r="D553" s="2" t="s">
        <v>884</v>
      </c>
      <c r="F553" s="2" t="str">
        <f>LOOKUP(D553,Sheet3!A$1:A$32,Sheet3!B$1:B$32)</f>
        <v>QAT</v>
      </c>
      <c r="G553" s="2" t="s">
        <v>2887</v>
      </c>
      <c r="H553" s="2" t="s">
        <v>48</v>
      </c>
      <c r="I553" s="2" t="str" cm="1">
        <f t="array" ref="I553">IFERROR(playerPoints($H553,$F553,$G553,I$1),"")</f>
        <v/>
      </c>
      <c r="J553" s="2" t="str" cm="1">
        <f t="array" ref="J553">IFERROR(playerPoints($H553,$F553,$G553,J$1),"")</f>
        <v/>
      </c>
      <c r="K553" s="2" t="str" cm="1">
        <f t="array" ref="K553">IFERROR(playerPoints($H553,$F553,$G553,K$1),"")</f>
        <v/>
      </c>
      <c r="L553" s="2" t="str" cm="1">
        <f t="array" ref="L553">IFERROR(playerPoints($H553,$F553,$G553,L$1),"")</f>
        <v/>
      </c>
      <c r="M553" s="2" t="str" cm="1">
        <f t="array" ref="M553">IFERROR(playerPoints($H553,$F553,$G553,M$1),"")</f>
        <v/>
      </c>
      <c r="N553" s="2" t="str" cm="1">
        <f t="array" ref="N553">IFERROR(playerPoints($H553,$F553,$G553,N$1),"")</f>
        <v/>
      </c>
      <c r="O553" s="2" t="str" cm="1">
        <f t="array" ref="O553">IFERROR(playerPoints($H553,$F553,$G553,O$1),"")</f>
        <v/>
      </c>
      <c r="Q553" s="2">
        <f t="shared" si="8"/>
        <v>0</v>
      </c>
    </row>
    <row r="554" spans="1:17">
      <c r="A554" s="2">
        <v>553</v>
      </c>
      <c r="B554" s="2" t="s">
        <v>1941</v>
      </c>
      <c r="C554" s="2" t="s">
        <v>1942</v>
      </c>
      <c r="D554" s="2" t="s">
        <v>884</v>
      </c>
      <c r="F554" s="2" t="str">
        <f>LOOKUP(D554,Sheet3!A$1:A$32,Sheet3!B$1:B$32)</f>
        <v>QAT</v>
      </c>
      <c r="G554" s="2" t="s">
        <v>2888</v>
      </c>
      <c r="H554" s="2" t="s">
        <v>48</v>
      </c>
      <c r="I554" s="2" t="str" cm="1">
        <f t="array" ref="I554">IFERROR(playerPoints($H554,$F554,$G554,I$1),"")</f>
        <v/>
      </c>
      <c r="J554" s="2" t="str" cm="1">
        <f t="array" ref="J554">IFERROR(playerPoints($H554,$F554,$G554,J$1),"")</f>
        <v/>
      </c>
      <c r="K554" s="2" t="str" cm="1">
        <f t="array" ref="K554">IFERROR(playerPoints($H554,$F554,$G554,K$1),"")</f>
        <v/>
      </c>
      <c r="L554" s="2" t="str" cm="1">
        <f t="array" ref="L554">IFERROR(playerPoints($H554,$F554,$G554,L$1),"")</f>
        <v/>
      </c>
      <c r="M554" s="2" t="str" cm="1">
        <f t="array" ref="M554">IFERROR(playerPoints($H554,$F554,$G554,M$1),"")</f>
        <v/>
      </c>
      <c r="N554" s="2" t="str" cm="1">
        <f t="array" ref="N554">IFERROR(playerPoints($H554,$F554,$G554,N$1),"")</f>
        <v/>
      </c>
      <c r="O554" s="2" t="str" cm="1">
        <f t="array" ref="O554">IFERROR(playerPoints($H554,$F554,$G554,O$1),"")</f>
        <v/>
      </c>
      <c r="Q554" s="2">
        <f t="shared" si="8"/>
        <v>0</v>
      </c>
    </row>
    <row r="555" spans="1:17">
      <c r="A555" s="2">
        <v>554</v>
      </c>
      <c r="B555" s="2" t="s">
        <v>1943</v>
      </c>
      <c r="C555" s="2" t="s">
        <v>1944</v>
      </c>
      <c r="D555" s="2" t="s">
        <v>884</v>
      </c>
      <c r="F555" s="2" t="str">
        <f>LOOKUP(D555,Sheet3!A$1:A$32,Sheet3!B$1:B$32)</f>
        <v>QAT</v>
      </c>
      <c r="G555" s="2" t="s">
        <v>2889</v>
      </c>
      <c r="H555" s="2" t="s">
        <v>48</v>
      </c>
      <c r="I555" s="2" t="str" cm="1">
        <f t="array" ref="I555">IFERROR(playerPoints($H555,$F555,$G555,I$1),"")</f>
        <v/>
      </c>
      <c r="J555" s="2" t="str" cm="1">
        <f t="array" ref="J555">IFERROR(playerPoints($H555,$F555,$G555,J$1),"")</f>
        <v/>
      </c>
      <c r="K555" s="2" t="str" cm="1">
        <f t="array" ref="K555">IFERROR(playerPoints($H555,$F555,$G555,K$1),"")</f>
        <v/>
      </c>
      <c r="L555" s="2" t="str" cm="1">
        <f t="array" ref="L555">IFERROR(playerPoints($H555,$F555,$G555,L$1),"")</f>
        <v/>
      </c>
      <c r="M555" s="2" t="str" cm="1">
        <f t="array" ref="M555">IFERROR(playerPoints($H555,$F555,$G555,M$1),"")</f>
        <v/>
      </c>
      <c r="N555" s="2" t="str" cm="1">
        <f t="array" ref="N555">IFERROR(playerPoints($H555,$F555,$G555,N$1),"")</f>
        <v/>
      </c>
      <c r="O555" s="2" t="str" cm="1">
        <f t="array" ref="O555">IFERROR(playerPoints($H555,$F555,$G555,O$1),"")</f>
        <v/>
      </c>
      <c r="Q555" s="2">
        <f t="shared" si="8"/>
        <v>0</v>
      </c>
    </row>
    <row r="556" spans="1:17">
      <c r="A556" s="2">
        <v>555</v>
      </c>
      <c r="B556" s="2" t="s">
        <v>1945</v>
      </c>
      <c r="C556" s="2" t="s">
        <v>1946</v>
      </c>
      <c r="D556" s="2" t="s">
        <v>884</v>
      </c>
      <c r="F556" s="2" t="str">
        <f>LOOKUP(D556,Sheet3!A$1:A$32,Sheet3!B$1:B$32)</f>
        <v>QAT</v>
      </c>
      <c r="G556" s="2" t="s">
        <v>2890</v>
      </c>
      <c r="H556" s="2" t="s">
        <v>48</v>
      </c>
      <c r="I556" s="2" t="str" cm="1">
        <f t="array" ref="I556">IFERROR(playerPoints($H556,$F556,$G556,I$1),"")</f>
        <v/>
      </c>
      <c r="J556" s="2" t="str" cm="1">
        <f t="array" ref="J556">IFERROR(playerPoints($H556,$F556,$G556,J$1),"")</f>
        <v/>
      </c>
      <c r="K556" s="2" t="str" cm="1">
        <f t="array" ref="K556">IFERROR(playerPoints($H556,$F556,$G556,K$1),"")</f>
        <v/>
      </c>
      <c r="L556" s="2" t="str" cm="1">
        <f t="array" ref="L556">IFERROR(playerPoints($H556,$F556,$G556,L$1),"")</f>
        <v/>
      </c>
      <c r="M556" s="2" t="str" cm="1">
        <f t="array" ref="M556">IFERROR(playerPoints($H556,$F556,$G556,M$1),"")</f>
        <v/>
      </c>
      <c r="N556" s="2" t="str" cm="1">
        <f t="array" ref="N556">IFERROR(playerPoints($H556,$F556,$G556,N$1),"")</f>
        <v/>
      </c>
      <c r="O556" s="2" t="str" cm="1">
        <f t="array" ref="O556">IFERROR(playerPoints($H556,$F556,$G556,O$1),"")</f>
        <v/>
      </c>
      <c r="Q556" s="2">
        <f t="shared" si="8"/>
        <v>0</v>
      </c>
    </row>
    <row r="557" spans="1:17">
      <c r="A557" s="2">
        <v>556</v>
      </c>
      <c r="B557" s="2" t="s">
        <v>1947</v>
      </c>
      <c r="C557" s="2" t="s">
        <v>1948</v>
      </c>
      <c r="D557" s="2" t="s">
        <v>884</v>
      </c>
      <c r="F557" s="2" t="str">
        <f>LOOKUP(D557,Sheet3!A$1:A$32,Sheet3!B$1:B$32)</f>
        <v>QAT</v>
      </c>
      <c r="G557" s="2" t="s">
        <v>2891</v>
      </c>
      <c r="H557" s="2" t="s">
        <v>48</v>
      </c>
      <c r="I557" s="2" t="str" cm="1">
        <f t="array" ref="I557">IFERROR(playerPoints($H557,$F557,$G557,I$1),"")</f>
        <v/>
      </c>
      <c r="J557" s="2" t="str" cm="1">
        <f t="array" ref="J557">IFERROR(playerPoints($H557,$F557,$G557,J$1),"")</f>
        <v/>
      </c>
      <c r="K557" s="2" t="str" cm="1">
        <f t="array" ref="K557">IFERROR(playerPoints($H557,$F557,$G557,K$1),"")</f>
        <v/>
      </c>
      <c r="L557" s="2" t="str" cm="1">
        <f t="array" ref="L557">IFERROR(playerPoints($H557,$F557,$G557,L$1),"")</f>
        <v/>
      </c>
      <c r="M557" s="2" t="str" cm="1">
        <f t="array" ref="M557">IFERROR(playerPoints($H557,$F557,$G557,M$1),"")</f>
        <v/>
      </c>
      <c r="N557" s="2" t="str" cm="1">
        <f t="array" ref="N557">IFERROR(playerPoints($H557,$F557,$G557,N$1),"")</f>
        <v/>
      </c>
      <c r="O557" s="2" t="str" cm="1">
        <f t="array" ref="O557">IFERROR(playerPoints($H557,$F557,$G557,O$1),"")</f>
        <v/>
      </c>
      <c r="Q557" s="2">
        <f t="shared" si="8"/>
        <v>0</v>
      </c>
    </row>
    <row r="558" spans="1:17">
      <c r="A558" s="2">
        <v>557</v>
      </c>
      <c r="B558" s="2" t="s">
        <v>1949</v>
      </c>
      <c r="C558" s="2" t="s">
        <v>1950</v>
      </c>
      <c r="D558" s="2" t="s">
        <v>884</v>
      </c>
      <c r="F558" s="2" t="str">
        <f>LOOKUP(D558,Sheet3!A$1:A$32,Sheet3!B$1:B$32)</f>
        <v>QAT</v>
      </c>
      <c r="G558" s="2" t="s">
        <v>2892</v>
      </c>
      <c r="H558" s="2" t="s">
        <v>48</v>
      </c>
      <c r="I558" s="2" t="str" cm="1">
        <f t="array" ref="I558">IFERROR(playerPoints($H558,$F558,$G558,I$1),"")</f>
        <v/>
      </c>
      <c r="J558" s="2" t="str" cm="1">
        <f t="array" ref="J558">IFERROR(playerPoints($H558,$F558,$G558,J$1),"")</f>
        <v/>
      </c>
      <c r="K558" s="2" t="str" cm="1">
        <f t="array" ref="K558">IFERROR(playerPoints($H558,$F558,$G558,K$1),"")</f>
        <v/>
      </c>
      <c r="L558" s="2" t="str" cm="1">
        <f t="array" ref="L558">IFERROR(playerPoints($H558,$F558,$G558,L$1),"")</f>
        <v/>
      </c>
      <c r="M558" s="2" t="str" cm="1">
        <f t="array" ref="M558">IFERROR(playerPoints($H558,$F558,$G558,M$1),"")</f>
        <v/>
      </c>
      <c r="N558" s="2" t="str" cm="1">
        <f t="array" ref="N558">IFERROR(playerPoints($H558,$F558,$G558,N$1),"")</f>
        <v/>
      </c>
      <c r="O558" s="2" t="str" cm="1">
        <f t="array" ref="O558">IFERROR(playerPoints($H558,$F558,$G558,O$1),"")</f>
        <v/>
      </c>
      <c r="Q558" s="2">
        <f t="shared" si="8"/>
        <v>0</v>
      </c>
    </row>
    <row r="559" spans="1:17">
      <c r="A559" s="2">
        <v>558</v>
      </c>
      <c r="B559" s="2" t="s">
        <v>1951</v>
      </c>
      <c r="C559" s="2" t="s">
        <v>1952</v>
      </c>
      <c r="D559" s="2" t="s">
        <v>884</v>
      </c>
      <c r="F559" s="2" t="str">
        <f>LOOKUP(D559,Sheet3!A$1:A$32,Sheet3!B$1:B$32)</f>
        <v>QAT</v>
      </c>
      <c r="G559" s="2" t="s">
        <v>2893</v>
      </c>
      <c r="H559" s="2" t="s">
        <v>48</v>
      </c>
      <c r="I559" s="2" t="str" cm="1">
        <f t="array" ref="I559">IFERROR(playerPoints($H559,$F559,$G559,I$1),"")</f>
        <v/>
      </c>
      <c r="J559" s="2" t="str" cm="1">
        <f t="array" ref="J559">IFERROR(playerPoints($H559,$F559,$G559,J$1),"")</f>
        <v/>
      </c>
      <c r="K559" s="2" t="str" cm="1">
        <f t="array" ref="K559">IFERROR(playerPoints($H559,$F559,$G559,K$1),"")</f>
        <v/>
      </c>
      <c r="L559" s="2" t="str" cm="1">
        <f t="array" ref="L559">IFERROR(playerPoints($H559,$F559,$G559,L$1),"")</f>
        <v/>
      </c>
      <c r="M559" s="2" t="str" cm="1">
        <f t="array" ref="M559">IFERROR(playerPoints($H559,$F559,$G559,M$1),"")</f>
        <v/>
      </c>
      <c r="N559" s="2" t="str" cm="1">
        <f t="array" ref="N559">IFERROR(playerPoints($H559,$F559,$G559,N$1),"")</f>
        <v/>
      </c>
      <c r="O559" s="2" t="str" cm="1">
        <f t="array" ref="O559">IFERROR(playerPoints($H559,$F559,$G559,O$1),"")</f>
        <v/>
      </c>
      <c r="Q559" s="2">
        <f t="shared" si="8"/>
        <v>0</v>
      </c>
    </row>
    <row r="560" spans="1:17">
      <c r="A560" s="2">
        <v>559</v>
      </c>
      <c r="B560" s="2" t="s">
        <v>1589</v>
      </c>
      <c r="C560" s="2" t="s">
        <v>1953</v>
      </c>
      <c r="D560" s="2" t="s">
        <v>884</v>
      </c>
      <c r="F560" s="2" t="str">
        <f>LOOKUP(D560,Sheet3!A$1:A$32,Sheet3!B$1:B$32)</f>
        <v>QAT</v>
      </c>
      <c r="G560" s="2" t="s">
        <v>2894</v>
      </c>
      <c r="H560" s="2" t="s">
        <v>57</v>
      </c>
      <c r="I560" s="2" t="str" cm="1">
        <f t="array" ref="I560">IFERROR(playerPoints($H560,$F560,$G560,I$1),"")</f>
        <v/>
      </c>
      <c r="J560" s="2" t="str" cm="1">
        <f t="array" ref="J560">IFERROR(playerPoints($H560,$F560,$G560,J$1),"")</f>
        <v/>
      </c>
      <c r="K560" s="2" t="str" cm="1">
        <f t="array" ref="K560">IFERROR(playerPoints($H560,$F560,$G560,K$1),"")</f>
        <v/>
      </c>
      <c r="L560" s="2" t="str" cm="1">
        <f t="array" ref="L560">IFERROR(playerPoints($H560,$F560,$G560,L$1),"")</f>
        <v/>
      </c>
      <c r="M560" s="2" t="str" cm="1">
        <f t="array" ref="M560">IFERROR(playerPoints($H560,$F560,$G560,M$1),"")</f>
        <v/>
      </c>
      <c r="N560" s="2" t="str" cm="1">
        <f t="array" ref="N560">IFERROR(playerPoints($H560,$F560,$G560,N$1),"")</f>
        <v/>
      </c>
      <c r="O560" s="2" t="str" cm="1">
        <f t="array" ref="O560">IFERROR(playerPoints($H560,$F560,$G560,O$1),"")</f>
        <v/>
      </c>
      <c r="Q560" s="2">
        <f t="shared" si="8"/>
        <v>0</v>
      </c>
    </row>
    <row r="561" spans="1:17">
      <c r="A561" s="2">
        <v>560</v>
      </c>
      <c r="B561" s="2" t="s">
        <v>1954</v>
      </c>
      <c r="C561" s="2" t="s">
        <v>1955</v>
      </c>
      <c r="D561" s="2" t="s">
        <v>884</v>
      </c>
      <c r="F561" s="2" t="str">
        <f>LOOKUP(D561,Sheet3!A$1:A$32,Sheet3!B$1:B$32)</f>
        <v>QAT</v>
      </c>
      <c r="G561" s="2" t="s">
        <v>2895</v>
      </c>
      <c r="H561" s="2" t="s">
        <v>57</v>
      </c>
      <c r="I561" s="2" t="str" cm="1">
        <f t="array" ref="I561">IFERROR(playerPoints($H561,$F561,$G561,I$1),"")</f>
        <v/>
      </c>
      <c r="J561" s="2" t="str" cm="1">
        <f t="array" ref="J561">IFERROR(playerPoints($H561,$F561,$G561,J$1),"")</f>
        <v/>
      </c>
      <c r="K561" s="2" t="str" cm="1">
        <f t="array" ref="K561">IFERROR(playerPoints($H561,$F561,$G561,K$1),"")</f>
        <v/>
      </c>
      <c r="L561" s="2" t="str" cm="1">
        <f t="array" ref="L561">IFERROR(playerPoints($H561,$F561,$G561,L$1),"")</f>
        <v/>
      </c>
      <c r="M561" s="2" t="str" cm="1">
        <f t="array" ref="M561">IFERROR(playerPoints($H561,$F561,$G561,M$1),"")</f>
        <v/>
      </c>
      <c r="N561" s="2" t="str" cm="1">
        <f t="array" ref="N561">IFERROR(playerPoints($H561,$F561,$G561,N$1),"")</f>
        <v/>
      </c>
      <c r="O561" s="2" t="str" cm="1">
        <f t="array" ref="O561">IFERROR(playerPoints($H561,$F561,$G561,O$1),"")</f>
        <v/>
      </c>
      <c r="Q561" s="2">
        <f t="shared" si="8"/>
        <v>0</v>
      </c>
    </row>
    <row r="562" spans="1:17">
      <c r="A562" s="2">
        <v>561</v>
      </c>
      <c r="B562" s="2" t="s">
        <v>1654</v>
      </c>
      <c r="C562" s="2" t="s">
        <v>1956</v>
      </c>
      <c r="D562" s="2" t="s">
        <v>884</v>
      </c>
      <c r="F562" s="2" t="str">
        <f>LOOKUP(D562,Sheet3!A$1:A$32,Sheet3!B$1:B$32)</f>
        <v>QAT</v>
      </c>
      <c r="G562" s="2" t="s">
        <v>2896</v>
      </c>
      <c r="H562" s="2" t="s">
        <v>57</v>
      </c>
      <c r="I562" s="2" t="str" cm="1">
        <f t="array" ref="I562">IFERROR(playerPoints($H562,$F562,$G562,I$1),"")</f>
        <v/>
      </c>
      <c r="J562" s="2" t="str" cm="1">
        <f t="array" ref="J562">IFERROR(playerPoints($H562,$F562,$G562,J$1),"")</f>
        <v/>
      </c>
      <c r="K562" s="2" t="str" cm="1">
        <f t="array" ref="K562">IFERROR(playerPoints($H562,$F562,$G562,K$1),"")</f>
        <v/>
      </c>
      <c r="L562" s="2" t="str" cm="1">
        <f t="array" ref="L562">IFERROR(playerPoints($H562,$F562,$G562,L$1),"")</f>
        <v/>
      </c>
      <c r="M562" s="2" t="str" cm="1">
        <f t="array" ref="M562">IFERROR(playerPoints($H562,$F562,$G562,M$1),"")</f>
        <v/>
      </c>
      <c r="N562" s="2" t="str" cm="1">
        <f t="array" ref="N562">IFERROR(playerPoints($H562,$F562,$G562,N$1),"")</f>
        <v/>
      </c>
      <c r="O562" s="2" t="str" cm="1">
        <f t="array" ref="O562">IFERROR(playerPoints($H562,$F562,$G562,O$1),"")</f>
        <v/>
      </c>
      <c r="Q562" s="2">
        <f t="shared" si="8"/>
        <v>0</v>
      </c>
    </row>
    <row r="563" spans="1:17">
      <c r="A563" s="2">
        <v>562</v>
      </c>
      <c r="B563" s="2" t="s">
        <v>1529</v>
      </c>
      <c r="C563" s="2" t="s">
        <v>1957</v>
      </c>
      <c r="D563" s="2" t="s">
        <v>884</v>
      </c>
      <c r="F563" s="2" t="str">
        <f>LOOKUP(D563,Sheet3!A$1:A$32,Sheet3!B$1:B$32)</f>
        <v>QAT</v>
      </c>
      <c r="G563" s="2" t="s">
        <v>2897</v>
      </c>
      <c r="H563" s="2" t="s">
        <v>57</v>
      </c>
      <c r="I563" s="2" t="str" cm="1">
        <f t="array" ref="I563">IFERROR(playerPoints($H563,$F563,$G563,I$1),"")</f>
        <v/>
      </c>
      <c r="J563" s="2" t="str" cm="1">
        <f t="array" ref="J563">IFERROR(playerPoints($H563,$F563,$G563,J$1),"")</f>
        <v/>
      </c>
      <c r="K563" s="2" t="str" cm="1">
        <f t="array" ref="K563">IFERROR(playerPoints($H563,$F563,$G563,K$1),"")</f>
        <v/>
      </c>
      <c r="L563" s="2" t="str" cm="1">
        <f t="array" ref="L563">IFERROR(playerPoints($H563,$F563,$G563,L$1),"")</f>
        <v/>
      </c>
      <c r="M563" s="2" t="str" cm="1">
        <f t="array" ref="M563">IFERROR(playerPoints($H563,$F563,$G563,M$1),"")</f>
        <v/>
      </c>
      <c r="N563" s="2" t="str" cm="1">
        <f t="array" ref="N563">IFERROR(playerPoints($H563,$F563,$G563,N$1),"")</f>
        <v/>
      </c>
      <c r="O563" s="2" t="str" cm="1">
        <f t="array" ref="O563">IFERROR(playerPoints($H563,$F563,$G563,O$1),"")</f>
        <v/>
      </c>
      <c r="Q563" s="2">
        <f t="shared" si="8"/>
        <v>0</v>
      </c>
    </row>
    <row r="564" spans="1:17">
      <c r="A564" s="2">
        <v>563</v>
      </c>
      <c r="B564" s="2" t="s">
        <v>1958</v>
      </c>
      <c r="C564" s="2" t="s">
        <v>1959</v>
      </c>
      <c r="D564" s="2" t="s">
        <v>884</v>
      </c>
      <c r="F564" s="2" t="str">
        <f>LOOKUP(D564,Sheet3!A$1:A$32,Sheet3!B$1:B$32)</f>
        <v>QAT</v>
      </c>
      <c r="G564" s="2" t="s">
        <v>2898</v>
      </c>
      <c r="H564" s="2" t="s">
        <v>57</v>
      </c>
      <c r="I564" s="2" t="str" cm="1">
        <f t="array" ref="I564">IFERROR(playerPoints($H564,$F564,$G564,I$1),"")</f>
        <v/>
      </c>
      <c r="J564" s="2" t="str" cm="1">
        <f t="array" ref="J564">IFERROR(playerPoints($H564,$F564,$G564,J$1),"")</f>
        <v/>
      </c>
      <c r="K564" s="2" t="str" cm="1">
        <f t="array" ref="K564">IFERROR(playerPoints($H564,$F564,$G564,K$1),"")</f>
        <v/>
      </c>
      <c r="L564" s="2" t="str" cm="1">
        <f t="array" ref="L564">IFERROR(playerPoints($H564,$F564,$G564,L$1),"")</f>
        <v/>
      </c>
      <c r="M564" s="2" t="str" cm="1">
        <f t="array" ref="M564">IFERROR(playerPoints($H564,$F564,$G564,M$1),"")</f>
        <v/>
      </c>
      <c r="N564" s="2" t="str" cm="1">
        <f t="array" ref="N564">IFERROR(playerPoints($H564,$F564,$G564,N$1),"")</f>
        <v/>
      </c>
      <c r="O564" s="2" t="str" cm="1">
        <f t="array" ref="O564">IFERROR(playerPoints($H564,$F564,$G564,O$1),"")</f>
        <v/>
      </c>
      <c r="Q564" s="2">
        <f t="shared" si="8"/>
        <v>0</v>
      </c>
    </row>
    <row r="565" spans="1:17">
      <c r="A565" s="2">
        <v>564</v>
      </c>
      <c r="B565" s="2" t="s">
        <v>1960</v>
      </c>
      <c r="C565" s="2" t="s">
        <v>1961</v>
      </c>
      <c r="D565" s="2" t="s">
        <v>884</v>
      </c>
      <c r="F565" s="2" t="str">
        <f>LOOKUP(D565,Sheet3!A$1:A$32,Sheet3!B$1:B$32)</f>
        <v>QAT</v>
      </c>
      <c r="G565" s="2" t="s">
        <v>2899</v>
      </c>
      <c r="H565" s="2" t="s">
        <v>57</v>
      </c>
      <c r="I565" s="2" t="str" cm="1">
        <f t="array" ref="I565">IFERROR(playerPoints($H565,$F565,$G565,I$1),"")</f>
        <v/>
      </c>
      <c r="J565" s="2" t="str" cm="1">
        <f t="array" ref="J565">IFERROR(playerPoints($H565,$F565,$G565,J$1),"")</f>
        <v/>
      </c>
      <c r="K565" s="2" t="str" cm="1">
        <f t="array" ref="K565">IFERROR(playerPoints($H565,$F565,$G565,K$1),"")</f>
        <v/>
      </c>
      <c r="L565" s="2" t="str" cm="1">
        <f t="array" ref="L565">IFERROR(playerPoints($H565,$F565,$G565,L$1),"")</f>
        <v/>
      </c>
      <c r="M565" s="2" t="str" cm="1">
        <f t="array" ref="M565">IFERROR(playerPoints($H565,$F565,$G565,M$1),"")</f>
        <v/>
      </c>
      <c r="N565" s="2" t="str" cm="1">
        <f t="array" ref="N565">IFERROR(playerPoints($H565,$F565,$G565,N$1),"")</f>
        <v/>
      </c>
      <c r="O565" s="2" t="str" cm="1">
        <f t="array" ref="O565">IFERROR(playerPoints($H565,$F565,$G565,O$1),"")</f>
        <v/>
      </c>
      <c r="Q565" s="2">
        <f t="shared" si="8"/>
        <v>0</v>
      </c>
    </row>
    <row r="566" spans="1:17">
      <c r="A566" s="2">
        <v>565</v>
      </c>
      <c r="B566" s="2" t="s">
        <v>1962</v>
      </c>
      <c r="C566" s="2" t="s">
        <v>1963</v>
      </c>
      <c r="D566" s="2" t="s">
        <v>884</v>
      </c>
      <c r="F566" s="2" t="str">
        <f>LOOKUP(D566,Sheet3!A$1:A$32,Sheet3!B$1:B$32)</f>
        <v>QAT</v>
      </c>
      <c r="G566" s="2" t="s">
        <v>2900</v>
      </c>
      <c r="H566" s="2" t="s">
        <v>57</v>
      </c>
      <c r="I566" s="2" t="str" cm="1">
        <f t="array" ref="I566">IFERROR(playerPoints($H566,$F566,$G566,I$1),"")</f>
        <v/>
      </c>
      <c r="J566" s="2" t="str" cm="1">
        <f t="array" ref="J566">IFERROR(playerPoints($H566,$F566,$G566,J$1),"")</f>
        <v/>
      </c>
      <c r="K566" s="2" t="str" cm="1">
        <f t="array" ref="K566">IFERROR(playerPoints($H566,$F566,$G566,K$1),"")</f>
        <v/>
      </c>
      <c r="L566" s="2" t="str" cm="1">
        <f t="array" ref="L566">IFERROR(playerPoints($H566,$F566,$G566,L$1),"")</f>
        <v/>
      </c>
      <c r="M566" s="2" t="str" cm="1">
        <f t="array" ref="M566">IFERROR(playerPoints($H566,$F566,$G566,M$1),"")</f>
        <v/>
      </c>
      <c r="N566" s="2" t="str" cm="1">
        <f t="array" ref="N566">IFERROR(playerPoints($H566,$F566,$G566,N$1),"")</f>
        <v/>
      </c>
      <c r="O566" s="2" t="str" cm="1">
        <f t="array" ref="O566">IFERROR(playerPoints($H566,$F566,$G566,O$1),"")</f>
        <v/>
      </c>
      <c r="Q566" s="2">
        <f t="shared" si="8"/>
        <v>0</v>
      </c>
    </row>
    <row r="567" spans="1:17">
      <c r="A567" s="2">
        <v>566</v>
      </c>
      <c r="B567" s="2" t="s">
        <v>1964</v>
      </c>
      <c r="C567" s="2" t="s">
        <v>1939</v>
      </c>
      <c r="D567" s="2" t="s">
        <v>884</v>
      </c>
      <c r="F567" s="2" t="str">
        <f>LOOKUP(D567,Sheet3!A$1:A$32,Sheet3!B$1:B$32)</f>
        <v>QAT</v>
      </c>
      <c r="G567" s="2" t="s">
        <v>2901</v>
      </c>
      <c r="H567" s="2" t="s">
        <v>57</v>
      </c>
      <c r="I567" s="2" t="str" cm="1">
        <f t="array" ref="I567">IFERROR(playerPoints($H567,$F567,$G567,I$1),"")</f>
        <v/>
      </c>
      <c r="J567" s="2" t="str" cm="1">
        <f t="array" ref="J567">IFERROR(playerPoints($H567,$F567,$G567,J$1),"")</f>
        <v/>
      </c>
      <c r="K567" s="2" t="str" cm="1">
        <f t="array" ref="K567">IFERROR(playerPoints($H567,$F567,$G567,K$1),"")</f>
        <v/>
      </c>
      <c r="L567" s="2" t="str" cm="1">
        <f t="array" ref="L567">IFERROR(playerPoints($H567,$F567,$G567,L$1),"")</f>
        <v/>
      </c>
      <c r="M567" s="2" t="str" cm="1">
        <f t="array" ref="M567">IFERROR(playerPoints($H567,$F567,$G567,M$1),"")</f>
        <v/>
      </c>
      <c r="N567" s="2" t="str" cm="1">
        <f t="array" ref="N567">IFERROR(playerPoints($H567,$F567,$G567,N$1),"")</f>
        <v/>
      </c>
      <c r="O567" s="2" t="str" cm="1">
        <f t="array" ref="O567">IFERROR(playerPoints($H567,$F567,$G567,O$1),"")</f>
        <v/>
      </c>
      <c r="Q567" s="2">
        <f t="shared" si="8"/>
        <v>0</v>
      </c>
    </row>
    <row r="568" spans="1:17">
      <c r="A568" s="2">
        <v>567</v>
      </c>
      <c r="B568" s="2" t="s">
        <v>1944</v>
      </c>
      <c r="C568" s="2" t="s">
        <v>1965</v>
      </c>
      <c r="D568" s="2" t="s">
        <v>884</v>
      </c>
      <c r="F568" s="2" t="str">
        <f>LOOKUP(D568,Sheet3!A$1:A$32,Sheet3!B$1:B$32)</f>
        <v>QAT</v>
      </c>
      <c r="G568" s="2" t="s">
        <v>2902</v>
      </c>
      <c r="H568" s="2" t="s">
        <v>66</v>
      </c>
      <c r="I568" s="2" t="str" cm="1">
        <f t="array" ref="I568">IFERROR(playerPoints($H568,$F568,$G568,I$1),"")</f>
        <v/>
      </c>
      <c r="J568" s="2" t="str" cm="1">
        <f t="array" ref="J568">IFERROR(playerPoints($H568,$F568,$G568,J$1),"")</f>
        <v/>
      </c>
      <c r="K568" s="2" t="str" cm="1">
        <f t="array" ref="K568">IFERROR(playerPoints($H568,$F568,$G568,K$1),"")</f>
        <v/>
      </c>
      <c r="L568" s="2" t="str" cm="1">
        <f t="array" ref="L568">IFERROR(playerPoints($H568,$F568,$G568,L$1),"")</f>
        <v/>
      </c>
      <c r="M568" s="2" t="str" cm="1">
        <f t="array" ref="M568">IFERROR(playerPoints($H568,$F568,$G568,M$1),"")</f>
        <v/>
      </c>
      <c r="N568" s="2" t="str" cm="1">
        <f t="array" ref="N568">IFERROR(playerPoints($H568,$F568,$G568,N$1),"")</f>
        <v/>
      </c>
      <c r="O568" s="2" t="str" cm="1">
        <f t="array" ref="O568">IFERROR(playerPoints($H568,$F568,$G568,O$1),"")</f>
        <v/>
      </c>
      <c r="Q568" s="2">
        <f t="shared" si="8"/>
        <v>0</v>
      </c>
    </row>
    <row r="569" spans="1:17">
      <c r="A569" s="2">
        <v>568</v>
      </c>
      <c r="B569" s="2" t="s">
        <v>1589</v>
      </c>
      <c r="C569" s="2" t="s">
        <v>1966</v>
      </c>
      <c r="D569" s="2" t="s">
        <v>884</v>
      </c>
      <c r="F569" s="2" t="str">
        <f>LOOKUP(D569,Sheet3!A$1:A$32,Sheet3!B$1:B$32)</f>
        <v>QAT</v>
      </c>
      <c r="G569" s="2" t="s">
        <v>2903</v>
      </c>
      <c r="H569" s="2" t="s">
        <v>66</v>
      </c>
      <c r="I569" s="2" t="str" cm="1">
        <f t="array" ref="I569">IFERROR(playerPoints($H569,$F569,$G569,I$1),"")</f>
        <v/>
      </c>
      <c r="J569" s="2" t="str" cm="1">
        <f t="array" ref="J569">IFERROR(playerPoints($H569,$F569,$G569,J$1),"")</f>
        <v/>
      </c>
      <c r="K569" s="2" t="str" cm="1">
        <f t="array" ref="K569">IFERROR(playerPoints($H569,$F569,$G569,K$1),"")</f>
        <v/>
      </c>
      <c r="L569" s="2" t="str" cm="1">
        <f t="array" ref="L569">IFERROR(playerPoints($H569,$F569,$G569,L$1),"")</f>
        <v/>
      </c>
      <c r="M569" s="2" t="str" cm="1">
        <f t="array" ref="M569">IFERROR(playerPoints($H569,$F569,$G569,M$1),"")</f>
        <v/>
      </c>
      <c r="N569" s="2" t="str" cm="1">
        <f t="array" ref="N569">IFERROR(playerPoints($H569,$F569,$G569,N$1),"")</f>
        <v/>
      </c>
      <c r="O569" s="2" t="str" cm="1">
        <f t="array" ref="O569">IFERROR(playerPoints($H569,$F569,$G569,O$1),"")</f>
        <v/>
      </c>
      <c r="Q569" s="2">
        <f t="shared" si="8"/>
        <v>0</v>
      </c>
    </row>
    <row r="570" spans="1:17">
      <c r="A570" s="2">
        <v>569</v>
      </c>
      <c r="B570" s="2" t="s">
        <v>1934</v>
      </c>
      <c r="C570" s="2" t="s">
        <v>1967</v>
      </c>
      <c r="D570" s="2" t="s">
        <v>884</v>
      </c>
      <c r="F570" s="2" t="str">
        <f>LOOKUP(D570,Sheet3!A$1:A$32,Sheet3!B$1:B$32)</f>
        <v>QAT</v>
      </c>
      <c r="G570" s="2" t="s">
        <v>2904</v>
      </c>
      <c r="H570" s="2" t="s">
        <v>66</v>
      </c>
      <c r="I570" s="2" t="str" cm="1">
        <f t="array" ref="I570">IFERROR(playerPoints($H570,$F570,$G570,I$1),"")</f>
        <v/>
      </c>
      <c r="J570" s="2" t="str" cm="1">
        <f t="array" ref="J570">IFERROR(playerPoints($H570,$F570,$G570,J$1),"")</f>
        <v/>
      </c>
      <c r="K570" s="2" t="str" cm="1">
        <f t="array" ref="K570">IFERROR(playerPoints($H570,$F570,$G570,K$1),"")</f>
        <v/>
      </c>
      <c r="L570" s="2" t="str" cm="1">
        <f t="array" ref="L570">IFERROR(playerPoints($H570,$F570,$G570,L$1),"")</f>
        <v/>
      </c>
      <c r="M570" s="2" t="str" cm="1">
        <f t="array" ref="M570">IFERROR(playerPoints($H570,$F570,$G570,M$1),"")</f>
        <v/>
      </c>
      <c r="N570" s="2" t="str" cm="1">
        <f t="array" ref="N570">IFERROR(playerPoints($H570,$F570,$G570,N$1),"")</f>
        <v/>
      </c>
      <c r="O570" s="2" t="str" cm="1">
        <f t="array" ref="O570">IFERROR(playerPoints($H570,$F570,$G570,O$1),"")</f>
        <v/>
      </c>
      <c r="Q570" s="2">
        <f t="shared" si="8"/>
        <v>0</v>
      </c>
    </row>
    <row r="571" spans="1:17">
      <c r="A571" s="2">
        <v>570</v>
      </c>
      <c r="B571" s="2" t="s">
        <v>1968</v>
      </c>
      <c r="C571" s="2" t="s">
        <v>1969</v>
      </c>
      <c r="D571" s="2" t="s">
        <v>884</v>
      </c>
      <c r="F571" s="2" t="str">
        <f>LOOKUP(D571,Sheet3!A$1:A$32,Sheet3!B$1:B$32)</f>
        <v>QAT</v>
      </c>
      <c r="G571" s="2" t="s">
        <v>2905</v>
      </c>
      <c r="H571" s="2" t="s">
        <v>66</v>
      </c>
      <c r="I571" s="2" t="str" cm="1">
        <f t="array" ref="I571">IFERROR(playerPoints($H571,$F571,$G571,I$1),"")</f>
        <v/>
      </c>
      <c r="J571" s="2" t="str" cm="1">
        <f t="array" ref="J571">IFERROR(playerPoints($H571,$F571,$G571,J$1),"")</f>
        <v/>
      </c>
      <c r="K571" s="2" t="str" cm="1">
        <f t="array" ref="K571">IFERROR(playerPoints($H571,$F571,$G571,K$1),"")</f>
        <v/>
      </c>
      <c r="L571" s="2" t="str" cm="1">
        <f t="array" ref="L571">IFERROR(playerPoints($H571,$F571,$G571,L$1),"")</f>
        <v/>
      </c>
      <c r="M571" s="2" t="str" cm="1">
        <f t="array" ref="M571">IFERROR(playerPoints($H571,$F571,$G571,M$1),"")</f>
        <v/>
      </c>
      <c r="N571" s="2" t="str" cm="1">
        <f t="array" ref="N571">IFERROR(playerPoints($H571,$F571,$G571,N$1),"")</f>
        <v/>
      </c>
      <c r="O571" s="2" t="str" cm="1">
        <f t="array" ref="O571">IFERROR(playerPoints($H571,$F571,$G571,O$1),"")</f>
        <v/>
      </c>
      <c r="Q571" s="2">
        <f t="shared" si="8"/>
        <v>0</v>
      </c>
    </row>
    <row r="572" spans="1:17">
      <c r="A572" s="2">
        <v>571</v>
      </c>
      <c r="B572" s="2" t="s">
        <v>1970</v>
      </c>
      <c r="C572" s="2" t="s">
        <v>1971</v>
      </c>
      <c r="D572" s="2" t="s">
        <v>884</v>
      </c>
      <c r="F572" s="2" t="str">
        <f>LOOKUP(D572,Sheet3!A$1:A$32,Sheet3!B$1:B$32)</f>
        <v>QAT</v>
      </c>
      <c r="G572" s="2" t="s">
        <v>2906</v>
      </c>
      <c r="H572" s="2" t="s">
        <v>66</v>
      </c>
      <c r="I572" s="2" t="str" cm="1">
        <f t="array" ref="I572">IFERROR(playerPoints($H572,$F572,$G572,I$1),"")</f>
        <v/>
      </c>
      <c r="J572" s="2" t="str" cm="1">
        <f t="array" ref="J572">IFERROR(playerPoints($H572,$F572,$G572,J$1),"")</f>
        <v/>
      </c>
      <c r="K572" s="2" t="str" cm="1">
        <f t="array" ref="K572">IFERROR(playerPoints($H572,$F572,$G572,K$1),"")</f>
        <v/>
      </c>
      <c r="L572" s="2" t="str" cm="1">
        <f t="array" ref="L572">IFERROR(playerPoints($H572,$F572,$G572,L$1),"")</f>
        <v/>
      </c>
      <c r="M572" s="2" t="str" cm="1">
        <f t="array" ref="M572">IFERROR(playerPoints($H572,$F572,$G572,M$1),"")</f>
        <v/>
      </c>
      <c r="N572" s="2" t="str" cm="1">
        <f t="array" ref="N572">IFERROR(playerPoints($H572,$F572,$G572,N$1),"")</f>
        <v/>
      </c>
      <c r="O572" s="2" t="str" cm="1">
        <f t="array" ref="O572">IFERROR(playerPoints($H572,$F572,$G572,O$1),"")</f>
        <v/>
      </c>
      <c r="Q572" s="2">
        <f t="shared" si="8"/>
        <v>0</v>
      </c>
    </row>
    <row r="573" spans="1:17">
      <c r="A573" s="2">
        <v>572</v>
      </c>
      <c r="B573" s="2" t="s">
        <v>1972</v>
      </c>
      <c r="C573" s="2" t="s">
        <v>1654</v>
      </c>
      <c r="D573" s="2" t="s">
        <v>884</v>
      </c>
      <c r="F573" s="2" t="str">
        <f>LOOKUP(D573,Sheet3!A$1:A$32,Sheet3!B$1:B$32)</f>
        <v>QAT</v>
      </c>
      <c r="G573" s="2" t="s">
        <v>2907</v>
      </c>
      <c r="H573" s="2" t="s">
        <v>66</v>
      </c>
      <c r="I573" s="2" t="str" cm="1">
        <f t="array" ref="I573">IFERROR(playerPoints($H573,$F573,$G573,I$1),"")</f>
        <v/>
      </c>
      <c r="J573" s="2" t="str" cm="1">
        <f t="array" ref="J573">IFERROR(playerPoints($H573,$F573,$G573,J$1),"")</f>
        <v/>
      </c>
      <c r="K573" s="2" t="str" cm="1">
        <f t="array" ref="K573">IFERROR(playerPoints($H573,$F573,$G573,K$1),"")</f>
        <v/>
      </c>
      <c r="L573" s="2" t="str" cm="1">
        <f t="array" ref="L573">IFERROR(playerPoints($H573,$F573,$G573,L$1),"")</f>
        <v/>
      </c>
      <c r="M573" s="2" t="str" cm="1">
        <f t="array" ref="M573">IFERROR(playerPoints($H573,$F573,$G573,M$1),"")</f>
        <v/>
      </c>
      <c r="N573" s="2" t="str" cm="1">
        <f t="array" ref="N573">IFERROR(playerPoints($H573,$F573,$G573,N$1),"")</f>
        <v/>
      </c>
      <c r="O573" s="2" t="str" cm="1">
        <f t="array" ref="O573">IFERROR(playerPoints($H573,$F573,$G573,O$1),"")</f>
        <v/>
      </c>
      <c r="Q573" s="2">
        <f t="shared" si="8"/>
        <v>0</v>
      </c>
    </row>
    <row r="574" spans="1:17">
      <c r="A574" s="2">
        <v>573</v>
      </c>
      <c r="B574" s="2" t="s">
        <v>1589</v>
      </c>
      <c r="C574" s="2" t="s">
        <v>1973</v>
      </c>
      <c r="D574" s="2" t="s">
        <v>885</v>
      </c>
      <c r="F574" s="2" t="str">
        <f>LOOKUP(D574,Sheet3!A$1:A$32,Sheet3!B$1:B$32)</f>
        <v>KSA</v>
      </c>
      <c r="G574" s="2" t="s">
        <v>2908</v>
      </c>
      <c r="H574" s="2" t="s">
        <v>44</v>
      </c>
      <c r="I574" s="2" t="str" cm="1">
        <f t="array" ref="I574">IFERROR(playerPoints($H574,$F574,$G574,I$1),"")</f>
        <v/>
      </c>
      <c r="J574" s="2" t="str" cm="1">
        <f t="array" ref="J574">IFERROR(playerPoints($H574,$F574,$G574,J$1),"")</f>
        <v/>
      </c>
      <c r="K574" s="2" t="str" cm="1">
        <f t="array" ref="K574">IFERROR(playerPoints($H574,$F574,$G574,K$1),"")</f>
        <v/>
      </c>
      <c r="L574" s="2" t="str" cm="1">
        <f t="array" ref="L574">IFERROR(playerPoints($H574,$F574,$G574,L$1),"")</f>
        <v/>
      </c>
      <c r="M574" s="2" t="str" cm="1">
        <f t="array" ref="M574">IFERROR(playerPoints($H574,$F574,$G574,M$1),"")</f>
        <v/>
      </c>
      <c r="N574" s="2" t="str" cm="1">
        <f t="array" ref="N574">IFERROR(playerPoints($H574,$F574,$G574,N$1),"")</f>
        <v/>
      </c>
      <c r="O574" s="2" t="str" cm="1">
        <f t="array" ref="O574">IFERROR(playerPoints($H574,$F574,$G574,O$1),"")</f>
        <v/>
      </c>
      <c r="Q574" s="2">
        <f t="shared" si="8"/>
        <v>0</v>
      </c>
    </row>
    <row r="575" spans="1:17">
      <c r="A575" s="2">
        <v>574</v>
      </c>
      <c r="B575" s="2" t="s">
        <v>1589</v>
      </c>
      <c r="C575" s="2" t="s">
        <v>1974</v>
      </c>
      <c r="D575" s="2" t="s">
        <v>885</v>
      </c>
      <c r="F575" s="2" t="str">
        <f>LOOKUP(D575,Sheet3!A$1:A$32,Sheet3!B$1:B$32)</f>
        <v>KSA</v>
      </c>
      <c r="G575" s="2" t="s">
        <v>2909</v>
      </c>
      <c r="H575" s="2" t="s">
        <v>44</v>
      </c>
      <c r="I575" s="2" t="str" cm="1">
        <f t="array" ref="I575">IFERROR(playerPoints($H575,$F575,$G575,I$1),"")</f>
        <v/>
      </c>
      <c r="J575" s="2" t="str" cm="1">
        <f t="array" ref="J575">IFERROR(playerPoints($H575,$F575,$G575,J$1),"")</f>
        <v/>
      </c>
      <c r="K575" s="2" t="str" cm="1">
        <f t="array" ref="K575">IFERROR(playerPoints($H575,$F575,$G575,K$1),"")</f>
        <v/>
      </c>
      <c r="L575" s="2" t="str" cm="1">
        <f t="array" ref="L575">IFERROR(playerPoints($H575,$F575,$G575,L$1),"")</f>
        <v/>
      </c>
      <c r="M575" s="2" t="str" cm="1">
        <f t="array" ref="M575">IFERROR(playerPoints($H575,$F575,$G575,M$1),"")</f>
        <v/>
      </c>
      <c r="N575" s="2" t="str" cm="1">
        <f t="array" ref="N575">IFERROR(playerPoints($H575,$F575,$G575,N$1),"")</f>
        <v/>
      </c>
      <c r="O575" s="2" t="str" cm="1">
        <f t="array" ref="O575">IFERROR(playerPoints($H575,$F575,$G575,O$1),"")</f>
        <v/>
      </c>
      <c r="Q575" s="2">
        <f t="shared" si="8"/>
        <v>0</v>
      </c>
    </row>
    <row r="576" spans="1:17">
      <c r="A576" s="2">
        <v>575</v>
      </c>
      <c r="B576" s="2" t="s">
        <v>1975</v>
      </c>
      <c r="C576" s="2" t="s">
        <v>1976</v>
      </c>
      <c r="D576" s="2" t="s">
        <v>885</v>
      </c>
      <c r="F576" s="2" t="str">
        <f>LOOKUP(D576,Sheet3!A$1:A$32,Sheet3!B$1:B$32)</f>
        <v>KSA</v>
      </c>
      <c r="G576" s="2" t="s">
        <v>2910</v>
      </c>
      <c r="H576" s="2" t="s">
        <v>44</v>
      </c>
      <c r="I576" s="2" t="str" cm="1">
        <f t="array" ref="I576">IFERROR(playerPoints($H576,$F576,$G576,I$1),"")</f>
        <v/>
      </c>
      <c r="J576" s="2" t="str" cm="1">
        <f t="array" ref="J576">IFERROR(playerPoints($H576,$F576,$G576,J$1),"")</f>
        <v/>
      </c>
      <c r="K576" s="2" t="str" cm="1">
        <f t="array" ref="K576">IFERROR(playerPoints($H576,$F576,$G576,K$1),"")</f>
        <v/>
      </c>
      <c r="L576" s="2" t="str" cm="1">
        <f t="array" ref="L576">IFERROR(playerPoints($H576,$F576,$G576,L$1),"")</f>
        <v/>
      </c>
      <c r="M576" s="2" t="str" cm="1">
        <f t="array" ref="M576">IFERROR(playerPoints($H576,$F576,$G576,M$1),"")</f>
        <v/>
      </c>
      <c r="N576" s="2" t="str" cm="1">
        <f t="array" ref="N576">IFERROR(playerPoints($H576,$F576,$G576,N$1),"")</f>
        <v/>
      </c>
      <c r="O576" s="2" t="str" cm="1">
        <f t="array" ref="O576">IFERROR(playerPoints($H576,$F576,$G576,O$1),"")</f>
        <v/>
      </c>
      <c r="Q576" s="2">
        <f t="shared" si="8"/>
        <v>0</v>
      </c>
    </row>
    <row r="577" spans="1:17">
      <c r="A577" s="2">
        <v>576</v>
      </c>
      <c r="B577" s="2" t="s">
        <v>1977</v>
      </c>
      <c r="C577" s="2" t="s">
        <v>1978</v>
      </c>
      <c r="D577" s="2" t="s">
        <v>885</v>
      </c>
      <c r="F577" s="2" t="str">
        <f>LOOKUP(D577,Sheet3!A$1:A$32,Sheet3!B$1:B$32)</f>
        <v>KSA</v>
      </c>
      <c r="G577" s="2" t="s">
        <v>2911</v>
      </c>
      <c r="H577" s="2" t="s">
        <v>48</v>
      </c>
      <c r="I577" s="2" t="str" cm="1">
        <f t="array" ref="I577">IFERROR(playerPoints($H577,$F577,$G577,I$1),"")</f>
        <v/>
      </c>
      <c r="J577" s="2" t="str" cm="1">
        <f t="array" ref="J577">IFERROR(playerPoints($H577,$F577,$G577,J$1),"")</f>
        <v/>
      </c>
      <c r="K577" s="2" t="str" cm="1">
        <f t="array" ref="K577">IFERROR(playerPoints($H577,$F577,$G577,K$1),"")</f>
        <v/>
      </c>
      <c r="L577" s="2" t="str" cm="1">
        <f t="array" ref="L577">IFERROR(playerPoints($H577,$F577,$G577,L$1),"")</f>
        <v/>
      </c>
      <c r="M577" s="2" t="str" cm="1">
        <f t="array" ref="M577">IFERROR(playerPoints($H577,$F577,$G577,M$1),"")</f>
        <v/>
      </c>
      <c r="N577" s="2" t="str" cm="1">
        <f t="array" ref="N577">IFERROR(playerPoints($H577,$F577,$G577,N$1),"")</f>
        <v/>
      </c>
      <c r="O577" s="2" t="str" cm="1">
        <f t="array" ref="O577">IFERROR(playerPoints($H577,$F577,$G577,O$1),"")</f>
        <v/>
      </c>
      <c r="Q577" s="2">
        <f t="shared" si="8"/>
        <v>0</v>
      </c>
    </row>
    <row r="578" spans="1:17">
      <c r="A578" s="2">
        <v>577</v>
      </c>
      <c r="B578" s="2" t="s">
        <v>1979</v>
      </c>
      <c r="C578" s="2" t="s">
        <v>1980</v>
      </c>
      <c r="D578" s="2" t="s">
        <v>885</v>
      </c>
      <c r="F578" s="2" t="str">
        <f>LOOKUP(D578,Sheet3!A$1:A$32,Sheet3!B$1:B$32)</f>
        <v>KSA</v>
      </c>
      <c r="G578" s="2" t="s">
        <v>2912</v>
      </c>
      <c r="H578" s="2" t="s">
        <v>48</v>
      </c>
      <c r="I578" s="2" t="str" cm="1">
        <f t="array" ref="I578">IFERROR(playerPoints($H578,$F578,$G578,I$1),"")</f>
        <v/>
      </c>
      <c r="J578" s="2" t="str" cm="1">
        <f t="array" ref="J578">IFERROR(playerPoints($H578,$F578,$G578,J$1),"")</f>
        <v/>
      </c>
      <c r="K578" s="2" t="str" cm="1">
        <f t="array" ref="K578">IFERROR(playerPoints($H578,$F578,$G578,K$1),"")</f>
        <v/>
      </c>
      <c r="L578" s="2" t="str" cm="1">
        <f t="array" ref="L578">IFERROR(playerPoints($H578,$F578,$G578,L$1),"")</f>
        <v/>
      </c>
      <c r="M578" s="2" t="str" cm="1">
        <f t="array" ref="M578">IFERROR(playerPoints($H578,$F578,$G578,M$1),"")</f>
        <v/>
      </c>
      <c r="N578" s="2" t="str" cm="1">
        <f t="array" ref="N578">IFERROR(playerPoints($H578,$F578,$G578,N$1),"")</f>
        <v/>
      </c>
      <c r="O578" s="2" t="str" cm="1">
        <f t="array" ref="O578">IFERROR(playerPoints($H578,$F578,$G578,O$1),"")</f>
        <v/>
      </c>
      <c r="Q578" s="2">
        <f t="shared" si="8"/>
        <v>0</v>
      </c>
    </row>
    <row r="579" spans="1:17">
      <c r="A579" s="2">
        <v>578</v>
      </c>
      <c r="B579" s="2" t="s">
        <v>1981</v>
      </c>
      <c r="C579" s="2" t="s">
        <v>1982</v>
      </c>
      <c r="D579" s="2" t="s">
        <v>885</v>
      </c>
      <c r="F579" s="2" t="str">
        <f>LOOKUP(D579,Sheet3!A$1:A$32,Sheet3!B$1:B$32)</f>
        <v>KSA</v>
      </c>
      <c r="G579" s="2" t="s">
        <v>2913</v>
      </c>
      <c r="H579" s="2" t="s">
        <v>48</v>
      </c>
      <c r="I579" s="2" t="str" cm="1">
        <f t="array" ref="I579">IFERROR(playerPoints($H579,$F579,$G579,I$1),"")</f>
        <v/>
      </c>
      <c r="J579" s="2" t="str" cm="1">
        <f t="array" ref="J579">IFERROR(playerPoints($H579,$F579,$G579,J$1),"")</f>
        <v/>
      </c>
      <c r="K579" s="2" t="str" cm="1">
        <f t="array" ref="K579">IFERROR(playerPoints($H579,$F579,$G579,K$1),"")</f>
        <v/>
      </c>
      <c r="L579" s="2" t="str" cm="1">
        <f t="array" ref="L579">IFERROR(playerPoints($H579,$F579,$G579,L$1),"")</f>
        <v/>
      </c>
      <c r="M579" s="2" t="str" cm="1">
        <f t="array" ref="M579">IFERROR(playerPoints($H579,$F579,$G579,M$1),"")</f>
        <v/>
      </c>
      <c r="N579" s="2" t="str" cm="1">
        <f t="array" ref="N579">IFERROR(playerPoints($H579,$F579,$G579,N$1),"")</f>
        <v/>
      </c>
      <c r="O579" s="2" t="str" cm="1">
        <f t="array" ref="O579">IFERROR(playerPoints($H579,$F579,$G579,O$1),"")</f>
        <v/>
      </c>
      <c r="Q579" s="2">
        <f t="shared" ref="Q579:Q642" si="9">SUM(I579:O579)</f>
        <v>0</v>
      </c>
    </row>
    <row r="580" spans="1:17">
      <c r="A580" s="2">
        <v>579</v>
      </c>
      <c r="B580" s="2" t="s">
        <v>1654</v>
      </c>
      <c r="C580" s="2" t="s">
        <v>1983</v>
      </c>
      <c r="D580" s="2" t="s">
        <v>885</v>
      </c>
      <c r="F580" s="2" t="str">
        <f>LOOKUP(D580,Sheet3!A$1:A$32,Sheet3!B$1:B$32)</f>
        <v>KSA</v>
      </c>
      <c r="G580" s="2" t="s">
        <v>2914</v>
      </c>
      <c r="H580" s="2" t="s">
        <v>48</v>
      </c>
      <c r="I580" s="2" t="str" cm="1">
        <f t="array" ref="I580">IFERROR(playerPoints($H580,$F580,$G580,I$1),"")</f>
        <v/>
      </c>
      <c r="J580" s="2" t="str" cm="1">
        <f t="array" ref="J580">IFERROR(playerPoints($H580,$F580,$G580,J$1),"")</f>
        <v/>
      </c>
      <c r="K580" s="2" t="str" cm="1">
        <f t="array" ref="K580">IFERROR(playerPoints($H580,$F580,$G580,K$1),"")</f>
        <v/>
      </c>
      <c r="L580" s="2" t="str" cm="1">
        <f t="array" ref="L580">IFERROR(playerPoints($H580,$F580,$G580,L$1),"")</f>
        <v/>
      </c>
      <c r="M580" s="2" t="str" cm="1">
        <f t="array" ref="M580">IFERROR(playerPoints($H580,$F580,$G580,M$1),"")</f>
        <v/>
      </c>
      <c r="N580" s="2" t="str" cm="1">
        <f t="array" ref="N580">IFERROR(playerPoints($H580,$F580,$G580,N$1),"")</f>
        <v/>
      </c>
      <c r="O580" s="2" t="str" cm="1">
        <f t="array" ref="O580">IFERROR(playerPoints($H580,$F580,$G580,O$1),"")</f>
        <v/>
      </c>
      <c r="Q580" s="2">
        <f t="shared" si="9"/>
        <v>0</v>
      </c>
    </row>
    <row r="581" spans="1:17">
      <c r="A581" s="2">
        <v>580</v>
      </c>
      <c r="B581" s="2" t="s">
        <v>1589</v>
      </c>
      <c r="C581" s="2" t="s">
        <v>1984</v>
      </c>
      <c r="D581" s="2" t="s">
        <v>885</v>
      </c>
      <c r="F581" s="2" t="str">
        <f>LOOKUP(D581,Sheet3!A$1:A$32,Sheet3!B$1:B$32)</f>
        <v>KSA</v>
      </c>
      <c r="G581" s="2" t="s">
        <v>2915</v>
      </c>
      <c r="H581" s="2" t="s">
        <v>48</v>
      </c>
      <c r="I581" s="2" t="str" cm="1">
        <f t="array" ref="I581">IFERROR(playerPoints($H581,$F581,$G581,I$1),"")</f>
        <v/>
      </c>
      <c r="J581" s="2" t="str" cm="1">
        <f t="array" ref="J581">IFERROR(playerPoints($H581,$F581,$G581,J$1),"")</f>
        <v/>
      </c>
      <c r="K581" s="2" t="str" cm="1">
        <f t="array" ref="K581">IFERROR(playerPoints($H581,$F581,$G581,K$1),"")</f>
        <v/>
      </c>
      <c r="L581" s="2" t="str" cm="1">
        <f t="array" ref="L581">IFERROR(playerPoints($H581,$F581,$G581,L$1),"")</f>
        <v/>
      </c>
      <c r="M581" s="2" t="str" cm="1">
        <f t="array" ref="M581">IFERROR(playerPoints($H581,$F581,$G581,M$1),"")</f>
        <v/>
      </c>
      <c r="N581" s="2" t="str" cm="1">
        <f t="array" ref="N581">IFERROR(playerPoints($H581,$F581,$G581,N$1),"")</f>
        <v/>
      </c>
      <c r="O581" s="2" t="str" cm="1">
        <f t="array" ref="O581">IFERROR(playerPoints($H581,$F581,$G581,O$1),"")</f>
        <v/>
      </c>
      <c r="Q581" s="2">
        <f t="shared" si="9"/>
        <v>0</v>
      </c>
    </row>
    <row r="582" spans="1:17">
      <c r="A582" s="2">
        <v>581</v>
      </c>
      <c r="B582" s="2" t="s">
        <v>1985</v>
      </c>
      <c r="C582" s="2" t="s">
        <v>1986</v>
      </c>
      <c r="D582" s="2" t="s">
        <v>885</v>
      </c>
      <c r="F582" s="2" t="str">
        <f>LOOKUP(D582,Sheet3!A$1:A$32,Sheet3!B$1:B$32)</f>
        <v>KSA</v>
      </c>
      <c r="G582" s="2" t="s">
        <v>2916</v>
      </c>
      <c r="H582" s="2" t="s">
        <v>48</v>
      </c>
      <c r="I582" s="2" t="str" cm="1">
        <f t="array" ref="I582">IFERROR(playerPoints($H582,$F582,$G582,I$1),"")</f>
        <v/>
      </c>
      <c r="J582" s="2" t="str" cm="1">
        <f t="array" ref="J582">IFERROR(playerPoints($H582,$F582,$G582,J$1),"")</f>
        <v/>
      </c>
      <c r="K582" s="2" t="str" cm="1">
        <f t="array" ref="K582">IFERROR(playerPoints($H582,$F582,$G582,K$1),"")</f>
        <v/>
      </c>
      <c r="L582" s="2" t="str" cm="1">
        <f t="array" ref="L582">IFERROR(playerPoints($H582,$F582,$G582,L$1),"")</f>
        <v/>
      </c>
      <c r="M582" s="2" t="str" cm="1">
        <f t="array" ref="M582">IFERROR(playerPoints($H582,$F582,$G582,M$1),"")</f>
        <v/>
      </c>
      <c r="N582" s="2" t="str" cm="1">
        <f t="array" ref="N582">IFERROR(playerPoints($H582,$F582,$G582,N$1),"")</f>
        <v/>
      </c>
      <c r="O582" s="2" t="str" cm="1">
        <f t="array" ref="O582">IFERROR(playerPoints($H582,$F582,$G582,O$1),"")</f>
        <v/>
      </c>
      <c r="Q582" s="2">
        <f t="shared" si="9"/>
        <v>0</v>
      </c>
    </row>
    <row r="583" spans="1:17">
      <c r="A583" s="2">
        <v>582</v>
      </c>
      <c r="B583" s="2" t="s">
        <v>1987</v>
      </c>
      <c r="C583" s="2" t="s">
        <v>1988</v>
      </c>
      <c r="D583" s="2" t="s">
        <v>885</v>
      </c>
      <c r="F583" s="2" t="str">
        <f>LOOKUP(D583,Sheet3!A$1:A$32,Sheet3!B$1:B$32)</f>
        <v>KSA</v>
      </c>
      <c r="G583" s="2" t="s">
        <v>2917</v>
      </c>
      <c r="H583" s="2" t="s">
        <v>48</v>
      </c>
      <c r="I583" s="2" t="str" cm="1">
        <f t="array" ref="I583">IFERROR(playerPoints($H583,$F583,$G583,I$1),"")</f>
        <v/>
      </c>
      <c r="J583" s="2" t="str" cm="1">
        <f t="array" ref="J583">IFERROR(playerPoints($H583,$F583,$G583,J$1),"")</f>
        <v/>
      </c>
      <c r="K583" s="2" t="str" cm="1">
        <f t="array" ref="K583">IFERROR(playerPoints($H583,$F583,$G583,K$1),"")</f>
        <v/>
      </c>
      <c r="L583" s="2" t="str" cm="1">
        <f t="array" ref="L583">IFERROR(playerPoints($H583,$F583,$G583,L$1),"")</f>
        <v/>
      </c>
      <c r="M583" s="2" t="str" cm="1">
        <f t="array" ref="M583">IFERROR(playerPoints($H583,$F583,$G583,M$1),"")</f>
        <v/>
      </c>
      <c r="N583" s="2" t="str" cm="1">
        <f t="array" ref="N583">IFERROR(playerPoints($H583,$F583,$G583,N$1),"")</f>
        <v/>
      </c>
      <c r="O583" s="2" t="str" cm="1">
        <f t="array" ref="O583">IFERROR(playerPoints($H583,$F583,$G583,O$1),"")</f>
        <v/>
      </c>
      <c r="Q583" s="2">
        <f t="shared" si="9"/>
        <v>0</v>
      </c>
    </row>
    <row r="584" spans="1:17">
      <c r="A584" s="2">
        <v>583</v>
      </c>
      <c r="B584" s="2" t="s">
        <v>1934</v>
      </c>
      <c r="C584" s="2" t="s">
        <v>1989</v>
      </c>
      <c r="D584" s="2" t="s">
        <v>885</v>
      </c>
      <c r="F584" s="2" t="str">
        <f>LOOKUP(D584,Sheet3!A$1:A$32,Sheet3!B$1:B$32)</f>
        <v>KSA</v>
      </c>
      <c r="G584" s="2" t="s">
        <v>2918</v>
      </c>
      <c r="H584" s="2" t="s">
        <v>48</v>
      </c>
      <c r="I584" s="2" t="str" cm="1">
        <f t="array" ref="I584">IFERROR(playerPoints($H584,$F584,$G584,I$1),"")</f>
        <v/>
      </c>
      <c r="J584" s="2" t="str" cm="1">
        <f t="array" ref="J584">IFERROR(playerPoints($H584,$F584,$G584,J$1),"")</f>
        <v/>
      </c>
      <c r="K584" s="2" t="str" cm="1">
        <f t="array" ref="K584">IFERROR(playerPoints($H584,$F584,$G584,K$1),"")</f>
        <v/>
      </c>
      <c r="L584" s="2" t="str" cm="1">
        <f t="array" ref="L584">IFERROR(playerPoints($H584,$F584,$G584,L$1),"")</f>
        <v/>
      </c>
      <c r="M584" s="2" t="str" cm="1">
        <f t="array" ref="M584">IFERROR(playerPoints($H584,$F584,$G584,M$1),"")</f>
        <v/>
      </c>
      <c r="N584" s="2" t="str" cm="1">
        <f t="array" ref="N584">IFERROR(playerPoints($H584,$F584,$G584,N$1),"")</f>
        <v/>
      </c>
      <c r="O584" s="2" t="str" cm="1">
        <f t="array" ref="O584">IFERROR(playerPoints($H584,$F584,$G584,O$1),"")</f>
        <v/>
      </c>
      <c r="Q584" s="2">
        <f t="shared" si="9"/>
        <v>0</v>
      </c>
    </row>
    <row r="585" spans="1:17">
      <c r="A585" s="2">
        <v>584</v>
      </c>
      <c r="B585" s="2" t="s">
        <v>1940</v>
      </c>
      <c r="C585" s="2" t="s">
        <v>1990</v>
      </c>
      <c r="D585" s="2" t="s">
        <v>885</v>
      </c>
      <c r="F585" s="2" t="str">
        <f>LOOKUP(D585,Sheet3!A$1:A$32,Sheet3!B$1:B$32)</f>
        <v>KSA</v>
      </c>
      <c r="G585" s="2" t="s">
        <v>2919</v>
      </c>
      <c r="H585" s="2" t="s">
        <v>57</v>
      </c>
      <c r="I585" s="2" t="str" cm="1">
        <f t="array" ref="I585">IFERROR(playerPoints($H585,$F585,$G585,I$1),"")</f>
        <v/>
      </c>
      <c r="J585" s="2" t="str" cm="1">
        <f t="array" ref="J585">IFERROR(playerPoints($H585,$F585,$G585,J$1),"")</f>
        <v/>
      </c>
      <c r="K585" s="2" t="str" cm="1">
        <f t="array" ref="K585">IFERROR(playerPoints($H585,$F585,$G585,K$1),"")</f>
        <v/>
      </c>
      <c r="L585" s="2" t="str" cm="1">
        <f t="array" ref="L585">IFERROR(playerPoints($H585,$F585,$G585,L$1),"")</f>
        <v/>
      </c>
      <c r="M585" s="2" t="str" cm="1">
        <f t="array" ref="M585">IFERROR(playerPoints($H585,$F585,$G585,M$1),"")</f>
        <v/>
      </c>
      <c r="N585" s="2" t="str" cm="1">
        <f t="array" ref="N585">IFERROR(playerPoints($H585,$F585,$G585,N$1),"")</f>
        <v/>
      </c>
      <c r="O585" s="2" t="str" cm="1">
        <f t="array" ref="O585">IFERROR(playerPoints($H585,$F585,$G585,O$1),"")</f>
        <v/>
      </c>
      <c r="Q585" s="2">
        <f t="shared" si="9"/>
        <v>0</v>
      </c>
    </row>
    <row r="586" spans="1:17">
      <c r="A586" s="2">
        <v>585</v>
      </c>
      <c r="B586" s="2" t="s">
        <v>1981</v>
      </c>
      <c r="C586" s="2" t="s">
        <v>1991</v>
      </c>
      <c r="D586" s="2" t="s">
        <v>885</v>
      </c>
      <c r="F586" s="2" t="str">
        <f>LOOKUP(D586,Sheet3!A$1:A$32,Sheet3!B$1:B$32)</f>
        <v>KSA</v>
      </c>
      <c r="G586" s="2" t="s">
        <v>2920</v>
      </c>
      <c r="H586" s="2" t="s">
        <v>57</v>
      </c>
      <c r="I586" s="2" t="str" cm="1">
        <f t="array" ref="I586">IFERROR(playerPoints($H586,$F586,$G586,I$1),"")</f>
        <v/>
      </c>
      <c r="J586" s="2" t="str" cm="1">
        <f t="array" ref="J586">IFERROR(playerPoints($H586,$F586,$G586,J$1),"")</f>
        <v/>
      </c>
      <c r="K586" s="2" t="str" cm="1">
        <f t="array" ref="K586">IFERROR(playerPoints($H586,$F586,$G586,K$1),"")</f>
        <v/>
      </c>
      <c r="L586" s="2" t="str" cm="1">
        <f t="array" ref="L586">IFERROR(playerPoints($H586,$F586,$G586,L$1),"")</f>
        <v/>
      </c>
      <c r="M586" s="2" t="str" cm="1">
        <f t="array" ref="M586">IFERROR(playerPoints($H586,$F586,$G586,M$1),"")</f>
        <v/>
      </c>
      <c r="N586" s="2" t="str" cm="1">
        <f t="array" ref="N586">IFERROR(playerPoints($H586,$F586,$G586,N$1),"")</f>
        <v/>
      </c>
      <c r="O586" s="2" t="str" cm="1">
        <f t="array" ref="O586">IFERROR(playerPoints($H586,$F586,$G586,O$1),"")</f>
        <v/>
      </c>
      <c r="Q586" s="2">
        <f t="shared" si="9"/>
        <v>0</v>
      </c>
    </row>
    <row r="587" spans="1:17">
      <c r="A587" s="2">
        <v>586</v>
      </c>
      <c r="B587" s="2" t="s">
        <v>1949</v>
      </c>
      <c r="C587" s="2" t="s">
        <v>1992</v>
      </c>
      <c r="D587" s="2" t="s">
        <v>885</v>
      </c>
      <c r="F587" s="2" t="str">
        <f>LOOKUP(D587,Sheet3!A$1:A$32,Sheet3!B$1:B$32)</f>
        <v>KSA</v>
      </c>
      <c r="G587" s="2" t="s">
        <v>937</v>
      </c>
      <c r="H587" s="2" t="s">
        <v>57</v>
      </c>
      <c r="I587" s="2" t="str" cm="1">
        <f t="array" ref="I587">IFERROR(playerPoints($H587,$F587,$G587,I$1),"")</f>
        <v/>
      </c>
      <c r="J587" s="2" t="str" cm="1">
        <f t="array" ref="J587">IFERROR(playerPoints($H587,$F587,$G587,J$1),"")</f>
        <v/>
      </c>
      <c r="K587" s="2" t="str" cm="1">
        <f t="array" ref="K587">IFERROR(playerPoints($H587,$F587,$G587,K$1),"")</f>
        <v/>
      </c>
      <c r="L587" s="2" t="str" cm="1">
        <f t="array" ref="L587">IFERROR(playerPoints($H587,$F587,$G587,L$1),"")</f>
        <v/>
      </c>
      <c r="M587" s="2" t="str" cm="1">
        <f t="array" ref="M587">IFERROR(playerPoints($H587,$F587,$G587,M$1),"")</f>
        <v/>
      </c>
      <c r="N587" s="2" t="str" cm="1">
        <f t="array" ref="N587">IFERROR(playerPoints($H587,$F587,$G587,N$1),"")</f>
        <v/>
      </c>
      <c r="O587" s="2" t="str" cm="1">
        <f t="array" ref="O587">IFERROR(playerPoints($H587,$F587,$G587,O$1),"")</f>
        <v/>
      </c>
      <c r="Q587" s="2">
        <f t="shared" si="9"/>
        <v>0</v>
      </c>
    </row>
    <row r="588" spans="1:17">
      <c r="A588" s="2">
        <v>587</v>
      </c>
      <c r="B588" s="2" t="s">
        <v>1979</v>
      </c>
      <c r="C588" s="2" t="s">
        <v>1993</v>
      </c>
      <c r="D588" s="2" t="s">
        <v>885</v>
      </c>
      <c r="F588" s="2" t="str">
        <f>LOOKUP(D588,Sheet3!A$1:A$32,Sheet3!B$1:B$32)</f>
        <v>KSA</v>
      </c>
      <c r="G588" s="2" t="s">
        <v>2921</v>
      </c>
      <c r="H588" s="2" t="s">
        <v>57</v>
      </c>
      <c r="I588" s="2" t="str" cm="1">
        <f t="array" ref="I588">IFERROR(playerPoints($H588,$F588,$G588,I$1),"")</f>
        <v/>
      </c>
      <c r="J588" s="2" t="str" cm="1">
        <f t="array" ref="J588">IFERROR(playerPoints($H588,$F588,$G588,J$1),"")</f>
        <v/>
      </c>
      <c r="K588" s="2" t="str" cm="1">
        <f t="array" ref="K588">IFERROR(playerPoints($H588,$F588,$G588,K$1),"")</f>
        <v/>
      </c>
      <c r="L588" s="2" t="str" cm="1">
        <f t="array" ref="L588">IFERROR(playerPoints($H588,$F588,$G588,L$1),"")</f>
        <v/>
      </c>
      <c r="M588" s="2" t="str" cm="1">
        <f t="array" ref="M588">IFERROR(playerPoints($H588,$F588,$G588,M$1),"")</f>
        <v/>
      </c>
      <c r="N588" s="2" t="str" cm="1">
        <f t="array" ref="N588">IFERROR(playerPoints($H588,$F588,$G588,N$1),"")</f>
        <v/>
      </c>
      <c r="O588" s="2" t="str" cm="1">
        <f t="array" ref="O588">IFERROR(playerPoints($H588,$F588,$G588,O$1),"")</f>
        <v/>
      </c>
      <c r="Q588" s="2">
        <f t="shared" si="9"/>
        <v>0</v>
      </c>
    </row>
    <row r="589" spans="1:17">
      <c r="A589" s="2">
        <v>588</v>
      </c>
      <c r="B589" s="2" t="s">
        <v>1654</v>
      </c>
      <c r="C589" s="2" t="s">
        <v>1994</v>
      </c>
      <c r="D589" s="2" t="s">
        <v>885</v>
      </c>
      <c r="F589" s="2" t="str">
        <f>LOOKUP(D589,Sheet3!A$1:A$32,Sheet3!B$1:B$32)</f>
        <v>KSA</v>
      </c>
      <c r="G589" s="2" t="s">
        <v>2922</v>
      </c>
      <c r="H589" s="2" t="s">
        <v>57</v>
      </c>
      <c r="I589" s="2" t="str" cm="1">
        <f t="array" ref="I589">IFERROR(playerPoints($H589,$F589,$G589,I$1),"")</f>
        <v/>
      </c>
      <c r="J589" s="2" t="str" cm="1">
        <f t="array" ref="J589">IFERROR(playerPoints($H589,$F589,$G589,J$1),"")</f>
        <v/>
      </c>
      <c r="K589" s="2" t="str" cm="1">
        <f t="array" ref="K589">IFERROR(playerPoints($H589,$F589,$G589,K$1),"")</f>
        <v/>
      </c>
      <c r="L589" s="2" t="str" cm="1">
        <f t="array" ref="L589">IFERROR(playerPoints($H589,$F589,$G589,L$1),"")</f>
        <v/>
      </c>
      <c r="M589" s="2" t="str" cm="1">
        <f t="array" ref="M589">IFERROR(playerPoints($H589,$F589,$G589,M$1),"")</f>
        <v/>
      </c>
      <c r="N589" s="2" t="str" cm="1">
        <f t="array" ref="N589">IFERROR(playerPoints($H589,$F589,$G589,N$1),"")</f>
        <v/>
      </c>
      <c r="O589" s="2" t="str" cm="1">
        <f t="array" ref="O589">IFERROR(playerPoints($H589,$F589,$G589,O$1),"")</f>
        <v/>
      </c>
      <c r="Q589" s="2">
        <f t="shared" si="9"/>
        <v>0</v>
      </c>
    </row>
    <row r="590" spans="1:17">
      <c r="A590" s="2">
        <v>589</v>
      </c>
      <c r="B590" s="2" t="s">
        <v>1995</v>
      </c>
      <c r="C590" s="2" t="s">
        <v>1996</v>
      </c>
      <c r="D590" s="2" t="s">
        <v>885</v>
      </c>
      <c r="F590" s="2" t="str">
        <f>LOOKUP(D590,Sheet3!A$1:A$32,Sheet3!B$1:B$32)</f>
        <v>KSA</v>
      </c>
      <c r="G590" s="2" t="s">
        <v>2923</v>
      </c>
      <c r="H590" s="2" t="s">
        <v>57</v>
      </c>
      <c r="I590" s="2" t="str" cm="1">
        <f t="array" ref="I590">IFERROR(playerPoints($H590,$F590,$G590,I$1),"")</f>
        <v/>
      </c>
      <c r="J590" s="2" t="str" cm="1">
        <f t="array" ref="J590">IFERROR(playerPoints($H590,$F590,$G590,J$1),"")</f>
        <v/>
      </c>
      <c r="K590" s="2" t="str" cm="1">
        <f t="array" ref="K590">IFERROR(playerPoints($H590,$F590,$G590,K$1),"")</f>
        <v/>
      </c>
      <c r="L590" s="2" t="str" cm="1">
        <f t="array" ref="L590">IFERROR(playerPoints($H590,$F590,$G590,L$1),"")</f>
        <v/>
      </c>
      <c r="M590" s="2" t="str" cm="1">
        <f t="array" ref="M590">IFERROR(playerPoints($H590,$F590,$G590,M$1),"")</f>
        <v/>
      </c>
      <c r="N590" s="2" t="str" cm="1">
        <f t="array" ref="N590">IFERROR(playerPoints($H590,$F590,$G590,N$1),"")</f>
        <v/>
      </c>
      <c r="O590" s="2" t="str" cm="1">
        <f t="array" ref="O590">IFERROR(playerPoints($H590,$F590,$G590,O$1),"")</f>
        <v/>
      </c>
      <c r="Q590" s="2">
        <f t="shared" si="9"/>
        <v>0</v>
      </c>
    </row>
    <row r="591" spans="1:17">
      <c r="A591" s="2">
        <v>590</v>
      </c>
      <c r="B591" s="2" t="s">
        <v>1975</v>
      </c>
      <c r="C591" s="2" t="s">
        <v>1997</v>
      </c>
      <c r="D591" s="2" t="s">
        <v>885</v>
      </c>
      <c r="F591" s="2" t="str">
        <f>LOOKUP(D591,Sheet3!A$1:A$32,Sheet3!B$1:B$32)</f>
        <v>KSA</v>
      </c>
      <c r="G591" s="2" t="s">
        <v>2924</v>
      </c>
      <c r="H591" s="2" t="s">
        <v>57</v>
      </c>
      <c r="I591" s="2" t="str" cm="1">
        <f t="array" ref="I591">IFERROR(playerPoints($H591,$F591,$G591,I$1),"")</f>
        <v/>
      </c>
      <c r="J591" s="2" t="str" cm="1">
        <f t="array" ref="J591">IFERROR(playerPoints($H591,$F591,$G591,J$1),"")</f>
        <v/>
      </c>
      <c r="K591" s="2" t="str" cm="1">
        <f t="array" ref="K591">IFERROR(playerPoints($H591,$F591,$G591,K$1),"")</f>
        <v/>
      </c>
      <c r="L591" s="2" t="str" cm="1">
        <f t="array" ref="L591">IFERROR(playerPoints($H591,$F591,$G591,L$1),"")</f>
        <v/>
      </c>
      <c r="M591" s="2" t="str" cm="1">
        <f t="array" ref="M591">IFERROR(playerPoints($H591,$F591,$G591,M$1),"")</f>
        <v/>
      </c>
      <c r="N591" s="2" t="str" cm="1">
        <f t="array" ref="N591">IFERROR(playerPoints($H591,$F591,$G591,N$1),"")</f>
        <v/>
      </c>
      <c r="O591" s="2" t="str" cm="1">
        <f t="array" ref="O591">IFERROR(playerPoints($H591,$F591,$G591,O$1),"")</f>
        <v/>
      </c>
      <c r="Q591" s="2">
        <f t="shared" si="9"/>
        <v>0</v>
      </c>
    </row>
    <row r="592" spans="1:17">
      <c r="A592" s="2">
        <v>591</v>
      </c>
      <c r="B592" s="2" t="s">
        <v>1998</v>
      </c>
      <c r="C592" s="2" t="s">
        <v>1999</v>
      </c>
      <c r="D592" s="2" t="s">
        <v>885</v>
      </c>
      <c r="F592" s="2" t="str">
        <f>LOOKUP(D592,Sheet3!A$1:A$32,Sheet3!B$1:B$32)</f>
        <v>KSA</v>
      </c>
      <c r="G592" s="2" t="s">
        <v>2925</v>
      </c>
      <c r="H592" s="2" t="s">
        <v>57</v>
      </c>
      <c r="I592" s="2" t="str" cm="1">
        <f t="array" ref="I592">IFERROR(playerPoints($H592,$F592,$G592,I$1),"")</f>
        <v/>
      </c>
      <c r="J592" s="2" t="str" cm="1">
        <f t="array" ref="J592">IFERROR(playerPoints($H592,$F592,$G592,J$1),"")</f>
        <v/>
      </c>
      <c r="K592" s="2" t="str" cm="1">
        <f t="array" ref="K592">IFERROR(playerPoints($H592,$F592,$G592,K$1),"")</f>
        <v/>
      </c>
      <c r="L592" s="2" t="str" cm="1">
        <f t="array" ref="L592">IFERROR(playerPoints($H592,$F592,$G592,L$1),"")</f>
        <v/>
      </c>
      <c r="M592" s="2" t="str" cm="1">
        <f t="array" ref="M592">IFERROR(playerPoints($H592,$F592,$G592,M$1),"")</f>
        <v/>
      </c>
      <c r="N592" s="2" t="str" cm="1">
        <f t="array" ref="N592">IFERROR(playerPoints($H592,$F592,$G592,N$1),"")</f>
        <v/>
      </c>
      <c r="O592" s="2" t="str" cm="1">
        <f t="array" ref="O592">IFERROR(playerPoints($H592,$F592,$G592,O$1),"")</f>
        <v/>
      </c>
      <c r="Q592" s="2">
        <f t="shared" si="9"/>
        <v>0</v>
      </c>
    </row>
    <row r="593" spans="1:17">
      <c r="A593" s="2">
        <v>592</v>
      </c>
      <c r="B593" s="2" t="s">
        <v>2000</v>
      </c>
      <c r="C593" s="2" t="s">
        <v>2001</v>
      </c>
      <c r="D593" s="2" t="s">
        <v>885</v>
      </c>
      <c r="F593" s="2" t="str">
        <f>LOOKUP(D593,Sheet3!A$1:A$32,Sheet3!B$1:B$32)</f>
        <v>KSA</v>
      </c>
      <c r="G593" s="2" t="s">
        <v>2926</v>
      </c>
      <c r="H593" s="2" t="s">
        <v>57</v>
      </c>
      <c r="I593" s="2" t="str" cm="1">
        <f t="array" ref="I593">IFERROR(playerPoints($H593,$F593,$G593,I$1),"")</f>
        <v/>
      </c>
      <c r="J593" s="2" t="str" cm="1">
        <f t="array" ref="J593">IFERROR(playerPoints($H593,$F593,$G593,J$1),"")</f>
        <v/>
      </c>
      <c r="K593" s="2" t="str" cm="1">
        <f t="array" ref="K593">IFERROR(playerPoints($H593,$F593,$G593,K$1),"")</f>
        <v/>
      </c>
      <c r="L593" s="2" t="str" cm="1">
        <f t="array" ref="L593">IFERROR(playerPoints($H593,$F593,$G593,L$1),"")</f>
        <v/>
      </c>
      <c r="M593" s="2" t="str" cm="1">
        <f t="array" ref="M593">IFERROR(playerPoints($H593,$F593,$G593,M$1),"")</f>
        <v/>
      </c>
      <c r="N593" s="2" t="str" cm="1">
        <f t="array" ref="N593">IFERROR(playerPoints($H593,$F593,$G593,N$1),"")</f>
        <v/>
      </c>
      <c r="O593" s="2" t="str" cm="1">
        <f t="array" ref="O593">IFERROR(playerPoints($H593,$F593,$G593,O$1),"")</f>
        <v/>
      </c>
      <c r="Q593" s="2">
        <f t="shared" si="9"/>
        <v>0</v>
      </c>
    </row>
    <row r="594" spans="1:17">
      <c r="A594" s="2">
        <v>593</v>
      </c>
      <c r="B594" s="2" t="s">
        <v>2002</v>
      </c>
      <c r="C594" s="2" t="s">
        <v>1992</v>
      </c>
      <c r="D594" s="2" t="s">
        <v>885</v>
      </c>
      <c r="F594" s="2" t="str">
        <f>LOOKUP(D594,Sheet3!A$1:A$32,Sheet3!B$1:B$32)</f>
        <v>KSA</v>
      </c>
      <c r="G594" s="2" t="s">
        <v>2927</v>
      </c>
      <c r="H594" s="2" t="s">
        <v>57</v>
      </c>
      <c r="I594" s="2" t="str" cm="1">
        <f t="array" ref="I594">IFERROR(playerPoints($H594,$F594,$G594,I$1),"")</f>
        <v/>
      </c>
      <c r="J594" s="2" t="str" cm="1">
        <f t="array" ref="J594">IFERROR(playerPoints($H594,$F594,$G594,J$1),"")</f>
        <v/>
      </c>
      <c r="K594" s="2" t="str" cm="1">
        <f t="array" ref="K594">IFERROR(playerPoints($H594,$F594,$G594,K$1),"")</f>
        <v/>
      </c>
      <c r="L594" s="2" t="str" cm="1">
        <f t="array" ref="L594">IFERROR(playerPoints($H594,$F594,$G594,L$1),"")</f>
        <v/>
      </c>
      <c r="M594" s="2" t="str" cm="1">
        <f t="array" ref="M594">IFERROR(playerPoints($H594,$F594,$G594,M$1),"")</f>
        <v/>
      </c>
      <c r="N594" s="2" t="str" cm="1">
        <f t="array" ref="N594">IFERROR(playerPoints($H594,$F594,$G594,N$1),"")</f>
        <v/>
      </c>
      <c r="O594" s="2" t="str" cm="1">
        <f t="array" ref="O594">IFERROR(playerPoints($H594,$F594,$G594,O$1),"")</f>
        <v/>
      </c>
      <c r="Q594" s="2">
        <f t="shared" si="9"/>
        <v>0</v>
      </c>
    </row>
    <row r="595" spans="1:17">
      <c r="A595" s="2">
        <v>594</v>
      </c>
      <c r="B595" s="2" t="s">
        <v>2003</v>
      </c>
      <c r="C595" s="2" t="s">
        <v>2004</v>
      </c>
      <c r="D595" s="2" t="s">
        <v>885</v>
      </c>
      <c r="F595" s="2" t="str">
        <f>LOOKUP(D595,Sheet3!A$1:A$32,Sheet3!B$1:B$32)</f>
        <v>KSA</v>
      </c>
      <c r="G595" s="2" t="s">
        <v>2928</v>
      </c>
      <c r="H595" s="2" t="s">
        <v>57</v>
      </c>
      <c r="I595" s="2" t="str" cm="1">
        <f t="array" ref="I595">IFERROR(playerPoints($H595,$F595,$G595,I$1),"")</f>
        <v/>
      </c>
      <c r="J595" s="2" t="str" cm="1">
        <f t="array" ref="J595">IFERROR(playerPoints($H595,$F595,$G595,J$1),"")</f>
        <v/>
      </c>
      <c r="K595" s="2" t="str" cm="1">
        <f t="array" ref="K595">IFERROR(playerPoints($H595,$F595,$G595,K$1),"")</f>
        <v/>
      </c>
      <c r="L595" s="2" t="str" cm="1">
        <f t="array" ref="L595">IFERROR(playerPoints($H595,$F595,$G595,L$1),"")</f>
        <v/>
      </c>
      <c r="M595" s="2" t="str" cm="1">
        <f t="array" ref="M595">IFERROR(playerPoints($H595,$F595,$G595,M$1),"")</f>
        <v/>
      </c>
      <c r="N595" s="2" t="str" cm="1">
        <f t="array" ref="N595">IFERROR(playerPoints($H595,$F595,$G595,N$1),"")</f>
        <v/>
      </c>
      <c r="O595" s="2" t="str" cm="1">
        <f t="array" ref="O595">IFERROR(playerPoints($H595,$F595,$G595,O$1),"")</f>
        <v/>
      </c>
      <c r="Q595" s="2">
        <f t="shared" si="9"/>
        <v>0</v>
      </c>
    </row>
    <row r="596" spans="1:17">
      <c r="A596" s="2">
        <v>595</v>
      </c>
      <c r="B596" s="2" t="s">
        <v>2005</v>
      </c>
      <c r="C596" s="2" t="s">
        <v>2006</v>
      </c>
      <c r="D596" s="2" t="s">
        <v>885</v>
      </c>
      <c r="F596" s="2" t="str">
        <f>LOOKUP(D596,Sheet3!A$1:A$32,Sheet3!B$1:B$32)</f>
        <v>KSA</v>
      </c>
      <c r="G596" s="2" t="s">
        <v>2929</v>
      </c>
      <c r="H596" s="2" t="s">
        <v>66</v>
      </c>
      <c r="I596" s="2" t="str" cm="1">
        <f t="array" ref="I596">IFERROR(playerPoints($H596,$F596,$G596,I$1),"")</f>
        <v/>
      </c>
      <c r="J596" s="2" t="str" cm="1">
        <f t="array" ref="J596">IFERROR(playerPoints($H596,$F596,$G596,J$1),"")</f>
        <v/>
      </c>
      <c r="K596" s="2" t="str" cm="1">
        <f t="array" ref="K596">IFERROR(playerPoints($H596,$F596,$G596,K$1),"")</f>
        <v/>
      </c>
      <c r="L596" s="2" t="str" cm="1">
        <f t="array" ref="L596">IFERROR(playerPoints($H596,$F596,$G596,L$1),"")</f>
        <v/>
      </c>
      <c r="M596" s="2" t="str" cm="1">
        <f t="array" ref="M596">IFERROR(playerPoints($H596,$F596,$G596,M$1),"")</f>
        <v/>
      </c>
      <c r="N596" s="2" t="str" cm="1">
        <f t="array" ref="N596">IFERROR(playerPoints($H596,$F596,$G596,N$1),"")</f>
        <v/>
      </c>
      <c r="O596" s="2" t="str" cm="1">
        <f t="array" ref="O596">IFERROR(playerPoints($H596,$F596,$G596,O$1),"")</f>
        <v/>
      </c>
      <c r="Q596" s="2">
        <f t="shared" si="9"/>
        <v>0</v>
      </c>
    </row>
    <row r="597" spans="1:17">
      <c r="A597" s="2">
        <v>596</v>
      </c>
      <c r="B597" s="2" t="s">
        <v>2007</v>
      </c>
      <c r="C597" s="2" t="s">
        <v>2008</v>
      </c>
      <c r="D597" s="2" t="s">
        <v>885</v>
      </c>
      <c r="F597" s="2" t="str">
        <f>LOOKUP(D597,Sheet3!A$1:A$32,Sheet3!B$1:B$32)</f>
        <v>KSA</v>
      </c>
      <c r="G597" s="2" t="s">
        <v>936</v>
      </c>
      <c r="H597" s="2" t="s">
        <v>66</v>
      </c>
      <c r="I597" s="2" t="str" cm="1">
        <f t="array" ref="I597">IFERROR(playerPoints($H597,$F597,$G597,I$1),"")</f>
        <v/>
      </c>
      <c r="J597" s="2" t="str" cm="1">
        <f t="array" ref="J597">IFERROR(playerPoints($H597,$F597,$G597,J$1),"")</f>
        <v/>
      </c>
      <c r="K597" s="2" t="str" cm="1">
        <f t="array" ref="K597">IFERROR(playerPoints($H597,$F597,$G597,K$1),"")</f>
        <v/>
      </c>
      <c r="L597" s="2" t="str" cm="1">
        <f t="array" ref="L597">IFERROR(playerPoints($H597,$F597,$G597,L$1),"")</f>
        <v/>
      </c>
      <c r="M597" s="2" t="str" cm="1">
        <f t="array" ref="M597">IFERROR(playerPoints($H597,$F597,$G597,M$1),"")</f>
        <v/>
      </c>
      <c r="N597" s="2" t="str" cm="1">
        <f t="array" ref="N597">IFERROR(playerPoints($H597,$F597,$G597,N$1),"")</f>
        <v/>
      </c>
      <c r="O597" s="2" t="str" cm="1">
        <f t="array" ref="O597">IFERROR(playerPoints($H597,$F597,$G597,O$1),"")</f>
        <v/>
      </c>
      <c r="Q597" s="2">
        <f t="shared" si="9"/>
        <v>0</v>
      </c>
    </row>
    <row r="598" spans="1:17">
      <c r="A598" s="2">
        <v>597</v>
      </c>
      <c r="B598" s="2" t="s">
        <v>2009</v>
      </c>
      <c r="C598" s="2" t="s">
        <v>2010</v>
      </c>
      <c r="D598" s="2" t="s">
        <v>885</v>
      </c>
      <c r="F598" s="2" t="str">
        <f>LOOKUP(D598,Sheet3!A$1:A$32,Sheet3!B$1:B$32)</f>
        <v>KSA</v>
      </c>
      <c r="G598" s="2" t="s">
        <v>2930</v>
      </c>
      <c r="H598" s="2" t="s">
        <v>66</v>
      </c>
      <c r="I598" s="2" t="str" cm="1">
        <f t="array" ref="I598">IFERROR(playerPoints($H598,$F598,$G598,I$1),"")</f>
        <v/>
      </c>
      <c r="J598" s="2" t="str" cm="1">
        <f t="array" ref="J598">IFERROR(playerPoints($H598,$F598,$G598,J$1),"")</f>
        <v/>
      </c>
      <c r="K598" s="2" t="str" cm="1">
        <f t="array" ref="K598">IFERROR(playerPoints($H598,$F598,$G598,K$1),"")</f>
        <v/>
      </c>
      <c r="L598" s="2" t="str" cm="1">
        <f t="array" ref="L598">IFERROR(playerPoints($H598,$F598,$G598,L$1),"")</f>
        <v/>
      </c>
      <c r="M598" s="2" t="str" cm="1">
        <f t="array" ref="M598">IFERROR(playerPoints($H598,$F598,$G598,M$1),"")</f>
        <v/>
      </c>
      <c r="N598" s="2" t="str" cm="1">
        <f t="array" ref="N598">IFERROR(playerPoints($H598,$F598,$G598,N$1),"")</f>
        <v/>
      </c>
      <c r="O598" s="2" t="str" cm="1">
        <f t="array" ref="O598">IFERROR(playerPoints($H598,$F598,$G598,O$1),"")</f>
        <v/>
      </c>
      <c r="Q598" s="2">
        <f t="shared" si="9"/>
        <v>0</v>
      </c>
    </row>
    <row r="599" spans="1:17">
      <c r="A599" s="2">
        <v>598</v>
      </c>
      <c r="B599" s="2" t="s">
        <v>2011</v>
      </c>
      <c r="C599" s="2" t="s">
        <v>2012</v>
      </c>
      <c r="D599" s="2" t="s">
        <v>885</v>
      </c>
      <c r="F599" s="2" t="str">
        <f>LOOKUP(D599,Sheet3!A$1:A$32,Sheet3!B$1:B$32)</f>
        <v>KSA</v>
      </c>
      <c r="G599" s="2" t="s">
        <v>2931</v>
      </c>
      <c r="H599" s="2" t="s">
        <v>66</v>
      </c>
      <c r="I599" s="2" t="str" cm="1">
        <f t="array" ref="I599">IFERROR(playerPoints($H599,$F599,$G599,I$1),"")</f>
        <v/>
      </c>
      <c r="J599" s="2" t="str" cm="1">
        <f t="array" ref="J599">IFERROR(playerPoints($H599,$F599,$G599,J$1),"")</f>
        <v/>
      </c>
      <c r="K599" s="2" t="str" cm="1">
        <f t="array" ref="K599">IFERROR(playerPoints($H599,$F599,$G599,K$1),"")</f>
        <v/>
      </c>
      <c r="L599" s="2" t="str" cm="1">
        <f t="array" ref="L599">IFERROR(playerPoints($H599,$F599,$G599,L$1),"")</f>
        <v/>
      </c>
      <c r="M599" s="2" t="str" cm="1">
        <f t="array" ref="M599">IFERROR(playerPoints($H599,$F599,$G599,M$1),"")</f>
        <v/>
      </c>
      <c r="N599" s="2" t="str" cm="1">
        <f t="array" ref="N599">IFERROR(playerPoints($H599,$F599,$G599,N$1),"")</f>
        <v/>
      </c>
      <c r="O599" s="2" t="str" cm="1">
        <f t="array" ref="O599">IFERROR(playerPoints($H599,$F599,$G599,O$1),"")</f>
        <v/>
      </c>
      <c r="Q599" s="2">
        <f t="shared" si="9"/>
        <v>0</v>
      </c>
    </row>
    <row r="600" spans="1:17">
      <c r="A600" s="2">
        <v>599</v>
      </c>
      <c r="B600" s="2" t="s">
        <v>2013</v>
      </c>
      <c r="C600" s="2" t="s">
        <v>2014</v>
      </c>
      <c r="D600" s="2" t="s">
        <v>886</v>
      </c>
      <c r="F600" s="2" t="str">
        <f>LOOKUP(D600,Sheet3!A$1:A$32,Sheet3!B$1:B$32)</f>
        <v>SEN</v>
      </c>
      <c r="G600" s="2" t="s">
        <v>2932</v>
      </c>
      <c r="H600" s="2" t="s">
        <v>44</v>
      </c>
      <c r="I600" s="2" t="str" cm="1">
        <f t="array" ref="I600">IFERROR(playerPoints($H600,$F600,$G600,I$1),"")</f>
        <v/>
      </c>
      <c r="J600" s="2" t="str" cm="1">
        <f t="array" ref="J600">IFERROR(playerPoints($H600,$F600,$G600,J$1),"")</f>
        <v/>
      </c>
      <c r="K600" s="2" t="str" cm="1">
        <f t="array" ref="K600">IFERROR(playerPoints($H600,$F600,$G600,K$1),"")</f>
        <v/>
      </c>
      <c r="L600" s="2" t="str" cm="1">
        <f t="array" ref="L600">IFERROR(playerPoints($H600,$F600,$G600,L$1),"")</f>
        <v/>
      </c>
      <c r="M600" s="2" t="str" cm="1">
        <f t="array" ref="M600">IFERROR(playerPoints($H600,$F600,$G600,M$1),"")</f>
        <v/>
      </c>
      <c r="N600" s="2" t="str" cm="1">
        <f t="array" ref="N600">IFERROR(playerPoints($H600,$F600,$G600,N$1),"")</f>
        <v/>
      </c>
      <c r="O600" s="2" t="str" cm="1">
        <f t="array" ref="O600">IFERROR(playerPoints($H600,$F600,$G600,O$1),"")</f>
        <v/>
      </c>
      <c r="Q600" s="2">
        <f t="shared" si="9"/>
        <v>0</v>
      </c>
    </row>
    <row r="601" spans="1:17">
      <c r="A601" s="2">
        <v>600</v>
      </c>
      <c r="B601" s="2" t="s">
        <v>2015</v>
      </c>
      <c r="C601" s="2" t="s">
        <v>2016</v>
      </c>
      <c r="D601" s="2" t="s">
        <v>886</v>
      </c>
      <c r="F601" s="2" t="str">
        <f>LOOKUP(D601,Sheet3!A$1:A$32,Sheet3!B$1:B$32)</f>
        <v>SEN</v>
      </c>
      <c r="G601" s="2" t="s">
        <v>2933</v>
      </c>
      <c r="H601" s="2" t="s">
        <v>44</v>
      </c>
      <c r="I601" s="2" t="str" cm="1">
        <f t="array" ref="I601">IFERROR(playerPoints($H601,$F601,$G601,I$1),"")</f>
        <v/>
      </c>
      <c r="J601" s="2" t="str" cm="1">
        <f t="array" ref="J601">IFERROR(playerPoints($H601,$F601,$G601,J$1),"")</f>
        <v/>
      </c>
      <c r="K601" s="2" t="str" cm="1">
        <f t="array" ref="K601">IFERROR(playerPoints($H601,$F601,$G601,K$1),"")</f>
        <v/>
      </c>
      <c r="L601" s="2" t="str" cm="1">
        <f t="array" ref="L601">IFERROR(playerPoints($H601,$F601,$G601,L$1),"")</f>
        <v/>
      </c>
      <c r="M601" s="2" t="str" cm="1">
        <f t="array" ref="M601">IFERROR(playerPoints($H601,$F601,$G601,M$1),"")</f>
        <v/>
      </c>
      <c r="N601" s="2" t="str" cm="1">
        <f t="array" ref="N601">IFERROR(playerPoints($H601,$F601,$G601,N$1),"")</f>
        <v/>
      </c>
      <c r="O601" s="2" t="str" cm="1">
        <f t="array" ref="O601">IFERROR(playerPoints($H601,$F601,$G601,O$1),"")</f>
        <v/>
      </c>
      <c r="Q601" s="2">
        <f t="shared" si="9"/>
        <v>0</v>
      </c>
    </row>
    <row r="602" spans="1:17">
      <c r="A602" s="2">
        <v>601</v>
      </c>
      <c r="B602" s="2" t="s">
        <v>2017</v>
      </c>
      <c r="C602" s="2" t="s">
        <v>2018</v>
      </c>
      <c r="D602" s="2" t="s">
        <v>886</v>
      </c>
      <c r="F602" s="2" t="str">
        <f>LOOKUP(D602,Sheet3!A$1:A$32,Sheet3!B$1:B$32)</f>
        <v>SEN</v>
      </c>
      <c r="G602" s="2" t="s">
        <v>2934</v>
      </c>
      <c r="H602" s="2" t="s">
        <v>44</v>
      </c>
      <c r="I602" s="2" t="str" cm="1">
        <f t="array" ref="I602">IFERROR(playerPoints($H602,$F602,$G602,I$1),"")</f>
        <v/>
      </c>
      <c r="J602" s="2" t="str" cm="1">
        <f t="array" ref="J602">IFERROR(playerPoints($H602,$F602,$G602,J$1),"")</f>
        <v/>
      </c>
      <c r="K602" s="2" t="str" cm="1">
        <f t="array" ref="K602">IFERROR(playerPoints($H602,$F602,$G602,K$1),"")</f>
        <v/>
      </c>
      <c r="L602" s="2" t="str" cm="1">
        <f t="array" ref="L602">IFERROR(playerPoints($H602,$F602,$G602,L$1),"")</f>
        <v/>
      </c>
      <c r="M602" s="2" t="str" cm="1">
        <f t="array" ref="M602">IFERROR(playerPoints($H602,$F602,$G602,M$1),"")</f>
        <v/>
      </c>
      <c r="N602" s="2" t="str" cm="1">
        <f t="array" ref="N602">IFERROR(playerPoints($H602,$F602,$G602,N$1),"")</f>
        <v/>
      </c>
      <c r="O602" s="2" t="str" cm="1">
        <f t="array" ref="O602">IFERROR(playerPoints($H602,$F602,$G602,O$1),"")</f>
        <v/>
      </c>
      <c r="Q602" s="2">
        <f t="shared" si="9"/>
        <v>0</v>
      </c>
    </row>
    <row r="603" spans="1:17">
      <c r="A603" s="2">
        <v>602</v>
      </c>
      <c r="B603" s="2" t="s">
        <v>1958</v>
      </c>
      <c r="C603" s="2" t="s">
        <v>2019</v>
      </c>
      <c r="D603" s="2" t="s">
        <v>886</v>
      </c>
      <c r="F603" s="2" t="str">
        <f>LOOKUP(D603,Sheet3!A$1:A$32,Sheet3!B$1:B$32)</f>
        <v>SEN</v>
      </c>
      <c r="G603" s="2" t="s">
        <v>2935</v>
      </c>
      <c r="H603" s="2" t="s">
        <v>48</v>
      </c>
      <c r="I603" s="2" t="str" cm="1">
        <f t="array" ref="I603">IFERROR(playerPoints($H603,$F603,$G603,I$1),"")</f>
        <v/>
      </c>
      <c r="J603" s="2" t="str" cm="1">
        <f t="array" ref="J603">IFERROR(playerPoints($H603,$F603,$G603,J$1),"")</f>
        <v/>
      </c>
      <c r="K603" s="2" t="str" cm="1">
        <f t="array" ref="K603">IFERROR(playerPoints($H603,$F603,$G603,K$1),"")</f>
        <v/>
      </c>
      <c r="L603" s="2" t="str" cm="1">
        <f t="array" ref="L603">IFERROR(playerPoints($H603,$F603,$G603,L$1),"")</f>
        <v/>
      </c>
      <c r="M603" s="2" t="str" cm="1">
        <f t="array" ref="M603">IFERROR(playerPoints($H603,$F603,$G603,M$1),"")</f>
        <v/>
      </c>
      <c r="N603" s="2" t="str" cm="1">
        <f t="array" ref="N603">IFERROR(playerPoints($H603,$F603,$G603,N$1),"")</f>
        <v/>
      </c>
      <c r="O603" s="2" t="str" cm="1">
        <f t="array" ref="O603">IFERROR(playerPoints($H603,$F603,$G603,O$1),"")</f>
        <v/>
      </c>
      <c r="Q603" s="2">
        <f t="shared" si="9"/>
        <v>0</v>
      </c>
    </row>
    <row r="604" spans="1:17">
      <c r="A604" s="2">
        <v>603</v>
      </c>
      <c r="B604" s="2" t="s">
        <v>2020</v>
      </c>
      <c r="C604" s="2" t="s">
        <v>2021</v>
      </c>
      <c r="D604" s="2" t="s">
        <v>886</v>
      </c>
      <c r="F604" s="2" t="str">
        <f>LOOKUP(D604,Sheet3!A$1:A$32,Sheet3!B$1:B$32)</f>
        <v>SEN</v>
      </c>
      <c r="G604" s="2" t="s">
        <v>2936</v>
      </c>
      <c r="H604" s="2" t="s">
        <v>48</v>
      </c>
      <c r="I604" s="2" t="str" cm="1">
        <f t="array" ref="I604">IFERROR(playerPoints($H604,$F604,$G604,I$1),"")</f>
        <v/>
      </c>
      <c r="J604" s="2" t="str" cm="1">
        <f t="array" ref="J604">IFERROR(playerPoints($H604,$F604,$G604,J$1),"")</f>
        <v/>
      </c>
      <c r="K604" s="2" t="str" cm="1">
        <f t="array" ref="K604">IFERROR(playerPoints($H604,$F604,$G604,K$1),"")</f>
        <v/>
      </c>
      <c r="L604" s="2" t="str" cm="1">
        <f t="array" ref="L604">IFERROR(playerPoints($H604,$F604,$G604,L$1),"")</f>
        <v/>
      </c>
      <c r="M604" s="2" t="str" cm="1">
        <f t="array" ref="M604">IFERROR(playerPoints($H604,$F604,$G604,M$1),"")</f>
        <v/>
      </c>
      <c r="N604" s="2" t="str" cm="1">
        <f t="array" ref="N604">IFERROR(playerPoints($H604,$F604,$G604,N$1),"")</f>
        <v/>
      </c>
      <c r="O604" s="2" t="str" cm="1">
        <f t="array" ref="O604">IFERROR(playerPoints($H604,$F604,$G604,O$1),"")</f>
        <v/>
      </c>
      <c r="Q604" s="2">
        <f t="shared" si="9"/>
        <v>0</v>
      </c>
    </row>
    <row r="605" spans="1:17">
      <c r="A605" s="2">
        <v>604</v>
      </c>
      <c r="B605" s="2" t="s">
        <v>2022</v>
      </c>
      <c r="C605" s="2" t="s">
        <v>2023</v>
      </c>
      <c r="D605" s="2" t="s">
        <v>886</v>
      </c>
      <c r="F605" s="2" t="str">
        <f>LOOKUP(D605,Sheet3!A$1:A$32,Sheet3!B$1:B$32)</f>
        <v>SEN</v>
      </c>
      <c r="G605" s="2" t="s">
        <v>2937</v>
      </c>
      <c r="H605" s="2" t="s">
        <v>48</v>
      </c>
      <c r="I605" s="2" t="str" cm="1">
        <f t="array" ref="I605">IFERROR(playerPoints($H605,$F605,$G605,I$1),"")</f>
        <v/>
      </c>
      <c r="J605" s="2" t="str" cm="1">
        <f t="array" ref="J605">IFERROR(playerPoints($H605,$F605,$G605,J$1),"")</f>
        <v/>
      </c>
      <c r="K605" s="2" t="str" cm="1">
        <f t="array" ref="K605">IFERROR(playerPoints($H605,$F605,$G605,K$1),"")</f>
        <v/>
      </c>
      <c r="L605" s="2" t="str" cm="1">
        <f t="array" ref="L605">IFERROR(playerPoints($H605,$F605,$G605,L$1),"")</f>
        <v/>
      </c>
      <c r="M605" s="2" t="str" cm="1">
        <f t="array" ref="M605">IFERROR(playerPoints($H605,$F605,$G605,M$1),"")</f>
        <v/>
      </c>
      <c r="N605" s="2" t="str" cm="1">
        <f t="array" ref="N605">IFERROR(playerPoints($H605,$F605,$G605,N$1),"")</f>
        <v/>
      </c>
      <c r="O605" s="2" t="str" cm="1">
        <f t="array" ref="O605">IFERROR(playerPoints($H605,$F605,$G605,O$1),"")</f>
        <v/>
      </c>
      <c r="Q605" s="2">
        <f t="shared" si="9"/>
        <v>0</v>
      </c>
    </row>
    <row r="606" spans="1:17">
      <c r="A606" s="2">
        <v>605</v>
      </c>
      <c r="B606" s="2" t="s">
        <v>1513</v>
      </c>
      <c r="C606" s="2" t="s">
        <v>2024</v>
      </c>
      <c r="D606" s="2" t="s">
        <v>886</v>
      </c>
      <c r="F606" s="2" t="str">
        <f>LOOKUP(D606,Sheet3!A$1:A$32,Sheet3!B$1:B$32)</f>
        <v>SEN</v>
      </c>
      <c r="G606" s="2" t="s">
        <v>2938</v>
      </c>
      <c r="H606" s="2" t="s">
        <v>48</v>
      </c>
      <c r="I606" s="2" t="str" cm="1">
        <f t="array" ref="I606">IFERROR(playerPoints($H606,$F606,$G606,I$1),"")</f>
        <v/>
      </c>
      <c r="J606" s="2" t="str" cm="1">
        <f t="array" ref="J606">IFERROR(playerPoints($H606,$F606,$G606,J$1),"")</f>
        <v/>
      </c>
      <c r="K606" s="2" t="str" cm="1">
        <f t="array" ref="K606">IFERROR(playerPoints($H606,$F606,$G606,K$1),"")</f>
        <v/>
      </c>
      <c r="L606" s="2" t="str" cm="1">
        <f t="array" ref="L606">IFERROR(playerPoints($H606,$F606,$G606,L$1),"")</f>
        <v/>
      </c>
      <c r="M606" s="2" t="str" cm="1">
        <f t="array" ref="M606">IFERROR(playerPoints($H606,$F606,$G606,M$1),"")</f>
        <v/>
      </c>
      <c r="N606" s="2" t="str" cm="1">
        <f t="array" ref="N606">IFERROR(playerPoints($H606,$F606,$G606,N$1),"")</f>
        <v/>
      </c>
      <c r="O606" s="2" t="str" cm="1">
        <f t="array" ref="O606">IFERROR(playerPoints($H606,$F606,$G606,O$1),"")</f>
        <v/>
      </c>
      <c r="Q606" s="2">
        <f t="shared" si="9"/>
        <v>0</v>
      </c>
    </row>
    <row r="607" spans="1:17">
      <c r="A607" s="2">
        <v>606</v>
      </c>
      <c r="B607" s="2" t="s">
        <v>2025</v>
      </c>
      <c r="C607" s="2" t="s">
        <v>2014</v>
      </c>
      <c r="D607" s="2" t="s">
        <v>886</v>
      </c>
      <c r="F607" s="2" t="str">
        <f>LOOKUP(D607,Sheet3!A$1:A$32,Sheet3!B$1:B$32)</f>
        <v>SEN</v>
      </c>
      <c r="G607" s="2" t="s">
        <v>2939</v>
      </c>
      <c r="H607" s="2" t="s">
        <v>48</v>
      </c>
      <c r="I607" s="2" t="str" cm="1">
        <f t="array" ref="I607">IFERROR(playerPoints($H607,$F607,$G607,I$1),"")</f>
        <v/>
      </c>
      <c r="J607" s="2" t="str" cm="1">
        <f t="array" ref="J607">IFERROR(playerPoints($H607,$F607,$G607,J$1),"")</f>
        <v/>
      </c>
      <c r="K607" s="2" t="str" cm="1">
        <f t="array" ref="K607">IFERROR(playerPoints($H607,$F607,$G607,K$1),"")</f>
        <v/>
      </c>
      <c r="L607" s="2" t="str" cm="1">
        <f t="array" ref="L607">IFERROR(playerPoints($H607,$F607,$G607,L$1),"")</f>
        <v/>
      </c>
      <c r="M607" s="2" t="str" cm="1">
        <f t="array" ref="M607">IFERROR(playerPoints($H607,$F607,$G607,M$1),"")</f>
        <v/>
      </c>
      <c r="N607" s="2" t="str" cm="1">
        <f t="array" ref="N607">IFERROR(playerPoints($H607,$F607,$G607,N$1),"")</f>
        <v/>
      </c>
      <c r="O607" s="2" t="str" cm="1">
        <f t="array" ref="O607">IFERROR(playerPoints($H607,$F607,$G607,O$1),"")</f>
        <v/>
      </c>
      <c r="Q607" s="2">
        <f t="shared" si="9"/>
        <v>0</v>
      </c>
    </row>
    <row r="608" spans="1:17">
      <c r="A608" s="2">
        <v>607</v>
      </c>
      <c r="B608" s="2" t="s">
        <v>2026</v>
      </c>
      <c r="C608" s="2" t="s">
        <v>2027</v>
      </c>
      <c r="D608" s="2" t="s">
        <v>886</v>
      </c>
      <c r="F608" s="2" t="str">
        <f>LOOKUP(D608,Sheet3!A$1:A$32,Sheet3!B$1:B$32)</f>
        <v>SEN</v>
      </c>
      <c r="G608" s="2" t="s">
        <v>2940</v>
      </c>
      <c r="H608" s="2" t="s">
        <v>48</v>
      </c>
      <c r="I608" s="2" t="str" cm="1">
        <f t="array" ref="I608">IFERROR(playerPoints($H608,$F608,$G608,I$1),"")</f>
        <v/>
      </c>
      <c r="J608" s="2" t="str" cm="1">
        <f t="array" ref="J608">IFERROR(playerPoints($H608,$F608,$G608,J$1),"")</f>
        <v/>
      </c>
      <c r="K608" s="2" t="str" cm="1">
        <f t="array" ref="K608">IFERROR(playerPoints($H608,$F608,$G608,K$1),"")</f>
        <v/>
      </c>
      <c r="L608" s="2" t="str" cm="1">
        <f t="array" ref="L608">IFERROR(playerPoints($H608,$F608,$G608,L$1),"")</f>
        <v/>
      </c>
      <c r="M608" s="2" t="str" cm="1">
        <f t="array" ref="M608">IFERROR(playerPoints($H608,$F608,$G608,M$1),"")</f>
        <v/>
      </c>
      <c r="N608" s="2" t="str" cm="1">
        <f t="array" ref="N608">IFERROR(playerPoints($H608,$F608,$G608,N$1),"")</f>
        <v/>
      </c>
      <c r="O608" s="2" t="str" cm="1">
        <f t="array" ref="O608">IFERROR(playerPoints($H608,$F608,$G608,O$1),"")</f>
        <v/>
      </c>
      <c r="Q608" s="2">
        <f t="shared" si="9"/>
        <v>0</v>
      </c>
    </row>
    <row r="609" spans="1:17">
      <c r="A609" s="2">
        <v>608</v>
      </c>
      <c r="B609" s="2" t="s">
        <v>2028</v>
      </c>
      <c r="C609" s="2" t="s">
        <v>2029</v>
      </c>
      <c r="D609" s="2" t="s">
        <v>886</v>
      </c>
      <c r="F609" s="2" t="str">
        <f>LOOKUP(D609,Sheet3!A$1:A$32,Sheet3!B$1:B$32)</f>
        <v>SEN</v>
      </c>
      <c r="G609" s="2" t="s">
        <v>2941</v>
      </c>
      <c r="H609" s="2" t="s">
        <v>48</v>
      </c>
      <c r="I609" s="2" t="str" cm="1">
        <f t="array" ref="I609">IFERROR(playerPoints($H609,$F609,$G609,I$1),"")</f>
        <v/>
      </c>
      <c r="J609" s="2" t="str" cm="1">
        <f t="array" ref="J609">IFERROR(playerPoints($H609,$F609,$G609,J$1),"")</f>
        <v/>
      </c>
      <c r="K609" s="2" t="str" cm="1">
        <f t="array" ref="K609">IFERROR(playerPoints($H609,$F609,$G609,K$1),"")</f>
        <v/>
      </c>
      <c r="L609" s="2" t="str" cm="1">
        <f t="array" ref="L609">IFERROR(playerPoints($H609,$F609,$G609,L$1),"")</f>
        <v/>
      </c>
      <c r="M609" s="2" t="str" cm="1">
        <f t="array" ref="M609">IFERROR(playerPoints($H609,$F609,$G609,M$1),"")</f>
        <v/>
      </c>
      <c r="N609" s="2" t="str" cm="1">
        <f t="array" ref="N609">IFERROR(playerPoints($H609,$F609,$G609,N$1),"")</f>
        <v/>
      </c>
      <c r="O609" s="2" t="str" cm="1">
        <f t="array" ref="O609">IFERROR(playerPoints($H609,$F609,$G609,O$1),"")</f>
        <v/>
      </c>
      <c r="Q609" s="2">
        <f t="shared" si="9"/>
        <v>0</v>
      </c>
    </row>
    <row r="610" spans="1:17">
      <c r="A610" s="2">
        <v>609</v>
      </c>
      <c r="B610" s="2" t="s">
        <v>2030</v>
      </c>
      <c r="C610" s="2" t="s">
        <v>2031</v>
      </c>
      <c r="D610" s="2" t="s">
        <v>886</v>
      </c>
      <c r="F610" s="2" t="str">
        <f>LOOKUP(D610,Sheet3!A$1:A$32,Sheet3!B$1:B$32)</f>
        <v>SEN</v>
      </c>
      <c r="G610" s="2" t="s">
        <v>2942</v>
      </c>
      <c r="H610" s="2" t="s">
        <v>57</v>
      </c>
      <c r="I610" s="2" t="str" cm="1">
        <f t="array" ref="I610">IFERROR(playerPoints($H610,$F610,$G610,I$1),"")</f>
        <v/>
      </c>
      <c r="J610" s="2" t="str" cm="1">
        <f t="array" ref="J610">IFERROR(playerPoints($H610,$F610,$G610,J$1),"")</f>
        <v/>
      </c>
      <c r="K610" s="2" t="str" cm="1">
        <f t="array" ref="K610">IFERROR(playerPoints($H610,$F610,$G610,K$1),"")</f>
        <v/>
      </c>
      <c r="L610" s="2" t="str" cm="1">
        <f t="array" ref="L610">IFERROR(playerPoints($H610,$F610,$G610,L$1),"")</f>
        <v/>
      </c>
      <c r="M610" s="2" t="str" cm="1">
        <f t="array" ref="M610">IFERROR(playerPoints($H610,$F610,$G610,M$1),"")</f>
        <v/>
      </c>
      <c r="N610" s="2" t="str" cm="1">
        <f t="array" ref="N610">IFERROR(playerPoints($H610,$F610,$G610,N$1),"")</f>
        <v/>
      </c>
      <c r="O610" s="2" t="str" cm="1">
        <f t="array" ref="O610">IFERROR(playerPoints($H610,$F610,$G610,O$1),"")</f>
        <v/>
      </c>
      <c r="Q610" s="2">
        <f t="shared" si="9"/>
        <v>0</v>
      </c>
    </row>
    <row r="611" spans="1:17">
      <c r="A611" s="2">
        <v>610</v>
      </c>
      <c r="B611" s="2" t="s">
        <v>2032</v>
      </c>
      <c r="C611" s="2" t="s">
        <v>2014</v>
      </c>
      <c r="D611" s="2" t="s">
        <v>886</v>
      </c>
      <c r="F611" s="2" t="str">
        <f>LOOKUP(D611,Sheet3!A$1:A$32,Sheet3!B$1:B$32)</f>
        <v>SEN</v>
      </c>
      <c r="G611" s="2" t="s">
        <v>2943</v>
      </c>
      <c r="H611" s="2" t="s">
        <v>57</v>
      </c>
      <c r="I611" s="2" t="str" cm="1">
        <f t="array" ref="I611">IFERROR(playerPoints($H611,$F611,$G611,I$1),"")</f>
        <v/>
      </c>
      <c r="J611" s="2" t="str" cm="1">
        <f t="array" ref="J611">IFERROR(playerPoints($H611,$F611,$G611,J$1),"")</f>
        <v/>
      </c>
      <c r="K611" s="2" t="str" cm="1">
        <f t="array" ref="K611">IFERROR(playerPoints($H611,$F611,$G611,K$1),"")</f>
        <v/>
      </c>
      <c r="L611" s="2" t="str" cm="1">
        <f t="array" ref="L611">IFERROR(playerPoints($H611,$F611,$G611,L$1),"")</f>
        <v/>
      </c>
      <c r="M611" s="2" t="str" cm="1">
        <f t="array" ref="M611">IFERROR(playerPoints($H611,$F611,$G611,M$1),"")</f>
        <v/>
      </c>
      <c r="N611" s="2" t="str" cm="1">
        <f t="array" ref="N611">IFERROR(playerPoints($H611,$F611,$G611,N$1),"")</f>
        <v/>
      </c>
      <c r="O611" s="2" t="str" cm="1">
        <f t="array" ref="O611">IFERROR(playerPoints($H611,$F611,$G611,O$1),"")</f>
        <v/>
      </c>
      <c r="Q611" s="2">
        <f t="shared" si="9"/>
        <v>0</v>
      </c>
    </row>
    <row r="612" spans="1:17">
      <c r="A612" s="2">
        <v>611</v>
      </c>
      <c r="B612" s="2" t="s">
        <v>2033</v>
      </c>
      <c r="C612" s="2" t="s">
        <v>2034</v>
      </c>
      <c r="D612" s="2" t="s">
        <v>886</v>
      </c>
      <c r="F612" s="2" t="str">
        <f>LOOKUP(D612,Sheet3!A$1:A$32,Sheet3!B$1:B$32)</f>
        <v>SEN</v>
      </c>
      <c r="G612" s="2" t="s">
        <v>2944</v>
      </c>
      <c r="H612" s="2" t="s">
        <v>57</v>
      </c>
      <c r="I612" s="2" t="str" cm="1">
        <f t="array" ref="I612">IFERROR(playerPoints($H612,$F612,$G612,I$1),"")</f>
        <v/>
      </c>
      <c r="J612" s="2" t="str" cm="1">
        <f t="array" ref="J612">IFERROR(playerPoints($H612,$F612,$G612,J$1),"")</f>
        <v/>
      </c>
      <c r="K612" s="2" t="str" cm="1">
        <f t="array" ref="K612">IFERROR(playerPoints($H612,$F612,$G612,K$1),"")</f>
        <v/>
      </c>
      <c r="L612" s="2" t="str" cm="1">
        <f t="array" ref="L612">IFERROR(playerPoints($H612,$F612,$G612,L$1),"")</f>
        <v/>
      </c>
      <c r="M612" s="2" t="str" cm="1">
        <f t="array" ref="M612">IFERROR(playerPoints($H612,$F612,$G612,M$1),"")</f>
        <v/>
      </c>
      <c r="N612" s="2" t="str" cm="1">
        <f t="array" ref="N612">IFERROR(playerPoints($H612,$F612,$G612,N$1),"")</f>
        <v/>
      </c>
      <c r="O612" s="2" t="str" cm="1">
        <f t="array" ref="O612">IFERROR(playerPoints($H612,$F612,$G612,O$1),"")</f>
        <v/>
      </c>
      <c r="Q612" s="2">
        <f t="shared" si="9"/>
        <v>0</v>
      </c>
    </row>
    <row r="613" spans="1:17">
      <c r="A613" s="2">
        <v>612</v>
      </c>
      <c r="B613" s="2" t="s">
        <v>2035</v>
      </c>
      <c r="C613" s="2" t="s">
        <v>2036</v>
      </c>
      <c r="D613" s="2" t="s">
        <v>886</v>
      </c>
      <c r="F613" s="2" t="str">
        <f>LOOKUP(D613,Sheet3!A$1:A$32,Sheet3!B$1:B$32)</f>
        <v>SEN</v>
      </c>
      <c r="G613" s="2" t="s">
        <v>2945</v>
      </c>
      <c r="H613" s="2" t="s">
        <v>57</v>
      </c>
      <c r="I613" s="2" t="str" cm="1">
        <f t="array" ref="I613">IFERROR(playerPoints($H613,$F613,$G613,I$1),"")</f>
        <v/>
      </c>
      <c r="J613" s="2" t="str" cm="1">
        <f t="array" ref="J613">IFERROR(playerPoints($H613,$F613,$G613,J$1),"")</f>
        <v/>
      </c>
      <c r="K613" s="2" t="str" cm="1">
        <f t="array" ref="K613">IFERROR(playerPoints($H613,$F613,$G613,K$1),"")</f>
        <v/>
      </c>
      <c r="L613" s="2" t="str" cm="1">
        <f t="array" ref="L613">IFERROR(playerPoints($H613,$F613,$G613,L$1),"")</f>
        <v/>
      </c>
      <c r="M613" s="2" t="str" cm="1">
        <f t="array" ref="M613">IFERROR(playerPoints($H613,$F613,$G613,M$1),"")</f>
        <v/>
      </c>
      <c r="N613" s="2" t="str" cm="1">
        <f t="array" ref="N613">IFERROR(playerPoints($H613,$F613,$G613,N$1),"")</f>
        <v/>
      </c>
      <c r="O613" s="2" t="str" cm="1">
        <f t="array" ref="O613">IFERROR(playerPoints($H613,$F613,$G613,O$1),"")</f>
        <v/>
      </c>
      <c r="Q613" s="2">
        <f t="shared" si="9"/>
        <v>0</v>
      </c>
    </row>
    <row r="614" spans="1:17">
      <c r="A614" s="2">
        <v>613</v>
      </c>
      <c r="B614" s="2" t="s">
        <v>2026</v>
      </c>
      <c r="C614" s="2" t="s">
        <v>2037</v>
      </c>
      <c r="D614" s="2" t="s">
        <v>886</v>
      </c>
      <c r="F614" s="2" t="str">
        <f>LOOKUP(D614,Sheet3!A$1:A$32,Sheet3!B$1:B$32)</f>
        <v>SEN</v>
      </c>
      <c r="G614" s="2" t="s">
        <v>2946</v>
      </c>
      <c r="H614" s="2" t="s">
        <v>57</v>
      </c>
      <c r="I614" s="2" t="str" cm="1">
        <f t="array" ref="I614">IFERROR(playerPoints($H614,$F614,$G614,I$1),"")</f>
        <v/>
      </c>
      <c r="J614" s="2" t="str" cm="1">
        <f t="array" ref="J614">IFERROR(playerPoints($H614,$F614,$G614,J$1),"")</f>
        <v/>
      </c>
      <c r="K614" s="2" t="str" cm="1">
        <f t="array" ref="K614">IFERROR(playerPoints($H614,$F614,$G614,K$1),"")</f>
        <v/>
      </c>
      <c r="L614" s="2" t="str" cm="1">
        <f t="array" ref="L614">IFERROR(playerPoints($H614,$F614,$G614,L$1),"")</f>
        <v/>
      </c>
      <c r="M614" s="2" t="str" cm="1">
        <f t="array" ref="M614">IFERROR(playerPoints($H614,$F614,$G614,M$1),"")</f>
        <v/>
      </c>
      <c r="N614" s="2" t="str" cm="1">
        <f t="array" ref="N614">IFERROR(playerPoints($H614,$F614,$G614,N$1),"")</f>
        <v/>
      </c>
      <c r="O614" s="2" t="str" cm="1">
        <f t="array" ref="O614">IFERROR(playerPoints($H614,$F614,$G614,O$1),"")</f>
        <v/>
      </c>
      <c r="Q614" s="2">
        <f t="shared" si="9"/>
        <v>0</v>
      </c>
    </row>
    <row r="615" spans="1:17">
      <c r="A615" s="2">
        <v>614</v>
      </c>
      <c r="B615" s="2" t="s">
        <v>2038</v>
      </c>
      <c r="C615" s="2" t="s">
        <v>2039</v>
      </c>
      <c r="D615" s="2" t="s">
        <v>886</v>
      </c>
      <c r="F615" s="2" t="str">
        <f>LOOKUP(D615,Sheet3!A$1:A$32,Sheet3!B$1:B$32)</f>
        <v>SEN</v>
      </c>
      <c r="G615" s="2" t="s">
        <v>2947</v>
      </c>
      <c r="H615" s="2" t="s">
        <v>57</v>
      </c>
      <c r="I615" s="2" t="str" cm="1">
        <f t="array" ref="I615">IFERROR(playerPoints($H615,$F615,$G615,I$1),"")</f>
        <v/>
      </c>
      <c r="J615" s="2" t="str" cm="1">
        <f t="array" ref="J615">IFERROR(playerPoints($H615,$F615,$G615,J$1),"")</f>
        <v/>
      </c>
      <c r="K615" s="2" t="str" cm="1">
        <f t="array" ref="K615">IFERROR(playerPoints($H615,$F615,$G615,K$1),"")</f>
        <v/>
      </c>
      <c r="L615" s="2" t="str" cm="1">
        <f t="array" ref="L615">IFERROR(playerPoints($H615,$F615,$G615,L$1),"")</f>
        <v/>
      </c>
      <c r="M615" s="2" t="str" cm="1">
        <f t="array" ref="M615">IFERROR(playerPoints($H615,$F615,$G615,M$1),"")</f>
        <v/>
      </c>
      <c r="N615" s="2" t="str" cm="1">
        <f t="array" ref="N615">IFERROR(playerPoints($H615,$F615,$G615,N$1),"")</f>
        <v/>
      </c>
      <c r="O615" s="2" t="str" cm="1">
        <f t="array" ref="O615">IFERROR(playerPoints($H615,$F615,$G615,O$1),"")</f>
        <v/>
      </c>
      <c r="Q615" s="2">
        <f t="shared" si="9"/>
        <v>0</v>
      </c>
    </row>
    <row r="616" spans="1:17">
      <c r="A616" s="2">
        <v>615</v>
      </c>
      <c r="B616" s="2" t="s">
        <v>2040</v>
      </c>
      <c r="C616" s="2" t="s">
        <v>2041</v>
      </c>
      <c r="D616" s="2" t="s">
        <v>886</v>
      </c>
      <c r="F616" s="2" t="str">
        <f>LOOKUP(D616,Sheet3!A$1:A$32,Sheet3!B$1:B$32)</f>
        <v>SEN</v>
      </c>
      <c r="G616" s="2" t="s">
        <v>2948</v>
      </c>
      <c r="H616" s="2" t="s">
        <v>57</v>
      </c>
      <c r="I616" s="2" t="str" cm="1">
        <f t="array" ref="I616">IFERROR(playerPoints($H616,$F616,$G616,I$1),"")</f>
        <v/>
      </c>
      <c r="J616" s="2" t="str" cm="1">
        <f t="array" ref="J616">IFERROR(playerPoints($H616,$F616,$G616,J$1),"")</f>
        <v/>
      </c>
      <c r="K616" s="2" t="str" cm="1">
        <f t="array" ref="K616">IFERROR(playerPoints($H616,$F616,$G616,K$1),"")</f>
        <v/>
      </c>
      <c r="L616" s="2" t="str" cm="1">
        <f t="array" ref="L616">IFERROR(playerPoints($H616,$F616,$G616,L$1),"")</f>
        <v/>
      </c>
      <c r="M616" s="2" t="str" cm="1">
        <f t="array" ref="M616">IFERROR(playerPoints($H616,$F616,$G616,M$1),"")</f>
        <v/>
      </c>
      <c r="N616" s="2" t="str" cm="1">
        <f t="array" ref="N616">IFERROR(playerPoints($H616,$F616,$G616,N$1),"")</f>
        <v/>
      </c>
      <c r="O616" s="2" t="str" cm="1">
        <f t="array" ref="O616">IFERROR(playerPoints($H616,$F616,$G616,O$1),"")</f>
        <v/>
      </c>
      <c r="Q616" s="2">
        <f t="shared" si="9"/>
        <v>0</v>
      </c>
    </row>
    <row r="617" spans="1:17">
      <c r="A617" s="2">
        <v>616</v>
      </c>
      <c r="B617" s="2" t="s">
        <v>2026</v>
      </c>
      <c r="C617" s="2" t="s">
        <v>2042</v>
      </c>
      <c r="D617" s="2" t="s">
        <v>886</v>
      </c>
      <c r="F617" s="2" t="str">
        <f>LOOKUP(D617,Sheet3!A$1:A$32,Sheet3!B$1:B$32)</f>
        <v>SEN</v>
      </c>
      <c r="G617" s="2" t="s">
        <v>2949</v>
      </c>
      <c r="H617" s="2" t="s">
        <v>57</v>
      </c>
      <c r="I617" s="2" t="str" cm="1">
        <f t="array" ref="I617">IFERROR(playerPoints($H617,$F617,$G617,I$1),"")</f>
        <v/>
      </c>
      <c r="J617" s="2" t="str" cm="1">
        <f t="array" ref="J617">IFERROR(playerPoints($H617,$F617,$G617,J$1),"")</f>
        <v/>
      </c>
      <c r="K617" s="2" t="str" cm="1">
        <f t="array" ref="K617">IFERROR(playerPoints($H617,$F617,$G617,K$1),"")</f>
        <v/>
      </c>
      <c r="L617" s="2" t="str" cm="1">
        <f t="array" ref="L617">IFERROR(playerPoints($H617,$F617,$G617,L$1),"")</f>
        <v/>
      </c>
      <c r="M617" s="2" t="str" cm="1">
        <f t="array" ref="M617">IFERROR(playerPoints($H617,$F617,$G617,M$1),"")</f>
        <v/>
      </c>
      <c r="N617" s="2" t="str" cm="1">
        <f t="array" ref="N617">IFERROR(playerPoints($H617,$F617,$G617,N$1),"")</f>
        <v/>
      </c>
      <c r="O617" s="2" t="str" cm="1">
        <f t="array" ref="O617">IFERROR(playerPoints($H617,$F617,$G617,O$1),"")</f>
        <v/>
      </c>
      <c r="Q617" s="2">
        <f t="shared" si="9"/>
        <v>0</v>
      </c>
    </row>
    <row r="618" spans="1:17">
      <c r="A618" s="2">
        <v>617</v>
      </c>
      <c r="B618" s="2" t="s">
        <v>2043</v>
      </c>
      <c r="C618" s="2" t="s">
        <v>2044</v>
      </c>
      <c r="D618" s="2" t="s">
        <v>886</v>
      </c>
      <c r="F618" s="2" t="str">
        <f>LOOKUP(D618,Sheet3!A$1:A$32,Sheet3!B$1:B$32)</f>
        <v>SEN</v>
      </c>
      <c r="G618" s="2" t="s">
        <v>2950</v>
      </c>
      <c r="H618" s="2" t="s">
        <v>57</v>
      </c>
      <c r="I618" s="2" t="str" cm="1">
        <f t="array" ref="I618">IFERROR(playerPoints($H618,$F618,$G618,I$1),"")</f>
        <v/>
      </c>
      <c r="J618" s="2" t="str" cm="1">
        <f t="array" ref="J618">IFERROR(playerPoints($H618,$F618,$G618,J$1),"")</f>
        <v/>
      </c>
      <c r="K618" s="2" t="str" cm="1">
        <f t="array" ref="K618">IFERROR(playerPoints($H618,$F618,$G618,K$1),"")</f>
        <v/>
      </c>
      <c r="L618" s="2" t="str" cm="1">
        <f t="array" ref="L618">IFERROR(playerPoints($H618,$F618,$G618,L$1),"")</f>
        <v/>
      </c>
      <c r="M618" s="2" t="str" cm="1">
        <f t="array" ref="M618">IFERROR(playerPoints($H618,$F618,$G618,M$1),"")</f>
        <v/>
      </c>
      <c r="N618" s="2" t="str" cm="1">
        <f t="array" ref="N618">IFERROR(playerPoints($H618,$F618,$G618,N$1),"")</f>
        <v/>
      </c>
      <c r="O618" s="2" t="str" cm="1">
        <f t="array" ref="O618">IFERROR(playerPoints($H618,$F618,$G618,O$1),"")</f>
        <v/>
      </c>
      <c r="Q618" s="2">
        <f t="shared" si="9"/>
        <v>0</v>
      </c>
    </row>
    <row r="619" spans="1:17">
      <c r="A619" s="2">
        <v>618</v>
      </c>
      <c r="B619" s="2" t="s">
        <v>2045</v>
      </c>
      <c r="C619" s="2" t="s">
        <v>2046</v>
      </c>
      <c r="D619" s="2" t="s">
        <v>886</v>
      </c>
      <c r="F619" s="2" t="str">
        <f>LOOKUP(D619,Sheet3!A$1:A$32,Sheet3!B$1:B$32)</f>
        <v>SEN</v>
      </c>
      <c r="G619" s="2" t="s">
        <v>2951</v>
      </c>
      <c r="H619" s="2" t="s">
        <v>66</v>
      </c>
      <c r="I619" s="2" t="str" cm="1">
        <f t="array" ref="I619">IFERROR(playerPoints($H619,$F619,$G619,I$1),"")</f>
        <v/>
      </c>
      <c r="J619" s="2" t="str" cm="1">
        <f t="array" ref="J619">IFERROR(playerPoints($H619,$F619,$G619,J$1),"")</f>
        <v/>
      </c>
      <c r="K619" s="2" t="str" cm="1">
        <f t="array" ref="K619">IFERROR(playerPoints($H619,$F619,$G619,K$1),"")</f>
        <v/>
      </c>
      <c r="L619" s="2" t="str" cm="1">
        <f t="array" ref="L619">IFERROR(playerPoints($H619,$F619,$G619,L$1),"")</f>
        <v/>
      </c>
      <c r="M619" s="2" t="str" cm="1">
        <f t="array" ref="M619">IFERROR(playerPoints($H619,$F619,$G619,M$1),"")</f>
        <v/>
      </c>
      <c r="N619" s="2" t="str" cm="1">
        <f t="array" ref="N619">IFERROR(playerPoints($H619,$F619,$G619,N$1),"")</f>
        <v/>
      </c>
      <c r="O619" s="2" t="str" cm="1">
        <f t="array" ref="O619">IFERROR(playerPoints($H619,$F619,$G619,O$1),"")</f>
        <v/>
      </c>
      <c r="Q619" s="2">
        <f t="shared" si="9"/>
        <v>0</v>
      </c>
    </row>
    <row r="620" spans="1:17">
      <c r="A620" s="2">
        <v>619</v>
      </c>
      <c r="B620" s="2" t="s">
        <v>2047</v>
      </c>
      <c r="C620" s="2" t="s">
        <v>2048</v>
      </c>
      <c r="D620" s="2" t="s">
        <v>886</v>
      </c>
      <c r="F620" s="2" t="str">
        <f>LOOKUP(D620,Sheet3!A$1:A$32,Sheet3!B$1:B$32)</f>
        <v>SEN</v>
      </c>
      <c r="G620" s="2" t="s">
        <v>2952</v>
      </c>
      <c r="H620" s="2" t="s">
        <v>66</v>
      </c>
      <c r="I620" s="2" t="str" cm="1">
        <f t="array" ref="I620">IFERROR(playerPoints($H620,$F620,$G620,I$1),"")</f>
        <v/>
      </c>
      <c r="J620" s="2" t="str" cm="1">
        <f t="array" ref="J620">IFERROR(playerPoints($H620,$F620,$G620,J$1),"")</f>
        <v/>
      </c>
      <c r="K620" s="2" t="str" cm="1">
        <f t="array" ref="K620">IFERROR(playerPoints($H620,$F620,$G620,K$1),"")</f>
        <v/>
      </c>
      <c r="L620" s="2" t="str" cm="1">
        <f t="array" ref="L620">IFERROR(playerPoints($H620,$F620,$G620,L$1),"")</f>
        <v/>
      </c>
      <c r="M620" s="2" t="str" cm="1">
        <f t="array" ref="M620">IFERROR(playerPoints($H620,$F620,$G620,M$1),"")</f>
        <v/>
      </c>
      <c r="N620" s="2" t="str" cm="1">
        <f t="array" ref="N620">IFERROR(playerPoints($H620,$F620,$G620,N$1),"")</f>
        <v/>
      </c>
      <c r="O620" s="2" t="str" cm="1">
        <f t="array" ref="O620">IFERROR(playerPoints($H620,$F620,$G620,O$1),"")</f>
        <v/>
      </c>
      <c r="Q620" s="2">
        <f t="shared" si="9"/>
        <v>0</v>
      </c>
    </row>
    <row r="621" spans="1:17">
      <c r="A621" s="2">
        <v>620</v>
      </c>
      <c r="B621" s="2" t="s">
        <v>2049</v>
      </c>
      <c r="C621" s="2" t="s">
        <v>2050</v>
      </c>
      <c r="D621" s="2" t="s">
        <v>886</v>
      </c>
      <c r="F621" s="2" t="str">
        <f>LOOKUP(D621,Sheet3!A$1:A$32,Sheet3!B$1:B$32)</f>
        <v>SEN</v>
      </c>
      <c r="G621" s="2" t="s">
        <v>2953</v>
      </c>
      <c r="H621" s="2" t="s">
        <v>66</v>
      </c>
      <c r="I621" s="2" t="str" cm="1">
        <f t="array" ref="I621">IFERROR(playerPoints($H621,$F621,$G621,I$1),"")</f>
        <v/>
      </c>
      <c r="J621" s="2" t="str" cm="1">
        <f t="array" ref="J621">IFERROR(playerPoints($H621,$F621,$G621,J$1),"")</f>
        <v/>
      </c>
      <c r="K621" s="2" t="str" cm="1">
        <f t="array" ref="K621">IFERROR(playerPoints($H621,$F621,$G621,K$1),"")</f>
        <v/>
      </c>
      <c r="L621" s="2" t="str" cm="1">
        <f t="array" ref="L621">IFERROR(playerPoints($H621,$F621,$G621,L$1),"")</f>
        <v/>
      </c>
      <c r="M621" s="2" t="str" cm="1">
        <f t="array" ref="M621">IFERROR(playerPoints($H621,$F621,$G621,M$1),"")</f>
        <v/>
      </c>
      <c r="N621" s="2" t="str" cm="1">
        <f t="array" ref="N621">IFERROR(playerPoints($H621,$F621,$G621,N$1),"")</f>
        <v/>
      </c>
      <c r="O621" s="2" t="str" cm="1">
        <f t="array" ref="O621">IFERROR(playerPoints($H621,$F621,$G621,O$1),"")</f>
        <v/>
      </c>
      <c r="Q621" s="2">
        <f t="shared" si="9"/>
        <v>0</v>
      </c>
    </row>
    <row r="622" spans="1:17">
      <c r="A622" s="2">
        <v>621</v>
      </c>
      <c r="B622" s="2" t="s">
        <v>2051</v>
      </c>
      <c r="C622" s="2" t="s">
        <v>2052</v>
      </c>
      <c r="D622" s="2" t="s">
        <v>886</v>
      </c>
      <c r="F622" s="2" t="str">
        <f>LOOKUP(D622,Sheet3!A$1:A$32,Sheet3!B$1:B$32)</f>
        <v>SEN</v>
      </c>
      <c r="G622" s="2" t="s">
        <v>2954</v>
      </c>
      <c r="H622" s="2" t="s">
        <v>66</v>
      </c>
      <c r="I622" s="2" t="str" cm="1">
        <f t="array" ref="I622">IFERROR(playerPoints($H622,$F622,$G622,I$1),"")</f>
        <v/>
      </c>
      <c r="J622" s="2" t="str" cm="1">
        <f t="array" ref="J622">IFERROR(playerPoints($H622,$F622,$G622,J$1),"")</f>
        <v/>
      </c>
      <c r="K622" s="2" t="str" cm="1">
        <f t="array" ref="K622">IFERROR(playerPoints($H622,$F622,$G622,K$1),"")</f>
        <v/>
      </c>
      <c r="L622" s="2" t="str" cm="1">
        <f t="array" ref="L622">IFERROR(playerPoints($H622,$F622,$G622,L$1),"")</f>
        <v/>
      </c>
      <c r="M622" s="2" t="str" cm="1">
        <f t="array" ref="M622">IFERROR(playerPoints($H622,$F622,$G622,M$1),"")</f>
        <v/>
      </c>
      <c r="N622" s="2" t="str" cm="1">
        <f t="array" ref="N622">IFERROR(playerPoints($H622,$F622,$G622,N$1),"")</f>
        <v/>
      </c>
      <c r="O622" s="2" t="str" cm="1">
        <f t="array" ref="O622">IFERROR(playerPoints($H622,$F622,$G622,O$1),"")</f>
        <v/>
      </c>
      <c r="Q622" s="2">
        <f t="shared" si="9"/>
        <v>0</v>
      </c>
    </row>
    <row r="623" spans="1:17">
      <c r="A623" s="2">
        <v>622</v>
      </c>
      <c r="B623" s="2" t="s">
        <v>2053</v>
      </c>
      <c r="C623" s="2" t="s">
        <v>2016</v>
      </c>
      <c r="D623" s="2" t="s">
        <v>886</v>
      </c>
      <c r="F623" s="2" t="str">
        <f>LOOKUP(D623,Sheet3!A$1:A$32,Sheet3!B$1:B$32)</f>
        <v>SEN</v>
      </c>
      <c r="G623" s="2" t="s">
        <v>2955</v>
      </c>
      <c r="H623" s="2" t="s">
        <v>66</v>
      </c>
      <c r="I623" s="2" t="str" cm="1">
        <f t="array" ref="I623">IFERROR(playerPoints($H623,$F623,$G623,I$1),"")</f>
        <v/>
      </c>
      <c r="J623" s="2" t="str" cm="1">
        <f t="array" ref="J623">IFERROR(playerPoints($H623,$F623,$G623,J$1),"")</f>
        <v/>
      </c>
      <c r="K623" s="2" t="str" cm="1">
        <f t="array" ref="K623">IFERROR(playerPoints($H623,$F623,$G623,K$1),"")</f>
        <v/>
      </c>
      <c r="L623" s="2" t="str" cm="1">
        <f t="array" ref="L623">IFERROR(playerPoints($H623,$F623,$G623,L$1),"")</f>
        <v/>
      </c>
      <c r="M623" s="2" t="str" cm="1">
        <f t="array" ref="M623">IFERROR(playerPoints($H623,$F623,$G623,M$1),"")</f>
        <v/>
      </c>
      <c r="N623" s="2" t="str" cm="1">
        <f t="array" ref="N623">IFERROR(playerPoints($H623,$F623,$G623,N$1),"")</f>
        <v/>
      </c>
      <c r="O623" s="2" t="str" cm="1">
        <f t="array" ref="O623">IFERROR(playerPoints($H623,$F623,$G623,O$1),"")</f>
        <v/>
      </c>
      <c r="Q623" s="2">
        <f t="shared" si="9"/>
        <v>0</v>
      </c>
    </row>
    <row r="624" spans="1:17">
      <c r="A624" s="2">
        <v>623</v>
      </c>
      <c r="B624" s="2" t="s">
        <v>2054</v>
      </c>
      <c r="C624" s="2" t="s">
        <v>2055</v>
      </c>
      <c r="D624" s="2" t="s">
        <v>886</v>
      </c>
      <c r="F624" s="2" t="str">
        <f>LOOKUP(D624,Sheet3!A$1:A$32,Sheet3!B$1:B$32)</f>
        <v>SEN</v>
      </c>
      <c r="G624" s="2" t="s">
        <v>2956</v>
      </c>
      <c r="H624" s="2" t="s">
        <v>66</v>
      </c>
      <c r="I624" s="2" t="str" cm="1">
        <f t="array" ref="I624">IFERROR(playerPoints($H624,$F624,$G624,I$1),"")</f>
        <v/>
      </c>
      <c r="J624" s="2" t="str" cm="1">
        <f t="array" ref="J624">IFERROR(playerPoints($H624,$F624,$G624,J$1),"")</f>
        <v/>
      </c>
      <c r="K624" s="2" t="str" cm="1">
        <f t="array" ref="K624">IFERROR(playerPoints($H624,$F624,$G624,K$1),"")</f>
        <v/>
      </c>
      <c r="L624" s="2" t="str" cm="1">
        <f t="array" ref="L624">IFERROR(playerPoints($H624,$F624,$G624,L$1),"")</f>
        <v/>
      </c>
      <c r="M624" s="2" t="str" cm="1">
        <f t="array" ref="M624">IFERROR(playerPoints($H624,$F624,$G624,M$1),"")</f>
        <v/>
      </c>
      <c r="N624" s="2" t="str" cm="1">
        <f t="array" ref="N624">IFERROR(playerPoints($H624,$F624,$G624,N$1),"")</f>
        <v/>
      </c>
      <c r="O624" s="2" t="str" cm="1">
        <f t="array" ref="O624">IFERROR(playerPoints($H624,$F624,$G624,O$1),"")</f>
        <v/>
      </c>
      <c r="Q624" s="2">
        <f t="shared" si="9"/>
        <v>0</v>
      </c>
    </row>
    <row r="625" spans="1:17">
      <c r="A625" s="2">
        <v>624</v>
      </c>
      <c r="B625" s="2" t="s">
        <v>1185</v>
      </c>
      <c r="C625" s="2" t="s">
        <v>1094</v>
      </c>
      <c r="D625" s="2" t="s">
        <v>886</v>
      </c>
      <c r="F625" s="2" t="str">
        <f>LOOKUP(D625,Sheet3!A$1:A$32,Sheet3!B$1:B$32)</f>
        <v>SEN</v>
      </c>
      <c r="G625" s="2" t="s">
        <v>2957</v>
      </c>
      <c r="H625" s="2" t="s">
        <v>66</v>
      </c>
      <c r="I625" s="2" t="str" cm="1">
        <f t="array" ref="I625">IFERROR(playerPoints($H625,$F625,$G625,I$1),"")</f>
        <v/>
      </c>
      <c r="J625" s="2" t="str" cm="1">
        <f t="array" ref="J625">IFERROR(playerPoints($H625,$F625,$G625,J$1),"")</f>
        <v/>
      </c>
      <c r="K625" s="2" t="str" cm="1">
        <f t="array" ref="K625">IFERROR(playerPoints($H625,$F625,$G625,K$1),"")</f>
        <v/>
      </c>
      <c r="L625" s="2" t="str" cm="1">
        <f t="array" ref="L625">IFERROR(playerPoints($H625,$F625,$G625,L$1),"")</f>
        <v/>
      </c>
      <c r="M625" s="2" t="str" cm="1">
        <f t="array" ref="M625">IFERROR(playerPoints($H625,$F625,$G625,M$1),"")</f>
        <v/>
      </c>
      <c r="N625" s="2" t="str" cm="1">
        <f t="array" ref="N625">IFERROR(playerPoints($H625,$F625,$G625,N$1),"")</f>
        <v/>
      </c>
      <c r="O625" s="2" t="str" cm="1">
        <f t="array" ref="O625">IFERROR(playerPoints($H625,$F625,$G625,O$1),"")</f>
        <v/>
      </c>
      <c r="Q625" s="2">
        <f t="shared" si="9"/>
        <v>0</v>
      </c>
    </row>
    <row r="626" spans="1:17">
      <c r="A626" s="2">
        <v>625</v>
      </c>
      <c r="B626" s="2" t="s">
        <v>1359</v>
      </c>
      <c r="C626" s="2" t="s">
        <v>2056</v>
      </c>
      <c r="D626" s="2" t="s">
        <v>887</v>
      </c>
      <c r="F626" s="2" t="str">
        <f>LOOKUP(D626,Sheet3!A$1:A$32,Sheet3!B$1:B$32)</f>
        <v>SRB</v>
      </c>
      <c r="G626" s="2" t="s">
        <v>2958</v>
      </c>
      <c r="H626" s="2" t="s">
        <v>44</v>
      </c>
      <c r="I626" s="2" t="str" cm="1">
        <f t="array" ref="I626">IFERROR(playerPoints($H626,$F626,$G626,I$1),"")</f>
        <v/>
      </c>
      <c r="J626" s="2" t="str" cm="1">
        <f t="array" ref="J626">IFERROR(playerPoints($H626,$F626,$G626,J$1),"")</f>
        <v/>
      </c>
      <c r="K626" s="2" t="str" cm="1">
        <f t="array" ref="K626">IFERROR(playerPoints($H626,$F626,$G626,K$1),"")</f>
        <v/>
      </c>
      <c r="L626" s="2" t="str" cm="1">
        <f t="array" ref="L626">IFERROR(playerPoints($H626,$F626,$G626,L$1),"")</f>
        <v/>
      </c>
      <c r="M626" s="2" t="str" cm="1">
        <f t="array" ref="M626">IFERROR(playerPoints($H626,$F626,$G626,M$1),"")</f>
        <v/>
      </c>
      <c r="N626" s="2" t="str" cm="1">
        <f t="array" ref="N626">IFERROR(playerPoints($H626,$F626,$G626,N$1),"")</f>
        <v/>
      </c>
      <c r="O626" s="2" t="str" cm="1">
        <f t="array" ref="O626">IFERROR(playerPoints($H626,$F626,$G626,O$1),"")</f>
        <v/>
      </c>
      <c r="Q626" s="2">
        <f t="shared" si="9"/>
        <v>0</v>
      </c>
    </row>
    <row r="627" spans="1:17">
      <c r="A627" s="2">
        <v>626</v>
      </c>
      <c r="B627" s="2" t="s">
        <v>2057</v>
      </c>
      <c r="C627" s="2" t="s">
        <v>2058</v>
      </c>
      <c r="D627" s="2" t="s">
        <v>887</v>
      </c>
      <c r="F627" s="2" t="str">
        <f>LOOKUP(D627,Sheet3!A$1:A$32,Sheet3!B$1:B$32)</f>
        <v>SRB</v>
      </c>
      <c r="G627" s="2" t="s">
        <v>2959</v>
      </c>
      <c r="H627" s="2" t="s">
        <v>44</v>
      </c>
      <c r="I627" s="2" t="str" cm="1">
        <f t="array" ref="I627">IFERROR(playerPoints($H627,$F627,$G627,I$1),"")</f>
        <v/>
      </c>
      <c r="J627" s="2" t="str" cm="1">
        <f t="array" ref="J627">IFERROR(playerPoints($H627,$F627,$G627,J$1),"")</f>
        <v/>
      </c>
      <c r="K627" s="2" t="str" cm="1">
        <f t="array" ref="K627">IFERROR(playerPoints($H627,$F627,$G627,K$1),"")</f>
        <v/>
      </c>
      <c r="L627" s="2" t="str" cm="1">
        <f t="array" ref="L627">IFERROR(playerPoints($H627,$F627,$G627,L$1),"")</f>
        <v/>
      </c>
      <c r="M627" s="2" t="str" cm="1">
        <f t="array" ref="M627">IFERROR(playerPoints($H627,$F627,$G627,M$1),"")</f>
        <v/>
      </c>
      <c r="N627" s="2" t="str" cm="1">
        <f t="array" ref="N627">IFERROR(playerPoints($H627,$F627,$G627,N$1),"")</f>
        <v/>
      </c>
      <c r="O627" s="2" t="str" cm="1">
        <f t="array" ref="O627">IFERROR(playerPoints($H627,$F627,$G627,O$1),"")</f>
        <v/>
      </c>
      <c r="Q627" s="2">
        <f t="shared" si="9"/>
        <v>0</v>
      </c>
    </row>
    <row r="628" spans="1:17">
      <c r="A628" s="2">
        <v>627</v>
      </c>
      <c r="B628" s="2" t="s">
        <v>2059</v>
      </c>
      <c r="C628" s="2" t="s">
        <v>2060</v>
      </c>
      <c r="D628" s="2" t="s">
        <v>887</v>
      </c>
      <c r="F628" s="2" t="str">
        <f>LOOKUP(D628,Sheet3!A$1:A$32,Sheet3!B$1:B$32)</f>
        <v>SRB</v>
      </c>
      <c r="G628" s="2" t="s">
        <v>2960</v>
      </c>
      <c r="H628" s="2" t="s">
        <v>44</v>
      </c>
      <c r="I628" s="2" t="str" cm="1">
        <f t="array" ref="I628">IFERROR(playerPoints($H628,$F628,$G628,I$1),"")</f>
        <v/>
      </c>
      <c r="J628" s="2" t="str" cm="1">
        <f t="array" ref="J628">IFERROR(playerPoints($H628,$F628,$G628,J$1),"")</f>
        <v/>
      </c>
      <c r="K628" s="2" t="str" cm="1">
        <f t="array" ref="K628">IFERROR(playerPoints($H628,$F628,$G628,K$1),"")</f>
        <v/>
      </c>
      <c r="L628" s="2" t="str" cm="1">
        <f t="array" ref="L628">IFERROR(playerPoints($H628,$F628,$G628,L$1),"")</f>
        <v/>
      </c>
      <c r="M628" s="2" t="str" cm="1">
        <f t="array" ref="M628">IFERROR(playerPoints($H628,$F628,$G628,M$1),"")</f>
        <v/>
      </c>
      <c r="N628" s="2" t="str" cm="1">
        <f t="array" ref="N628">IFERROR(playerPoints($H628,$F628,$G628,N$1),"")</f>
        <v/>
      </c>
      <c r="O628" s="2" t="str" cm="1">
        <f t="array" ref="O628">IFERROR(playerPoints($H628,$F628,$G628,O$1),"")</f>
        <v/>
      </c>
      <c r="Q628" s="2">
        <f t="shared" si="9"/>
        <v>0</v>
      </c>
    </row>
    <row r="629" spans="1:17">
      <c r="A629" s="2">
        <v>628</v>
      </c>
      <c r="B629" s="2" t="s">
        <v>2061</v>
      </c>
      <c r="C629" s="2" t="s">
        <v>2062</v>
      </c>
      <c r="D629" s="2" t="s">
        <v>887</v>
      </c>
      <c r="F629" s="2" t="str">
        <f>LOOKUP(D629,Sheet3!A$1:A$32,Sheet3!B$1:B$32)</f>
        <v>SRB</v>
      </c>
      <c r="G629" s="2" t="s">
        <v>2961</v>
      </c>
      <c r="H629" s="2" t="s">
        <v>48</v>
      </c>
      <c r="I629" s="2" t="str" cm="1">
        <f t="array" ref="I629">IFERROR(playerPoints($H629,$F629,$G629,I$1),"")</f>
        <v/>
      </c>
      <c r="J629" s="2" t="str" cm="1">
        <f t="array" ref="J629">IFERROR(playerPoints($H629,$F629,$G629,J$1),"")</f>
        <v/>
      </c>
      <c r="K629" s="2" t="str" cm="1">
        <f t="array" ref="K629">IFERROR(playerPoints($H629,$F629,$G629,K$1),"")</f>
        <v/>
      </c>
      <c r="L629" s="2" t="str" cm="1">
        <f t="array" ref="L629">IFERROR(playerPoints($H629,$F629,$G629,L$1),"")</f>
        <v/>
      </c>
      <c r="M629" s="2" t="str" cm="1">
        <f t="array" ref="M629">IFERROR(playerPoints($H629,$F629,$G629,M$1),"")</f>
        <v/>
      </c>
      <c r="N629" s="2" t="str" cm="1">
        <f t="array" ref="N629">IFERROR(playerPoints($H629,$F629,$G629,N$1),"")</f>
        <v/>
      </c>
      <c r="O629" s="2" t="str" cm="1">
        <f t="array" ref="O629">IFERROR(playerPoints($H629,$F629,$G629,O$1),"")</f>
        <v/>
      </c>
      <c r="Q629" s="2">
        <f t="shared" si="9"/>
        <v>0</v>
      </c>
    </row>
    <row r="630" spans="1:17">
      <c r="A630" s="2">
        <v>629</v>
      </c>
      <c r="B630" s="2" t="s">
        <v>2061</v>
      </c>
      <c r="C630" s="2" t="s">
        <v>2063</v>
      </c>
      <c r="D630" s="2" t="s">
        <v>887</v>
      </c>
      <c r="F630" s="2" t="str">
        <f>LOOKUP(D630,Sheet3!A$1:A$32,Sheet3!B$1:B$32)</f>
        <v>SRB</v>
      </c>
      <c r="G630" s="2" t="s">
        <v>2962</v>
      </c>
      <c r="H630" s="2" t="s">
        <v>48</v>
      </c>
      <c r="I630" s="2" t="str" cm="1">
        <f t="array" ref="I630">IFERROR(playerPoints($H630,$F630,$G630,I$1),"")</f>
        <v/>
      </c>
      <c r="J630" s="2" t="str" cm="1">
        <f t="array" ref="J630">IFERROR(playerPoints($H630,$F630,$G630,J$1),"")</f>
        <v/>
      </c>
      <c r="K630" s="2" t="str" cm="1">
        <f t="array" ref="K630">IFERROR(playerPoints($H630,$F630,$G630,K$1),"")</f>
        <v/>
      </c>
      <c r="L630" s="2" t="str" cm="1">
        <f t="array" ref="L630">IFERROR(playerPoints($H630,$F630,$G630,L$1),"")</f>
        <v/>
      </c>
      <c r="M630" s="2" t="str" cm="1">
        <f t="array" ref="M630">IFERROR(playerPoints($H630,$F630,$G630,M$1),"")</f>
        <v/>
      </c>
      <c r="N630" s="2" t="str" cm="1">
        <f t="array" ref="N630">IFERROR(playerPoints($H630,$F630,$G630,N$1),"")</f>
        <v/>
      </c>
      <c r="O630" s="2" t="str" cm="1">
        <f t="array" ref="O630">IFERROR(playerPoints($H630,$F630,$G630,O$1),"")</f>
        <v/>
      </c>
      <c r="Q630" s="2">
        <f t="shared" si="9"/>
        <v>0</v>
      </c>
    </row>
    <row r="631" spans="1:17">
      <c r="A631" s="2">
        <v>630</v>
      </c>
      <c r="B631" s="2" t="s">
        <v>1350</v>
      </c>
      <c r="C631" s="2" t="s">
        <v>2064</v>
      </c>
      <c r="D631" s="2" t="s">
        <v>887</v>
      </c>
      <c r="F631" s="2" t="str">
        <f>LOOKUP(D631,Sheet3!A$1:A$32,Sheet3!B$1:B$32)</f>
        <v>SRB</v>
      </c>
      <c r="G631" s="2" t="s">
        <v>2963</v>
      </c>
      <c r="H631" s="2" t="s">
        <v>48</v>
      </c>
      <c r="I631" s="2" t="str" cm="1">
        <f t="array" ref="I631">IFERROR(playerPoints($H631,$F631,$G631,I$1),"")</f>
        <v/>
      </c>
      <c r="J631" s="2" t="str" cm="1">
        <f t="array" ref="J631">IFERROR(playerPoints($H631,$F631,$G631,J$1),"")</f>
        <v/>
      </c>
      <c r="K631" s="2" t="str" cm="1">
        <f t="array" ref="K631">IFERROR(playerPoints($H631,$F631,$G631,K$1),"")</f>
        <v/>
      </c>
      <c r="L631" s="2" t="str" cm="1">
        <f t="array" ref="L631">IFERROR(playerPoints($H631,$F631,$G631,L$1),"")</f>
        <v/>
      </c>
      <c r="M631" s="2" t="str" cm="1">
        <f t="array" ref="M631">IFERROR(playerPoints($H631,$F631,$G631,M$1),"")</f>
        <v/>
      </c>
      <c r="N631" s="2" t="str" cm="1">
        <f t="array" ref="N631">IFERROR(playerPoints($H631,$F631,$G631,N$1),"")</f>
        <v/>
      </c>
      <c r="O631" s="2" t="str" cm="1">
        <f t="array" ref="O631">IFERROR(playerPoints($H631,$F631,$G631,O$1),"")</f>
        <v/>
      </c>
      <c r="Q631" s="2">
        <f t="shared" si="9"/>
        <v>0</v>
      </c>
    </row>
    <row r="632" spans="1:17">
      <c r="A632" s="2">
        <v>631</v>
      </c>
      <c r="B632" s="2" t="s">
        <v>1066</v>
      </c>
      <c r="C632" s="2" t="s">
        <v>2065</v>
      </c>
      <c r="D632" s="2" t="s">
        <v>887</v>
      </c>
      <c r="F632" s="2" t="str">
        <f>LOOKUP(D632,Sheet3!A$1:A$32,Sheet3!B$1:B$32)</f>
        <v>SRB</v>
      </c>
      <c r="G632" s="2" t="s">
        <v>2964</v>
      </c>
      <c r="H632" s="2" t="s">
        <v>48</v>
      </c>
      <c r="I632" s="2" t="str" cm="1">
        <f t="array" ref="I632">IFERROR(playerPoints($H632,$F632,$G632,I$1),"")</f>
        <v/>
      </c>
      <c r="J632" s="2" t="str" cm="1">
        <f t="array" ref="J632">IFERROR(playerPoints($H632,$F632,$G632,J$1),"")</f>
        <v/>
      </c>
      <c r="K632" s="2" t="str" cm="1">
        <f t="array" ref="K632">IFERROR(playerPoints($H632,$F632,$G632,K$1),"")</f>
        <v/>
      </c>
      <c r="L632" s="2" t="str" cm="1">
        <f t="array" ref="L632">IFERROR(playerPoints($H632,$F632,$G632,L$1),"")</f>
        <v/>
      </c>
      <c r="M632" s="2" t="str" cm="1">
        <f t="array" ref="M632">IFERROR(playerPoints($H632,$F632,$G632,M$1),"")</f>
        <v/>
      </c>
      <c r="N632" s="2" t="str" cm="1">
        <f t="array" ref="N632">IFERROR(playerPoints($H632,$F632,$G632,N$1),"")</f>
        <v/>
      </c>
      <c r="O632" s="2" t="str" cm="1">
        <f t="array" ref="O632">IFERROR(playerPoints($H632,$F632,$G632,O$1),"")</f>
        <v/>
      </c>
      <c r="Q632" s="2">
        <f t="shared" si="9"/>
        <v>0</v>
      </c>
    </row>
    <row r="633" spans="1:17">
      <c r="A633" s="2">
        <v>632</v>
      </c>
      <c r="B633" s="2" t="s">
        <v>1822</v>
      </c>
      <c r="C633" s="2" t="s">
        <v>2066</v>
      </c>
      <c r="D633" s="2" t="s">
        <v>887</v>
      </c>
      <c r="F633" s="2" t="str">
        <f>LOOKUP(D633,Sheet3!A$1:A$32,Sheet3!B$1:B$32)</f>
        <v>SRB</v>
      </c>
      <c r="G633" s="2" t="s">
        <v>2965</v>
      </c>
      <c r="H633" s="2" t="s">
        <v>48</v>
      </c>
      <c r="I633" s="2" t="str" cm="1">
        <f t="array" ref="I633">IFERROR(playerPoints($H633,$F633,$G633,I$1),"")</f>
        <v/>
      </c>
      <c r="J633" s="2" t="str" cm="1">
        <f t="array" ref="J633">IFERROR(playerPoints($H633,$F633,$G633,J$1),"")</f>
        <v/>
      </c>
      <c r="K633" s="2" t="str" cm="1">
        <f t="array" ref="K633">IFERROR(playerPoints($H633,$F633,$G633,K$1),"")</f>
        <v/>
      </c>
      <c r="L633" s="2" t="str" cm="1">
        <f t="array" ref="L633">IFERROR(playerPoints($H633,$F633,$G633,L$1),"")</f>
        <v/>
      </c>
      <c r="M633" s="2" t="str" cm="1">
        <f t="array" ref="M633">IFERROR(playerPoints($H633,$F633,$G633,M$1),"")</f>
        <v/>
      </c>
      <c r="N633" s="2" t="str" cm="1">
        <f t="array" ref="N633">IFERROR(playerPoints($H633,$F633,$G633,N$1),"")</f>
        <v/>
      </c>
      <c r="O633" s="2" t="str" cm="1">
        <f t="array" ref="O633">IFERROR(playerPoints($H633,$F633,$G633,O$1),"")</f>
        <v/>
      </c>
      <c r="Q633" s="2">
        <f t="shared" si="9"/>
        <v>0</v>
      </c>
    </row>
    <row r="634" spans="1:17">
      <c r="A634" s="2">
        <v>633</v>
      </c>
      <c r="B634" s="2" t="s">
        <v>2067</v>
      </c>
      <c r="C634" s="2" t="s">
        <v>2068</v>
      </c>
      <c r="D634" s="2" t="s">
        <v>887</v>
      </c>
      <c r="F634" s="2" t="str">
        <f>LOOKUP(D634,Sheet3!A$1:A$32,Sheet3!B$1:B$32)</f>
        <v>SRB</v>
      </c>
      <c r="G634" s="2" t="s">
        <v>2966</v>
      </c>
      <c r="H634" s="2" t="s">
        <v>48</v>
      </c>
      <c r="I634" s="2" t="str" cm="1">
        <f t="array" ref="I634">IFERROR(playerPoints($H634,$F634,$G634,I$1),"")</f>
        <v/>
      </c>
      <c r="J634" s="2" t="str" cm="1">
        <f t="array" ref="J634">IFERROR(playerPoints($H634,$F634,$G634,J$1),"")</f>
        <v/>
      </c>
      <c r="K634" s="2" t="str" cm="1">
        <f t="array" ref="K634">IFERROR(playerPoints($H634,$F634,$G634,K$1),"")</f>
        <v/>
      </c>
      <c r="L634" s="2" t="str" cm="1">
        <f t="array" ref="L634">IFERROR(playerPoints($H634,$F634,$G634,L$1),"")</f>
        <v/>
      </c>
      <c r="M634" s="2" t="str" cm="1">
        <f t="array" ref="M634">IFERROR(playerPoints($H634,$F634,$G634,M$1),"")</f>
        <v/>
      </c>
      <c r="N634" s="2" t="str" cm="1">
        <f t="array" ref="N634">IFERROR(playerPoints($H634,$F634,$G634,N$1),"")</f>
        <v/>
      </c>
      <c r="O634" s="2" t="str" cm="1">
        <f t="array" ref="O634">IFERROR(playerPoints($H634,$F634,$G634,O$1),"")</f>
        <v/>
      </c>
      <c r="Q634" s="2">
        <f t="shared" si="9"/>
        <v>0</v>
      </c>
    </row>
    <row r="635" spans="1:17">
      <c r="A635" s="2">
        <v>634</v>
      </c>
      <c r="B635" s="2" t="s">
        <v>2069</v>
      </c>
      <c r="C635" s="2" t="s">
        <v>2070</v>
      </c>
      <c r="D635" s="2" t="s">
        <v>887</v>
      </c>
      <c r="F635" s="2" t="str">
        <f>LOOKUP(D635,Sheet3!A$1:A$32,Sheet3!B$1:B$32)</f>
        <v>SRB</v>
      </c>
      <c r="G635" s="2" t="s">
        <v>2967</v>
      </c>
      <c r="H635" s="2" t="s">
        <v>48</v>
      </c>
      <c r="I635" s="2" t="str" cm="1">
        <f t="array" ref="I635">IFERROR(playerPoints($H635,$F635,$G635,I$1),"")</f>
        <v/>
      </c>
      <c r="J635" s="2" t="str" cm="1">
        <f t="array" ref="J635">IFERROR(playerPoints($H635,$F635,$G635,J$1),"")</f>
        <v/>
      </c>
      <c r="K635" s="2" t="str" cm="1">
        <f t="array" ref="K635">IFERROR(playerPoints($H635,$F635,$G635,K$1),"")</f>
        <v/>
      </c>
      <c r="L635" s="2" t="str" cm="1">
        <f t="array" ref="L635">IFERROR(playerPoints($H635,$F635,$G635,L$1),"")</f>
        <v/>
      </c>
      <c r="M635" s="2" t="str" cm="1">
        <f t="array" ref="M635">IFERROR(playerPoints($H635,$F635,$G635,M$1),"")</f>
        <v/>
      </c>
      <c r="N635" s="2" t="str" cm="1">
        <f t="array" ref="N635">IFERROR(playerPoints($H635,$F635,$G635,N$1),"")</f>
        <v/>
      </c>
      <c r="O635" s="2" t="str" cm="1">
        <f t="array" ref="O635">IFERROR(playerPoints($H635,$F635,$G635,O$1),"")</f>
        <v/>
      </c>
      <c r="Q635" s="2">
        <f t="shared" si="9"/>
        <v>0</v>
      </c>
    </row>
    <row r="636" spans="1:17">
      <c r="A636" s="2">
        <v>635</v>
      </c>
      <c r="B636" s="2" t="s">
        <v>2071</v>
      </c>
      <c r="C636" s="2" t="s">
        <v>2072</v>
      </c>
      <c r="D636" s="2" t="s">
        <v>887</v>
      </c>
      <c r="F636" s="2" t="str">
        <f>LOOKUP(D636,Sheet3!A$1:A$32,Sheet3!B$1:B$32)</f>
        <v>SRB</v>
      </c>
      <c r="G636" s="2" t="s">
        <v>2968</v>
      </c>
      <c r="H636" s="2" t="s">
        <v>57</v>
      </c>
      <c r="I636" s="2" t="str" cm="1">
        <f t="array" ref="I636">IFERROR(playerPoints($H636,$F636,$G636,I$1),"")</f>
        <v/>
      </c>
      <c r="J636" s="2" t="str" cm="1">
        <f t="array" ref="J636">IFERROR(playerPoints($H636,$F636,$G636,J$1),"")</f>
        <v/>
      </c>
      <c r="K636" s="2" t="str" cm="1">
        <f t="array" ref="K636">IFERROR(playerPoints($H636,$F636,$G636,K$1),"")</f>
        <v/>
      </c>
      <c r="L636" s="2" t="str" cm="1">
        <f t="array" ref="L636">IFERROR(playerPoints($H636,$F636,$G636,L$1),"")</f>
        <v/>
      </c>
      <c r="M636" s="2" t="str" cm="1">
        <f t="array" ref="M636">IFERROR(playerPoints($H636,$F636,$G636,M$1),"")</f>
        <v/>
      </c>
      <c r="N636" s="2" t="str" cm="1">
        <f t="array" ref="N636">IFERROR(playerPoints($H636,$F636,$G636,N$1),"")</f>
        <v/>
      </c>
      <c r="O636" s="2" t="str" cm="1">
        <f t="array" ref="O636">IFERROR(playerPoints($H636,$F636,$G636,O$1),"")</f>
        <v/>
      </c>
      <c r="Q636" s="2">
        <f t="shared" si="9"/>
        <v>0</v>
      </c>
    </row>
    <row r="637" spans="1:17">
      <c r="A637" s="2">
        <v>636</v>
      </c>
      <c r="B637" s="2" t="s">
        <v>2071</v>
      </c>
      <c r="C637" s="2" t="s">
        <v>2073</v>
      </c>
      <c r="D637" s="2" t="s">
        <v>887</v>
      </c>
      <c r="F637" s="2" t="str">
        <f>LOOKUP(D637,Sheet3!A$1:A$32,Sheet3!B$1:B$32)</f>
        <v>SRB</v>
      </c>
      <c r="G637" s="2" t="s">
        <v>2969</v>
      </c>
      <c r="H637" s="2" t="s">
        <v>57</v>
      </c>
      <c r="I637" s="2" t="str" cm="1">
        <f t="array" ref="I637">IFERROR(playerPoints($H637,$F637,$G637,I$1),"")</f>
        <v/>
      </c>
      <c r="J637" s="2" t="str" cm="1">
        <f t="array" ref="J637">IFERROR(playerPoints($H637,$F637,$G637,J$1),"")</f>
        <v/>
      </c>
      <c r="K637" s="2" t="str" cm="1">
        <f t="array" ref="K637">IFERROR(playerPoints($H637,$F637,$G637,K$1),"")</f>
        <v/>
      </c>
      <c r="L637" s="2" t="str" cm="1">
        <f t="array" ref="L637">IFERROR(playerPoints($H637,$F637,$G637,L$1),"")</f>
        <v/>
      </c>
      <c r="M637" s="2" t="str" cm="1">
        <f t="array" ref="M637">IFERROR(playerPoints($H637,$F637,$G637,M$1),"")</f>
        <v/>
      </c>
      <c r="N637" s="2" t="str" cm="1">
        <f t="array" ref="N637">IFERROR(playerPoints($H637,$F637,$G637,N$1),"")</f>
        <v/>
      </c>
      <c r="O637" s="2" t="str" cm="1">
        <f t="array" ref="O637">IFERROR(playerPoints($H637,$F637,$G637,O$1),"")</f>
        <v/>
      </c>
      <c r="Q637" s="2">
        <f t="shared" si="9"/>
        <v>0</v>
      </c>
    </row>
    <row r="638" spans="1:17">
      <c r="A638" s="2">
        <v>637</v>
      </c>
      <c r="B638" s="2" t="s">
        <v>2071</v>
      </c>
      <c r="C638" s="2" t="s">
        <v>2074</v>
      </c>
      <c r="D638" s="2" t="s">
        <v>887</v>
      </c>
      <c r="F638" s="2" t="str">
        <f>LOOKUP(D638,Sheet3!A$1:A$32,Sheet3!B$1:B$32)</f>
        <v>SRB</v>
      </c>
      <c r="G638" s="2" t="s">
        <v>2970</v>
      </c>
      <c r="H638" s="2" t="s">
        <v>57</v>
      </c>
      <c r="I638" s="2" t="str" cm="1">
        <f t="array" ref="I638">IFERROR(playerPoints($H638,$F638,$G638,I$1),"")</f>
        <v/>
      </c>
      <c r="J638" s="2" t="str" cm="1">
        <f t="array" ref="J638">IFERROR(playerPoints($H638,$F638,$G638,J$1),"")</f>
        <v/>
      </c>
      <c r="K638" s="2" t="str" cm="1">
        <f t="array" ref="K638">IFERROR(playerPoints($H638,$F638,$G638,K$1),"")</f>
        <v/>
      </c>
      <c r="L638" s="2" t="str" cm="1">
        <f t="array" ref="L638">IFERROR(playerPoints($H638,$F638,$G638,L$1),"")</f>
        <v/>
      </c>
      <c r="M638" s="2" t="str" cm="1">
        <f t="array" ref="M638">IFERROR(playerPoints($H638,$F638,$G638,M$1),"")</f>
        <v/>
      </c>
      <c r="N638" s="2" t="str" cm="1">
        <f t="array" ref="N638">IFERROR(playerPoints($H638,$F638,$G638,N$1),"")</f>
        <v/>
      </c>
      <c r="O638" s="2" t="str" cm="1">
        <f t="array" ref="O638">IFERROR(playerPoints($H638,$F638,$G638,O$1),"")</f>
        <v/>
      </c>
      <c r="Q638" s="2">
        <f t="shared" si="9"/>
        <v>0</v>
      </c>
    </row>
    <row r="639" spans="1:17">
      <c r="A639" s="2">
        <v>638</v>
      </c>
      <c r="B639" s="2" t="s">
        <v>2075</v>
      </c>
      <c r="C639" s="2" t="s">
        <v>2076</v>
      </c>
      <c r="D639" s="2" t="s">
        <v>887</v>
      </c>
      <c r="F639" s="2" t="str">
        <f>LOOKUP(D639,Sheet3!A$1:A$32,Sheet3!B$1:B$32)</f>
        <v>SRB</v>
      </c>
      <c r="G639" s="2" t="s">
        <v>2971</v>
      </c>
      <c r="H639" s="2" t="s">
        <v>57</v>
      </c>
      <c r="I639" s="2" t="str" cm="1">
        <f t="array" ref="I639">IFERROR(playerPoints($H639,$F639,$G639,I$1),"")</f>
        <v/>
      </c>
      <c r="J639" s="2" t="str" cm="1">
        <f t="array" ref="J639">IFERROR(playerPoints($H639,$F639,$G639,J$1),"")</f>
        <v/>
      </c>
      <c r="K639" s="2" t="str" cm="1">
        <f t="array" ref="K639">IFERROR(playerPoints($H639,$F639,$G639,K$1),"")</f>
        <v/>
      </c>
      <c r="L639" s="2" t="str" cm="1">
        <f t="array" ref="L639">IFERROR(playerPoints($H639,$F639,$G639,L$1),"")</f>
        <v/>
      </c>
      <c r="M639" s="2" t="str" cm="1">
        <f t="array" ref="M639">IFERROR(playerPoints($H639,$F639,$G639,M$1),"")</f>
        <v/>
      </c>
      <c r="N639" s="2" t="str" cm="1">
        <f t="array" ref="N639">IFERROR(playerPoints($H639,$F639,$G639,N$1),"")</f>
        <v/>
      </c>
      <c r="O639" s="2" t="str" cm="1">
        <f t="array" ref="O639">IFERROR(playerPoints($H639,$F639,$G639,O$1),"")</f>
        <v/>
      </c>
      <c r="Q639" s="2">
        <f t="shared" si="9"/>
        <v>0</v>
      </c>
    </row>
    <row r="640" spans="1:17">
      <c r="A640" s="2">
        <v>639</v>
      </c>
      <c r="B640" s="2" t="s">
        <v>2069</v>
      </c>
      <c r="C640" s="2" t="s">
        <v>2077</v>
      </c>
      <c r="D640" s="2" t="s">
        <v>887</v>
      </c>
      <c r="F640" s="2" t="str">
        <f>LOOKUP(D640,Sheet3!A$1:A$32,Sheet3!B$1:B$32)</f>
        <v>SRB</v>
      </c>
      <c r="G640" s="2" t="s">
        <v>2972</v>
      </c>
      <c r="H640" s="2" t="s">
        <v>57</v>
      </c>
      <c r="I640" s="2" t="str" cm="1">
        <f t="array" ref="I640">IFERROR(playerPoints($H640,$F640,$G640,I$1),"")</f>
        <v/>
      </c>
      <c r="J640" s="2" t="str" cm="1">
        <f t="array" ref="J640">IFERROR(playerPoints($H640,$F640,$G640,J$1),"")</f>
        <v/>
      </c>
      <c r="K640" s="2" t="str" cm="1">
        <f t="array" ref="K640">IFERROR(playerPoints($H640,$F640,$G640,K$1),"")</f>
        <v/>
      </c>
      <c r="L640" s="2" t="str" cm="1">
        <f t="array" ref="L640">IFERROR(playerPoints($H640,$F640,$G640,L$1),"")</f>
        <v/>
      </c>
      <c r="M640" s="2" t="str" cm="1">
        <f t="array" ref="M640">IFERROR(playerPoints($H640,$F640,$G640,M$1),"")</f>
        <v/>
      </c>
      <c r="N640" s="2" t="str" cm="1">
        <f t="array" ref="N640">IFERROR(playerPoints($H640,$F640,$G640,N$1),"")</f>
        <v/>
      </c>
      <c r="O640" s="2" t="str" cm="1">
        <f t="array" ref="O640">IFERROR(playerPoints($H640,$F640,$G640,O$1),"")</f>
        <v/>
      </c>
      <c r="Q640" s="2">
        <f t="shared" si="9"/>
        <v>0</v>
      </c>
    </row>
    <row r="641" spans="1:17">
      <c r="A641" s="2">
        <v>640</v>
      </c>
      <c r="B641" s="2" t="s">
        <v>2078</v>
      </c>
      <c r="C641" s="2" t="s">
        <v>2079</v>
      </c>
      <c r="D641" s="2" t="s">
        <v>887</v>
      </c>
      <c r="F641" s="2" t="str">
        <f>LOOKUP(D641,Sheet3!A$1:A$32,Sheet3!B$1:B$32)</f>
        <v>SRB</v>
      </c>
      <c r="G641" s="2" t="s">
        <v>2973</v>
      </c>
      <c r="H641" s="2" t="s">
        <v>57</v>
      </c>
      <c r="I641" s="2" t="str" cm="1">
        <f t="array" ref="I641">IFERROR(playerPoints($H641,$F641,$G641,I$1),"")</f>
        <v/>
      </c>
      <c r="J641" s="2" t="str" cm="1">
        <f t="array" ref="J641">IFERROR(playerPoints($H641,$F641,$G641,J$1),"")</f>
        <v/>
      </c>
      <c r="K641" s="2" t="str" cm="1">
        <f t="array" ref="K641">IFERROR(playerPoints($H641,$F641,$G641,K$1),"")</f>
        <v/>
      </c>
      <c r="L641" s="2" t="str" cm="1">
        <f t="array" ref="L641">IFERROR(playerPoints($H641,$F641,$G641,L$1),"")</f>
        <v/>
      </c>
      <c r="M641" s="2" t="str" cm="1">
        <f t="array" ref="M641">IFERROR(playerPoints($H641,$F641,$G641,M$1),"")</f>
        <v/>
      </c>
      <c r="N641" s="2" t="str" cm="1">
        <f t="array" ref="N641">IFERROR(playerPoints($H641,$F641,$G641,N$1),"")</f>
        <v/>
      </c>
      <c r="O641" s="2" t="str" cm="1">
        <f t="array" ref="O641">IFERROR(playerPoints($H641,$F641,$G641,O$1),"")</f>
        <v/>
      </c>
      <c r="Q641" s="2">
        <f t="shared" si="9"/>
        <v>0</v>
      </c>
    </row>
    <row r="642" spans="1:17">
      <c r="A642" s="2">
        <v>641</v>
      </c>
      <c r="B642" s="2" t="s">
        <v>2080</v>
      </c>
      <c r="C642" s="2" t="s">
        <v>2060</v>
      </c>
      <c r="D642" s="2" t="s">
        <v>887</v>
      </c>
      <c r="F642" s="2" t="str">
        <f>LOOKUP(D642,Sheet3!A$1:A$32,Sheet3!B$1:B$32)</f>
        <v>SRB</v>
      </c>
      <c r="G642" s="2" t="s">
        <v>2974</v>
      </c>
      <c r="H642" s="2" t="s">
        <v>57</v>
      </c>
      <c r="I642" s="2" t="str" cm="1">
        <f t="array" ref="I642">IFERROR(playerPoints($H642,$F642,$G642,I$1),"")</f>
        <v/>
      </c>
      <c r="J642" s="2" t="str" cm="1">
        <f t="array" ref="J642">IFERROR(playerPoints($H642,$F642,$G642,J$1),"")</f>
        <v/>
      </c>
      <c r="K642" s="2" t="str" cm="1">
        <f t="array" ref="K642">IFERROR(playerPoints($H642,$F642,$G642,K$1),"")</f>
        <v/>
      </c>
      <c r="L642" s="2" t="str" cm="1">
        <f t="array" ref="L642">IFERROR(playerPoints($H642,$F642,$G642,L$1),"")</f>
        <v/>
      </c>
      <c r="M642" s="2" t="str" cm="1">
        <f t="array" ref="M642">IFERROR(playerPoints($H642,$F642,$G642,M$1),"")</f>
        <v/>
      </c>
      <c r="N642" s="2" t="str" cm="1">
        <f t="array" ref="N642">IFERROR(playerPoints($H642,$F642,$G642,N$1),"")</f>
        <v/>
      </c>
      <c r="O642" s="2" t="str" cm="1">
        <f t="array" ref="O642">IFERROR(playerPoints($H642,$F642,$G642,O$1),"")</f>
        <v/>
      </c>
      <c r="Q642" s="2">
        <f t="shared" si="9"/>
        <v>0</v>
      </c>
    </row>
    <row r="643" spans="1:17">
      <c r="A643" s="2">
        <v>642</v>
      </c>
      <c r="B643" s="2" t="s">
        <v>2069</v>
      </c>
      <c r="C643" s="2" t="s">
        <v>2081</v>
      </c>
      <c r="D643" s="2" t="s">
        <v>887</v>
      </c>
      <c r="F643" s="2" t="str">
        <f>LOOKUP(D643,Sheet3!A$1:A$32,Sheet3!B$1:B$32)</f>
        <v>SRB</v>
      </c>
      <c r="G643" s="2" t="s">
        <v>2975</v>
      </c>
      <c r="H643" s="2" t="s">
        <v>57</v>
      </c>
      <c r="I643" s="2" t="str" cm="1">
        <f t="array" ref="I643">IFERROR(playerPoints($H643,$F643,$G643,I$1),"")</f>
        <v/>
      </c>
      <c r="J643" s="2" t="str" cm="1">
        <f t="array" ref="J643">IFERROR(playerPoints($H643,$F643,$G643,J$1),"")</f>
        <v/>
      </c>
      <c r="K643" s="2" t="str" cm="1">
        <f t="array" ref="K643">IFERROR(playerPoints($H643,$F643,$G643,K$1),"")</f>
        <v/>
      </c>
      <c r="L643" s="2" t="str" cm="1">
        <f t="array" ref="L643">IFERROR(playerPoints($H643,$F643,$G643,L$1),"")</f>
        <v/>
      </c>
      <c r="M643" s="2" t="str" cm="1">
        <f t="array" ref="M643">IFERROR(playerPoints($H643,$F643,$G643,M$1),"")</f>
        <v/>
      </c>
      <c r="N643" s="2" t="str" cm="1">
        <f t="array" ref="N643">IFERROR(playerPoints($H643,$F643,$G643,N$1),"")</f>
        <v/>
      </c>
      <c r="O643" s="2" t="str" cm="1">
        <f t="array" ref="O643">IFERROR(playerPoints($H643,$F643,$G643,O$1),"")</f>
        <v/>
      </c>
      <c r="Q643" s="2">
        <f t="shared" ref="Q643:Q706" si="10">SUM(I643:O643)</f>
        <v>0</v>
      </c>
    </row>
    <row r="644" spans="1:17">
      <c r="A644" s="2">
        <v>643</v>
      </c>
      <c r="B644" s="2" t="s">
        <v>2082</v>
      </c>
      <c r="C644" s="2" t="s">
        <v>2083</v>
      </c>
      <c r="D644" s="2" t="s">
        <v>887</v>
      </c>
      <c r="F644" s="2" t="str">
        <f>LOOKUP(D644,Sheet3!A$1:A$32,Sheet3!B$1:B$32)</f>
        <v>SRB</v>
      </c>
      <c r="G644" s="2" t="s">
        <v>2976</v>
      </c>
      <c r="H644" s="2" t="s">
        <v>57</v>
      </c>
      <c r="I644" s="2" t="str" cm="1">
        <f t="array" ref="I644">IFERROR(playerPoints($H644,$F644,$G644,I$1),"")</f>
        <v/>
      </c>
      <c r="J644" s="2" t="str" cm="1">
        <f t="array" ref="J644">IFERROR(playerPoints($H644,$F644,$G644,J$1),"")</f>
        <v/>
      </c>
      <c r="K644" s="2" t="str" cm="1">
        <f t="array" ref="K644">IFERROR(playerPoints($H644,$F644,$G644,K$1),"")</f>
        <v/>
      </c>
      <c r="L644" s="2" t="str" cm="1">
        <f t="array" ref="L644">IFERROR(playerPoints($H644,$F644,$G644,L$1),"")</f>
        <v/>
      </c>
      <c r="M644" s="2" t="str" cm="1">
        <f t="array" ref="M644">IFERROR(playerPoints($H644,$F644,$G644,M$1),"")</f>
        <v/>
      </c>
      <c r="N644" s="2" t="str" cm="1">
        <f t="array" ref="N644">IFERROR(playerPoints($H644,$F644,$G644,N$1),"")</f>
        <v/>
      </c>
      <c r="O644" s="2" t="str" cm="1">
        <f t="array" ref="O644">IFERROR(playerPoints($H644,$F644,$G644,O$1),"")</f>
        <v/>
      </c>
      <c r="Q644" s="2">
        <f t="shared" si="10"/>
        <v>0</v>
      </c>
    </row>
    <row r="645" spans="1:17">
      <c r="A645" s="2">
        <v>644</v>
      </c>
      <c r="B645" s="2" t="s">
        <v>1340</v>
      </c>
      <c r="C645" s="2" t="s">
        <v>2084</v>
      </c>
      <c r="D645" s="2" t="s">
        <v>887</v>
      </c>
      <c r="F645" s="2" t="str">
        <f>LOOKUP(D645,Sheet3!A$1:A$32,Sheet3!B$1:B$32)</f>
        <v>SRB</v>
      </c>
      <c r="G645" s="2" t="s">
        <v>2977</v>
      </c>
      <c r="H645" s="2" t="s">
        <v>57</v>
      </c>
      <c r="I645" s="2" t="str" cm="1">
        <f t="array" ref="I645">IFERROR(playerPoints($H645,$F645,$G645,I$1),"")</f>
        <v/>
      </c>
      <c r="J645" s="2" t="str" cm="1">
        <f t="array" ref="J645">IFERROR(playerPoints($H645,$F645,$G645,J$1),"")</f>
        <v/>
      </c>
      <c r="K645" s="2" t="str" cm="1">
        <f t="array" ref="K645">IFERROR(playerPoints($H645,$F645,$G645,K$1),"")</f>
        <v/>
      </c>
      <c r="L645" s="2" t="str" cm="1">
        <f t="array" ref="L645">IFERROR(playerPoints($H645,$F645,$G645,L$1),"")</f>
        <v/>
      </c>
      <c r="M645" s="2" t="str" cm="1">
        <f t="array" ref="M645">IFERROR(playerPoints($H645,$F645,$G645,M$1),"")</f>
        <v/>
      </c>
      <c r="N645" s="2" t="str" cm="1">
        <f t="array" ref="N645">IFERROR(playerPoints($H645,$F645,$G645,N$1),"")</f>
        <v/>
      </c>
      <c r="O645" s="2" t="str" cm="1">
        <f t="array" ref="O645">IFERROR(playerPoints($H645,$F645,$G645,O$1),"")</f>
        <v/>
      </c>
      <c r="Q645" s="2">
        <f t="shared" si="10"/>
        <v>0</v>
      </c>
    </row>
    <row r="646" spans="1:17">
      <c r="A646" s="2">
        <v>645</v>
      </c>
      <c r="B646" s="2" t="s">
        <v>1359</v>
      </c>
      <c r="C646" s="2" t="s">
        <v>2085</v>
      </c>
      <c r="D646" s="2" t="s">
        <v>887</v>
      </c>
      <c r="F646" s="2" t="str">
        <f>LOOKUP(D646,Sheet3!A$1:A$32,Sheet3!B$1:B$32)</f>
        <v>SRB</v>
      </c>
      <c r="G646" s="2" t="s">
        <v>2978</v>
      </c>
      <c r="H646" s="2" t="s">
        <v>57</v>
      </c>
      <c r="I646" s="2" t="str" cm="1">
        <f t="array" ref="I646">IFERROR(playerPoints($H646,$F646,$G646,I$1),"")</f>
        <v/>
      </c>
      <c r="J646" s="2" t="str" cm="1">
        <f t="array" ref="J646">IFERROR(playerPoints($H646,$F646,$G646,J$1),"")</f>
        <v/>
      </c>
      <c r="K646" s="2" t="str" cm="1">
        <f t="array" ref="K646">IFERROR(playerPoints($H646,$F646,$G646,K$1),"")</f>
        <v/>
      </c>
      <c r="L646" s="2" t="str" cm="1">
        <f t="array" ref="L646">IFERROR(playerPoints($H646,$F646,$G646,L$1),"")</f>
        <v/>
      </c>
      <c r="M646" s="2" t="str" cm="1">
        <f t="array" ref="M646">IFERROR(playerPoints($H646,$F646,$G646,M$1),"")</f>
        <v/>
      </c>
      <c r="N646" s="2" t="str" cm="1">
        <f t="array" ref="N646">IFERROR(playerPoints($H646,$F646,$G646,N$1),"")</f>
        <v/>
      </c>
      <c r="O646" s="2" t="str" cm="1">
        <f t="array" ref="O646">IFERROR(playerPoints($H646,$F646,$G646,O$1),"")</f>
        <v/>
      </c>
      <c r="Q646" s="2">
        <f t="shared" si="10"/>
        <v>0</v>
      </c>
    </row>
    <row r="647" spans="1:17">
      <c r="A647" s="2">
        <v>646</v>
      </c>
      <c r="B647" s="2" t="s">
        <v>2086</v>
      </c>
      <c r="C647" s="2" t="s">
        <v>2066</v>
      </c>
      <c r="D647" s="2" t="s">
        <v>887</v>
      </c>
      <c r="F647" s="2" t="str">
        <f>LOOKUP(D647,Sheet3!A$1:A$32,Sheet3!B$1:B$32)</f>
        <v>SRB</v>
      </c>
      <c r="G647" s="2" t="s">
        <v>2979</v>
      </c>
      <c r="H647" s="2" t="s">
        <v>66</v>
      </c>
      <c r="I647" s="2" t="str" cm="1">
        <f t="array" ref="I647">IFERROR(playerPoints($H647,$F647,$G647,I$1),"")</f>
        <v/>
      </c>
      <c r="J647" s="2" t="str" cm="1">
        <f t="array" ref="J647">IFERROR(playerPoints($H647,$F647,$G647,J$1),"")</f>
        <v/>
      </c>
      <c r="K647" s="2" t="str" cm="1">
        <f t="array" ref="K647">IFERROR(playerPoints($H647,$F647,$G647,K$1),"")</f>
        <v/>
      </c>
      <c r="L647" s="2" t="str" cm="1">
        <f t="array" ref="L647">IFERROR(playerPoints($H647,$F647,$G647,L$1),"")</f>
        <v/>
      </c>
      <c r="M647" s="2" t="str" cm="1">
        <f t="array" ref="M647">IFERROR(playerPoints($H647,$F647,$G647,M$1),"")</f>
        <v/>
      </c>
      <c r="N647" s="2" t="str" cm="1">
        <f t="array" ref="N647">IFERROR(playerPoints($H647,$F647,$G647,N$1),"")</f>
        <v/>
      </c>
      <c r="O647" s="2" t="str" cm="1">
        <f t="array" ref="O647">IFERROR(playerPoints($H647,$F647,$G647,O$1),"")</f>
        <v/>
      </c>
      <c r="Q647" s="2">
        <f t="shared" si="10"/>
        <v>0</v>
      </c>
    </row>
    <row r="648" spans="1:17">
      <c r="A648" s="2">
        <v>647</v>
      </c>
      <c r="B648" s="2" t="s">
        <v>2087</v>
      </c>
      <c r="C648" s="2" t="s">
        <v>2088</v>
      </c>
      <c r="D648" s="2" t="s">
        <v>887</v>
      </c>
      <c r="F648" s="2" t="str">
        <f>LOOKUP(D648,Sheet3!A$1:A$32,Sheet3!B$1:B$32)</f>
        <v>SRB</v>
      </c>
      <c r="G648" s="2" t="s">
        <v>2980</v>
      </c>
      <c r="H648" s="2" t="s">
        <v>66</v>
      </c>
      <c r="I648" s="2" t="str" cm="1">
        <f t="array" ref="I648">IFERROR(playerPoints($H648,$F648,$G648,I$1),"")</f>
        <v/>
      </c>
      <c r="J648" s="2" t="str" cm="1">
        <f t="array" ref="J648">IFERROR(playerPoints($H648,$F648,$G648,J$1),"")</f>
        <v/>
      </c>
      <c r="K648" s="2" t="str" cm="1">
        <f t="array" ref="K648">IFERROR(playerPoints($H648,$F648,$G648,K$1),"")</f>
        <v/>
      </c>
      <c r="L648" s="2" t="str" cm="1">
        <f t="array" ref="L648">IFERROR(playerPoints($H648,$F648,$G648,L$1),"")</f>
        <v/>
      </c>
      <c r="M648" s="2" t="str" cm="1">
        <f t="array" ref="M648">IFERROR(playerPoints($H648,$F648,$G648,M$1),"")</f>
        <v/>
      </c>
      <c r="N648" s="2" t="str" cm="1">
        <f t="array" ref="N648">IFERROR(playerPoints($H648,$F648,$G648,N$1),"")</f>
        <v/>
      </c>
      <c r="O648" s="2" t="str" cm="1">
        <f t="array" ref="O648">IFERROR(playerPoints($H648,$F648,$G648,O$1),"")</f>
        <v/>
      </c>
      <c r="Q648" s="2">
        <f t="shared" si="10"/>
        <v>0</v>
      </c>
    </row>
    <row r="649" spans="1:17">
      <c r="A649" s="2">
        <v>648</v>
      </c>
      <c r="B649" s="2" t="s">
        <v>1346</v>
      </c>
      <c r="C649" s="2" t="s">
        <v>2089</v>
      </c>
      <c r="D649" s="2" t="s">
        <v>887</v>
      </c>
      <c r="F649" s="2" t="str">
        <f>LOOKUP(D649,Sheet3!A$1:A$32,Sheet3!B$1:B$32)</f>
        <v>SRB</v>
      </c>
      <c r="G649" s="2" t="s">
        <v>2981</v>
      </c>
      <c r="H649" s="2" t="s">
        <v>66</v>
      </c>
      <c r="I649" s="2" t="str" cm="1">
        <f t="array" ref="I649">IFERROR(playerPoints($H649,$F649,$G649,I$1),"")</f>
        <v/>
      </c>
      <c r="J649" s="2" t="str" cm="1">
        <f t="array" ref="J649">IFERROR(playerPoints($H649,$F649,$G649,J$1),"")</f>
        <v/>
      </c>
      <c r="K649" s="2" t="str" cm="1">
        <f t="array" ref="K649">IFERROR(playerPoints($H649,$F649,$G649,K$1),"")</f>
        <v/>
      </c>
      <c r="L649" s="2" t="str" cm="1">
        <f t="array" ref="L649">IFERROR(playerPoints($H649,$F649,$G649,L$1),"")</f>
        <v/>
      </c>
      <c r="M649" s="2" t="str" cm="1">
        <f t="array" ref="M649">IFERROR(playerPoints($H649,$F649,$G649,M$1),"")</f>
        <v/>
      </c>
      <c r="N649" s="2" t="str" cm="1">
        <f t="array" ref="N649">IFERROR(playerPoints($H649,$F649,$G649,N$1),"")</f>
        <v/>
      </c>
      <c r="O649" s="2" t="str" cm="1">
        <f t="array" ref="O649">IFERROR(playerPoints($H649,$F649,$G649,O$1),"")</f>
        <v/>
      </c>
      <c r="Q649" s="2">
        <f t="shared" si="10"/>
        <v>0</v>
      </c>
    </row>
    <row r="650" spans="1:17">
      <c r="A650" s="2">
        <v>649</v>
      </c>
      <c r="B650" s="2" t="s">
        <v>2090</v>
      </c>
      <c r="C650" s="2" t="s">
        <v>2091</v>
      </c>
      <c r="D650" s="2" t="s">
        <v>887</v>
      </c>
      <c r="F650" s="2" t="str">
        <f>LOOKUP(D650,Sheet3!A$1:A$32,Sheet3!B$1:B$32)</f>
        <v>SRB</v>
      </c>
      <c r="G650" s="2" t="s">
        <v>2982</v>
      </c>
      <c r="H650" s="2" t="s">
        <v>66</v>
      </c>
      <c r="I650" s="2" t="str" cm="1">
        <f t="array" ref="I650">IFERROR(playerPoints($H650,$F650,$G650,I$1),"")</f>
        <v/>
      </c>
      <c r="J650" s="2" t="str" cm="1">
        <f t="array" ref="J650">IFERROR(playerPoints($H650,$F650,$G650,J$1),"")</f>
        <v/>
      </c>
      <c r="K650" s="2" t="str" cm="1">
        <f t="array" ref="K650">IFERROR(playerPoints($H650,$F650,$G650,K$1),"")</f>
        <v/>
      </c>
      <c r="L650" s="2" t="str" cm="1">
        <f t="array" ref="L650">IFERROR(playerPoints($H650,$F650,$G650,L$1),"")</f>
        <v/>
      </c>
      <c r="M650" s="2" t="str" cm="1">
        <f t="array" ref="M650">IFERROR(playerPoints($H650,$F650,$G650,M$1),"")</f>
        <v/>
      </c>
      <c r="N650" s="2" t="str" cm="1">
        <f t="array" ref="N650">IFERROR(playerPoints($H650,$F650,$G650,N$1),"")</f>
        <v/>
      </c>
      <c r="O650" s="2" t="str" cm="1">
        <f t="array" ref="O650">IFERROR(playerPoints($H650,$F650,$G650,O$1),"")</f>
        <v/>
      </c>
      <c r="Q650" s="2">
        <f t="shared" si="10"/>
        <v>0</v>
      </c>
    </row>
    <row r="651" spans="1:17">
      <c r="A651" s="2">
        <v>650</v>
      </c>
      <c r="B651" s="2" t="s">
        <v>2087</v>
      </c>
      <c r="C651" s="2" t="s">
        <v>2092</v>
      </c>
      <c r="D651" s="2" t="s">
        <v>887</v>
      </c>
      <c r="F651" s="2" t="str">
        <f>LOOKUP(D651,Sheet3!A$1:A$32,Sheet3!B$1:B$32)</f>
        <v>SRB</v>
      </c>
      <c r="G651" s="2" t="s">
        <v>2983</v>
      </c>
      <c r="H651" s="2" t="s">
        <v>66</v>
      </c>
      <c r="I651" s="2" t="str" cm="1">
        <f t="array" ref="I651">IFERROR(playerPoints($H651,$F651,$G651,I$1),"")</f>
        <v/>
      </c>
      <c r="J651" s="2" t="str" cm="1">
        <f t="array" ref="J651">IFERROR(playerPoints($H651,$F651,$G651,J$1),"")</f>
        <v/>
      </c>
      <c r="K651" s="2" t="str" cm="1">
        <f t="array" ref="K651">IFERROR(playerPoints($H651,$F651,$G651,K$1),"")</f>
        <v/>
      </c>
      <c r="L651" s="2" t="str" cm="1">
        <f t="array" ref="L651">IFERROR(playerPoints($H651,$F651,$G651,L$1),"")</f>
        <v/>
      </c>
      <c r="M651" s="2" t="str" cm="1">
        <f t="array" ref="M651">IFERROR(playerPoints($H651,$F651,$G651,M$1),"")</f>
        <v/>
      </c>
      <c r="N651" s="2" t="str" cm="1">
        <f t="array" ref="N651">IFERROR(playerPoints($H651,$F651,$G651,N$1),"")</f>
        <v/>
      </c>
      <c r="O651" s="2" t="str" cm="1">
        <f t="array" ref="O651">IFERROR(playerPoints($H651,$F651,$G651,O$1),"")</f>
        <v/>
      </c>
      <c r="Q651" s="2">
        <f t="shared" si="10"/>
        <v>0</v>
      </c>
    </row>
    <row r="652" spans="1:17">
      <c r="A652" s="2">
        <v>651</v>
      </c>
      <c r="B652" s="2" t="s">
        <v>2093</v>
      </c>
      <c r="C652" s="2" t="s">
        <v>2094</v>
      </c>
      <c r="D652" s="2" t="s">
        <v>888</v>
      </c>
      <c r="F652" s="2" t="str">
        <f>LOOKUP(D652,Sheet3!A$1:A$32,Sheet3!B$1:B$32)</f>
        <v>KOR</v>
      </c>
      <c r="G652" s="2" t="s">
        <v>2984</v>
      </c>
      <c r="H652" s="2" t="s">
        <v>44</v>
      </c>
      <c r="I652" s="2" t="str" cm="1">
        <f t="array" ref="I652">IFERROR(playerPoints($H652,$F652,$G652,I$1),"")</f>
        <v/>
      </c>
      <c r="J652" s="2" t="str" cm="1">
        <f t="array" ref="J652">IFERROR(playerPoints($H652,$F652,$G652,J$1),"")</f>
        <v/>
      </c>
      <c r="K652" s="2" t="str" cm="1">
        <f t="array" ref="K652">IFERROR(playerPoints($H652,$F652,$G652,K$1),"")</f>
        <v/>
      </c>
      <c r="L652" s="2" t="str" cm="1">
        <f t="array" ref="L652">IFERROR(playerPoints($H652,$F652,$G652,L$1),"")</f>
        <v/>
      </c>
      <c r="M652" s="2" t="str" cm="1">
        <f t="array" ref="M652">IFERROR(playerPoints($H652,$F652,$G652,M$1),"")</f>
        <v/>
      </c>
      <c r="N652" s="2" t="str" cm="1">
        <f t="array" ref="N652">IFERROR(playerPoints($H652,$F652,$G652,N$1),"")</f>
        <v/>
      </c>
      <c r="O652" s="2" t="str" cm="1">
        <f t="array" ref="O652">IFERROR(playerPoints($H652,$F652,$G652,O$1),"")</f>
        <v/>
      </c>
      <c r="Q652" s="2">
        <f t="shared" si="10"/>
        <v>0</v>
      </c>
    </row>
    <row r="653" spans="1:17">
      <c r="A653" s="2">
        <v>652</v>
      </c>
      <c r="B653" s="2" t="s">
        <v>2095</v>
      </c>
      <c r="C653" s="2" t="s">
        <v>2096</v>
      </c>
      <c r="D653" s="2" t="s">
        <v>888</v>
      </c>
      <c r="F653" s="2" t="str">
        <f>LOOKUP(D653,Sheet3!A$1:A$32,Sheet3!B$1:B$32)</f>
        <v>KOR</v>
      </c>
      <c r="G653" s="2" t="s">
        <v>2985</v>
      </c>
      <c r="H653" s="2" t="s">
        <v>44</v>
      </c>
      <c r="I653" s="2" t="str" cm="1">
        <f t="array" ref="I653">IFERROR(playerPoints($H653,$F653,$G653,I$1),"")</f>
        <v/>
      </c>
      <c r="J653" s="2" t="str" cm="1">
        <f t="array" ref="J653">IFERROR(playerPoints($H653,$F653,$G653,J$1),"")</f>
        <v/>
      </c>
      <c r="K653" s="2" t="str" cm="1">
        <f t="array" ref="K653">IFERROR(playerPoints($H653,$F653,$G653,K$1),"")</f>
        <v/>
      </c>
      <c r="L653" s="2" t="str" cm="1">
        <f t="array" ref="L653">IFERROR(playerPoints($H653,$F653,$G653,L$1),"")</f>
        <v/>
      </c>
      <c r="M653" s="2" t="str" cm="1">
        <f t="array" ref="M653">IFERROR(playerPoints($H653,$F653,$G653,M$1),"")</f>
        <v/>
      </c>
      <c r="N653" s="2" t="str" cm="1">
        <f t="array" ref="N653">IFERROR(playerPoints($H653,$F653,$G653,N$1),"")</f>
        <v/>
      </c>
      <c r="O653" s="2" t="str" cm="1">
        <f t="array" ref="O653">IFERROR(playerPoints($H653,$F653,$G653,O$1),"")</f>
        <v/>
      </c>
      <c r="Q653" s="2">
        <f t="shared" si="10"/>
        <v>0</v>
      </c>
    </row>
    <row r="654" spans="1:17">
      <c r="A654" s="2">
        <v>653</v>
      </c>
      <c r="B654" s="2" t="s">
        <v>2097</v>
      </c>
      <c r="C654" s="2" t="s">
        <v>2098</v>
      </c>
      <c r="D654" s="2" t="s">
        <v>888</v>
      </c>
      <c r="F654" s="2" t="str">
        <f>LOOKUP(D654,Sheet3!A$1:A$32,Sheet3!B$1:B$32)</f>
        <v>KOR</v>
      </c>
      <c r="G654" s="2" t="s">
        <v>2986</v>
      </c>
      <c r="H654" s="2" t="s">
        <v>44</v>
      </c>
      <c r="I654" s="2" t="str" cm="1">
        <f t="array" ref="I654">IFERROR(playerPoints($H654,$F654,$G654,I$1),"")</f>
        <v/>
      </c>
      <c r="J654" s="2" t="str" cm="1">
        <f t="array" ref="J654">IFERROR(playerPoints($H654,$F654,$G654,J$1),"")</f>
        <v/>
      </c>
      <c r="K654" s="2" t="str" cm="1">
        <f t="array" ref="K654">IFERROR(playerPoints($H654,$F654,$G654,K$1),"")</f>
        <v/>
      </c>
      <c r="L654" s="2" t="str" cm="1">
        <f t="array" ref="L654">IFERROR(playerPoints($H654,$F654,$G654,L$1),"")</f>
        <v/>
      </c>
      <c r="M654" s="2" t="str" cm="1">
        <f t="array" ref="M654">IFERROR(playerPoints($H654,$F654,$G654,M$1),"")</f>
        <v/>
      </c>
      <c r="N654" s="2" t="str" cm="1">
        <f t="array" ref="N654">IFERROR(playerPoints($H654,$F654,$G654,N$1),"")</f>
        <v/>
      </c>
      <c r="O654" s="2" t="str" cm="1">
        <f t="array" ref="O654">IFERROR(playerPoints($H654,$F654,$G654,O$1),"")</f>
        <v/>
      </c>
      <c r="Q654" s="2">
        <f t="shared" si="10"/>
        <v>0</v>
      </c>
    </row>
    <row r="655" spans="1:17">
      <c r="A655" s="2">
        <v>654</v>
      </c>
      <c r="B655" s="2" t="s">
        <v>2099</v>
      </c>
      <c r="C655" s="2" t="s">
        <v>2100</v>
      </c>
      <c r="D655" s="2" t="s">
        <v>888</v>
      </c>
      <c r="F655" s="2" t="str">
        <f>LOOKUP(D655,Sheet3!A$1:A$32,Sheet3!B$1:B$32)</f>
        <v>KOR</v>
      </c>
      <c r="G655" s="2" t="s">
        <v>2987</v>
      </c>
      <c r="H655" s="2" t="s">
        <v>48</v>
      </c>
      <c r="I655" s="2" t="str" cm="1">
        <f t="array" ref="I655">IFERROR(playerPoints($H655,$F655,$G655,I$1),"")</f>
        <v/>
      </c>
      <c r="J655" s="2" t="str" cm="1">
        <f t="array" ref="J655">IFERROR(playerPoints($H655,$F655,$G655,J$1),"")</f>
        <v/>
      </c>
      <c r="K655" s="2" t="str" cm="1">
        <f t="array" ref="K655">IFERROR(playerPoints($H655,$F655,$G655,K$1),"")</f>
        <v/>
      </c>
      <c r="L655" s="2" t="str" cm="1">
        <f t="array" ref="L655">IFERROR(playerPoints($H655,$F655,$G655,L$1),"")</f>
        <v/>
      </c>
      <c r="M655" s="2" t="str" cm="1">
        <f t="array" ref="M655">IFERROR(playerPoints($H655,$F655,$G655,M$1),"")</f>
        <v/>
      </c>
      <c r="N655" s="2" t="str" cm="1">
        <f t="array" ref="N655">IFERROR(playerPoints($H655,$F655,$G655,N$1),"")</f>
        <v/>
      </c>
      <c r="O655" s="2" t="str" cm="1">
        <f t="array" ref="O655">IFERROR(playerPoints($H655,$F655,$G655,O$1),"")</f>
        <v/>
      </c>
      <c r="Q655" s="2">
        <f t="shared" si="10"/>
        <v>0</v>
      </c>
    </row>
    <row r="656" spans="1:17">
      <c r="A656" s="2">
        <v>655</v>
      </c>
      <c r="B656" s="2" t="s">
        <v>2093</v>
      </c>
      <c r="C656" s="2" t="s">
        <v>2101</v>
      </c>
      <c r="D656" s="2" t="s">
        <v>888</v>
      </c>
      <c r="F656" s="2" t="str">
        <f>LOOKUP(D656,Sheet3!A$1:A$32,Sheet3!B$1:B$32)</f>
        <v>KOR</v>
      </c>
      <c r="G656" s="2" t="s">
        <v>2988</v>
      </c>
      <c r="H656" s="2" t="s">
        <v>48</v>
      </c>
      <c r="I656" s="2" t="str" cm="1">
        <f t="array" ref="I656">IFERROR(playerPoints($H656,$F656,$G656,I$1),"")</f>
        <v/>
      </c>
      <c r="J656" s="2" t="str" cm="1">
        <f t="array" ref="J656">IFERROR(playerPoints($H656,$F656,$G656,J$1),"")</f>
        <v/>
      </c>
      <c r="K656" s="2" t="str" cm="1">
        <f t="array" ref="K656">IFERROR(playerPoints($H656,$F656,$G656,K$1),"")</f>
        <v/>
      </c>
      <c r="L656" s="2" t="str" cm="1">
        <f t="array" ref="L656">IFERROR(playerPoints($H656,$F656,$G656,L$1),"")</f>
        <v/>
      </c>
      <c r="M656" s="2" t="str" cm="1">
        <f t="array" ref="M656">IFERROR(playerPoints($H656,$F656,$G656,M$1),"")</f>
        <v/>
      </c>
      <c r="N656" s="2" t="str" cm="1">
        <f t="array" ref="N656">IFERROR(playerPoints($H656,$F656,$G656,N$1),"")</f>
        <v/>
      </c>
      <c r="O656" s="2" t="str" cm="1">
        <f t="array" ref="O656">IFERROR(playerPoints($H656,$F656,$G656,O$1),"")</f>
        <v/>
      </c>
      <c r="Q656" s="2">
        <f t="shared" si="10"/>
        <v>0</v>
      </c>
    </row>
    <row r="657" spans="1:17">
      <c r="A657" s="2">
        <v>656</v>
      </c>
      <c r="B657" s="2" t="s">
        <v>2093</v>
      </c>
      <c r="C657" s="2" t="s">
        <v>2102</v>
      </c>
      <c r="D657" s="2" t="s">
        <v>888</v>
      </c>
      <c r="F657" s="2" t="str">
        <f>LOOKUP(D657,Sheet3!A$1:A$32,Sheet3!B$1:B$32)</f>
        <v>KOR</v>
      </c>
      <c r="G657" s="2" t="s">
        <v>2989</v>
      </c>
      <c r="H657" s="2" t="s">
        <v>48</v>
      </c>
      <c r="I657" s="2" t="str" cm="1">
        <f t="array" ref="I657">IFERROR(playerPoints($H657,$F657,$G657,I$1),"")</f>
        <v/>
      </c>
      <c r="J657" s="2" t="str" cm="1">
        <f t="array" ref="J657">IFERROR(playerPoints($H657,$F657,$G657,J$1),"")</f>
        <v/>
      </c>
      <c r="K657" s="2" t="str" cm="1">
        <f t="array" ref="K657">IFERROR(playerPoints($H657,$F657,$G657,K$1),"")</f>
        <v/>
      </c>
      <c r="L657" s="2" t="str" cm="1">
        <f t="array" ref="L657">IFERROR(playerPoints($H657,$F657,$G657,L$1),"")</f>
        <v/>
      </c>
      <c r="M657" s="2" t="str" cm="1">
        <f t="array" ref="M657">IFERROR(playerPoints($H657,$F657,$G657,M$1),"")</f>
        <v/>
      </c>
      <c r="N657" s="2" t="str" cm="1">
        <f t="array" ref="N657">IFERROR(playerPoints($H657,$F657,$G657,N$1),"")</f>
        <v/>
      </c>
      <c r="O657" s="2" t="str" cm="1">
        <f t="array" ref="O657">IFERROR(playerPoints($H657,$F657,$G657,O$1),"")</f>
        <v/>
      </c>
      <c r="Q657" s="2">
        <f t="shared" si="10"/>
        <v>0</v>
      </c>
    </row>
    <row r="658" spans="1:17">
      <c r="A658" s="2">
        <v>657</v>
      </c>
      <c r="B658" s="2" t="s">
        <v>2103</v>
      </c>
      <c r="C658" s="2" t="s">
        <v>2104</v>
      </c>
      <c r="D658" s="2" t="s">
        <v>888</v>
      </c>
      <c r="F658" s="2" t="str">
        <f>LOOKUP(D658,Sheet3!A$1:A$32,Sheet3!B$1:B$32)</f>
        <v>KOR</v>
      </c>
      <c r="G658" s="2" t="s">
        <v>2990</v>
      </c>
      <c r="H658" s="2" t="s">
        <v>48</v>
      </c>
      <c r="I658" s="2" t="str" cm="1">
        <f t="array" ref="I658">IFERROR(playerPoints($H658,$F658,$G658,I$1),"")</f>
        <v/>
      </c>
      <c r="J658" s="2" t="str" cm="1">
        <f t="array" ref="J658">IFERROR(playerPoints($H658,$F658,$G658,J$1),"")</f>
        <v/>
      </c>
      <c r="K658" s="2" t="str" cm="1">
        <f t="array" ref="K658">IFERROR(playerPoints($H658,$F658,$G658,K$1),"")</f>
        <v/>
      </c>
      <c r="L658" s="2" t="str" cm="1">
        <f t="array" ref="L658">IFERROR(playerPoints($H658,$F658,$G658,L$1),"")</f>
        <v/>
      </c>
      <c r="M658" s="2" t="str" cm="1">
        <f t="array" ref="M658">IFERROR(playerPoints($H658,$F658,$G658,M$1),"")</f>
        <v/>
      </c>
      <c r="N658" s="2" t="str" cm="1">
        <f t="array" ref="N658">IFERROR(playerPoints($H658,$F658,$G658,N$1),"")</f>
        <v/>
      </c>
      <c r="O658" s="2" t="str" cm="1">
        <f t="array" ref="O658">IFERROR(playerPoints($H658,$F658,$G658,O$1),"")</f>
        <v/>
      </c>
      <c r="Q658" s="2">
        <f t="shared" si="10"/>
        <v>0</v>
      </c>
    </row>
    <row r="659" spans="1:17">
      <c r="A659" s="2">
        <v>658</v>
      </c>
      <c r="B659" s="2" t="s">
        <v>2093</v>
      </c>
      <c r="C659" s="2" t="s">
        <v>2105</v>
      </c>
      <c r="D659" s="2" t="s">
        <v>888</v>
      </c>
      <c r="F659" s="2" t="str">
        <f>LOOKUP(D659,Sheet3!A$1:A$32,Sheet3!B$1:B$32)</f>
        <v>KOR</v>
      </c>
      <c r="G659" s="2" t="s">
        <v>2991</v>
      </c>
      <c r="H659" s="2" t="s">
        <v>48</v>
      </c>
      <c r="I659" s="2" t="str" cm="1">
        <f t="array" ref="I659">IFERROR(playerPoints($H659,$F659,$G659,I$1),"")</f>
        <v/>
      </c>
      <c r="J659" s="2" t="str" cm="1">
        <f t="array" ref="J659">IFERROR(playerPoints($H659,$F659,$G659,J$1),"")</f>
        <v/>
      </c>
      <c r="K659" s="2" t="str" cm="1">
        <f t="array" ref="K659">IFERROR(playerPoints($H659,$F659,$G659,K$1),"")</f>
        <v/>
      </c>
      <c r="L659" s="2" t="str" cm="1">
        <f t="array" ref="L659">IFERROR(playerPoints($H659,$F659,$G659,L$1),"")</f>
        <v/>
      </c>
      <c r="M659" s="2" t="str" cm="1">
        <f t="array" ref="M659">IFERROR(playerPoints($H659,$F659,$G659,M$1),"")</f>
        <v/>
      </c>
      <c r="N659" s="2" t="str" cm="1">
        <f t="array" ref="N659">IFERROR(playerPoints($H659,$F659,$G659,N$1),"")</f>
        <v/>
      </c>
      <c r="O659" s="2" t="str" cm="1">
        <f t="array" ref="O659">IFERROR(playerPoints($H659,$F659,$G659,O$1),"")</f>
        <v/>
      </c>
      <c r="Q659" s="2">
        <f t="shared" si="10"/>
        <v>0</v>
      </c>
    </row>
    <row r="660" spans="1:17">
      <c r="A660" s="2">
        <v>659</v>
      </c>
      <c r="B660" s="2" t="s">
        <v>2093</v>
      </c>
      <c r="C660" s="2" t="s">
        <v>2106</v>
      </c>
      <c r="D660" s="2" t="s">
        <v>888</v>
      </c>
      <c r="F660" s="2" t="str">
        <f>LOOKUP(D660,Sheet3!A$1:A$32,Sheet3!B$1:B$32)</f>
        <v>KOR</v>
      </c>
      <c r="G660" s="2" t="s">
        <v>2992</v>
      </c>
      <c r="H660" s="2" t="s">
        <v>48</v>
      </c>
      <c r="I660" s="2" t="str" cm="1">
        <f t="array" ref="I660">IFERROR(playerPoints($H660,$F660,$G660,I$1),"")</f>
        <v/>
      </c>
      <c r="J660" s="2" t="str" cm="1">
        <f t="array" ref="J660">IFERROR(playerPoints($H660,$F660,$G660,J$1),"")</f>
        <v/>
      </c>
      <c r="K660" s="2" t="str" cm="1">
        <f t="array" ref="K660">IFERROR(playerPoints($H660,$F660,$G660,K$1),"")</f>
        <v/>
      </c>
      <c r="L660" s="2" t="str" cm="1">
        <f t="array" ref="L660">IFERROR(playerPoints($H660,$F660,$G660,L$1),"")</f>
        <v/>
      </c>
      <c r="M660" s="2" t="str" cm="1">
        <f t="array" ref="M660">IFERROR(playerPoints($H660,$F660,$G660,M$1),"")</f>
        <v/>
      </c>
      <c r="N660" s="2" t="str" cm="1">
        <f t="array" ref="N660">IFERROR(playerPoints($H660,$F660,$G660,N$1),"")</f>
        <v/>
      </c>
      <c r="O660" s="2" t="str" cm="1">
        <f t="array" ref="O660">IFERROR(playerPoints($H660,$F660,$G660,O$1),"")</f>
        <v/>
      </c>
      <c r="Q660" s="2">
        <f t="shared" si="10"/>
        <v>0</v>
      </c>
    </row>
    <row r="661" spans="1:17">
      <c r="A661" s="2">
        <v>660</v>
      </c>
      <c r="B661" s="2" t="s">
        <v>2107</v>
      </c>
      <c r="C661" s="2" t="s">
        <v>2108</v>
      </c>
      <c r="D661" s="2" t="s">
        <v>888</v>
      </c>
      <c r="F661" s="2" t="str">
        <f>LOOKUP(D661,Sheet3!A$1:A$32,Sheet3!B$1:B$32)</f>
        <v>KOR</v>
      </c>
      <c r="G661" s="2" t="s">
        <v>2993</v>
      </c>
      <c r="H661" s="2" t="s">
        <v>48</v>
      </c>
      <c r="I661" s="2" t="str" cm="1">
        <f t="array" ref="I661">IFERROR(playerPoints($H661,$F661,$G661,I$1),"")</f>
        <v/>
      </c>
      <c r="J661" s="2" t="str" cm="1">
        <f t="array" ref="J661">IFERROR(playerPoints($H661,$F661,$G661,J$1),"")</f>
        <v/>
      </c>
      <c r="K661" s="2" t="str" cm="1">
        <f t="array" ref="K661">IFERROR(playerPoints($H661,$F661,$G661,K$1),"")</f>
        <v/>
      </c>
      <c r="L661" s="2" t="str" cm="1">
        <f t="array" ref="L661">IFERROR(playerPoints($H661,$F661,$G661,L$1),"")</f>
        <v/>
      </c>
      <c r="M661" s="2" t="str" cm="1">
        <f t="array" ref="M661">IFERROR(playerPoints($H661,$F661,$G661,M$1),"")</f>
        <v/>
      </c>
      <c r="N661" s="2" t="str" cm="1">
        <f t="array" ref="N661">IFERROR(playerPoints($H661,$F661,$G661,N$1),"")</f>
        <v/>
      </c>
      <c r="O661" s="2" t="str" cm="1">
        <f t="array" ref="O661">IFERROR(playerPoints($H661,$F661,$G661,O$1),"")</f>
        <v/>
      </c>
      <c r="Q661" s="2">
        <f t="shared" si="10"/>
        <v>0</v>
      </c>
    </row>
    <row r="662" spans="1:17">
      <c r="A662" s="2">
        <v>661</v>
      </c>
      <c r="B662" s="2" t="s">
        <v>2093</v>
      </c>
      <c r="C662" s="2" t="s">
        <v>2109</v>
      </c>
      <c r="D662" s="2" t="s">
        <v>888</v>
      </c>
      <c r="F662" s="2" t="str">
        <f>LOOKUP(D662,Sheet3!A$1:A$32,Sheet3!B$1:B$32)</f>
        <v>KOR</v>
      </c>
      <c r="G662" s="2" t="s">
        <v>2994</v>
      </c>
      <c r="H662" s="2" t="s">
        <v>48</v>
      </c>
      <c r="I662" s="2" t="str" cm="1">
        <f t="array" ref="I662">IFERROR(playerPoints($H662,$F662,$G662,I$1),"")</f>
        <v/>
      </c>
      <c r="J662" s="2" t="str" cm="1">
        <f t="array" ref="J662">IFERROR(playerPoints($H662,$F662,$G662,J$1),"")</f>
        <v/>
      </c>
      <c r="K662" s="2" t="str" cm="1">
        <f t="array" ref="K662">IFERROR(playerPoints($H662,$F662,$G662,K$1),"")</f>
        <v/>
      </c>
      <c r="L662" s="2" t="str" cm="1">
        <f t="array" ref="L662">IFERROR(playerPoints($H662,$F662,$G662,L$1),"")</f>
        <v/>
      </c>
      <c r="M662" s="2" t="str" cm="1">
        <f t="array" ref="M662">IFERROR(playerPoints($H662,$F662,$G662,M$1),"")</f>
        <v/>
      </c>
      <c r="N662" s="2" t="str" cm="1">
        <f t="array" ref="N662">IFERROR(playerPoints($H662,$F662,$G662,N$1),"")</f>
        <v/>
      </c>
      <c r="O662" s="2" t="str" cm="1">
        <f t="array" ref="O662">IFERROR(playerPoints($H662,$F662,$G662,O$1),"")</f>
        <v/>
      </c>
      <c r="Q662" s="2">
        <f t="shared" si="10"/>
        <v>0</v>
      </c>
    </row>
    <row r="663" spans="1:17">
      <c r="A663" s="2">
        <v>662</v>
      </c>
      <c r="B663" s="2" t="s">
        <v>2110</v>
      </c>
      <c r="C663" s="2" t="s">
        <v>2111</v>
      </c>
      <c r="D663" s="2" t="s">
        <v>888</v>
      </c>
      <c r="F663" s="2" t="str">
        <f>LOOKUP(D663,Sheet3!A$1:A$32,Sheet3!B$1:B$32)</f>
        <v>KOR</v>
      </c>
      <c r="G663" s="2" t="s">
        <v>2995</v>
      </c>
      <c r="H663" s="2" t="s">
        <v>48</v>
      </c>
      <c r="I663" s="2" t="str" cm="1">
        <f t="array" ref="I663">IFERROR(playerPoints($H663,$F663,$G663,I$1),"")</f>
        <v/>
      </c>
      <c r="J663" s="2" t="str" cm="1">
        <f t="array" ref="J663">IFERROR(playerPoints($H663,$F663,$G663,J$1),"")</f>
        <v/>
      </c>
      <c r="K663" s="2" t="str" cm="1">
        <f t="array" ref="K663">IFERROR(playerPoints($H663,$F663,$G663,K$1),"")</f>
        <v/>
      </c>
      <c r="L663" s="2" t="str" cm="1">
        <f t="array" ref="L663">IFERROR(playerPoints($H663,$F663,$G663,L$1),"")</f>
        <v/>
      </c>
      <c r="M663" s="2" t="str" cm="1">
        <f t="array" ref="M663">IFERROR(playerPoints($H663,$F663,$G663,M$1),"")</f>
        <v/>
      </c>
      <c r="N663" s="2" t="str" cm="1">
        <f t="array" ref="N663">IFERROR(playerPoints($H663,$F663,$G663,N$1),"")</f>
        <v/>
      </c>
      <c r="O663" s="2" t="str" cm="1">
        <f t="array" ref="O663">IFERROR(playerPoints($H663,$F663,$G663,O$1),"")</f>
        <v/>
      </c>
      <c r="Q663" s="2">
        <f t="shared" si="10"/>
        <v>0</v>
      </c>
    </row>
    <row r="664" spans="1:17">
      <c r="A664" s="2">
        <v>663</v>
      </c>
      <c r="B664" s="2" t="s">
        <v>2112</v>
      </c>
      <c r="C664" s="2" t="s">
        <v>2113</v>
      </c>
      <c r="D664" s="2" t="s">
        <v>888</v>
      </c>
      <c r="F664" s="2" t="str">
        <f>LOOKUP(D664,Sheet3!A$1:A$32,Sheet3!B$1:B$32)</f>
        <v>KOR</v>
      </c>
      <c r="G664" s="2" t="s">
        <v>2996</v>
      </c>
      <c r="H664" s="2" t="s">
        <v>57</v>
      </c>
      <c r="I664" s="2" t="str" cm="1">
        <f t="array" ref="I664">IFERROR(playerPoints($H664,$F664,$G664,I$1),"")</f>
        <v/>
      </c>
      <c r="J664" s="2" t="str" cm="1">
        <f t="array" ref="J664">IFERROR(playerPoints($H664,$F664,$G664,J$1),"")</f>
        <v/>
      </c>
      <c r="K664" s="2" t="str" cm="1">
        <f t="array" ref="K664">IFERROR(playerPoints($H664,$F664,$G664,K$1),"")</f>
        <v/>
      </c>
      <c r="L664" s="2" t="str" cm="1">
        <f t="array" ref="L664">IFERROR(playerPoints($H664,$F664,$G664,L$1),"")</f>
        <v/>
      </c>
      <c r="M664" s="2" t="str" cm="1">
        <f t="array" ref="M664">IFERROR(playerPoints($H664,$F664,$G664,M$1),"")</f>
        <v/>
      </c>
      <c r="N664" s="2" t="str" cm="1">
        <f t="array" ref="N664">IFERROR(playerPoints($H664,$F664,$G664,N$1),"")</f>
        <v/>
      </c>
      <c r="O664" s="2" t="str" cm="1">
        <f t="array" ref="O664">IFERROR(playerPoints($H664,$F664,$G664,O$1),"")</f>
        <v/>
      </c>
      <c r="Q664" s="2">
        <f t="shared" si="10"/>
        <v>0</v>
      </c>
    </row>
    <row r="665" spans="1:17">
      <c r="A665" s="2">
        <v>664</v>
      </c>
      <c r="B665" s="2" t="s">
        <v>2114</v>
      </c>
      <c r="C665" s="2" t="s">
        <v>2115</v>
      </c>
      <c r="D665" s="2" t="s">
        <v>888</v>
      </c>
      <c r="F665" s="2" t="str">
        <f>LOOKUP(D665,Sheet3!A$1:A$32,Sheet3!B$1:B$32)</f>
        <v>KOR</v>
      </c>
      <c r="G665" s="2" t="s">
        <v>2997</v>
      </c>
      <c r="H665" s="2" t="s">
        <v>57</v>
      </c>
      <c r="I665" s="2" t="str" cm="1">
        <f t="array" ref="I665">IFERROR(playerPoints($H665,$F665,$G665,I$1),"")</f>
        <v/>
      </c>
      <c r="J665" s="2" t="str" cm="1">
        <f t="array" ref="J665">IFERROR(playerPoints($H665,$F665,$G665,J$1),"")</f>
        <v/>
      </c>
      <c r="K665" s="2" t="str" cm="1">
        <f t="array" ref="K665">IFERROR(playerPoints($H665,$F665,$G665,K$1),"")</f>
        <v/>
      </c>
      <c r="L665" s="2" t="str" cm="1">
        <f t="array" ref="L665">IFERROR(playerPoints($H665,$F665,$G665,L$1),"")</f>
        <v/>
      </c>
      <c r="M665" s="2" t="str" cm="1">
        <f t="array" ref="M665">IFERROR(playerPoints($H665,$F665,$G665,M$1),"")</f>
        <v/>
      </c>
      <c r="N665" s="2" t="str" cm="1">
        <f t="array" ref="N665">IFERROR(playerPoints($H665,$F665,$G665,N$1),"")</f>
        <v/>
      </c>
      <c r="O665" s="2" t="str" cm="1">
        <f t="array" ref="O665">IFERROR(playerPoints($H665,$F665,$G665,O$1),"")</f>
        <v/>
      </c>
      <c r="Q665" s="2">
        <f t="shared" si="10"/>
        <v>0</v>
      </c>
    </row>
    <row r="666" spans="1:17">
      <c r="A666" s="2">
        <v>665</v>
      </c>
      <c r="B666" s="2" t="s">
        <v>2116</v>
      </c>
      <c r="C666" s="2" t="s">
        <v>2117</v>
      </c>
      <c r="D666" s="2" t="s">
        <v>888</v>
      </c>
      <c r="F666" s="2" t="str">
        <f>LOOKUP(D666,Sheet3!A$1:A$32,Sheet3!B$1:B$32)</f>
        <v>KOR</v>
      </c>
      <c r="G666" s="2" t="s">
        <v>2998</v>
      </c>
      <c r="H666" s="2" t="s">
        <v>57</v>
      </c>
      <c r="I666" s="2" t="str" cm="1">
        <f t="array" ref="I666">IFERROR(playerPoints($H666,$F666,$G666,I$1),"")</f>
        <v/>
      </c>
      <c r="J666" s="2" t="str" cm="1">
        <f t="array" ref="J666">IFERROR(playerPoints($H666,$F666,$G666,J$1),"")</f>
        <v/>
      </c>
      <c r="K666" s="2" t="str" cm="1">
        <f t="array" ref="K666">IFERROR(playerPoints($H666,$F666,$G666,K$1),"")</f>
        <v/>
      </c>
      <c r="L666" s="2" t="str" cm="1">
        <f t="array" ref="L666">IFERROR(playerPoints($H666,$F666,$G666,L$1),"")</f>
        <v/>
      </c>
      <c r="M666" s="2" t="str" cm="1">
        <f t="array" ref="M666">IFERROR(playerPoints($H666,$F666,$G666,M$1),"")</f>
        <v/>
      </c>
      <c r="N666" s="2" t="str" cm="1">
        <f t="array" ref="N666">IFERROR(playerPoints($H666,$F666,$G666,N$1),"")</f>
        <v/>
      </c>
      <c r="O666" s="2" t="str" cm="1">
        <f t="array" ref="O666">IFERROR(playerPoints($H666,$F666,$G666,O$1),"")</f>
        <v/>
      </c>
      <c r="Q666" s="2">
        <f t="shared" si="10"/>
        <v>0</v>
      </c>
    </row>
    <row r="667" spans="1:17">
      <c r="A667" s="2">
        <v>666</v>
      </c>
      <c r="B667" s="2" t="s">
        <v>2118</v>
      </c>
      <c r="C667" s="2" t="s">
        <v>2119</v>
      </c>
      <c r="D667" s="2" t="s">
        <v>888</v>
      </c>
      <c r="F667" s="2" t="str">
        <f>LOOKUP(D667,Sheet3!A$1:A$32,Sheet3!B$1:B$32)</f>
        <v>KOR</v>
      </c>
      <c r="G667" s="2" t="s">
        <v>2999</v>
      </c>
      <c r="H667" s="2" t="s">
        <v>57</v>
      </c>
      <c r="I667" s="2" t="str" cm="1">
        <f t="array" ref="I667">IFERROR(playerPoints($H667,$F667,$G667,I$1),"")</f>
        <v/>
      </c>
      <c r="J667" s="2" t="str" cm="1">
        <f t="array" ref="J667">IFERROR(playerPoints($H667,$F667,$G667,J$1),"")</f>
        <v/>
      </c>
      <c r="K667" s="2" t="str" cm="1">
        <f t="array" ref="K667">IFERROR(playerPoints($H667,$F667,$G667,K$1),"")</f>
        <v/>
      </c>
      <c r="L667" s="2" t="str" cm="1">
        <f t="array" ref="L667">IFERROR(playerPoints($H667,$F667,$G667,L$1),"")</f>
        <v/>
      </c>
      <c r="M667" s="2" t="str" cm="1">
        <f t="array" ref="M667">IFERROR(playerPoints($H667,$F667,$G667,M$1),"")</f>
        <v/>
      </c>
      <c r="N667" s="2" t="str" cm="1">
        <f t="array" ref="N667">IFERROR(playerPoints($H667,$F667,$G667,N$1),"")</f>
        <v/>
      </c>
      <c r="O667" s="2" t="str" cm="1">
        <f t="array" ref="O667">IFERROR(playerPoints($H667,$F667,$G667,O$1),"")</f>
        <v/>
      </c>
      <c r="Q667" s="2">
        <f t="shared" si="10"/>
        <v>0</v>
      </c>
    </row>
    <row r="668" spans="1:17">
      <c r="A668" s="2">
        <v>667</v>
      </c>
      <c r="B668" s="2" t="s">
        <v>2120</v>
      </c>
      <c r="C668" s="2" t="s">
        <v>2121</v>
      </c>
      <c r="D668" s="2" t="s">
        <v>888</v>
      </c>
      <c r="F668" s="2" t="str">
        <f>LOOKUP(D668,Sheet3!A$1:A$32,Sheet3!B$1:B$32)</f>
        <v>KOR</v>
      </c>
      <c r="G668" s="2" t="s">
        <v>3000</v>
      </c>
      <c r="H668" s="2" t="s">
        <v>57</v>
      </c>
      <c r="I668" s="2" t="str" cm="1">
        <f t="array" ref="I668">IFERROR(playerPoints($H668,$F668,$G668,I$1),"")</f>
        <v/>
      </c>
      <c r="J668" s="2" t="str" cm="1">
        <f t="array" ref="J668">IFERROR(playerPoints($H668,$F668,$G668,J$1),"")</f>
        <v/>
      </c>
      <c r="K668" s="2" t="str" cm="1">
        <f t="array" ref="K668">IFERROR(playerPoints($H668,$F668,$G668,K$1),"")</f>
        <v/>
      </c>
      <c r="L668" s="2" t="str" cm="1">
        <f t="array" ref="L668">IFERROR(playerPoints($H668,$F668,$G668,L$1),"")</f>
        <v/>
      </c>
      <c r="M668" s="2" t="str" cm="1">
        <f t="array" ref="M668">IFERROR(playerPoints($H668,$F668,$G668,M$1),"")</f>
        <v/>
      </c>
      <c r="N668" s="2" t="str" cm="1">
        <f t="array" ref="N668">IFERROR(playerPoints($H668,$F668,$G668,N$1),"")</f>
        <v/>
      </c>
      <c r="O668" s="2" t="str" cm="1">
        <f t="array" ref="O668">IFERROR(playerPoints($H668,$F668,$G668,O$1),"")</f>
        <v/>
      </c>
      <c r="Q668" s="2">
        <f t="shared" si="10"/>
        <v>0</v>
      </c>
    </row>
    <row r="669" spans="1:17">
      <c r="A669" s="2">
        <v>668</v>
      </c>
      <c r="B669" s="2" t="s">
        <v>2118</v>
      </c>
      <c r="C669" s="2" t="s">
        <v>2122</v>
      </c>
      <c r="D669" s="2" t="s">
        <v>888</v>
      </c>
      <c r="F669" s="2" t="str">
        <f>LOOKUP(D669,Sheet3!A$1:A$32,Sheet3!B$1:B$32)</f>
        <v>KOR</v>
      </c>
      <c r="G669" s="2" t="s">
        <v>3001</v>
      </c>
      <c r="H669" s="2" t="s">
        <v>57</v>
      </c>
      <c r="I669" s="2" t="str" cm="1">
        <f t="array" ref="I669">IFERROR(playerPoints($H669,$F669,$G669,I$1),"")</f>
        <v/>
      </c>
      <c r="J669" s="2" t="str" cm="1">
        <f t="array" ref="J669">IFERROR(playerPoints($H669,$F669,$G669,J$1),"")</f>
        <v/>
      </c>
      <c r="K669" s="2" t="str" cm="1">
        <f t="array" ref="K669">IFERROR(playerPoints($H669,$F669,$G669,K$1),"")</f>
        <v/>
      </c>
      <c r="L669" s="2" t="str" cm="1">
        <f t="array" ref="L669">IFERROR(playerPoints($H669,$F669,$G669,L$1),"")</f>
        <v/>
      </c>
      <c r="M669" s="2" t="str" cm="1">
        <f t="array" ref="M669">IFERROR(playerPoints($H669,$F669,$G669,M$1),"")</f>
        <v/>
      </c>
      <c r="N669" s="2" t="str" cm="1">
        <f t="array" ref="N669">IFERROR(playerPoints($H669,$F669,$G669,N$1),"")</f>
        <v/>
      </c>
      <c r="O669" s="2" t="str" cm="1">
        <f t="array" ref="O669">IFERROR(playerPoints($H669,$F669,$G669,O$1),"")</f>
        <v/>
      </c>
      <c r="Q669" s="2">
        <f t="shared" si="10"/>
        <v>0</v>
      </c>
    </row>
    <row r="670" spans="1:17">
      <c r="A670" s="2">
        <v>669</v>
      </c>
      <c r="B670" s="2" t="s">
        <v>2107</v>
      </c>
      <c r="C670" s="2" t="s">
        <v>2123</v>
      </c>
      <c r="D670" s="2" t="s">
        <v>888</v>
      </c>
      <c r="F670" s="2" t="str">
        <f>LOOKUP(D670,Sheet3!A$1:A$32,Sheet3!B$1:B$32)</f>
        <v>KOR</v>
      </c>
      <c r="G670" s="2" t="s">
        <v>3002</v>
      </c>
      <c r="H670" s="2" t="s">
        <v>57</v>
      </c>
      <c r="I670" s="2" t="str" cm="1">
        <f t="array" ref="I670">IFERROR(playerPoints($H670,$F670,$G670,I$1),"")</f>
        <v/>
      </c>
      <c r="J670" s="2" t="str" cm="1">
        <f t="array" ref="J670">IFERROR(playerPoints($H670,$F670,$G670,J$1),"")</f>
        <v/>
      </c>
      <c r="K670" s="2" t="str" cm="1">
        <f t="array" ref="K670">IFERROR(playerPoints($H670,$F670,$G670,K$1),"")</f>
        <v/>
      </c>
      <c r="L670" s="2" t="str" cm="1">
        <f t="array" ref="L670">IFERROR(playerPoints($H670,$F670,$G670,L$1),"")</f>
        <v/>
      </c>
      <c r="M670" s="2" t="str" cm="1">
        <f t="array" ref="M670">IFERROR(playerPoints($H670,$F670,$G670,M$1),"")</f>
        <v/>
      </c>
      <c r="N670" s="2" t="str" cm="1">
        <f t="array" ref="N670">IFERROR(playerPoints($H670,$F670,$G670,N$1),"")</f>
        <v/>
      </c>
      <c r="O670" s="2" t="str" cm="1">
        <f t="array" ref="O670">IFERROR(playerPoints($H670,$F670,$G670,O$1),"")</f>
        <v/>
      </c>
      <c r="Q670" s="2">
        <f t="shared" si="10"/>
        <v>0</v>
      </c>
    </row>
    <row r="671" spans="1:17">
      <c r="A671" s="2">
        <v>670</v>
      </c>
      <c r="B671" s="2" t="s">
        <v>2124</v>
      </c>
      <c r="C671" s="2" t="s">
        <v>2125</v>
      </c>
      <c r="D671" s="2" t="s">
        <v>888</v>
      </c>
      <c r="F671" s="2" t="str">
        <f>LOOKUP(D671,Sheet3!A$1:A$32,Sheet3!B$1:B$32)</f>
        <v>KOR</v>
      </c>
      <c r="G671" s="2" t="s">
        <v>3003</v>
      </c>
      <c r="H671" s="2" t="s">
        <v>57</v>
      </c>
      <c r="I671" s="2" t="str" cm="1">
        <f t="array" ref="I671">IFERROR(playerPoints($H671,$F671,$G671,I$1),"")</f>
        <v/>
      </c>
      <c r="J671" s="2" t="str" cm="1">
        <f t="array" ref="J671">IFERROR(playerPoints($H671,$F671,$G671,J$1),"")</f>
        <v/>
      </c>
      <c r="K671" s="2" t="str" cm="1">
        <f t="array" ref="K671">IFERROR(playerPoints($H671,$F671,$G671,K$1),"")</f>
        <v/>
      </c>
      <c r="L671" s="2" t="str" cm="1">
        <f t="array" ref="L671">IFERROR(playerPoints($H671,$F671,$G671,L$1),"")</f>
        <v/>
      </c>
      <c r="M671" s="2" t="str" cm="1">
        <f t="array" ref="M671">IFERROR(playerPoints($H671,$F671,$G671,M$1),"")</f>
        <v/>
      </c>
      <c r="N671" s="2" t="str" cm="1">
        <f t="array" ref="N671">IFERROR(playerPoints($H671,$F671,$G671,N$1),"")</f>
        <v/>
      </c>
      <c r="O671" s="2" t="str" cm="1">
        <f t="array" ref="O671">IFERROR(playerPoints($H671,$F671,$G671,O$1),"")</f>
        <v/>
      </c>
      <c r="Q671" s="2">
        <f t="shared" si="10"/>
        <v>0</v>
      </c>
    </row>
    <row r="672" spans="1:17">
      <c r="A672" s="2">
        <v>671</v>
      </c>
      <c r="B672" s="2" t="s">
        <v>2120</v>
      </c>
      <c r="C672" s="2" t="s">
        <v>2126</v>
      </c>
      <c r="D672" s="2" t="s">
        <v>888</v>
      </c>
      <c r="F672" s="2" t="str">
        <f>LOOKUP(D672,Sheet3!A$1:A$32,Sheet3!B$1:B$32)</f>
        <v>KOR</v>
      </c>
      <c r="G672" s="2" t="s">
        <v>3004</v>
      </c>
      <c r="H672" s="2" t="s">
        <v>66</v>
      </c>
      <c r="I672" s="2" t="str" cm="1">
        <f t="array" ref="I672">IFERROR(playerPoints($H672,$F672,$G672,I$1),"")</f>
        <v/>
      </c>
      <c r="J672" s="2" t="str" cm="1">
        <f t="array" ref="J672">IFERROR(playerPoints($H672,$F672,$G672,J$1),"")</f>
        <v/>
      </c>
      <c r="K672" s="2" t="str" cm="1">
        <f t="array" ref="K672">IFERROR(playerPoints($H672,$F672,$G672,K$1),"")</f>
        <v/>
      </c>
      <c r="L672" s="2" t="str" cm="1">
        <f t="array" ref="L672">IFERROR(playerPoints($H672,$F672,$G672,L$1),"")</f>
        <v/>
      </c>
      <c r="M672" s="2" t="str" cm="1">
        <f t="array" ref="M672">IFERROR(playerPoints($H672,$F672,$G672,M$1),"")</f>
        <v/>
      </c>
      <c r="N672" s="2" t="str" cm="1">
        <f t="array" ref="N672">IFERROR(playerPoints($H672,$F672,$G672,N$1),"")</f>
        <v/>
      </c>
      <c r="O672" s="2" t="str" cm="1">
        <f t="array" ref="O672">IFERROR(playerPoints($H672,$F672,$G672,O$1),"")</f>
        <v/>
      </c>
      <c r="Q672" s="2">
        <f t="shared" si="10"/>
        <v>0</v>
      </c>
    </row>
    <row r="673" spans="1:17">
      <c r="A673" s="2">
        <v>672</v>
      </c>
      <c r="B673" s="2" t="s">
        <v>2110</v>
      </c>
      <c r="C673" s="2" t="s">
        <v>2127</v>
      </c>
      <c r="D673" s="2" t="s">
        <v>888</v>
      </c>
      <c r="F673" s="2" t="str">
        <f>LOOKUP(D673,Sheet3!A$1:A$32,Sheet3!B$1:B$32)</f>
        <v>KOR</v>
      </c>
      <c r="G673" s="2" t="s">
        <v>3005</v>
      </c>
      <c r="H673" s="2" t="s">
        <v>66</v>
      </c>
      <c r="I673" s="2" t="str" cm="1">
        <f t="array" ref="I673">IFERROR(playerPoints($H673,$F673,$G673,I$1),"")</f>
        <v/>
      </c>
      <c r="J673" s="2" t="str" cm="1">
        <f t="array" ref="J673">IFERROR(playerPoints($H673,$F673,$G673,J$1),"")</f>
        <v/>
      </c>
      <c r="K673" s="2" t="str" cm="1">
        <f t="array" ref="K673">IFERROR(playerPoints($H673,$F673,$G673,K$1),"")</f>
        <v/>
      </c>
      <c r="L673" s="2" t="str" cm="1">
        <f t="array" ref="L673">IFERROR(playerPoints($H673,$F673,$G673,L$1),"")</f>
        <v/>
      </c>
      <c r="M673" s="2" t="str" cm="1">
        <f t="array" ref="M673">IFERROR(playerPoints($H673,$F673,$G673,M$1),"")</f>
        <v/>
      </c>
      <c r="N673" s="2" t="str" cm="1">
        <f t="array" ref="N673">IFERROR(playerPoints($H673,$F673,$G673,N$1),"")</f>
        <v/>
      </c>
      <c r="O673" s="2" t="str" cm="1">
        <f t="array" ref="O673">IFERROR(playerPoints($H673,$F673,$G673,O$1),"")</f>
        <v/>
      </c>
      <c r="Q673" s="2">
        <f t="shared" si="10"/>
        <v>0</v>
      </c>
    </row>
    <row r="674" spans="1:17">
      <c r="A674" s="2">
        <v>673</v>
      </c>
      <c r="B674" s="2" t="s">
        <v>2114</v>
      </c>
      <c r="C674" s="2" t="s">
        <v>2128</v>
      </c>
      <c r="D674" s="2" t="s">
        <v>888</v>
      </c>
      <c r="F674" s="2" t="str">
        <f>LOOKUP(D674,Sheet3!A$1:A$32,Sheet3!B$1:B$32)</f>
        <v>KOR</v>
      </c>
      <c r="G674" s="2" t="s">
        <v>3006</v>
      </c>
      <c r="H674" s="2" t="s">
        <v>66</v>
      </c>
      <c r="I674" s="2" t="str" cm="1">
        <f t="array" ref="I674">IFERROR(playerPoints($H674,$F674,$G674,I$1),"")</f>
        <v/>
      </c>
      <c r="J674" s="2" t="str" cm="1">
        <f t="array" ref="J674">IFERROR(playerPoints($H674,$F674,$G674,J$1),"")</f>
        <v/>
      </c>
      <c r="K674" s="2" t="str" cm="1">
        <f t="array" ref="K674">IFERROR(playerPoints($H674,$F674,$G674,K$1),"")</f>
        <v/>
      </c>
      <c r="L674" s="2" t="str" cm="1">
        <f t="array" ref="L674">IFERROR(playerPoints($H674,$F674,$G674,L$1),"")</f>
        <v/>
      </c>
      <c r="M674" s="2" t="str" cm="1">
        <f t="array" ref="M674">IFERROR(playerPoints($H674,$F674,$G674,M$1),"")</f>
        <v/>
      </c>
      <c r="N674" s="2" t="str" cm="1">
        <f t="array" ref="N674">IFERROR(playerPoints($H674,$F674,$G674,N$1),"")</f>
        <v/>
      </c>
      <c r="O674" s="2" t="str" cm="1">
        <f t="array" ref="O674">IFERROR(playerPoints($H674,$F674,$G674,O$1),"")</f>
        <v/>
      </c>
      <c r="Q674" s="2">
        <f t="shared" si="10"/>
        <v>0</v>
      </c>
    </row>
    <row r="675" spans="1:17">
      <c r="A675" s="2">
        <v>674</v>
      </c>
      <c r="B675" s="2" t="s">
        <v>2114</v>
      </c>
      <c r="C675" s="2" t="s">
        <v>2129</v>
      </c>
      <c r="D675" s="2" t="s">
        <v>888</v>
      </c>
      <c r="F675" s="2" t="str">
        <f>LOOKUP(D675,Sheet3!A$1:A$32,Sheet3!B$1:B$32)</f>
        <v>KOR</v>
      </c>
      <c r="G675" s="2" t="s">
        <v>3007</v>
      </c>
      <c r="H675" s="2" t="s">
        <v>66</v>
      </c>
      <c r="I675" s="2" t="str" cm="1">
        <f t="array" ref="I675">IFERROR(playerPoints($H675,$F675,$G675,I$1),"")</f>
        <v/>
      </c>
      <c r="J675" s="2" t="str" cm="1">
        <f t="array" ref="J675">IFERROR(playerPoints($H675,$F675,$G675,J$1),"")</f>
        <v/>
      </c>
      <c r="K675" s="2" t="str" cm="1">
        <f t="array" ref="K675">IFERROR(playerPoints($H675,$F675,$G675,K$1),"")</f>
        <v/>
      </c>
      <c r="L675" s="2" t="str" cm="1">
        <f t="array" ref="L675">IFERROR(playerPoints($H675,$F675,$G675,L$1),"")</f>
        <v/>
      </c>
      <c r="M675" s="2" t="str" cm="1">
        <f t="array" ref="M675">IFERROR(playerPoints($H675,$F675,$G675,M$1),"")</f>
        <v/>
      </c>
      <c r="N675" s="2" t="str" cm="1">
        <f t="array" ref="N675">IFERROR(playerPoints($H675,$F675,$G675,N$1),"")</f>
        <v/>
      </c>
      <c r="O675" s="2" t="str" cm="1">
        <f t="array" ref="O675">IFERROR(playerPoints($H675,$F675,$G675,O$1),"")</f>
        <v/>
      </c>
      <c r="Q675" s="2">
        <f t="shared" si="10"/>
        <v>0</v>
      </c>
    </row>
    <row r="676" spans="1:17">
      <c r="A676" s="2">
        <v>675</v>
      </c>
      <c r="B676" s="2" t="s">
        <v>2130</v>
      </c>
      <c r="C676" s="2" t="s">
        <v>2131</v>
      </c>
      <c r="D676" s="2" t="s">
        <v>888</v>
      </c>
      <c r="F676" s="2" t="str">
        <f>LOOKUP(D676,Sheet3!A$1:A$32,Sheet3!B$1:B$32)</f>
        <v>KOR</v>
      </c>
      <c r="G676" s="2" t="s">
        <v>3008</v>
      </c>
      <c r="H676" s="2" t="s">
        <v>66</v>
      </c>
      <c r="I676" s="2" t="str" cm="1">
        <f t="array" ref="I676">IFERROR(playerPoints($H676,$F676,$G676,I$1),"")</f>
        <v/>
      </c>
      <c r="J676" s="2" t="str" cm="1">
        <f t="array" ref="J676">IFERROR(playerPoints($H676,$F676,$G676,J$1),"")</f>
        <v/>
      </c>
      <c r="K676" s="2" t="str" cm="1">
        <f t="array" ref="K676">IFERROR(playerPoints($H676,$F676,$G676,K$1),"")</f>
        <v/>
      </c>
      <c r="L676" s="2" t="str" cm="1">
        <f t="array" ref="L676">IFERROR(playerPoints($H676,$F676,$G676,L$1),"")</f>
        <v/>
      </c>
      <c r="M676" s="2" t="str" cm="1">
        <f t="array" ref="M676">IFERROR(playerPoints($H676,$F676,$G676,M$1),"")</f>
        <v/>
      </c>
      <c r="N676" s="2" t="str" cm="1">
        <f t="array" ref="N676">IFERROR(playerPoints($H676,$F676,$G676,N$1),"")</f>
        <v/>
      </c>
      <c r="O676" s="2" t="str" cm="1">
        <f t="array" ref="O676">IFERROR(playerPoints($H676,$F676,$G676,O$1),"")</f>
        <v/>
      </c>
      <c r="Q676" s="2">
        <f t="shared" si="10"/>
        <v>0</v>
      </c>
    </row>
    <row r="677" spans="1:17">
      <c r="A677" s="2">
        <v>676</v>
      </c>
      <c r="B677" s="2" t="s">
        <v>2095</v>
      </c>
      <c r="C677" s="2" t="s">
        <v>2132</v>
      </c>
      <c r="D677" s="2" t="s">
        <v>888</v>
      </c>
      <c r="F677" s="2" t="str">
        <f>LOOKUP(D677,Sheet3!A$1:A$32,Sheet3!B$1:B$32)</f>
        <v>KOR</v>
      </c>
      <c r="G677" s="2" t="s">
        <v>3009</v>
      </c>
      <c r="H677" s="2" t="s">
        <v>66</v>
      </c>
      <c r="I677" s="2" t="str" cm="1">
        <f t="array" ref="I677">IFERROR(playerPoints($H677,$F677,$G677,I$1),"")</f>
        <v/>
      </c>
      <c r="J677" s="2" t="str" cm="1">
        <f t="array" ref="J677">IFERROR(playerPoints($H677,$F677,$G677,J$1),"")</f>
        <v/>
      </c>
      <c r="K677" s="2" t="str" cm="1">
        <f t="array" ref="K677">IFERROR(playerPoints($H677,$F677,$G677,K$1),"")</f>
        <v/>
      </c>
      <c r="L677" s="2" t="str" cm="1">
        <f t="array" ref="L677">IFERROR(playerPoints($H677,$F677,$G677,L$1),"")</f>
        <v/>
      </c>
      <c r="M677" s="2" t="str" cm="1">
        <f t="array" ref="M677">IFERROR(playerPoints($H677,$F677,$G677,M$1),"")</f>
        <v/>
      </c>
      <c r="N677" s="2" t="str" cm="1">
        <f t="array" ref="N677">IFERROR(playerPoints($H677,$F677,$G677,N$1),"")</f>
        <v/>
      </c>
      <c r="O677" s="2" t="str" cm="1">
        <f t="array" ref="O677">IFERROR(playerPoints($H677,$F677,$G677,O$1),"")</f>
        <v/>
      </c>
      <c r="Q677" s="2">
        <f t="shared" si="10"/>
        <v>0</v>
      </c>
    </row>
    <row r="678" spans="1:17">
      <c r="A678" s="2">
        <v>677</v>
      </c>
      <c r="B678" s="2" t="s">
        <v>1405</v>
      </c>
      <c r="C678" s="2" t="s">
        <v>1730</v>
      </c>
      <c r="D678" s="2" t="s">
        <v>889</v>
      </c>
      <c r="F678" s="2" t="str">
        <f>LOOKUP(D678,Sheet3!A$1:A$32,Sheet3!B$1:B$32)</f>
        <v>ESP</v>
      </c>
      <c r="G678" s="2" t="s">
        <v>3010</v>
      </c>
      <c r="H678" s="2" t="s">
        <v>44</v>
      </c>
      <c r="I678" s="2" t="str" cm="1">
        <f t="array" ref="I678">IFERROR(playerPoints($H678,$F678,$G678,I$1),"")</f>
        <v/>
      </c>
      <c r="J678" s="2" t="str" cm="1">
        <f t="array" ref="J678">IFERROR(playerPoints($H678,$F678,$G678,J$1),"")</f>
        <v/>
      </c>
      <c r="K678" s="2" t="str" cm="1">
        <f t="array" ref="K678">IFERROR(playerPoints($H678,$F678,$G678,K$1),"")</f>
        <v/>
      </c>
      <c r="L678" s="2" t="str" cm="1">
        <f t="array" ref="L678">IFERROR(playerPoints($H678,$F678,$G678,L$1),"")</f>
        <v/>
      </c>
      <c r="M678" s="2" t="str" cm="1">
        <f t="array" ref="M678">IFERROR(playerPoints($H678,$F678,$G678,M$1),"")</f>
        <v/>
      </c>
      <c r="N678" s="2" t="str" cm="1">
        <f t="array" ref="N678">IFERROR(playerPoints($H678,$F678,$G678,N$1),"")</f>
        <v/>
      </c>
      <c r="O678" s="2" t="str" cm="1">
        <f t="array" ref="O678">IFERROR(playerPoints($H678,$F678,$G678,O$1),"")</f>
        <v/>
      </c>
      <c r="Q678" s="2">
        <f t="shared" si="10"/>
        <v>0</v>
      </c>
    </row>
    <row r="679" spans="1:17">
      <c r="A679" s="2">
        <v>678</v>
      </c>
      <c r="B679" s="2" t="s">
        <v>1261</v>
      </c>
      <c r="C679" s="2" t="s">
        <v>2133</v>
      </c>
      <c r="D679" s="2" t="s">
        <v>889</v>
      </c>
      <c r="F679" s="2" t="str">
        <f>LOOKUP(D679,Sheet3!A$1:A$32,Sheet3!B$1:B$32)</f>
        <v>ESP</v>
      </c>
      <c r="G679" s="2" t="s">
        <v>3011</v>
      </c>
      <c r="H679" s="2" t="s">
        <v>44</v>
      </c>
      <c r="I679" s="2" t="str" cm="1">
        <f t="array" ref="I679">IFERROR(playerPoints($H679,$F679,$G679,I$1),"")</f>
        <v/>
      </c>
      <c r="J679" s="2" t="str" cm="1">
        <f t="array" ref="J679">IFERROR(playerPoints($H679,$F679,$G679,J$1),"")</f>
        <v/>
      </c>
      <c r="K679" s="2" t="str" cm="1">
        <f t="array" ref="K679">IFERROR(playerPoints($H679,$F679,$G679,K$1),"")</f>
        <v/>
      </c>
      <c r="L679" s="2" t="str" cm="1">
        <f t="array" ref="L679">IFERROR(playerPoints($H679,$F679,$G679,L$1),"")</f>
        <v/>
      </c>
      <c r="M679" s="2" t="str" cm="1">
        <f t="array" ref="M679">IFERROR(playerPoints($H679,$F679,$G679,M$1),"")</f>
        <v/>
      </c>
      <c r="N679" s="2" t="str" cm="1">
        <f t="array" ref="N679">IFERROR(playerPoints($H679,$F679,$G679,N$1),"")</f>
        <v/>
      </c>
      <c r="O679" s="2" t="str" cm="1">
        <f t="array" ref="O679">IFERROR(playerPoints($H679,$F679,$G679,O$1),"")</f>
        <v/>
      </c>
      <c r="Q679" s="2">
        <f t="shared" si="10"/>
        <v>0</v>
      </c>
    </row>
    <row r="680" spans="1:17">
      <c r="A680" s="2">
        <v>679</v>
      </c>
      <c r="B680" s="2" t="s">
        <v>2134</v>
      </c>
      <c r="C680" s="2" t="s">
        <v>2135</v>
      </c>
      <c r="D680" s="2" t="s">
        <v>889</v>
      </c>
      <c r="F680" s="2" t="str">
        <f>LOOKUP(D680,Sheet3!A$1:A$32,Sheet3!B$1:B$32)</f>
        <v>ESP</v>
      </c>
      <c r="G680" s="2" t="s">
        <v>3012</v>
      </c>
      <c r="H680" s="2" t="s">
        <v>44</v>
      </c>
      <c r="I680" s="2" t="str" cm="1">
        <f t="array" ref="I680">IFERROR(playerPoints($H680,$F680,$G680,I$1),"")</f>
        <v/>
      </c>
      <c r="J680" s="2" t="str" cm="1">
        <f t="array" ref="J680">IFERROR(playerPoints($H680,$F680,$G680,J$1),"")</f>
        <v/>
      </c>
      <c r="K680" s="2" t="str" cm="1">
        <f t="array" ref="K680">IFERROR(playerPoints($H680,$F680,$G680,K$1),"")</f>
        <v/>
      </c>
      <c r="L680" s="2" t="str" cm="1">
        <f t="array" ref="L680">IFERROR(playerPoints($H680,$F680,$G680,L$1),"")</f>
        <v/>
      </c>
      <c r="M680" s="2" t="str" cm="1">
        <f t="array" ref="M680">IFERROR(playerPoints($H680,$F680,$G680,M$1),"")</f>
        <v/>
      </c>
      <c r="N680" s="2" t="str" cm="1">
        <f t="array" ref="N680">IFERROR(playerPoints($H680,$F680,$G680,N$1),"")</f>
        <v/>
      </c>
      <c r="O680" s="2" t="str" cm="1">
        <f t="array" ref="O680">IFERROR(playerPoints($H680,$F680,$G680,O$1),"")</f>
        <v/>
      </c>
      <c r="Q680" s="2">
        <f t="shared" si="10"/>
        <v>0</v>
      </c>
    </row>
    <row r="681" spans="1:17">
      <c r="A681" s="2">
        <v>680</v>
      </c>
      <c r="B681" s="2" t="s">
        <v>1722</v>
      </c>
      <c r="C681" s="2" t="s">
        <v>2136</v>
      </c>
      <c r="D681" s="2" t="s">
        <v>889</v>
      </c>
      <c r="F681" s="2" t="str">
        <f>LOOKUP(D681,Sheet3!A$1:A$32,Sheet3!B$1:B$32)</f>
        <v>ESP</v>
      </c>
      <c r="G681" s="2" t="s">
        <v>3013</v>
      </c>
      <c r="H681" s="2" t="s">
        <v>48</v>
      </c>
      <c r="I681" s="2" t="str" cm="1">
        <f t="array" ref="I681">IFERROR(playerPoints($H681,$F681,$G681,I$1),"")</f>
        <v/>
      </c>
      <c r="J681" s="2" t="str" cm="1">
        <f t="array" ref="J681">IFERROR(playerPoints($H681,$F681,$G681,J$1),"")</f>
        <v/>
      </c>
      <c r="K681" s="2" t="str" cm="1">
        <f t="array" ref="K681">IFERROR(playerPoints($H681,$F681,$G681,K$1),"")</f>
        <v/>
      </c>
      <c r="L681" s="2" t="str" cm="1">
        <f t="array" ref="L681">IFERROR(playerPoints($H681,$F681,$G681,L$1),"")</f>
        <v/>
      </c>
      <c r="M681" s="2" t="str" cm="1">
        <f t="array" ref="M681">IFERROR(playerPoints($H681,$F681,$G681,M$1),"")</f>
        <v/>
      </c>
      <c r="N681" s="2" t="str" cm="1">
        <f t="array" ref="N681">IFERROR(playerPoints($H681,$F681,$G681,N$1),"")</f>
        <v/>
      </c>
      <c r="O681" s="2" t="str" cm="1">
        <f t="array" ref="O681">IFERROR(playerPoints($H681,$F681,$G681,O$1),"")</f>
        <v/>
      </c>
      <c r="Q681" s="2">
        <f t="shared" si="10"/>
        <v>0</v>
      </c>
    </row>
    <row r="682" spans="1:17">
      <c r="A682" s="2">
        <v>681</v>
      </c>
      <c r="B682" s="2" t="s">
        <v>1223</v>
      </c>
      <c r="C682" s="2" t="s">
        <v>2137</v>
      </c>
      <c r="D682" s="2" t="s">
        <v>889</v>
      </c>
      <c r="F682" s="2" t="str">
        <f>LOOKUP(D682,Sheet3!A$1:A$32,Sheet3!B$1:B$32)</f>
        <v>ESP</v>
      </c>
      <c r="G682" s="2" t="s">
        <v>3014</v>
      </c>
      <c r="H682" s="2" t="s">
        <v>48</v>
      </c>
      <c r="I682" s="2" t="str" cm="1">
        <f t="array" ref="I682">IFERROR(playerPoints($H682,$F682,$G682,I$1),"")</f>
        <v/>
      </c>
      <c r="J682" s="2" t="str" cm="1">
        <f t="array" ref="J682">IFERROR(playerPoints($H682,$F682,$G682,J$1),"")</f>
        <v/>
      </c>
      <c r="K682" s="2" t="str" cm="1">
        <f t="array" ref="K682">IFERROR(playerPoints($H682,$F682,$G682,K$1),"")</f>
        <v/>
      </c>
      <c r="L682" s="2" t="str" cm="1">
        <f t="array" ref="L682">IFERROR(playerPoints($H682,$F682,$G682,L$1),"")</f>
        <v/>
      </c>
      <c r="M682" s="2" t="str" cm="1">
        <f t="array" ref="M682">IFERROR(playerPoints($H682,$F682,$G682,M$1),"")</f>
        <v/>
      </c>
      <c r="N682" s="2" t="str" cm="1">
        <f t="array" ref="N682">IFERROR(playerPoints($H682,$F682,$G682,N$1),"")</f>
        <v/>
      </c>
      <c r="O682" s="2" t="str" cm="1">
        <f t="array" ref="O682">IFERROR(playerPoints($H682,$F682,$G682,O$1),"")</f>
        <v/>
      </c>
      <c r="Q682" s="2">
        <f t="shared" si="10"/>
        <v>0</v>
      </c>
    </row>
    <row r="683" spans="1:17">
      <c r="A683" s="2">
        <v>682</v>
      </c>
      <c r="B683" s="2" t="s">
        <v>2138</v>
      </c>
      <c r="C683" s="2" t="s">
        <v>1302</v>
      </c>
      <c r="D683" s="2" t="s">
        <v>889</v>
      </c>
      <c r="F683" s="2" t="str">
        <f>LOOKUP(D683,Sheet3!A$1:A$32,Sheet3!B$1:B$32)</f>
        <v>ESP</v>
      </c>
      <c r="G683" s="2" t="s">
        <v>3015</v>
      </c>
      <c r="H683" s="2" t="s">
        <v>48</v>
      </c>
      <c r="I683" s="2" t="str" cm="1">
        <f t="array" ref="I683">IFERROR(playerPoints($H683,$F683,$G683,I$1),"")</f>
        <v/>
      </c>
      <c r="J683" s="2" t="str" cm="1">
        <f t="array" ref="J683">IFERROR(playerPoints($H683,$F683,$G683,J$1),"")</f>
        <v/>
      </c>
      <c r="K683" s="2" t="str" cm="1">
        <f t="array" ref="K683">IFERROR(playerPoints($H683,$F683,$G683,K$1),"")</f>
        <v/>
      </c>
      <c r="L683" s="2" t="str" cm="1">
        <f t="array" ref="L683">IFERROR(playerPoints($H683,$F683,$G683,L$1),"")</f>
        <v/>
      </c>
      <c r="M683" s="2" t="str" cm="1">
        <f t="array" ref="M683">IFERROR(playerPoints($H683,$F683,$G683,M$1),"")</f>
        <v/>
      </c>
      <c r="N683" s="2" t="str" cm="1">
        <f t="array" ref="N683">IFERROR(playerPoints($H683,$F683,$G683,N$1),"")</f>
        <v/>
      </c>
      <c r="O683" s="2" t="str" cm="1">
        <f t="array" ref="O683">IFERROR(playerPoints($H683,$F683,$G683,O$1),"")</f>
        <v/>
      </c>
      <c r="Q683" s="2">
        <f t="shared" si="10"/>
        <v>0</v>
      </c>
    </row>
    <row r="684" spans="1:17">
      <c r="A684" s="2">
        <v>683</v>
      </c>
      <c r="B684" s="2" t="s">
        <v>1426</v>
      </c>
      <c r="C684" s="2" t="s">
        <v>2139</v>
      </c>
      <c r="D684" s="2" t="s">
        <v>889</v>
      </c>
      <c r="F684" s="2" t="str">
        <f>LOOKUP(D684,Sheet3!A$1:A$32,Sheet3!B$1:B$32)</f>
        <v>ESP</v>
      </c>
      <c r="G684" s="2" t="s">
        <v>3016</v>
      </c>
      <c r="H684" s="2" t="s">
        <v>48</v>
      </c>
      <c r="I684" s="2" t="str" cm="1">
        <f t="array" ref="I684">IFERROR(playerPoints($H684,$F684,$G684,I$1),"")</f>
        <v/>
      </c>
      <c r="J684" s="2" t="str" cm="1">
        <f t="array" ref="J684">IFERROR(playerPoints($H684,$F684,$G684,J$1),"")</f>
        <v/>
      </c>
      <c r="K684" s="2" t="str" cm="1">
        <f t="array" ref="K684">IFERROR(playerPoints($H684,$F684,$G684,K$1),"")</f>
        <v/>
      </c>
      <c r="L684" s="2" t="str" cm="1">
        <f t="array" ref="L684">IFERROR(playerPoints($H684,$F684,$G684,L$1),"")</f>
        <v/>
      </c>
      <c r="M684" s="2" t="str" cm="1">
        <f t="array" ref="M684">IFERROR(playerPoints($H684,$F684,$G684,M$1),"")</f>
        <v/>
      </c>
      <c r="N684" s="2" t="str" cm="1">
        <f t="array" ref="N684">IFERROR(playerPoints($H684,$F684,$G684,N$1),"")</f>
        <v/>
      </c>
      <c r="O684" s="2" t="str" cm="1">
        <f t="array" ref="O684">IFERROR(playerPoints($H684,$F684,$G684,O$1),"")</f>
        <v/>
      </c>
      <c r="Q684" s="2">
        <f t="shared" si="10"/>
        <v>0</v>
      </c>
    </row>
    <row r="685" spans="1:17">
      <c r="A685" s="2">
        <v>684</v>
      </c>
      <c r="B685" s="2" t="s">
        <v>1490</v>
      </c>
      <c r="C685" s="2" t="s">
        <v>2140</v>
      </c>
      <c r="D685" s="2" t="s">
        <v>889</v>
      </c>
      <c r="F685" s="2" t="str">
        <f>LOOKUP(D685,Sheet3!A$1:A$32,Sheet3!B$1:B$32)</f>
        <v>ESP</v>
      </c>
      <c r="G685" s="2" t="s">
        <v>3017</v>
      </c>
      <c r="H685" s="2" t="s">
        <v>48</v>
      </c>
      <c r="I685" s="2" t="str" cm="1">
        <f t="array" ref="I685">IFERROR(playerPoints($H685,$F685,$G685,I$1),"")</f>
        <v/>
      </c>
      <c r="J685" s="2" t="str" cm="1">
        <f t="array" ref="J685">IFERROR(playerPoints($H685,$F685,$G685,J$1),"")</f>
        <v/>
      </c>
      <c r="K685" s="2" t="str" cm="1">
        <f t="array" ref="K685">IFERROR(playerPoints($H685,$F685,$G685,K$1),"")</f>
        <v/>
      </c>
      <c r="L685" s="2" t="str" cm="1">
        <f t="array" ref="L685">IFERROR(playerPoints($H685,$F685,$G685,L$1),"")</f>
        <v/>
      </c>
      <c r="M685" s="2" t="str" cm="1">
        <f t="array" ref="M685">IFERROR(playerPoints($H685,$F685,$G685,M$1),"")</f>
        <v/>
      </c>
      <c r="N685" s="2" t="str" cm="1">
        <f t="array" ref="N685">IFERROR(playerPoints($H685,$F685,$G685,N$1),"")</f>
        <v/>
      </c>
      <c r="O685" s="2" t="str" cm="1">
        <f t="array" ref="O685">IFERROR(playerPoints($H685,$F685,$G685,O$1),"")</f>
        <v/>
      </c>
      <c r="Q685" s="2">
        <f t="shared" si="10"/>
        <v>0</v>
      </c>
    </row>
    <row r="686" spans="1:17">
      <c r="A686" s="2">
        <v>685</v>
      </c>
      <c r="B686" s="2" t="s">
        <v>2141</v>
      </c>
      <c r="C686" s="2" t="s">
        <v>2142</v>
      </c>
      <c r="D686" s="2" t="s">
        <v>889</v>
      </c>
      <c r="F686" s="2" t="str">
        <f>LOOKUP(D686,Sheet3!A$1:A$32,Sheet3!B$1:B$32)</f>
        <v>ESP</v>
      </c>
      <c r="G686" s="2" t="s">
        <v>3018</v>
      </c>
      <c r="H686" s="2" t="s">
        <v>48</v>
      </c>
      <c r="I686" s="2" t="str" cm="1">
        <f t="array" ref="I686">IFERROR(playerPoints($H686,$F686,$G686,I$1),"")</f>
        <v/>
      </c>
      <c r="J686" s="2" t="str" cm="1">
        <f t="array" ref="J686">IFERROR(playerPoints($H686,$F686,$G686,J$1),"")</f>
        <v/>
      </c>
      <c r="K686" s="2" t="str" cm="1">
        <f t="array" ref="K686">IFERROR(playerPoints($H686,$F686,$G686,K$1),"")</f>
        <v/>
      </c>
      <c r="L686" s="2" t="str" cm="1">
        <f t="array" ref="L686">IFERROR(playerPoints($H686,$F686,$G686,L$1),"")</f>
        <v/>
      </c>
      <c r="M686" s="2" t="str" cm="1">
        <f t="array" ref="M686">IFERROR(playerPoints($H686,$F686,$G686,M$1),"")</f>
        <v/>
      </c>
      <c r="N686" s="2" t="str" cm="1">
        <f t="array" ref="N686">IFERROR(playerPoints($H686,$F686,$G686,N$1),"")</f>
        <v/>
      </c>
      <c r="O686" s="2" t="str" cm="1">
        <f t="array" ref="O686">IFERROR(playerPoints($H686,$F686,$G686,O$1),"")</f>
        <v/>
      </c>
      <c r="Q686" s="2">
        <f t="shared" si="10"/>
        <v>0</v>
      </c>
    </row>
    <row r="687" spans="1:17">
      <c r="A687" s="2">
        <v>686</v>
      </c>
      <c r="B687" s="2" t="s">
        <v>1165</v>
      </c>
      <c r="C687" s="2" t="s">
        <v>2143</v>
      </c>
      <c r="D687" s="2" t="s">
        <v>889</v>
      </c>
      <c r="F687" s="2" t="str">
        <f>LOOKUP(D687,Sheet3!A$1:A$32,Sheet3!B$1:B$32)</f>
        <v>ESP</v>
      </c>
      <c r="G687" s="2" t="s">
        <v>3019</v>
      </c>
      <c r="H687" s="2" t="s">
        <v>48</v>
      </c>
      <c r="I687" s="2" t="str" cm="1">
        <f t="array" ref="I687">IFERROR(playerPoints($H687,$F687,$G687,I$1),"")</f>
        <v/>
      </c>
      <c r="J687" s="2" t="str" cm="1">
        <f t="array" ref="J687">IFERROR(playerPoints($H687,$F687,$G687,J$1),"")</f>
        <v/>
      </c>
      <c r="K687" s="2" t="str" cm="1">
        <f t="array" ref="K687">IFERROR(playerPoints($H687,$F687,$G687,K$1),"")</f>
        <v/>
      </c>
      <c r="L687" s="2" t="str" cm="1">
        <f t="array" ref="L687">IFERROR(playerPoints($H687,$F687,$G687,L$1),"")</f>
        <v/>
      </c>
      <c r="M687" s="2" t="str" cm="1">
        <f t="array" ref="M687">IFERROR(playerPoints($H687,$F687,$G687,M$1),"")</f>
        <v/>
      </c>
      <c r="N687" s="2" t="str" cm="1">
        <f t="array" ref="N687">IFERROR(playerPoints($H687,$F687,$G687,N$1),"")</f>
        <v/>
      </c>
      <c r="O687" s="2" t="str" cm="1">
        <f t="array" ref="O687">IFERROR(playerPoints($H687,$F687,$G687,O$1),"")</f>
        <v/>
      </c>
      <c r="Q687" s="2">
        <f t="shared" si="10"/>
        <v>0</v>
      </c>
    </row>
    <row r="688" spans="1:17">
      <c r="A688" s="2">
        <v>687</v>
      </c>
      <c r="B688" s="2" t="s">
        <v>2144</v>
      </c>
      <c r="C688" s="2" t="s">
        <v>2145</v>
      </c>
      <c r="D688" s="2" t="s">
        <v>889</v>
      </c>
      <c r="F688" s="2" t="str">
        <f>LOOKUP(D688,Sheet3!A$1:A$32,Sheet3!B$1:B$32)</f>
        <v>ESP</v>
      </c>
      <c r="G688" s="2" t="s">
        <v>3020</v>
      </c>
      <c r="H688" s="2" t="s">
        <v>48</v>
      </c>
      <c r="I688" s="2" t="str" cm="1">
        <f t="array" ref="I688">IFERROR(playerPoints($H688,$F688,$G688,I$1),"")</f>
        <v/>
      </c>
      <c r="J688" s="2" t="str" cm="1">
        <f t="array" ref="J688">IFERROR(playerPoints($H688,$F688,$G688,J$1),"")</f>
        <v/>
      </c>
      <c r="K688" s="2" t="str" cm="1">
        <f t="array" ref="K688">IFERROR(playerPoints($H688,$F688,$G688,K$1),"")</f>
        <v/>
      </c>
      <c r="L688" s="2" t="str" cm="1">
        <f t="array" ref="L688">IFERROR(playerPoints($H688,$F688,$G688,L$1),"")</f>
        <v/>
      </c>
      <c r="M688" s="2" t="str" cm="1">
        <f t="array" ref="M688">IFERROR(playerPoints($H688,$F688,$G688,M$1),"")</f>
        <v/>
      </c>
      <c r="N688" s="2" t="str" cm="1">
        <f t="array" ref="N688">IFERROR(playerPoints($H688,$F688,$G688,N$1),"")</f>
        <v/>
      </c>
      <c r="O688" s="2" t="str" cm="1">
        <f t="array" ref="O688">IFERROR(playerPoints($H688,$F688,$G688,O$1),"")</f>
        <v/>
      </c>
      <c r="Q688" s="2">
        <f t="shared" si="10"/>
        <v>0</v>
      </c>
    </row>
    <row r="689" spans="1:17">
      <c r="A689" s="2">
        <v>688</v>
      </c>
      <c r="B689" s="2" t="s">
        <v>2146</v>
      </c>
      <c r="C689" s="2" t="s">
        <v>2147</v>
      </c>
      <c r="D689" s="2" t="s">
        <v>889</v>
      </c>
      <c r="F689" s="2" t="str">
        <f>LOOKUP(D689,Sheet3!A$1:A$32,Sheet3!B$1:B$32)</f>
        <v>ESP</v>
      </c>
      <c r="G689" s="2" t="s">
        <v>3021</v>
      </c>
      <c r="H689" s="2" t="s">
        <v>57</v>
      </c>
      <c r="I689" s="2" t="str" cm="1">
        <f t="array" ref="I689">IFERROR(playerPoints($H689,$F689,$G689,I$1),"")</f>
        <v/>
      </c>
      <c r="J689" s="2" t="str" cm="1">
        <f t="array" ref="J689">IFERROR(playerPoints($H689,$F689,$G689,J$1),"")</f>
        <v/>
      </c>
      <c r="K689" s="2" t="str" cm="1">
        <f t="array" ref="K689">IFERROR(playerPoints($H689,$F689,$G689,K$1),"")</f>
        <v/>
      </c>
      <c r="L689" s="2" t="str" cm="1">
        <f t="array" ref="L689">IFERROR(playerPoints($H689,$F689,$G689,L$1),"")</f>
        <v/>
      </c>
      <c r="M689" s="2" t="str" cm="1">
        <f t="array" ref="M689">IFERROR(playerPoints($H689,$F689,$G689,M$1),"")</f>
        <v/>
      </c>
      <c r="N689" s="2" t="str" cm="1">
        <f t="array" ref="N689">IFERROR(playerPoints($H689,$F689,$G689,N$1),"")</f>
        <v/>
      </c>
      <c r="O689" s="2" t="str" cm="1">
        <f t="array" ref="O689">IFERROR(playerPoints($H689,$F689,$G689,O$1),"")</f>
        <v/>
      </c>
      <c r="Q689" s="2">
        <f t="shared" si="10"/>
        <v>0</v>
      </c>
    </row>
    <row r="690" spans="1:17">
      <c r="A690" s="2">
        <v>689</v>
      </c>
      <c r="B690" s="2" t="s">
        <v>1026</v>
      </c>
      <c r="C690" s="2" t="s">
        <v>2148</v>
      </c>
      <c r="D690" s="2" t="s">
        <v>889</v>
      </c>
      <c r="F690" s="2" t="str">
        <f>LOOKUP(D690,Sheet3!A$1:A$32,Sheet3!B$1:B$32)</f>
        <v>ESP</v>
      </c>
      <c r="G690" s="2" t="s">
        <v>3022</v>
      </c>
      <c r="H690" s="2" t="s">
        <v>57</v>
      </c>
      <c r="I690" s="2" t="str" cm="1">
        <f t="array" ref="I690">IFERROR(playerPoints($H690,$F690,$G690,I$1),"")</f>
        <v/>
      </c>
      <c r="J690" s="2" t="str" cm="1">
        <f t="array" ref="J690">IFERROR(playerPoints($H690,$F690,$G690,J$1),"")</f>
        <v/>
      </c>
      <c r="K690" s="2" t="str" cm="1">
        <f t="array" ref="K690">IFERROR(playerPoints($H690,$F690,$G690,K$1),"")</f>
        <v/>
      </c>
      <c r="L690" s="2" t="str" cm="1">
        <f t="array" ref="L690">IFERROR(playerPoints($H690,$F690,$G690,L$1),"")</f>
        <v/>
      </c>
      <c r="M690" s="2" t="str" cm="1">
        <f t="array" ref="M690">IFERROR(playerPoints($H690,$F690,$G690,M$1),"")</f>
        <v/>
      </c>
      <c r="N690" s="2" t="str" cm="1">
        <f t="array" ref="N690">IFERROR(playerPoints($H690,$F690,$G690,N$1),"")</f>
        <v/>
      </c>
      <c r="O690" s="2" t="str" cm="1">
        <f t="array" ref="O690">IFERROR(playerPoints($H690,$F690,$G690,O$1),"")</f>
        <v/>
      </c>
      <c r="Q690" s="2">
        <f t="shared" si="10"/>
        <v>0</v>
      </c>
    </row>
    <row r="691" spans="1:17">
      <c r="A691" s="2">
        <v>690</v>
      </c>
      <c r="B691" s="2" t="s">
        <v>1160</v>
      </c>
      <c r="C691" s="2" t="s">
        <v>321</v>
      </c>
      <c r="D691" s="2" t="s">
        <v>889</v>
      </c>
      <c r="F691" s="2" t="str">
        <f>LOOKUP(D691,Sheet3!A$1:A$32,Sheet3!B$1:B$32)</f>
        <v>ESP</v>
      </c>
      <c r="G691" s="2" t="s">
        <v>3023</v>
      </c>
      <c r="H691" s="2" t="s">
        <v>57</v>
      </c>
      <c r="I691" s="2" t="str" cm="1">
        <f t="array" ref="I691">IFERROR(playerPoints($H691,$F691,$G691,I$1),"")</f>
        <v/>
      </c>
      <c r="J691" s="2" t="str" cm="1">
        <f t="array" ref="J691">IFERROR(playerPoints($H691,$F691,$G691,J$1),"")</f>
        <v/>
      </c>
      <c r="K691" s="2" t="str" cm="1">
        <f t="array" ref="K691">IFERROR(playerPoints($H691,$F691,$G691,K$1),"")</f>
        <v/>
      </c>
      <c r="L691" s="2" t="str" cm="1">
        <f t="array" ref="L691">IFERROR(playerPoints($H691,$F691,$G691,L$1),"")</f>
        <v/>
      </c>
      <c r="M691" s="2" t="str" cm="1">
        <f t="array" ref="M691">IFERROR(playerPoints($H691,$F691,$G691,M$1),"")</f>
        <v/>
      </c>
      <c r="N691" s="2" t="str" cm="1">
        <f t="array" ref="N691">IFERROR(playerPoints($H691,$F691,$G691,N$1),"")</f>
        <v/>
      </c>
      <c r="O691" s="2" t="str" cm="1">
        <f t="array" ref="O691">IFERROR(playerPoints($H691,$F691,$G691,O$1),"")</f>
        <v/>
      </c>
      <c r="Q691" s="2">
        <f t="shared" si="10"/>
        <v>0</v>
      </c>
    </row>
    <row r="692" spans="1:17">
      <c r="A692" s="2">
        <v>691</v>
      </c>
      <c r="B692" s="2" t="s">
        <v>1160</v>
      </c>
      <c r="C692" s="2" t="s">
        <v>322</v>
      </c>
      <c r="D692" s="2" t="s">
        <v>889</v>
      </c>
      <c r="F692" s="2" t="str">
        <f>LOOKUP(D692,Sheet3!A$1:A$32,Sheet3!B$1:B$32)</f>
        <v>ESP</v>
      </c>
      <c r="G692" s="2" t="s">
        <v>3024</v>
      </c>
      <c r="H692" s="2" t="s">
        <v>57</v>
      </c>
      <c r="I692" s="2" t="str" cm="1">
        <f t="array" ref="I692">IFERROR(playerPoints($H692,$F692,$G692,I$1),"")</f>
        <v/>
      </c>
      <c r="J692" s="2" t="str" cm="1">
        <f t="array" ref="J692">IFERROR(playerPoints($H692,$F692,$G692,J$1),"")</f>
        <v/>
      </c>
      <c r="K692" s="2" t="str" cm="1">
        <f t="array" ref="K692">IFERROR(playerPoints($H692,$F692,$G692,K$1),"")</f>
        <v/>
      </c>
      <c r="L692" s="2" t="str" cm="1">
        <f t="array" ref="L692">IFERROR(playerPoints($H692,$F692,$G692,L$1),"")</f>
        <v/>
      </c>
      <c r="M692" s="2" t="str" cm="1">
        <f t="array" ref="M692">IFERROR(playerPoints($H692,$F692,$G692,M$1),"")</f>
        <v/>
      </c>
      <c r="N692" s="2" t="str" cm="1">
        <f t="array" ref="N692">IFERROR(playerPoints($H692,$F692,$G692,N$1),"")</f>
        <v/>
      </c>
      <c r="O692" s="2" t="str" cm="1">
        <f t="array" ref="O692">IFERROR(playerPoints($H692,$F692,$G692,O$1),"")</f>
        <v/>
      </c>
      <c r="Q692" s="2">
        <f t="shared" si="10"/>
        <v>0</v>
      </c>
    </row>
    <row r="693" spans="1:17">
      <c r="A693" s="2">
        <v>692</v>
      </c>
      <c r="B693" s="2" t="s">
        <v>1160</v>
      </c>
      <c r="C693" s="2" t="s">
        <v>323</v>
      </c>
      <c r="D693" s="2" t="s">
        <v>889</v>
      </c>
      <c r="F693" s="2" t="str">
        <f>LOOKUP(D693,Sheet3!A$1:A$32,Sheet3!B$1:B$32)</f>
        <v>ESP</v>
      </c>
      <c r="G693" s="2" t="s">
        <v>3025</v>
      </c>
      <c r="H693" s="2" t="s">
        <v>57</v>
      </c>
      <c r="I693" s="2" t="str" cm="1">
        <f t="array" ref="I693">IFERROR(playerPoints($H693,$F693,$G693,I$1),"")</f>
        <v/>
      </c>
      <c r="J693" s="2" t="str" cm="1">
        <f t="array" ref="J693">IFERROR(playerPoints($H693,$F693,$G693,J$1),"")</f>
        <v/>
      </c>
      <c r="K693" s="2" t="str" cm="1">
        <f t="array" ref="K693">IFERROR(playerPoints($H693,$F693,$G693,K$1),"")</f>
        <v/>
      </c>
      <c r="L693" s="2" t="str" cm="1">
        <f t="array" ref="L693">IFERROR(playerPoints($H693,$F693,$G693,L$1),"")</f>
        <v/>
      </c>
      <c r="M693" s="2" t="str" cm="1">
        <f t="array" ref="M693">IFERROR(playerPoints($H693,$F693,$G693,M$1),"")</f>
        <v/>
      </c>
      <c r="N693" s="2" t="str" cm="1">
        <f t="array" ref="N693">IFERROR(playerPoints($H693,$F693,$G693,N$1),"")</f>
        <v/>
      </c>
      <c r="O693" s="2" t="str" cm="1">
        <f t="array" ref="O693">IFERROR(playerPoints($H693,$F693,$G693,O$1),"")</f>
        <v/>
      </c>
      <c r="Q693" s="2">
        <f t="shared" si="10"/>
        <v>0</v>
      </c>
    </row>
    <row r="694" spans="1:17">
      <c r="A694" s="2">
        <v>693</v>
      </c>
      <c r="B694" s="2" t="s">
        <v>2149</v>
      </c>
      <c r="C694" s="2" t="s">
        <v>2150</v>
      </c>
      <c r="D694" s="2" t="s">
        <v>889</v>
      </c>
      <c r="F694" s="2" t="str">
        <f>LOOKUP(D694,Sheet3!A$1:A$32,Sheet3!B$1:B$32)</f>
        <v>ESP</v>
      </c>
      <c r="G694" s="2" t="s">
        <v>3026</v>
      </c>
      <c r="H694" s="2" t="s">
        <v>57</v>
      </c>
      <c r="I694" s="2" t="str" cm="1">
        <f t="array" ref="I694">IFERROR(playerPoints($H694,$F694,$G694,I$1),"")</f>
        <v/>
      </c>
      <c r="J694" s="2" t="str" cm="1">
        <f t="array" ref="J694">IFERROR(playerPoints($H694,$F694,$G694,J$1),"")</f>
        <v/>
      </c>
      <c r="K694" s="2" t="str" cm="1">
        <f t="array" ref="K694">IFERROR(playerPoints($H694,$F694,$G694,K$1),"")</f>
        <v/>
      </c>
      <c r="L694" s="2" t="str" cm="1">
        <f t="array" ref="L694">IFERROR(playerPoints($H694,$F694,$G694,L$1),"")</f>
        <v/>
      </c>
      <c r="M694" s="2" t="str" cm="1">
        <f t="array" ref="M694">IFERROR(playerPoints($H694,$F694,$G694,M$1),"")</f>
        <v/>
      </c>
      <c r="N694" s="2" t="str" cm="1">
        <f t="array" ref="N694">IFERROR(playerPoints($H694,$F694,$G694,N$1),"")</f>
        <v/>
      </c>
      <c r="O694" s="2" t="str" cm="1">
        <f t="array" ref="O694">IFERROR(playerPoints($H694,$F694,$G694,O$1),"")</f>
        <v/>
      </c>
      <c r="Q694" s="2">
        <f t="shared" si="10"/>
        <v>0</v>
      </c>
    </row>
    <row r="695" spans="1:17">
      <c r="A695" s="2">
        <v>694</v>
      </c>
      <c r="B695" s="2" t="s">
        <v>1287</v>
      </c>
      <c r="C695" s="2" t="s">
        <v>2151</v>
      </c>
      <c r="D695" s="2" t="s">
        <v>889</v>
      </c>
      <c r="F695" s="2" t="str">
        <f>LOOKUP(D695,Sheet3!A$1:A$32,Sheet3!B$1:B$32)</f>
        <v>ESP</v>
      </c>
      <c r="G695" s="2" t="s">
        <v>3027</v>
      </c>
      <c r="H695" s="2" t="s">
        <v>57</v>
      </c>
      <c r="I695" s="2" t="str" cm="1">
        <f t="array" ref="I695">IFERROR(playerPoints($H695,$F695,$G695,I$1),"")</f>
        <v/>
      </c>
      <c r="J695" s="2" t="str" cm="1">
        <f t="array" ref="J695">IFERROR(playerPoints($H695,$F695,$G695,J$1),"")</f>
        <v/>
      </c>
      <c r="K695" s="2" t="str" cm="1">
        <f t="array" ref="K695">IFERROR(playerPoints($H695,$F695,$G695,K$1),"")</f>
        <v/>
      </c>
      <c r="L695" s="2" t="str" cm="1">
        <f t="array" ref="L695">IFERROR(playerPoints($H695,$F695,$G695,L$1),"")</f>
        <v/>
      </c>
      <c r="M695" s="2" t="str" cm="1">
        <f t="array" ref="M695">IFERROR(playerPoints($H695,$F695,$G695,M$1),"")</f>
        <v/>
      </c>
      <c r="N695" s="2" t="str" cm="1">
        <f t="array" ref="N695">IFERROR(playerPoints($H695,$F695,$G695,N$1),"")</f>
        <v/>
      </c>
      <c r="O695" s="2" t="str" cm="1">
        <f t="array" ref="O695">IFERROR(playerPoints($H695,$F695,$G695,O$1),"")</f>
        <v/>
      </c>
      <c r="Q695" s="2">
        <f t="shared" si="10"/>
        <v>0</v>
      </c>
    </row>
    <row r="696" spans="1:17">
      <c r="A696" s="2">
        <v>695</v>
      </c>
      <c r="B696" s="2" t="s">
        <v>1165</v>
      </c>
      <c r="C696" s="2" t="s">
        <v>2152</v>
      </c>
      <c r="D696" s="2" t="s">
        <v>889</v>
      </c>
      <c r="F696" s="2" t="str">
        <f>LOOKUP(D696,Sheet3!A$1:A$32,Sheet3!B$1:B$32)</f>
        <v>ESP</v>
      </c>
      <c r="G696" s="2" t="s">
        <v>3028</v>
      </c>
      <c r="H696" s="2" t="s">
        <v>57</v>
      </c>
      <c r="I696" s="2" t="str" cm="1">
        <f t="array" ref="I696">IFERROR(playerPoints($H696,$F696,$G696,I$1),"")</f>
        <v/>
      </c>
      <c r="J696" s="2" t="str" cm="1">
        <f t="array" ref="J696">IFERROR(playerPoints($H696,$F696,$G696,J$1),"")</f>
        <v/>
      </c>
      <c r="K696" s="2" t="str" cm="1">
        <f t="array" ref="K696">IFERROR(playerPoints($H696,$F696,$G696,K$1),"")</f>
        <v/>
      </c>
      <c r="L696" s="2" t="str" cm="1">
        <f t="array" ref="L696">IFERROR(playerPoints($H696,$F696,$G696,L$1),"")</f>
        <v/>
      </c>
      <c r="M696" s="2" t="str" cm="1">
        <f t="array" ref="M696">IFERROR(playerPoints($H696,$F696,$G696,M$1),"")</f>
        <v/>
      </c>
      <c r="N696" s="2" t="str" cm="1">
        <f t="array" ref="N696">IFERROR(playerPoints($H696,$F696,$G696,N$1),"")</f>
        <v/>
      </c>
      <c r="O696" s="2" t="str" cm="1">
        <f t="array" ref="O696">IFERROR(playerPoints($H696,$F696,$G696,O$1),"")</f>
        <v/>
      </c>
      <c r="Q696" s="2">
        <f t="shared" si="10"/>
        <v>0</v>
      </c>
    </row>
    <row r="697" spans="1:17">
      <c r="A697" s="2">
        <v>696</v>
      </c>
      <c r="B697" s="2" t="s">
        <v>2153</v>
      </c>
      <c r="C697" s="2" t="s">
        <v>2154</v>
      </c>
      <c r="D697" s="2" t="s">
        <v>889</v>
      </c>
      <c r="F697" s="2" t="str">
        <f>LOOKUP(D697,Sheet3!A$1:A$32,Sheet3!B$1:B$32)</f>
        <v>ESP</v>
      </c>
      <c r="G697" s="2" t="s">
        <v>3029</v>
      </c>
      <c r="H697" s="2" t="s">
        <v>57</v>
      </c>
      <c r="I697" s="2" t="str" cm="1">
        <f t="array" ref="I697">IFERROR(playerPoints($H697,$F697,$G697,I$1),"")</f>
        <v/>
      </c>
      <c r="J697" s="2" t="str" cm="1">
        <f t="array" ref="J697">IFERROR(playerPoints($H697,$F697,$G697,J$1),"")</f>
        <v/>
      </c>
      <c r="K697" s="2" t="str" cm="1">
        <f t="array" ref="K697">IFERROR(playerPoints($H697,$F697,$G697,K$1),"")</f>
        <v/>
      </c>
      <c r="L697" s="2" t="str" cm="1">
        <f t="array" ref="L697">IFERROR(playerPoints($H697,$F697,$G697,L$1),"")</f>
        <v/>
      </c>
      <c r="M697" s="2" t="str" cm="1">
        <f t="array" ref="M697">IFERROR(playerPoints($H697,$F697,$G697,M$1),"")</f>
        <v/>
      </c>
      <c r="N697" s="2" t="str" cm="1">
        <f t="array" ref="N697">IFERROR(playerPoints($H697,$F697,$G697,N$1),"")</f>
        <v/>
      </c>
      <c r="O697" s="2" t="str" cm="1">
        <f t="array" ref="O697">IFERROR(playerPoints($H697,$F697,$G697,O$1),"")</f>
        <v/>
      </c>
      <c r="Q697" s="2">
        <f t="shared" si="10"/>
        <v>0</v>
      </c>
    </row>
    <row r="698" spans="1:17">
      <c r="A698" s="2">
        <v>697</v>
      </c>
      <c r="B698" s="2" t="s">
        <v>1160</v>
      </c>
      <c r="C698" s="2" t="s">
        <v>328</v>
      </c>
      <c r="D698" s="2" t="s">
        <v>889</v>
      </c>
      <c r="F698" s="2" t="str">
        <f>LOOKUP(D698,Sheet3!A$1:A$32,Sheet3!B$1:B$32)</f>
        <v>ESP</v>
      </c>
      <c r="G698" s="2" t="s">
        <v>3030</v>
      </c>
      <c r="H698" s="2" t="s">
        <v>57</v>
      </c>
      <c r="I698" s="2" t="str" cm="1">
        <f t="array" ref="I698">IFERROR(playerPoints($H698,$F698,$G698,I$1),"")</f>
        <v/>
      </c>
      <c r="J698" s="2" t="str" cm="1">
        <f t="array" ref="J698">IFERROR(playerPoints($H698,$F698,$G698,J$1),"")</f>
        <v/>
      </c>
      <c r="K698" s="2" t="str" cm="1">
        <f t="array" ref="K698">IFERROR(playerPoints($H698,$F698,$G698,K$1),"")</f>
        <v/>
      </c>
      <c r="L698" s="2" t="str" cm="1">
        <f t="array" ref="L698">IFERROR(playerPoints($H698,$F698,$G698,L$1),"")</f>
        <v/>
      </c>
      <c r="M698" s="2" t="str" cm="1">
        <f t="array" ref="M698">IFERROR(playerPoints($H698,$F698,$G698,M$1),"")</f>
        <v/>
      </c>
      <c r="N698" s="2" t="str" cm="1">
        <f t="array" ref="N698">IFERROR(playerPoints($H698,$F698,$G698,N$1),"")</f>
        <v/>
      </c>
      <c r="O698" s="2" t="str" cm="1">
        <f t="array" ref="O698">IFERROR(playerPoints($H698,$F698,$G698,O$1),"")</f>
        <v/>
      </c>
      <c r="Q698" s="2">
        <f t="shared" si="10"/>
        <v>0</v>
      </c>
    </row>
    <row r="699" spans="1:17">
      <c r="A699" s="2">
        <v>698</v>
      </c>
      <c r="B699" s="2" t="s">
        <v>1309</v>
      </c>
      <c r="C699" s="2" t="s">
        <v>2155</v>
      </c>
      <c r="D699" s="2" t="s">
        <v>889</v>
      </c>
      <c r="F699" s="2" t="str">
        <f>LOOKUP(D699,Sheet3!A$1:A$32,Sheet3!B$1:B$32)</f>
        <v>ESP</v>
      </c>
      <c r="G699" s="2" t="s">
        <v>3031</v>
      </c>
      <c r="H699" s="2" t="s">
        <v>66</v>
      </c>
      <c r="I699" s="2" t="str" cm="1">
        <f t="array" ref="I699">IFERROR(playerPoints($H699,$F699,$G699,I$1),"")</f>
        <v/>
      </c>
      <c r="J699" s="2" t="str" cm="1">
        <f t="array" ref="J699">IFERROR(playerPoints($H699,$F699,$G699,J$1),"")</f>
        <v/>
      </c>
      <c r="K699" s="2" t="str" cm="1">
        <f t="array" ref="K699">IFERROR(playerPoints($H699,$F699,$G699,K$1),"")</f>
        <v/>
      </c>
      <c r="L699" s="2" t="str" cm="1">
        <f t="array" ref="L699">IFERROR(playerPoints($H699,$F699,$G699,L$1),"")</f>
        <v/>
      </c>
      <c r="M699" s="2" t="str" cm="1">
        <f t="array" ref="M699">IFERROR(playerPoints($H699,$F699,$G699,M$1),"")</f>
        <v/>
      </c>
      <c r="N699" s="2" t="str" cm="1">
        <f t="array" ref="N699">IFERROR(playerPoints($H699,$F699,$G699,N$1),"")</f>
        <v/>
      </c>
      <c r="O699" s="2" t="str" cm="1">
        <f t="array" ref="O699">IFERROR(playerPoints($H699,$F699,$G699,O$1),"")</f>
        <v/>
      </c>
      <c r="Q699" s="2">
        <f t="shared" si="10"/>
        <v>0</v>
      </c>
    </row>
    <row r="700" spans="1:17">
      <c r="A700" s="2">
        <v>699</v>
      </c>
      <c r="B700" s="2" t="s">
        <v>2156</v>
      </c>
      <c r="C700" s="2" t="s">
        <v>2157</v>
      </c>
      <c r="D700" s="2" t="s">
        <v>889</v>
      </c>
      <c r="F700" s="2" t="str">
        <f>LOOKUP(D700,Sheet3!A$1:A$32,Sheet3!B$1:B$32)</f>
        <v>ESP</v>
      </c>
      <c r="G700" s="2" t="s">
        <v>3032</v>
      </c>
      <c r="H700" s="2" t="s">
        <v>66</v>
      </c>
      <c r="I700" s="2" t="str" cm="1">
        <f t="array" ref="I700">IFERROR(playerPoints($H700,$F700,$G700,I$1),"")</f>
        <v/>
      </c>
      <c r="J700" s="2" t="str" cm="1">
        <f t="array" ref="J700">IFERROR(playerPoints($H700,$F700,$G700,J$1),"")</f>
        <v/>
      </c>
      <c r="K700" s="2" t="str" cm="1">
        <f t="array" ref="K700">IFERROR(playerPoints($H700,$F700,$G700,K$1),"")</f>
        <v/>
      </c>
      <c r="L700" s="2" t="str" cm="1">
        <f t="array" ref="L700">IFERROR(playerPoints($H700,$F700,$G700,L$1),"")</f>
        <v/>
      </c>
      <c r="M700" s="2" t="str" cm="1">
        <f t="array" ref="M700">IFERROR(playerPoints($H700,$F700,$G700,M$1),"")</f>
        <v/>
      </c>
      <c r="N700" s="2" t="str" cm="1">
        <f t="array" ref="N700">IFERROR(playerPoints($H700,$F700,$G700,N$1),"")</f>
        <v/>
      </c>
      <c r="O700" s="2" t="str" cm="1">
        <f t="array" ref="O700">IFERROR(playerPoints($H700,$F700,$G700,O$1),"")</f>
        <v/>
      </c>
      <c r="Q700" s="2">
        <f t="shared" si="10"/>
        <v>0</v>
      </c>
    </row>
    <row r="701" spans="1:17">
      <c r="A701" s="2">
        <v>700</v>
      </c>
      <c r="B701" s="2" t="s">
        <v>2158</v>
      </c>
      <c r="C701" s="2" t="s">
        <v>1302</v>
      </c>
      <c r="D701" s="2" t="s">
        <v>889</v>
      </c>
      <c r="F701" s="2" t="str">
        <f>LOOKUP(D701,Sheet3!A$1:A$32,Sheet3!B$1:B$32)</f>
        <v>ESP</v>
      </c>
      <c r="G701" s="2" t="s">
        <v>2588</v>
      </c>
      <c r="H701" s="2" t="s">
        <v>66</v>
      </c>
      <c r="I701" s="2" t="str" cm="1">
        <f t="array" ref="I701">IFERROR(playerPoints($H701,$F701,$G701,I$1),"")</f>
        <v/>
      </c>
      <c r="J701" s="2" t="str" cm="1">
        <f t="array" ref="J701">IFERROR(playerPoints($H701,$F701,$G701,J$1),"")</f>
        <v/>
      </c>
      <c r="K701" s="2" t="str" cm="1">
        <f t="array" ref="K701">IFERROR(playerPoints($H701,$F701,$G701,K$1),"")</f>
        <v/>
      </c>
      <c r="L701" s="2" t="str" cm="1">
        <f t="array" ref="L701">IFERROR(playerPoints($H701,$F701,$G701,L$1),"")</f>
        <v/>
      </c>
      <c r="M701" s="2" t="str" cm="1">
        <f t="array" ref="M701">IFERROR(playerPoints($H701,$F701,$G701,M$1),"")</f>
        <v/>
      </c>
      <c r="N701" s="2" t="str" cm="1">
        <f t="array" ref="N701">IFERROR(playerPoints($H701,$F701,$G701,N$1),"")</f>
        <v/>
      </c>
      <c r="O701" s="2" t="str" cm="1">
        <f t="array" ref="O701">IFERROR(playerPoints($H701,$F701,$G701,O$1),"")</f>
        <v/>
      </c>
      <c r="Q701" s="2">
        <f t="shared" si="10"/>
        <v>0</v>
      </c>
    </row>
    <row r="702" spans="1:17">
      <c r="A702" s="2">
        <v>701</v>
      </c>
      <c r="B702" s="2" t="s">
        <v>1551</v>
      </c>
      <c r="C702" s="2" t="s">
        <v>1618</v>
      </c>
      <c r="D702" s="2" t="s">
        <v>889</v>
      </c>
      <c r="F702" s="2" t="str">
        <f>LOOKUP(D702,Sheet3!A$1:A$32,Sheet3!B$1:B$32)</f>
        <v>ESP</v>
      </c>
      <c r="G702" s="2" t="s">
        <v>3033</v>
      </c>
      <c r="H702" s="2" t="s">
        <v>66</v>
      </c>
      <c r="I702" s="2" t="str" cm="1">
        <f t="array" ref="I702">IFERROR(playerPoints($H702,$F702,$G702,I$1),"")</f>
        <v/>
      </c>
      <c r="J702" s="2" t="str" cm="1">
        <f t="array" ref="J702">IFERROR(playerPoints($H702,$F702,$G702,J$1),"")</f>
        <v/>
      </c>
      <c r="K702" s="2" t="str" cm="1">
        <f t="array" ref="K702">IFERROR(playerPoints($H702,$F702,$G702,K$1),"")</f>
        <v/>
      </c>
      <c r="L702" s="2" t="str" cm="1">
        <f t="array" ref="L702">IFERROR(playerPoints($H702,$F702,$G702,L$1),"")</f>
        <v/>
      </c>
      <c r="M702" s="2" t="str" cm="1">
        <f t="array" ref="M702">IFERROR(playerPoints($H702,$F702,$G702,M$1),"")</f>
        <v/>
      </c>
      <c r="N702" s="2" t="str" cm="1">
        <f t="array" ref="N702">IFERROR(playerPoints($H702,$F702,$G702,N$1),"")</f>
        <v/>
      </c>
      <c r="O702" s="2" t="str" cm="1">
        <f t="array" ref="O702">IFERROR(playerPoints($H702,$F702,$G702,O$1),"")</f>
        <v/>
      </c>
      <c r="Q702" s="2">
        <f t="shared" si="10"/>
        <v>0</v>
      </c>
    </row>
    <row r="703" spans="1:17">
      <c r="A703" s="2">
        <v>702</v>
      </c>
      <c r="B703" s="2" t="s">
        <v>2159</v>
      </c>
      <c r="C703" s="2" t="s">
        <v>2160</v>
      </c>
      <c r="D703" s="2" t="s">
        <v>889</v>
      </c>
      <c r="F703" s="2" t="str">
        <f>LOOKUP(D703,Sheet3!A$1:A$32,Sheet3!B$1:B$32)</f>
        <v>ESP</v>
      </c>
      <c r="G703" s="2" t="s">
        <v>3034</v>
      </c>
      <c r="H703" s="2" t="s">
        <v>66</v>
      </c>
      <c r="I703" s="2" t="str" cm="1">
        <f t="array" ref="I703">IFERROR(playerPoints($H703,$F703,$G703,I$1),"")</f>
        <v/>
      </c>
      <c r="J703" s="2" t="str" cm="1">
        <f t="array" ref="J703">IFERROR(playerPoints($H703,$F703,$G703,J$1),"")</f>
        <v/>
      </c>
      <c r="K703" s="2" t="str" cm="1">
        <f t="array" ref="K703">IFERROR(playerPoints($H703,$F703,$G703,K$1),"")</f>
        <v/>
      </c>
      <c r="L703" s="2" t="str" cm="1">
        <f t="array" ref="L703">IFERROR(playerPoints($H703,$F703,$G703,L$1),"")</f>
        <v/>
      </c>
      <c r="M703" s="2" t="str" cm="1">
        <f t="array" ref="M703">IFERROR(playerPoints($H703,$F703,$G703,M$1),"")</f>
        <v/>
      </c>
      <c r="N703" s="2" t="str" cm="1">
        <f t="array" ref="N703">IFERROR(playerPoints($H703,$F703,$G703,N$1),"")</f>
        <v/>
      </c>
      <c r="O703" s="2" t="str" cm="1">
        <f t="array" ref="O703">IFERROR(playerPoints($H703,$F703,$G703,O$1),"")</f>
        <v/>
      </c>
      <c r="Q703" s="2">
        <f t="shared" si="10"/>
        <v>0</v>
      </c>
    </row>
    <row r="704" spans="1:17">
      <c r="A704" s="2">
        <v>703</v>
      </c>
      <c r="B704" s="2" t="s">
        <v>2161</v>
      </c>
      <c r="C704" s="2" t="s">
        <v>2162</v>
      </c>
      <c r="D704" s="2" t="s">
        <v>890</v>
      </c>
      <c r="F704" s="2" t="str">
        <f>LOOKUP(D704,Sheet3!A$1:A$32,Sheet3!B$1:B$32)</f>
        <v>SUI</v>
      </c>
      <c r="G704" s="2" t="s">
        <v>3035</v>
      </c>
      <c r="H704" s="2" t="s">
        <v>44</v>
      </c>
      <c r="I704" s="2" t="str" cm="1">
        <f t="array" ref="I704">IFERROR(playerPoints($H704,$F704,$G704,I$1),"")</f>
        <v/>
      </c>
      <c r="J704" s="2" t="str" cm="1">
        <f t="array" ref="J704">IFERROR(playerPoints($H704,$F704,$G704,J$1),"")</f>
        <v/>
      </c>
      <c r="K704" s="2" t="str" cm="1">
        <f t="array" ref="K704">IFERROR(playerPoints($H704,$F704,$G704,K$1),"")</f>
        <v/>
      </c>
      <c r="L704" s="2" t="str" cm="1">
        <f t="array" ref="L704">IFERROR(playerPoints($H704,$F704,$G704,L$1),"")</f>
        <v/>
      </c>
      <c r="M704" s="2" t="str" cm="1">
        <f t="array" ref="M704">IFERROR(playerPoints($H704,$F704,$G704,M$1),"")</f>
        <v/>
      </c>
      <c r="N704" s="2" t="str" cm="1">
        <f t="array" ref="N704">IFERROR(playerPoints($H704,$F704,$G704,N$1),"")</f>
        <v/>
      </c>
      <c r="O704" s="2" t="str" cm="1">
        <f t="array" ref="O704">IFERROR(playerPoints($H704,$F704,$G704,O$1),"")</f>
        <v/>
      </c>
      <c r="Q704" s="2">
        <f t="shared" si="10"/>
        <v>0</v>
      </c>
    </row>
    <row r="705" spans="1:17">
      <c r="A705" s="2">
        <v>704</v>
      </c>
      <c r="B705" s="2" t="s">
        <v>1401</v>
      </c>
      <c r="C705" s="2" t="s">
        <v>2163</v>
      </c>
      <c r="D705" s="2" t="s">
        <v>890</v>
      </c>
      <c r="F705" s="2" t="str">
        <f>LOOKUP(D705,Sheet3!A$1:A$32,Sheet3!B$1:B$32)</f>
        <v>SUI</v>
      </c>
      <c r="G705" s="2" t="s">
        <v>3036</v>
      </c>
      <c r="H705" s="2" t="s">
        <v>44</v>
      </c>
      <c r="I705" s="2" t="str" cm="1">
        <f t="array" ref="I705">IFERROR(playerPoints($H705,$F705,$G705,I$1),"")</f>
        <v/>
      </c>
      <c r="J705" s="2" t="str" cm="1">
        <f t="array" ref="J705">IFERROR(playerPoints($H705,$F705,$G705,J$1),"")</f>
        <v/>
      </c>
      <c r="K705" s="2" t="str" cm="1">
        <f t="array" ref="K705">IFERROR(playerPoints($H705,$F705,$G705,K$1),"")</f>
        <v/>
      </c>
      <c r="L705" s="2" t="str" cm="1">
        <f t="array" ref="L705">IFERROR(playerPoints($H705,$F705,$G705,L$1),"")</f>
        <v/>
      </c>
      <c r="M705" s="2" t="str" cm="1">
        <f t="array" ref="M705">IFERROR(playerPoints($H705,$F705,$G705,M$1),"")</f>
        <v/>
      </c>
      <c r="N705" s="2" t="str" cm="1">
        <f t="array" ref="N705">IFERROR(playerPoints($H705,$F705,$G705,N$1),"")</f>
        <v/>
      </c>
      <c r="O705" s="2" t="str" cm="1">
        <f t="array" ref="O705">IFERROR(playerPoints($H705,$F705,$G705,O$1),"")</f>
        <v/>
      </c>
      <c r="Q705" s="2">
        <f t="shared" si="10"/>
        <v>0</v>
      </c>
    </row>
    <row r="706" spans="1:17">
      <c r="A706" s="2">
        <v>705</v>
      </c>
      <c r="B706" s="2" t="s">
        <v>2164</v>
      </c>
      <c r="C706" s="2" t="s">
        <v>2165</v>
      </c>
      <c r="D706" s="2" t="s">
        <v>890</v>
      </c>
      <c r="F706" s="2" t="str">
        <f>LOOKUP(D706,Sheet3!A$1:A$32,Sheet3!B$1:B$32)</f>
        <v>SUI</v>
      </c>
      <c r="G706" s="2" t="s">
        <v>3037</v>
      </c>
      <c r="H706" s="2" t="s">
        <v>44</v>
      </c>
      <c r="I706" s="2" t="str" cm="1">
        <f t="array" ref="I706">IFERROR(playerPoints($H706,$F706,$G706,I$1),"")</f>
        <v/>
      </c>
      <c r="J706" s="2" t="str" cm="1">
        <f t="array" ref="J706">IFERROR(playerPoints($H706,$F706,$G706,J$1),"")</f>
        <v/>
      </c>
      <c r="K706" s="2" t="str" cm="1">
        <f t="array" ref="K706">IFERROR(playerPoints($H706,$F706,$G706,K$1),"")</f>
        <v/>
      </c>
      <c r="L706" s="2" t="str" cm="1">
        <f t="array" ref="L706">IFERROR(playerPoints($H706,$F706,$G706,L$1),"")</f>
        <v/>
      </c>
      <c r="M706" s="2" t="str" cm="1">
        <f t="array" ref="M706">IFERROR(playerPoints($H706,$F706,$G706,M$1),"")</f>
        <v/>
      </c>
      <c r="N706" s="2" t="str" cm="1">
        <f t="array" ref="N706">IFERROR(playerPoints($H706,$F706,$G706,N$1),"")</f>
        <v/>
      </c>
      <c r="O706" s="2" t="str" cm="1">
        <f t="array" ref="O706">IFERROR(playerPoints($H706,$F706,$G706,O$1),"")</f>
        <v/>
      </c>
      <c r="Q706" s="2">
        <f t="shared" si="10"/>
        <v>0</v>
      </c>
    </row>
    <row r="707" spans="1:17">
      <c r="A707" s="2">
        <v>706</v>
      </c>
      <c r="B707" s="2" t="s">
        <v>2166</v>
      </c>
      <c r="C707" s="2" t="s">
        <v>2167</v>
      </c>
      <c r="D707" s="2" t="s">
        <v>890</v>
      </c>
      <c r="F707" s="2" t="str">
        <f>LOOKUP(D707,Sheet3!A$1:A$32,Sheet3!B$1:B$32)</f>
        <v>SUI</v>
      </c>
      <c r="G707" s="2" t="s">
        <v>3038</v>
      </c>
      <c r="H707" s="2" t="s">
        <v>44</v>
      </c>
      <c r="I707" s="2" t="str" cm="1">
        <f t="array" ref="I707">IFERROR(playerPoints($H707,$F707,$G707,I$1),"")</f>
        <v/>
      </c>
      <c r="J707" s="2" t="str" cm="1">
        <f t="array" ref="J707">IFERROR(playerPoints($H707,$F707,$G707,J$1),"")</f>
        <v/>
      </c>
      <c r="K707" s="2" t="str" cm="1">
        <f t="array" ref="K707">IFERROR(playerPoints($H707,$F707,$G707,K$1),"")</f>
        <v/>
      </c>
      <c r="L707" s="2" t="str" cm="1">
        <f t="array" ref="L707">IFERROR(playerPoints($H707,$F707,$G707,L$1),"")</f>
        <v/>
      </c>
      <c r="M707" s="2" t="str" cm="1">
        <f t="array" ref="M707">IFERROR(playerPoints($H707,$F707,$G707,M$1),"")</f>
        <v/>
      </c>
      <c r="N707" s="2" t="str" cm="1">
        <f t="array" ref="N707">IFERROR(playerPoints($H707,$F707,$G707,N$1),"")</f>
        <v/>
      </c>
      <c r="O707" s="2" t="str" cm="1">
        <f t="array" ref="O707">IFERROR(playerPoints($H707,$F707,$G707,O$1),"")</f>
        <v/>
      </c>
      <c r="Q707" s="2">
        <f t="shared" ref="Q707:Q770" si="11">SUM(I707:O707)</f>
        <v>0</v>
      </c>
    </row>
    <row r="708" spans="1:17">
      <c r="A708" s="2">
        <v>707</v>
      </c>
      <c r="B708" s="2" t="s">
        <v>2168</v>
      </c>
      <c r="C708" s="2" t="s">
        <v>2169</v>
      </c>
      <c r="D708" s="2" t="s">
        <v>890</v>
      </c>
      <c r="F708" s="2" t="str">
        <f>LOOKUP(D708,Sheet3!A$1:A$32,Sheet3!B$1:B$32)</f>
        <v>SUI</v>
      </c>
      <c r="G708" s="2" t="s">
        <v>3039</v>
      </c>
      <c r="H708" s="2" t="s">
        <v>48</v>
      </c>
      <c r="I708" s="2" t="str" cm="1">
        <f t="array" ref="I708">IFERROR(playerPoints($H708,$F708,$G708,I$1),"")</f>
        <v/>
      </c>
      <c r="J708" s="2" t="str" cm="1">
        <f t="array" ref="J708">IFERROR(playerPoints($H708,$F708,$G708,J$1),"")</f>
        <v/>
      </c>
      <c r="K708" s="2" t="str" cm="1">
        <f t="array" ref="K708">IFERROR(playerPoints($H708,$F708,$G708,K$1),"")</f>
        <v/>
      </c>
      <c r="L708" s="2" t="str" cm="1">
        <f t="array" ref="L708">IFERROR(playerPoints($H708,$F708,$G708,L$1),"")</f>
        <v/>
      </c>
      <c r="M708" s="2" t="str" cm="1">
        <f t="array" ref="M708">IFERROR(playerPoints($H708,$F708,$G708,M$1),"")</f>
        <v/>
      </c>
      <c r="N708" s="2" t="str" cm="1">
        <f t="array" ref="N708">IFERROR(playerPoints($H708,$F708,$G708,N$1),"")</f>
        <v/>
      </c>
      <c r="O708" s="2" t="str" cm="1">
        <f t="array" ref="O708">IFERROR(playerPoints($H708,$F708,$G708,O$1),"")</f>
        <v/>
      </c>
      <c r="Q708" s="2">
        <f t="shared" si="11"/>
        <v>0</v>
      </c>
    </row>
    <row r="709" spans="1:17">
      <c r="A709" s="2">
        <v>708</v>
      </c>
      <c r="B709" s="2" t="s">
        <v>1551</v>
      </c>
      <c r="C709" s="2" t="s">
        <v>2170</v>
      </c>
      <c r="D709" s="2" t="s">
        <v>890</v>
      </c>
      <c r="F709" s="2" t="str">
        <f>LOOKUP(D709,Sheet3!A$1:A$32,Sheet3!B$1:B$32)</f>
        <v>SUI</v>
      </c>
      <c r="G709" s="2" t="s">
        <v>3040</v>
      </c>
      <c r="H709" s="2" t="s">
        <v>48</v>
      </c>
      <c r="I709" s="2" t="str" cm="1">
        <f t="array" ref="I709">IFERROR(playerPoints($H709,$F709,$G709,I$1),"")</f>
        <v/>
      </c>
      <c r="J709" s="2" t="str" cm="1">
        <f t="array" ref="J709">IFERROR(playerPoints($H709,$F709,$G709,J$1),"")</f>
        <v/>
      </c>
      <c r="K709" s="2" t="str" cm="1">
        <f t="array" ref="K709">IFERROR(playerPoints($H709,$F709,$G709,K$1),"")</f>
        <v/>
      </c>
      <c r="L709" s="2" t="str" cm="1">
        <f t="array" ref="L709">IFERROR(playerPoints($H709,$F709,$G709,L$1),"")</f>
        <v/>
      </c>
      <c r="M709" s="2" t="str" cm="1">
        <f t="array" ref="M709">IFERROR(playerPoints($H709,$F709,$G709,M$1),"")</f>
        <v/>
      </c>
      <c r="N709" s="2" t="str" cm="1">
        <f t="array" ref="N709">IFERROR(playerPoints($H709,$F709,$G709,N$1),"")</f>
        <v/>
      </c>
      <c r="O709" s="2" t="str" cm="1">
        <f t="array" ref="O709">IFERROR(playerPoints($H709,$F709,$G709,O$1),"")</f>
        <v/>
      </c>
      <c r="Q709" s="2">
        <f t="shared" si="11"/>
        <v>0</v>
      </c>
    </row>
    <row r="710" spans="1:17">
      <c r="A710" s="2">
        <v>709</v>
      </c>
      <c r="B710" s="2" t="s">
        <v>1534</v>
      </c>
      <c r="C710" s="2" t="s">
        <v>2171</v>
      </c>
      <c r="D710" s="2" t="s">
        <v>890</v>
      </c>
      <c r="F710" s="2" t="str">
        <f>LOOKUP(D710,Sheet3!A$1:A$32,Sheet3!B$1:B$32)</f>
        <v>SUI</v>
      </c>
      <c r="G710" s="2" t="s">
        <v>3041</v>
      </c>
      <c r="H710" s="2" t="s">
        <v>48</v>
      </c>
      <c r="I710" s="2" t="str" cm="1">
        <f t="array" ref="I710">IFERROR(playerPoints($H710,$F710,$G710,I$1),"")</f>
        <v/>
      </c>
      <c r="J710" s="2" t="str" cm="1">
        <f t="array" ref="J710">IFERROR(playerPoints($H710,$F710,$G710,J$1),"")</f>
        <v/>
      </c>
      <c r="K710" s="2" t="str" cm="1">
        <f t="array" ref="K710">IFERROR(playerPoints($H710,$F710,$G710,K$1),"")</f>
        <v/>
      </c>
      <c r="L710" s="2" t="str" cm="1">
        <f t="array" ref="L710">IFERROR(playerPoints($H710,$F710,$G710,L$1),"")</f>
        <v/>
      </c>
      <c r="M710" s="2" t="str" cm="1">
        <f t="array" ref="M710">IFERROR(playerPoints($H710,$F710,$G710,M$1),"")</f>
        <v/>
      </c>
      <c r="N710" s="2" t="str" cm="1">
        <f t="array" ref="N710">IFERROR(playerPoints($H710,$F710,$G710,N$1),"")</f>
        <v/>
      </c>
      <c r="O710" s="2" t="str" cm="1">
        <f t="array" ref="O710">IFERROR(playerPoints($H710,$F710,$G710,O$1),"")</f>
        <v/>
      </c>
      <c r="Q710" s="2">
        <f t="shared" si="11"/>
        <v>0</v>
      </c>
    </row>
    <row r="711" spans="1:17">
      <c r="A711" s="2">
        <v>710</v>
      </c>
      <c r="B711" s="2" t="s">
        <v>1927</v>
      </c>
      <c r="C711" s="2" t="s">
        <v>1045</v>
      </c>
      <c r="D711" s="2" t="s">
        <v>890</v>
      </c>
      <c r="F711" s="2" t="str">
        <f>LOOKUP(D711,Sheet3!A$1:A$32,Sheet3!B$1:B$32)</f>
        <v>SUI</v>
      </c>
      <c r="G711" s="2" t="s">
        <v>3042</v>
      </c>
      <c r="H711" s="2" t="s">
        <v>48</v>
      </c>
      <c r="I711" s="2" t="str" cm="1">
        <f t="array" ref="I711">IFERROR(playerPoints($H711,$F711,$G711,I$1),"")</f>
        <v/>
      </c>
      <c r="J711" s="2" t="str" cm="1">
        <f t="array" ref="J711">IFERROR(playerPoints($H711,$F711,$G711,J$1),"")</f>
        <v/>
      </c>
      <c r="K711" s="2" t="str" cm="1">
        <f t="array" ref="K711">IFERROR(playerPoints($H711,$F711,$G711,K$1),"")</f>
        <v/>
      </c>
      <c r="L711" s="2" t="str" cm="1">
        <f t="array" ref="L711">IFERROR(playerPoints($H711,$F711,$G711,L$1),"")</f>
        <v/>
      </c>
      <c r="M711" s="2" t="str" cm="1">
        <f t="array" ref="M711">IFERROR(playerPoints($H711,$F711,$G711,M$1),"")</f>
        <v/>
      </c>
      <c r="N711" s="2" t="str" cm="1">
        <f t="array" ref="N711">IFERROR(playerPoints($H711,$F711,$G711,N$1),"")</f>
        <v/>
      </c>
      <c r="O711" s="2" t="str" cm="1">
        <f t="array" ref="O711">IFERROR(playerPoints($H711,$F711,$G711,O$1),"")</f>
        <v/>
      </c>
      <c r="Q711" s="2">
        <f t="shared" si="11"/>
        <v>0</v>
      </c>
    </row>
    <row r="712" spans="1:17">
      <c r="A712" s="2">
        <v>711</v>
      </c>
      <c r="B712" s="2" t="s">
        <v>2172</v>
      </c>
      <c r="C712" s="2" t="s">
        <v>2173</v>
      </c>
      <c r="D712" s="2" t="s">
        <v>890</v>
      </c>
      <c r="F712" s="2" t="str">
        <f>LOOKUP(D712,Sheet3!A$1:A$32,Sheet3!B$1:B$32)</f>
        <v>SUI</v>
      </c>
      <c r="G712" s="2" t="s">
        <v>3043</v>
      </c>
      <c r="H712" s="2" t="s">
        <v>48</v>
      </c>
      <c r="I712" s="2" t="str" cm="1">
        <f t="array" ref="I712">IFERROR(playerPoints($H712,$F712,$G712,I$1),"")</f>
        <v/>
      </c>
      <c r="J712" s="2" t="str" cm="1">
        <f t="array" ref="J712">IFERROR(playerPoints($H712,$F712,$G712,J$1),"")</f>
        <v/>
      </c>
      <c r="K712" s="2" t="str" cm="1">
        <f t="array" ref="K712">IFERROR(playerPoints($H712,$F712,$G712,K$1),"")</f>
        <v/>
      </c>
      <c r="L712" s="2" t="str" cm="1">
        <f t="array" ref="L712">IFERROR(playerPoints($H712,$F712,$G712,L$1),"")</f>
        <v/>
      </c>
      <c r="M712" s="2" t="str" cm="1">
        <f t="array" ref="M712">IFERROR(playerPoints($H712,$F712,$G712,M$1),"")</f>
        <v/>
      </c>
      <c r="N712" s="2" t="str" cm="1">
        <f t="array" ref="N712">IFERROR(playerPoints($H712,$F712,$G712,N$1),"")</f>
        <v/>
      </c>
      <c r="O712" s="2" t="str" cm="1">
        <f t="array" ref="O712">IFERROR(playerPoints($H712,$F712,$G712,O$1),"")</f>
        <v/>
      </c>
      <c r="Q712" s="2">
        <f t="shared" si="11"/>
        <v>0</v>
      </c>
    </row>
    <row r="713" spans="1:17">
      <c r="A713" s="2">
        <v>712</v>
      </c>
      <c r="B713" s="2" t="s">
        <v>2174</v>
      </c>
      <c r="C713" s="2" t="s">
        <v>2175</v>
      </c>
      <c r="D713" s="2" t="s">
        <v>890</v>
      </c>
      <c r="F713" s="2" t="str">
        <f>LOOKUP(D713,Sheet3!A$1:A$32,Sheet3!B$1:B$32)</f>
        <v>SUI</v>
      </c>
      <c r="G713" s="2" t="s">
        <v>3044</v>
      </c>
      <c r="H713" s="2" t="s">
        <v>48</v>
      </c>
      <c r="I713" s="2" t="str" cm="1">
        <f t="array" ref="I713">IFERROR(playerPoints($H713,$F713,$G713,I$1),"")</f>
        <v/>
      </c>
      <c r="J713" s="2" t="str" cm="1">
        <f t="array" ref="J713">IFERROR(playerPoints($H713,$F713,$G713,J$1),"")</f>
        <v/>
      </c>
      <c r="K713" s="2" t="str" cm="1">
        <f t="array" ref="K713">IFERROR(playerPoints($H713,$F713,$G713,K$1),"")</f>
        <v/>
      </c>
      <c r="L713" s="2" t="str" cm="1">
        <f t="array" ref="L713">IFERROR(playerPoints($H713,$F713,$G713,L$1),"")</f>
        <v/>
      </c>
      <c r="M713" s="2" t="str" cm="1">
        <f t="array" ref="M713">IFERROR(playerPoints($H713,$F713,$G713,M$1),"")</f>
        <v/>
      </c>
      <c r="N713" s="2" t="str" cm="1">
        <f t="array" ref="N713">IFERROR(playerPoints($H713,$F713,$G713,N$1),"")</f>
        <v/>
      </c>
      <c r="O713" s="2" t="str" cm="1">
        <f t="array" ref="O713">IFERROR(playerPoints($H713,$F713,$G713,O$1),"")</f>
        <v/>
      </c>
      <c r="Q713" s="2">
        <f t="shared" si="11"/>
        <v>0</v>
      </c>
    </row>
    <row r="714" spans="1:17">
      <c r="A714" s="2">
        <v>713</v>
      </c>
      <c r="B714" s="2" t="s">
        <v>2176</v>
      </c>
      <c r="C714" s="2" t="s">
        <v>1915</v>
      </c>
      <c r="D714" s="2" t="s">
        <v>890</v>
      </c>
      <c r="F714" s="2" t="str">
        <f>LOOKUP(D714,Sheet3!A$1:A$32,Sheet3!B$1:B$32)</f>
        <v>SUI</v>
      </c>
      <c r="G714" s="2" t="s">
        <v>3045</v>
      </c>
      <c r="H714" s="2" t="s">
        <v>57</v>
      </c>
      <c r="I714" s="2" t="str" cm="1">
        <f t="array" ref="I714">IFERROR(playerPoints($H714,$F714,$G714,I$1),"")</f>
        <v/>
      </c>
      <c r="J714" s="2" t="str" cm="1">
        <f t="array" ref="J714">IFERROR(playerPoints($H714,$F714,$G714,J$1),"")</f>
        <v/>
      </c>
      <c r="K714" s="2" t="str" cm="1">
        <f t="array" ref="K714">IFERROR(playerPoints($H714,$F714,$G714,K$1),"")</f>
        <v/>
      </c>
      <c r="L714" s="2" t="str" cm="1">
        <f t="array" ref="L714">IFERROR(playerPoints($H714,$F714,$G714,L$1),"")</f>
        <v/>
      </c>
      <c r="M714" s="2" t="str" cm="1">
        <f t="array" ref="M714">IFERROR(playerPoints($H714,$F714,$G714,M$1),"")</f>
        <v/>
      </c>
      <c r="N714" s="2" t="str" cm="1">
        <f t="array" ref="N714">IFERROR(playerPoints($H714,$F714,$G714,N$1),"")</f>
        <v/>
      </c>
      <c r="O714" s="2" t="str" cm="1">
        <f t="array" ref="O714">IFERROR(playerPoints($H714,$F714,$G714,O$1),"")</f>
        <v/>
      </c>
      <c r="Q714" s="2">
        <f t="shared" si="11"/>
        <v>0</v>
      </c>
    </row>
    <row r="715" spans="1:17">
      <c r="A715" s="2">
        <v>714</v>
      </c>
      <c r="B715" s="2" t="s">
        <v>1587</v>
      </c>
      <c r="C715" s="2" t="s">
        <v>1798</v>
      </c>
      <c r="D715" s="2" t="s">
        <v>890</v>
      </c>
      <c r="F715" s="2" t="str">
        <f>LOOKUP(D715,Sheet3!A$1:A$32,Sheet3!B$1:B$32)</f>
        <v>SUI</v>
      </c>
      <c r="G715" s="2" t="s">
        <v>3046</v>
      </c>
      <c r="H715" s="2" t="s">
        <v>57</v>
      </c>
      <c r="I715" s="2" t="str" cm="1">
        <f t="array" ref="I715">IFERROR(playerPoints($H715,$F715,$G715,I$1),"")</f>
        <v/>
      </c>
      <c r="J715" s="2" t="str" cm="1">
        <f t="array" ref="J715">IFERROR(playerPoints($H715,$F715,$G715,J$1),"")</f>
        <v/>
      </c>
      <c r="K715" s="2" t="str" cm="1">
        <f t="array" ref="K715">IFERROR(playerPoints($H715,$F715,$G715,K$1),"")</f>
        <v/>
      </c>
      <c r="L715" s="2" t="str" cm="1">
        <f t="array" ref="L715">IFERROR(playerPoints($H715,$F715,$G715,L$1),"")</f>
        <v/>
      </c>
      <c r="M715" s="2" t="str" cm="1">
        <f t="array" ref="M715">IFERROR(playerPoints($H715,$F715,$G715,M$1),"")</f>
        <v/>
      </c>
      <c r="N715" s="2" t="str" cm="1">
        <f t="array" ref="N715">IFERROR(playerPoints($H715,$F715,$G715,N$1),"")</f>
        <v/>
      </c>
      <c r="O715" s="2" t="str" cm="1">
        <f t="array" ref="O715">IFERROR(playerPoints($H715,$F715,$G715,O$1),"")</f>
        <v/>
      </c>
      <c r="Q715" s="2">
        <f t="shared" si="11"/>
        <v>0</v>
      </c>
    </row>
    <row r="716" spans="1:17">
      <c r="A716" s="2">
        <v>715</v>
      </c>
      <c r="B716" s="2" t="s">
        <v>2177</v>
      </c>
      <c r="C716" s="2" t="s">
        <v>2178</v>
      </c>
      <c r="D716" s="2" t="s">
        <v>890</v>
      </c>
      <c r="F716" s="2" t="str">
        <f>LOOKUP(D716,Sheet3!A$1:A$32,Sheet3!B$1:B$32)</f>
        <v>SUI</v>
      </c>
      <c r="G716" s="2" t="s">
        <v>3047</v>
      </c>
      <c r="H716" s="2" t="s">
        <v>57</v>
      </c>
      <c r="I716" s="2" t="str" cm="1">
        <f t="array" ref="I716">IFERROR(playerPoints($H716,$F716,$G716,I$1),"")</f>
        <v/>
      </c>
      <c r="J716" s="2" t="str" cm="1">
        <f t="array" ref="J716">IFERROR(playerPoints($H716,$F716,$G716,J$1),"")</f>
        <v/>
      </c>
      <c r="K716" s="2" t="str" cm="1">
        <f t="array" ref="K716">IFERROR(playerPoints($H716,$F716,$G716,K$1),"")</f>
        <v/>
      </c>
      <c r="L716" s="2" t="str" cm="1">
        <f t="array" ref="L716">IFERROR(playerPoints($H716,$F716,$G716,L$1),"")</f>
        <v/>
      </c>
      <c r="M716" s="2" t="str" cm="1">
        <f t="array" ref="M716">IFERROR(playerPoints($H716,$F716,$G716,M$1),"")</f>
        <v/>
      </c>
      <c r="N716" s="2" t="str" cm="1">
        <f t="array" ref="N716">IFERROR(playerPoints($H716,$F716,$G716,N$1),"")</f>
        <v/>
      </c>
      <c r="O716" s="2" t="str" cm="1">
        <f t="array" ref="O716">IFERROR(playerPoints($H716,$F716,$G716,O$1),"")</f>
        <v/>
      </c>
      <c r="Q716" s="2">
        <f t="shared" si="11"/>
        <v>0</v>
      </c>
    </row>
    <row r="717" spans="1:17">
      <c r="A717" s="2">
        <v>716</v>
      </c>
      <c r="B717" s="2" t="s">
        <v>2179</v>
      </c>
      <c r="C717" s="2" t="s">
        <v>2180</v>
      </c>
      <c r="D717" s="2" t="s">
        <v>890</v>
      </c>
      <c r="F717" s="2" t="str">
        <f>LOOKUP(D717,Sheet3!A$1:A$32,Sheet3!B$1:B$32)</f>
        <v>SUI</v>
      </c>
      <c r="G717" s="2" t="s">
        <v>3048</v>
      </c>
      <c r="H717" s="2" t="s">
        <v>57</v>
      </c>
      <c r="I717" s="2" t="str" cm="1">
        <f t="array" ref="I717">IFERROR(playerPoints($H717,$F717,$G717,I$1),"")</f>
        <v/>
      </c>
      <c r="J717" s="2" t="str" cm="1">
        <f t="array" ref="J717">IFERROR(playerPoints($H717,$F717,$G717,J$1),"")</f>
        <v/>
      </c>
      <c r="K717" s="2" t="str" cm="1">
        <f t="array" ref="K717">IFERROR(playerPoints($H717,$F717,$G717,K$1),"")</f>
        <v/>
      </c>
      <c r="L717" s="2" t="str" cm="1">
        <f t="array" ref="L717">IFERROR(playerPoints($H717,$F717,$G717,L$1),"")</f>
        <v/>
      </c>
      <c r="M717" s="2" t="str" cm="1">
        <f t="array" ref="M717">IFERROR(playerPoints($H717,$F717,$G717,M$1),"")</f>
        <v/>
      </c>
      <c r="N717" s="2" t="str" cm="1">
        <f t="array" ref="N717">IFERROR(playerPoints($H717,$F717,$G717,N$1),"")</f>
        <v/>
      </c>
      <c r="O717" s="2" t="str" cm="1">
        <f t="array" ref="O717">IFERROR(playerPoints($H717,$F717,$G717,O$1),"")</f>
        <v/>
      </c>
      <c r="Q717" s="2">
        <f t="shared" si="11"/>
        <v>0</v>
      </c>
    </row>
    <row r="718" spans="1:17">
      <c r="A718" s="2">
        <v>717</v>
      </c>
      <c r="B718" s="2" t="s">
        <v>2181</v>
      </c>
      <c r="C718" s="2" t="s">
        <v>2182</v>
      </c>
      <c r="D718" s="2" t="s">
        <v>890</v>
      </c>
      <c r="F718" s="2" t="str">
        <f>LOOKUP(D718,Sheet3!A$1:A$32,Sheet3!B$1:B$32)</f>
        <v>SUI</v>
      </c>
      <c r="G718" s="2" t="s">
        <v>3049</v>
      </c>
      <c r="H718" s="2" t="s">
        <v>57</v>
      </c>
      <c r="I718" s="2" t="str" cm="1">
        <f t="array" ref="I718">IFERROR(playerPoints($H718,$F718,$G718,I$1),"")</f>
        <v/>
      </c>
      <c r="J718" s="2" t="str" cm="1">
        <f t="array" ref="J718">IFERROR(playerPoints($H718,$F718,$G718,J$1),"")</f>
        <v/>
      </c>
      <c r="K718" s="2" t="str" cm="1">
        <f t="array" ref="K718">IFERROR(playerPoints($H718,$F718,$G718,K$1),"")</f>
        <v/>
      </c>
      <c r="L718" s="2" t="str" cm="1">
        <f t="array" ref="L718">IFERROR(playerPoints($H718,$F718,$G718,L$1),"")</f>
        <v/>
      </c>
      <c r="M718" s="2" t="str" cm="1">
        <f t="array" ref="M718">IFERROR(playerPoints($H718,$F718,$G718,M$1),"")</f>
        <v/>
      </c>
      <c r="N718" s="2" t="str" cm="1">
        <f t="array" ref="N718">IFERROR(playerPoints($H718,$F718,$G718,N$1),"")</f>
        <v/>
      </c>
      <c r="O718" s="2" t="str" cm="1">
        <f t="array" ref="O718">IFERROR(playerPoints($H718,$F718,$G718,O$1),"")</f>
        <v/>
      </c>
      <c r="Q718" s="2">
        <f t="shared" si="11"/>
        <v>0</v>
      </c>
    </row>
    <row r="719" spans="1:17">
      <c r="A719" s="2">
        <v>718</v>
      </c>
      <c r="B719" s="2" t="s">
        <v>2183</v>
      </c>
      <c r="C719" s="2" t="s">
        <v>2184</v>
      </c>
      <c r="D719" s="2" t="s">
        <v>890</v>
      </c>
      <c r="F719" s="2" t="str">
        <f>LOOKUP(D719,Sheet3!A$1:A$32,Sheet3!B$1:B$32)</f>
        <v>SUI</v>
      </c>
      <c r="G719" s="2" t="s">
        <v>3050</v>
      </c>
      <c r="H719" s="2" t="s">
        <v>57</v>
      </c>
      <c r="I719" s="2" t="str" cm="1">
        <f t="array" ref="I719">IFERROR(playerPoints($H719,$F719,$G719,I$1),"")</f>
        <v/>
      </c>
      <c r="J719" s="2" t="str" cm="1">
        <f t="array" ref="J719">IFERROR(playerPoints($H719,$F719,$G719,J$1),"")</f>
        <v/>
      </c>
      <c r="K719" s="2" t="str" cm="1">
        <f t="array" ref="K719">IFERROR(playerPoints($H719,$F719,$G719,K$1),"")</f>
        <v/>
      </c>
      <c r="L719" s="2" t="str" cm="1">
        <f t="array" ref="L719">IFERROR(playerPoints($H719,$F719,$G719,L$1),"")</f>
        <v/>
      </c>
      <c r="M719" s="2" t="str" cm="1">
        <f t="array" ref="M719">IFERROR(playerPoints($H719,$F719,$G719,M$1),"")</f>
        <v/>
      </c>
      <c r="N719" s="2" t="str" cm="1">
        <f t="array" ref="N719">IFERROR(playerPoints($H719,$F719,$G719,N$1),"")</f>
        <v/>
      </c>
      <c r="O719" s="2" t="str" cm="1">
        <f t="array" ref="O719">IFERROR(playerPoints($H719,$F719,$G719,O$1),"")</f>
        <v/>
      </c>
      <c r="Q719" s="2">
        <f t="shared" si="11"/>
        <v>0</v>
      </c>
    </row>
    <row r="720" spans="1:17">
      <c r="A720" s="2">
        <v>719</v>
      </c>
      <c r="B720" s="2" t="s">
        <v>2185</v>
      </c>
      <c r="C720" s="2" t="s">
        <v>2186</v>
      </c>
      <c r="D720" s="2" t="s">
        <v>890</v>
      </c>
      <c r="F720" s="2" t="str">
        <f>LOOKUP(D720,Sheet3!A$1:A$32,Sheet3!B$1:B$32)</f>
        <v>SUI</v>
      </c>
      <c r="G720" s="2" t="s">
        <v>3051</v>
      </c>
      <c r="H720" s="2" t="s">
        <v>57</v>
      </c>
      <c r="I720" s="2" t="str" cm="1">
        <f t="array" ref="I720">IFERROR(playerPoints($H720,$F720,$G720,I$1),"")</f>
        <v/>
      </c>
      <c r="J720" s="2" t="str" cm="1">
        <f t="array" ref="J720">IFERROR(playerPoints($H720,$F720,$G720,J$1),"")</f>
        <v/>
      </c>
      <c r="K720" s="2" t="str" cm="1">
        <f t="array" ref="K720">IFERROR(playerPoints($H720,$F720,$G720,K$1),"")</f>
        <v/>
      </c>
      <c r="L720" s="2" t="str" cm="1">
        <f t="array" ref="L720">IFERROR(playerPoints($H720,$F720,$G720,L$1),"")</f>
        <v/>
      </c>
      <c r="M720" s="2" t="str" cm="1">
        <f t="array" ref="M720">IFERROR(playerPoints($H720,$F720,$G720,M$1),"")</f>
        <v/>
      </c>
      <c r="N720" s="2" t="str" cm="1">
        <f t="array" ref="N720">IFERROR(playerPoints($H720,$F720,$G720,N$1),"")</f>
        <v/>
      </c>
      <c r="O720" s="2" t="str" cm="1">
        <f t="array" ref="O720">IFERROR(playerPoints($H720,$F720,$G720,O$1),"")</f>
        <v/>
      </c>
      <c r="Q720" s="2">
        <f t="shared" si="11"/>
        <v>0</v>
      </c>
    </row>
    <row r="721" spans="1:17">
      <c r="A721" s="2">
        <v>720</v>
      </c>
      <c r="B721" s="2" t="s">
        <v>1219</v>
      </c>
      <c r="C721" s="2" t="s">
        <v>2187</v>
      </c>
      <c r="D721" s="2" t="s">
        <v>890</v>
      </c>
      <c r="F721" s="2" t="str">
        <f>LOOKUP(D721,Sheet3!A$1:A$32,Sheet3!B$1:B$32)</f>
        <v>SUI</v>
      </c>
      <c r="G721" s="2" t="s">
        <v>3052</v>
      </c>
      <c r="H721" s="2" t="s">
        <v>57</v>
      </c>
      <c r="I721" s="2" t="str" cm="1">
        <f t="array" ref="I721">IFERROR(playerPoints($H721,$F721,$G721,I$1),"")</f>
        <v/>
      </c>
      <c r="J721" s="2" t="str" cm="1">
        <f t="array" ref="J721">IFERROR(playerPoints($H721,$F721,$G721,J$1),"")</f>
        <v/>
      </c>
      <c r="K721" s="2" t="str" cm="1">
        <f t="array" ref="K721">IFERROR(playerPoints($H721,$F721,$G721,K$1),"")</f>
        <v/>
      </c>
      <c r="L721" s="2" t="str" cm="1">
        <f t="array" ref="L721">IFERROR(playerPoints($H721,$F721,$G721,L$1),"")</f>
        <v/>
      </c>
      <c r="M721" s="2" t="str" cm="1">
        <f t="array" ref="M721">IFERROR(playerPoints($H721,$F721,$G721,M$1),"")</f>
        <v/>
      </c>
      <c r="N721" s="2" t="str" cm="1">
        <f t="array" ref="N721">IFERROR(playerPoints($H721,$F721,$G721,N$1),"")</f>
        <v/>
      </c>
      <c r="O721" s="2" t="str" cm="1">
        <f t="array" ref="O721">IFERROR(playerPoints($H721,$F721,$G721,O$1),"")</f>
        <v/>
      </c>
      <c r="Q721" s="2">
        <f t="shared" si="11"/>
        <v>0</v>
      </c>
    </row>
    <row r="722" spans="1:17">
      <c r="A722" s="2">
        <v>721</v>
      </c>
      <c r="B722" s="2" t="s">
        <v>2188</v>
      </c>
      <c r="C722" s="2" t="s">
        <v>2189</v>
      </c>
      <c r="D722" s="2" t="s">
        <v>890</v>
      </c>
      <c r="F722" s="2" t="str">
        <f>LOOKUP(D722,Sheet3!A$1:A$32,Sheet3!B$1:B$32)</f>
        <v>SUI</v>
      </c>
      <c r="G722" s="2" t="s">
        <v>3053</v>
      </c>
      <c r="H722" s="2" t="s">
        <v>57</v>
      </c>
      <c r="I722" s="2" t="str" cm="1">
        <f t="array" ref="I722">IFERROR(playerPoints($H722,$F722,$G722,I$1),"")</f>
        <v/>
      </c>
      <c r="J722" s="2" t="str" cm="1">
        <f t="array" ref="J722">IFERROR(playerPoints($H722,$F722,$G722,J$1),"")</f>
        <v/>
      </c>
      <c r="K722" s="2" t="str" cm="1">
        <f t="array" ref="K722">IFERROR(playerPoints($H722,$F722,$G722,K$1),"")</f>
        <v/>
      </c>
      <c r="L722" s="2" t="str" cm="1">
        <f t="array" ref="L722">IFERROR(playerPoints($H722,$F722,$G722,L$1),"")</f>
        <v/>
      </c>
      <c r="M722" s="2" t="str" cm="1">
        <f t="array" ref="M722">IFERROR(playerPoints($H722,$F722,$G722,M$1),"")</f>
        <v/>
      </c>
      <c r="N722" s="2" t="str" cm="1">
        <f t="array" ref="N722">IFERROR(playerPoints($H722,$F722,$G722,N$1),"")</f>
        <v/>
      </c>
      <c r="O722" s="2" t="str" cm="1">
        <f t="array" ref="O722">IFERROR(playerPoints($H722,$F722,$G722,O$1),"")</f>
        <v/>
      </c>
      <c r="Q722" s="2">
        <f t="shared" si="11"/>
        <v>0</v>
      </c>
    </row>
    <row r="723" spans="1:17">
      <c r="A723" s="2">
        <v>722</v>
      </c>
      <c r="B723" s="2" t="s">
        <v>2174</v>
      </c>
      <c r="C723" s="2" t="s">
        <v>2190</v>
      </c>
      <c r="D723" s="2" t="s">
        <v>890</v>
      </c>
      <c r="F723" s="2" t="str">
        <f>LOOKUP(D723,Sheet3!A$1:A$32,Sheet3!B$1:B$32)</f>
        <v>SUI</v>
      </c>
      <c r="G723" s="2" t="s">
        <v>3054</v>
      </c>
      <c r="H723" s="2" t="s">
        <v>57</v>
      </c>
      <c r="I723" s="2" t="str" cm="1">
        <f t="array" ref="I723">IFERROR(playerPoints($H723,$F723,$G723,I$1),"")</f>
        <v/>
      </c>
      <c r="J723" s="2" t="str" cm="1">
        <f t="array" ref="J723">IFERROR(playerPoints($H723,$F723,$G723,J$1),"")</f>
        <v/>
      </c>
      <c r="K723" s="2" t="str" cm="1">
        <f t="array" ref="K723">IFERROR(playerPoints($H723,$F723,$G723,K$1),"")</f>
        <v/>
      </c>
      <c r="L723" s="2" t="str" cm="1">
        <f t="array" ref="L723">IFERROR(playerPoints($H723,$F723,$G723,L$1),"")</f>
        <v/>
      </c>
      <c r="M723" s="2" t="str" cm="1">
        <f t="array" ref="M723">IFERROR(playerPoints($H723,$F723,$G723,M$1),"")</f>
        <v/>
      </c>
      <c r="N723" s="2" t="str" cm="1">
        <f t="array" ref="N723">IFERROR(playerPoints($H723,$F723,$G723,N$1),"")</f>
        <v/>
      </c>
      <c r="O723" s="2" t="str" cm="1">
        <f t="array" ref="O723">IFERROR(playerPoints($H723,$F723,$G723,O$1),"")</f>
        <v/>
      </c>
      <c r="Q723" s="2">
        <f t="shared" si="11"/>
        <v>0</v>
      </c>
    </row>
    <row r="724" spans="1:17">
      <c r="A724" s="2">
        <v>723</v>
      </c>
      <c r="B724" s="2" t="s">
        <v>2191</v>
      </c>
      <c r="C724" s="2" t="s">
        <v>2192</v>
      </c>
      <c r="D724" s="2" t="s">
        <v>890</v>
      </c>
      <c r="F724" s="2" t="str">
        <f>LOOKUP(D724,Sheet3!A$1:A$32,Sheet3!B$1:B$32)</f>
        <v>SUI</v>
      </c>
      <c r="G724" s="2" t="s">
        <v>3055</v>
      </c>
      <c r="H724" s="2" t="s">
        <v>57</v>
      </c>
      <c r="I724" s="2" t="str" cm="1">
        <f t="array" ref="I724">IFERROR(playerPoints($H724,$F724,$G724,I$1),"")</f>
        <v/>
      </c>
      <c r="J724" s="2" t="str" cm="1">
        <f t="array" ref="J724">IFERROR(playerPoints($H724,$F724,$G724,J$1),"")</f>
        <v/>
      </c>
      <c r="K724" s="2" t="str" cm="1">
        <f t="array" ref="K724">IFERROR(playerPoints($H724,$F724,$G724,K$1),"")</f>
        <v/>
      </c>
      <c r="L724" s="2" t="str" cm="1">
        <f t="array" ref="L724">IFERROR(playerPoints($H724,$F724,$G724,L$1),"")</f>
        <v/>
      </c>
      <c r="M724" s="2" t="str" cm="1">
        <f t="array" ref="M724">IFERROR(playerPoints($H724,$F724,$G724,M$1),"")</f>
        <v/>
      </c>
      <c r="N724" s="2" t="str" cm="1">
        <f t="array" ref="N724">IFERROR(playerPoints($H724,$F724,$G724,N$1),"")</f>
        <v/>
      </c>
      <c r="O724" s="2" t="str" cm="1">
        <f t="array" ref="O724">IFERROR(playerPoints($H724,$F724,$G724,O$1),"")</f>
        <v/>
      </c>
      <c r="Q724" s="2">
        <f t="shared" si="11"/>
        <v>0</v>
      </c>
    </row>
    <row r="725" spans="1:17">
      <c r="A725" s="2">
        <v>724</v>
      </c>
      <c r="B725" s="2" t="s">
        <v>2174</v>
      </c>
      <c r="C725" s="2" t="s">
        <v>2193</v>
      </c>
      <c r="D725" s="2" t="s">
        <v>890</v>
      </c>
      <c r="F725" s="2" t="str">
        <f>LOOKUP(D725,Sheet3!A$1:A$32,Sheet3!B$1:B$32)</f>
        <v>SUI</v>
      </c>
      <c r="G725" s="2" t="s">
        <v>3056</v>
      </c>
      <c r="H725" s="2" t="s">
        <v>57</v>
      </c>
      <c r="I725" s="2" t="str" cm="1">
        <f t="array" ref="I725">IFERROR(playerPoints($H725,$F725,$G725,I$1),"")</f>
        <v/>
      </c>
      <c r="J725" s="2" t="str" cm="1">
        <f t="array" ref="J725">IFERROR(playerPoints($H725,$F725,$G725,J$1),"")</f>
        <v/>
      </c>
      <c r="K725" s="2" t="str" cm="1">
        <f t="array" ref="K725">IFERROR(playerPoints($H725,$F725,$G725,K$1),"")</f>
        <v/>
      </c>
      <c r="L725" s="2" t="str" cm="1">
        <f t="array" ref="L725">IFERROR(playerPoints($H725,$F725,$G725,L$1),"")</f>
        <v/>
      </c>
      <c r="M725" s="2" t="str" cm="1">
        <f t="array" ref="M725">IFERROR(playerPoints($H725,$F725,$G725,M$1),"")</f>
        <v/>
      </c>
      <c r="N725" s="2" t="str" cm="1">
        <f t="array" ref="N725">IFERROR(playerPoints($H725,$F725,$G725,N$1),"")</f>
        <v/>
      </c>
      <c r="O725" s="2" t="str" cm="1">
        <f t="array" ref="O725">IFERROR(playerPoints($H725,$F725,$G725,O$1),"")</f>
        <v/>
      </c>
      <c r="Q725" s="2">
        <f t="shared" si="11"/>
        <v>0</v>
      </c>
    </row>
    <row r="726" spans="1:17">
      <c r="A726" s="2">
        <v>725</v>
      </c>
      <c r="B726" s="2" t="s">
        <v>2194</v>
      </c>
      <c r="C726" s="2" t="s">
        <v>2195</v>
      </c>
      <c r="D726" s="2" t="s">
        <v>890</v>
      </c>
      <c r="F726" s="2" t="str">
        <f>LOOKUP(D726,Sheet3!A$1:A$32,Sheet3!B$1:B$32)</f>
        <v>SUI</v>
      </c>
      <c r="G726" s="2" t="s">
        <v>3057</v>
      </c>
      <c r="H726" s="2" t="s">
        <v>57</v>
      </c>
      <c r="I726" s="2" t="str" cm="1">
        <f t="array" ref="I726">IFERROR(playerPoints($H726,$F726,$G726,I$1),"")</f>
        <v/>
      </c>
      <c r="J726" s="2" t="str" cm="1">
        <f t="array" ref="J726">IFERROR(playerPoints($H726,$F726,$G726,J$1),"")</f>
        <v/>
      </c>
      <c r="K726" s="2" t="str" cm="1">
        <f t="array" ref="K726">IFERROR(playerPoints($H726,$F726,$G726,K$1),"")</f>
        <v/>
      </c>
      <c r="L726" s="2" t="str" cm="1">
        <f t="array" ref="L726">IFERROR(playerPoints($H726,$F726,$G726,L$1),"")</f>
        <v/>
      </c>
      <c r="M726" s="2" t="str" cm="1">
        <f t="array" ref="M726">IFERROR(playerPoints($H726,$F726,$G726,M$1),"")</f>
        <v/>
      </c>
      <c r="N726" s="2" t="str" cm="1">
        <f t="array" ref="N726">IFERROR(playerPoints($H726,$F726,$G726,N$1),"")</f>
        <v/>
      </c>
      <c r="O726" s="2" t="str" cm="1">
        <f t="array" ref="O726">IFERROR(playerPoints($H726,$F726,$G726,O$1),"")</f>
        <v/>
      </c>
      <c r="Q726" s="2">
        <f t="shared" si="11"/>
        <v>0</v>
      </c>
    </row>
    <row r="727" spans="1:17">
      <c r="A727" s="2">
        <v>726</v>
      </c>
      <c r="B727" s="2" t="s">
        <v>2196</v>
      </c>
      <c r="C727" s="2" t="s">
        <v>2197</v>
      </c>
      <c r="D727" s="2" t="s">
        <v>890</v>
      </c>
      <c r="F727" s="2" t="str">
        <f>LOOKUP(D727,Sheet3!A$1:A$32,Sheet3!B$1:B$32)</f>
        <v>SUI</v>
      </c>
      <c r="G727" s="2" t="s">
        <v>3058</v>
      </c>
      <c r="H727" s="2" t="s">
        <v>66</v>
      </c>
      <c r="I727" s="2" t="str" cm="1">
        <f t="array" ref="I727">IFERROR(playerPoints($H727,$F727,$G727,I$1),"")</f>
        <v/>
      </c>
      <c r="J727" s="2" t="str" cm="1">
        <f t="array" ref="J727">IFERROR(playerPoints($H727,$F727,$G727,J$1),"")</f>
        <v/>
      </c>
      <c r="K727" s="2" t="str" cm="1">
        <f t="array" ref="K727">IFERROR(playerPoints($H727,$F727,$G727,K$1),"")</f>
        <v/>
      </c>
      <c r="L727" s="2" t="str" cm="1">
        <f t="array" ref="L727">IFERROR(playerPoints($H727,$F727,$G727,L$1),"")</f>
        <v/>
      </c>
      <c r="M727" s="2" t="str" cm="1">
        <f t="array" ref="M727">IFERROR(playerPoints($H727,$F727,$G727,M$1),"")</f>
        <v/>
      </c>
      <c r="N727" s="2" t="str" cm="1">
        <f t="array" ref="N727">IFERROR(playerPoints($H727,$F727,$G727,N$1),"")</f>
        <v/>
      </c>
      <c r="O727" s="2" t="str" cm="1">
        <f t="array" ref="O727">IFERROR(playerPoints($H727,$F727,$G727,O$1),"")</f>
        <v/>
      </c>
      <c r="Q727" s="2">
        <f t="shared" si="11"/>
        <v>0</v>
      </c>
    </row>
    <row r="728" spans="1:17">
      <c r="A728" s="2">
        <v>727</v>
      </c>
      <c r="B728" s="2" t="s">
        <v>2198</v>
      </c>
      <c r="C728" s="2" t="s">
        <v>2199</v>
      </c>
      <c r="D728" s="2" t="s">
        <v>890</v>
      </c>
      <c r="F728" s="2" t="str">
        <f>LOOKUP(D728,Sheet3!A$1:A$32,Sheet3!B$1:B$32)</f>
        <v>SUI</v>
      </c>
      <c r="G728" s="2" t="s">
        <v>3059</v>
      </c>
      <c r="H728" s="2" t="s">
        <v>66</v>
      </c>
      <c r="I728" s="2" t="str" cm="1">
        <f t="array" ref="I728">IFERROR(playerPoints($H728,$F728,$G728,I$1),"")</f>
        <v/>
      </c>
      <c r="J728" s="2" t="str" cm="1">
        <f t="array" ref="J728">IFERROR(playerPoints($H728,$F728,$G728,J$1),"")</f>
        <v/>
      </c>
      <c r="K728" s="2" t="str" cm="1">
        <f t="array" ref="K728">IFERROR(playerPoints($H728,$F728,$G728,K$1),"")</f>
        <v/>
      </c>
      <c r="L728" s="2" t="str" cm="1">
        <f t="array" ref="L728">IFERROR(playerPoints($H728,$F728,$G728,L$1),"")</f>
        <v/>
      </c>
      <c r="M728" s="2" t="str" cm="1">
        <f t="array" ref="M728">IFERROR(playerPoints($H728,$F728,$G728,M$1),"")</f>
        <v/>
      </c>
      <c r="N728" s="2" t="str" cm="1">
        <f t="array" ref="N728">IFERROR(playerPoints($H728,$F728,$G728,N$1),"")</f>
        <v/>
      </c>
      <c r="O728" s="2" t="str" cm="1">
        <f t="array" ref="O728">IFERROR(playerPoints($H728,$F728,$G728,O$1),"")</f>
        <v/>
      </c>
      <c r="Q728" s="2">
        <f t="shared" si="11"/>
        <v>0</v>
      </c>
    </row>
    <row r="729" spans="1:17">
      <c r="A729" s="2">
        <v>728</v>
      </c>
      <c r="B729" s="2" t="s">
        <v>2200</v>
      </c>
      <c r="C729" s="2" t="s">
        <v>2201</v>
      </c>
      <c r="D729" s="2" t="s">
        <v>890</v>
      </c>
      <c r="F729" s="2" t="str">
        <f>LOOKUP(D729,Sheet3!A$1:A$32,Sheet3!B$1:B$32)</f>
        <v>SUI</v>
      </c>
      <c r="G729" s="2" t="s">
        <v>3060</v>
      </c>
      <c r="H729" s="2" t="s">
        <v>66</v>
      </c>
      <c r="I729" s="2" t="str" cm="1">
        <f t="array" ref="I729">IFERROR(playerPoints($H729,$F729,$G729,I$1),"")</f>
        <v/>
      </c>
      <c r="J729" s="2" t="str" cm="1">
        <f t="array" ref="J729">IFERROR(playerPoints($H729,$F729,$G729,J$1),"")</f>
        <v/>
      </c>
      <c r="K729" s="2" t="str" cm="1">
        <f t="array" ref="K729">IFERROR(playerPoints($H729,$F729,$G729,K$1),"")</f>
        <v/>
      </c>
      <c r="L729" s="2" t="str" cm="1">
        <f t="array" ref="L729">IFERROR(playerPoints($H729,$F729,$G729,L$1),"")</f>
        <v/>
      </c>
      <c r="M729" s="2" t="str" cm="1">
        <f t="array" ref="M729">IFERROR(playerPoints($H729,$F729,$G729,M$1),"")</f>
        <v/>
      </c>
      <c r="N729" s="2" t="str" cm="1">
        <f t="array" ref="N729">IFERROR(playerPoints($H729,$F729,$G729,N$1),"")</f>
        <v/>
      </c>
      <c r="O729" s="2" t="str" cm="1">
        <f t="array" ref="O729">IFERROR(playerPoints($H729,$F729,$G729,O$1),"")</f>
        <v/>
      </c>
      <c r="Q729" s="2">
        <f t="shared" si="11"/>
        <v>0</v>
      </c>
    </row>
    <row r="730" spans="1:17">
      <c r="A730" s="2">
        <v>729</v>
      </c>
      <c r="B730" s="2" t="s">
        <v>2202</v>
      </c>
      <c r="C730" s="2" t="s">
        <v>2203</v>
      </c>
      <c r="D730" s="2" t="s">
        <v>891</v>
      </c>
      <c r="F730" s="2" t="str">
        <f>LOOKUP(D730,Sheet3!A$1:A$32,Sheet3!B$1:B$32)</f>
        <v>TUN</v>
      </c>
      <c r="G730" s="2" t="s">
        <v>3061</v>
      </c>
      <c r="H730" s="2" t="s">
        <v>44</v>
      </c>
      <c r="I730" s="2" t="str" cm="1">
        <f t="array" ref="I730">IFERROR(playerPoints($H730,$F730,$G730,I$1),"")</f>
        <v/>
      </c>
      <c r="J730" s="2" t="str" cm="1">
        <f t="array" ref="J730">IFERROR(playerPoints($H730,$F730,$G730,J$1),"")</f>
        <v/>
      </c>
      <c r="K730" s="2" t="str" cm="1">
        <f t="array" ref="K730">IFERROR(playerPoints($H730,$F730,$G730,K$1),"")</f>
        <v/>
      </c>
      <c r="L730" s="2" t="str" cm="1">
        <f t="array" ref="L730">IFERROR(playerPoints($H730,$F730,$G730,L$1),"")</f>
        <v/>
      </c>
      <c r="M730" s="2" t="str" cm="1">
        <f t="array" ref="M730">IFERROR(playerPoints($H730,$F730,$G730,M$1),"")</f>
        <v/>
      </c>
      <c r="N730" s="2" t="str" cm="1">
        <f t="array" ref="N730">IFERROR(playerPoints($H730,$F730,$G730,N$1),"")</f>
        <v/>
      </c>
      <c r="O730" s="2" t="str" cm="1">
        <f t="array" ref="O730">IFERROR(playerPoints($H730,$F730,$G730,O$1),"")</f>
        <v/>
      </c>
      <c r="Q730" s="2">
        <f t="shared" si="11"/>
        <v>0</v>
      </c>
    </row>
    <row r="731" spans="1:17">
      <c r="A731" s="2">
        <v>730</v>
      </c>
      <c r="B731" s="2" t="s">
        <v>2202</v>
      </c>
      <c r="C731" s="2" t="s">
        <v>2204</v>
      </c>
      <c r="D731" s="2" t="s">
        <v>891</v>
      </c>
      <c r="F731" s="2" t="str">
        <f>LOOKUP(D731,Sheet3!A$1:A$32,Sheet3!B$1:B$32)</f>
        <v>TUN</v>
      </c>
      <c r="G731" s="2" t="s">
        <v>3062</v>
      </c>
      <c r="H731" s="2" t="s">
        <v>44</v>
      </c>
      <c r="I731" s="2" t="str" cm="1">
        <f t="array" ref="I731">IFERROR(playerPoints($H731,$F731,$G731,I$1),"")</f>
        <v/>
      </c>
      <c r="J731" s="2" t="str" cm="1">
        <f t="array" ref="J731">IFERROR(playerPoints($H731,$F731,$G731,J$1),"")</f>
        <v/>
      </c>
      <c r="K731" s="2" t="str" cm="1">
        <f t="array" ref="K731">IFERROR(playerPoints($H731,$F731,$G731,K$1),"")</f>
        <v/>
      </c>
      <c r="L731" s="2" t="str" cm="1">
        <f t="array" ref="L731">IFERROR(playerPoints($H731,$F731,$G731,L$1),"")</f>
        <v/>
      </c>
      <c r="M731" s="2" t="str" cm="1">
        <f t="array" ref="M731">IFERROR(playerPoints($H731,$F731,$G731,M$1),"")</f>
        <v/>
      </c>
      <c r="N731" s="2" t="str" cm="1">
        <f t="array" ref="N731">IFERROR(playerPoints($H731,$F731,$G731,N$1),"")</f>
        <v/>
      </c>
      <c r="O731" s="2" t="str" cm="1">
        <f t="array" ref="O731">IFERROR(playerPoints($H731,$F731,$G731,O$1),"")</f>
        <v/>
      </c>
      <c r="Q731" s="2">
        <f t="shared" si="11"/>
        <v>0</v>
      </c>
    </row>
    <row r="732" spans="1:17">
      <c r="A732" s="2">
        <v>731</v>
      </c>
      <c r="B732" s="2" t="s">
        <v>2205</v>
      </c>
      <c r="C732" s="2" t="s">
        <v>2206</v>
      </c>
      <c r="D732" s="2" t="s">
        <v>891</v>
      </c>
      <c r="F732" s="2" t="str">
        <f>LOOKUP(D732,Sheet3!A$1:A$32,Sheet3!B$1:B$32)</f>
        <v>TUN</v>
      </c>
      <c r="G732" s="2" t="s">
        <v>3063</v>
      </c>
      <c r="H732" s="2" t="s">
        <v>44</v>
      </c>
      <c r="I732" s="2" t="str" cm="1">
        <f t="array" ref="I732">IFERROR(playerPoints($H732,$F732,$G732,I$1),"")</f>
        <v/>
      </c>
      <c r="J732" s="2" t="str" cm="1">
        <f t="array" ref="J732">IFERROR(playerPoints($H732,$F732,$G732,J$1),"")</f>
        <v/>
      </c>
      <c r="K732" s="2" t="str" cm="1">
        <f t="array" ref="K732">IFERROR(playerPoints($H732,$F732,$G732,K$1),"")</f>
        <v/>
      </c>
      <c r="L732" s="2" t="str" cm="1">
        <f t="array" ref="L732">IFERROR(playerPoints($H732,$F732,$G732,L$1),"")</f>
        <v/>
      </c>
      <c r="M732" s="2" t="str" cm="1">
        <f t="array" ref="M732">IFERROR(playerPoints($H732,$F732,$G732,M$1),"")</f>
        <v/>
      </c>
      <c r="N732" s="2" t="str" cm="1">
        <f t="array" ref="N732">IFERROR(playerPoints($H732,$F732,$G732,N$1),"")</f>
        <v/>
      </c>
      <c r="O732" s="2" t="str" cm="1">
        <f t="array" ref="O732">IFERROR(playerPoints($H732,$F732,$G732,O$1),"")</f>
        <v/>
      </c>
      <c r="Q732" s="2">
        <f t="shared" si="11"/>
        <v>0</v>
      </c>
    </row>
    <row r="733" spans="1:17">
      <c r="A733" s="2">
        <v>732</v>
      </c>
      <c r="B733" s="2" t="s">
        <v>2207</v>
      </c>
      <c r="C733" s="2" t="s">
        <v>2208</v>
      </c>
      <c r="D733" s="2" t="s">
        <v>891</v>
      </c>
      <c r="F733" s="2" t="str">
        <f>LOOKUP(D733,Sheet3!A$1:A$32,Sheet3!B$1:B$32)</f>
        <v>TUN</v>
      </c>
      <c r="G733" s="2" t="s">
        <v>3064</v>
      </c>
      <c r="H733" s="2" t="s">
        <v>44</v>
      </c>
      <c r="I733" s="2" t="str" cm="1">
        <f t="array" ref="I733">IFERROR(playerPoints($H733,$F733,$G733,I$1),"")</f>
        <v/>
      </c>
      <c r="J733" s="2" t="str" cm="1">
        <f t="array" ref="J733">IFERROR(playerPoints($H733,$F733,$G733,J$1),"")</f>
        <v/>
      </c>
      <c r="K733" s="2" t="str" cm="1">
        <f t="array" ref="K733">IFERROR(playerPoints($H733,$F733,$G733,K$1),"")</f>
        <v/>
      </c>
      <c r="L733" s="2" t="str" cm="1">
        <f t="array" ref="L733">IFERROR(playerPoints($H733,$F733,$G733,L$1),"")</f>
        <v/>
      </c>
      <c r="M733" s="2" t="str" cm="1">
        <f t="array" ref="M733">IFERROR(playerPoints($H733,$F733,$G733,M$1),"")</f>
        <v/>
      </c>
      <c r="N733" s="2" t="str" cm="1">
        <f t="array" ref="N733">IFERROR(playerPoints($H733,$F733,$G733,N$1),"")</f>
        <v/>
      </c>
      <c r="O733" s="2" t="str" cm="1">
        <f t="array" ref="O733">IFERROR(playerPoints($H733,$F733,$G733,O$1),"")</f>
        <v/>
      </c>
      <c r="Q733" s="2">
        <f t="shared" si="11"/>
        <v>0</v>
      </c>
    </row>
    <row r="734" spans="1:17">
      <c r="A734" s="2">
        <v>733</v>
      </c>
      <c r="B734" s="2" t="s">
        <v>2209</v>
      </c>
      <c r="C734" s="2" t="s">
        <v>2210</v>
      </c>
      <c r="D734" s="2" t="s">
        <v>891</v>
      </c>
      <c r="F734" s="2" t="str">
        <f>LOOKUP(D734,Sheet3!A$1:A$32,Sheet3!B$1:B$32)</f>
        <v>TUN</v>
      </c>
      <c r="G734" s="2" t="s">
        <v>3065</v>
      </c>
      <c r="H734" s="2" t="s">
        <v>48</v>
      </c>
      <c r="I734" s="2" t="str" cm="1">
        <f t="array" ref="I734">IFERROR(playerPoints($H734,$F734,$G734,I$1),"")</f>
        <v/>
      </c>
      <c r="J734" s="2" t="str" cm="1">
        <f t="array" ref="J734">IFERROR(playerPoints($H734,$F734,$G734,J$1),"")</f>
        <v/>
      </c>
      <c r="K734" s="2" t="str" cm="1">
        <f t="array" ref="K734">IFERROR(playerPoints($H734,$F734,$G734,K$1),"")</f>
        <v/>
      </c>
      <c r="L734" s="2" t="str" cm="1">
        <f t="array" ref="L734">IFERROR(playerPoints($H734,$F734,$G734,L$1),"")</f>
        <v/>
      </c>
      <c r="M734" s="2" t="str" cm="1">
        <f t="array" ref="M734">IFERROR(playerPoints($H734,$F734,$G734,M$1),"")</f>
        <v/>
      </c>
      <c r="N734" s="2" t="str" cm="1">
        <f t="array" ref="N734">IFERROR(playerPoints($H734,$F734,$G734,N$1),"")</f>
        <v/>
      </c>
      <c r="O734" s="2" t="str" cm="1">
        <f t="array" ref="O734">IFERROR(playerPoints($H734,$F734,$G734,O$1),"")</f>
        <v/>
      </c>
      <c r="Q734" s="2">
        <f t="shared" si="11"/>
        <v>0</v>
      </c>
    </row>
    <row r="735" spans="1:17">
      <c r="A735" s="2">
        <v>734</v>
      </c>
      <c r="B735" s="2" t="s">
        <v>2211</v>
      </c>
      <c r="C735" s="2" t="s">
        <v>2212</v>
      </c>
      <c r="D735" s="2" t="s">
        <v>891</v>
      </c>
      <c r="F735" s="2" t="str">
        <f>LOOKUP(D735,Sheet3!A$1:A$32,Sheet3!B$1:B$32)</f>
        <v>TUN</v>
      </c>
      <c r="G735" s="2" t="s">
        <v>3066</v>
      </c>
      <c r="H735" s="2" t="s">
        <v>48</v>
      </c>
      <c r="I735" s="2" t="str" cm="1">
        <f t="array" ref="I735">IFERROR(playerPoints($H735,$F735,$G735,I$1),"")</f>
        <v/>
      </c>
      <c r="J735" s="2" t="str" cm="1">
        <f t="array" ref="J735">IFERROR(playerPoints($H735,$F735,$G735,J$1),"")</f>
        <v/>
      </c>
      <c r="K735" s="2" t="str" cm="1">
        <f t="array" ref="K735">IFERROR(playerPoints($H735,$F735,$G735,K$1),"")</f>
        <v/>
      </c>
      <c r="L735" s="2" t="str" cm="1">
        <f t="array" ref="L735">IFERROR(playerPoints($H735,$F735,$G735,L$1),"")</f>
        <v/>
      </c>
      <c r="M735" s="2" t="str" cm="1">
        <f t="array" ref="M735">IFERROR(playerPoints($H735,$F735,$G735,M$1),"")</f>
        <v/>
      </c>
      <c r="N735" s="2" t="str" cm="1">
        <f t="array" ref="N735">IFERROR(playerPoints($H735,$F735,$G735,N$1),"")</f>
        <v/>
      </c>
      <c r="O735" s="2" t="str" cm="1">
        <f t="array" ref="O735">IFERROR(playerPoints($H735,$F735,$G735,O$1),"")</f>
        <v/>
      </c>
      <c r="Q735" s="2">
        <f t="shared" si="11"/>
        <v>0</v>
      </c>
    </row>
    <row r="736" spans="1:17">
      <c r="A736" s="2">
        <v>735</v>
      </c>
      <c r="B736" s="2" t="s">
        <v>1760</v>
      </c>
      <c r="C736" s="2" t="s">
        <v>2213</v>
      </c>
      <c r="D736" s="2" t="s">
        <v>891</v>
      </c>
      <c r="F736" s="2" t="str">
        <f>LOOKUP(D736,Sheet3!A$1:A$32,Sheet3!B$1:B$32)</f>
        <v>TUN</v>
      </c>
      <c r="G736" s="2" t="s">
        <v>3067</v>
      </c>
      <c r="H736" s="2" t="s">
        <v>48</v>
      </c>
      <c r="I736" s="2" t="str" cm="1">
        <f t="array" ref="I736">IFERROR(playerPoints($H736,$F736,$G736,I$1),"")</f>
        <v/>
      </c>
      <c r="J736" s="2" t="str" cm="1">
        <f t="array" ref="J736">IFERROR(playerPoints($H736,$F736,$G736,J$1),"")</f>
        <v/>
      </c>
      <c r="K736" s="2" t="str" cm="1">
        <f t="array" ref="K736">IFERROR(playerPoints($H736,$F736,$G736,K$1),"")</f>
        <v/>
      </c>
      <c r="L736" s="2" t="str" cm="1">
        <f t="array" ref="L736">IFERROR(playerPoints($H736,$F736,$G736,L$1),"")</f>
        <v/>
      </c>
      <c r="M736" s="2" t="str" cm="1">
        <f t="array" ref="M736">IFERROR(playerPoints($H736,$F736,$G736,M$1),"")</f>
        <v/>
      </c>
      <c r="N736" s="2" t="str" cm="1">
        <f t="array" ref="N736">IFERROR(playerPoints($H736,$F736,$G736,N$1),"")</f>
        <v/>
      </c>
      <c r="O736" s="2" t="str" cm="1">
        <f t="array" ref="O736">IFERROR(playerPoints($H736,$F736,$G736,O$1),"")</f>
        <v/>
      </c>
      <c r="Q736" s="2">
        <f t="shared" si="11"/>
        <v>0</v>
      </c>
    </row>
    <row r="737" spans="1:17">
      <c r="A737" s="2">
        <v>736</v>
      </c>
      <c r="B737" s="2" t="s">
        <v>2214</v>
      </c>
      <c r="C737" s="2" t="s">
        <v>2215</v>
      </c>
      <c r="D737" s="2" t="s">
        <v>891</v>
      </c>
      <c r="F737" s="2" t="str">
        <f>LOOKUP(D737,Sheet3!A$1:A$32,Sheet3!B$1:B$32)</f>
        <v>TUN</v>
      </c>
      <c r="G737" s="2" t="s">
        <v>3068</v>
      </c>
      <c r="H737" s="2" t="s">
        <v>48</v>
      </c>
      <c r="I737" s="2" t="str" cm="1">
        <f t="array" ref="I737">IFERROR(playerPoints($H737,$F737,$G737,I$1),"")</f>
        <v/>
      </c>
      <c r="J737" s="2" t="str" cm="1">
        <f t="array" ref="J737">IFERROR(playerPoints($H737,$F737,$G737,J$1),"")</f>
        <v/>
      </c>
      <c r="K737" s="2" t="str" cm="1">
        <f t="array" ref="K737">IFERROR(playerPoints($H737,$F737,$G737,K$1),"")</f>
        <v/>
      </c>
      <c r="L737" s="2" t="str" cm="1">
        <f t="array" ref="L737">IFERROR(playerPoints($H737,$F737,$G737,L$1),"")</f>
        <v/>
      </c>
      <c r="M737" s="2" t="str" cm="1">
        <f t="array" ref="M737">IFERROR(playerPoints($H737,$F737,$G737,M$1),"")</f>
        <v/>
      </c>
      <c r="N737" s="2" t="str" cm="1">
        <f t="array" ref="N737">IFERROR(playerPoints($H737,$F737,$G737,N$1),"")</f>
        <v/>
      </c>
      <c r="O737" s="2" t="str" cm="1">
        <f t="array" ref="O737">IFERROR(playerPoints($H737,$F737,$G737,O$1),"")</f>
        <v/>
      </c>
      <c r="Q737" s="2">
        <f t="shared" si="11"/>
        <v>0</v>
      </c>
    </row>
    <row r="738" spans="1:17">
      <c r="A738" s="2">
        <v>737</v>
      </c>
      <c r="B738" s="2" t="s">
        <v>1654</v>
      </c>
      <c r="C738" s="2" t="s">
        <v>2216</v>
      </c>
      <c r="D738" s="2" t="s">
        <v>891</v>
      </c>
      <c r="F738" s="2" t="str">
        <f>LOOKUP(D738,Sheet3!A$1:A$32,Sheet3!B$1:B$32)</f>
        <v>TUN</v>
      </c>
      <c r="G738" s="2" t="s">
        <v>3069</v>
      </c>
      <c r="H738" s="2" t="s">
        <v>48</v>
      </c>
      <c r="I738" s="2" t="str" cm="1">
        <f t="array" ref="I738">IFERROR(playerPoints($H738,$F738,$G738,I$1),"")</f>
        <v/>
      </c>
      <c r="J738" s="2" t="str" cm="1">
        <f t="array" ref="J738">IFERROR(playerPoints($H738,$F738,$G738,J$1),"")</f>
        <v/>
      </c>
      <c r="K738" s="2" t="str" cm="1">
        <f t="array" ref="K738">IFERROR(playerPoints($H738,$F738,$G738,K$1),"")</f>
        <v/>
      </c>
      <c r="L738" s="2" t="str" cm="1">
        <f t="array" ref="L738">IFERROR(playerPoints($H738,$F738,$G738,L$1),"")</f>
        <v/>
      </c>
      <c r="M738" s="2" t="str" cm="1">
        <f t="array" ref="M738">IFERROR(playerPoints($H738,$F738,$G738,M$1),"")</f>
        <v/>
      </c>
      <c r="N738" s="2" t="str" cm="1">
        <f t="array" ref="N738">IFERROR(playerPoints($H738,$F738,$G738,N$1),"")</f>
        <v/>
      </c>
      <c r="O738" s="2" t="str" cm="1">
        <f t="array" ref="O738">IFERROR(playerPoints($H738,$F738,$G738,O$1),"")</f>
        <v/>
      </c>
      <c r="Q738" s="2">
        <f t="shared" si="11"/>
        <v>0</v>
      </c>
    </row>
    <row r="739" spans="1:17">
      <c r="A739" s="2">
        <v>738</v>
      </c>
      <c r="B739" s="2" t="s">
        <v>2000</v>
      </c>
      <c r="C739" s="2" t="s">
        <v>2217</v>
      </c>
      <c r="D739" s="2" t="s">
        <v>891</v>
      </c>
      <c r="F739" s="2" t="str">
        <f>LOOKUP(D739,Sheet3!A$1:A$32,Sheet3!B$1:B$32)</f>
        <v>TUN</v>
      </c>
      <c r="G739" s="2" t="s">
        <v>3070</v>
      </c>
      <c r="H739" s="2" t="s">
        <v>48</v>
      </c>
      <c r="I739" s="2" t="str" cm="1">
        <f t="array" ref="I739">IFERROR(playerPoints($H739,$F739,$G739,I$1),"")</f>
        <v/>
      </c>
      <c r="J739" s="2" t="str" cm="1">
        <f t="array" ref="J739">IFERROR(playerPoints($H739,$F739,$G739,J$1),"")</f>
        <v/>
      </c>
      <c r="K739" s="2" t="str" cm="1">
        <f t="array" ref="K739">IFERROR(playerPoints($H739,$F739,$G739,K$1),"")</f>
        <v/>
      </c>
      <c r="L739" s="2" t="str" cm="1">
        <f t="array" ref="L739">IFERROR(playerPoints($H739,$F739,$G739,L$1),"")</f>
        <v/>
      </c>
      <c r="M739" s="2" t="str" cm="1">
        <f t="array" ref="M739">IFERROR(playerPoints($H739,$F739,$G739,M$1),"")</f>
        <v/>
      </c>
      <c r="N739" s="2" t="str" cm="1">
        <f t="array" ref="N739">IFERROR(playerPoints($H739,$F739,$G739,N$1),"")</f>
        <v/>
      </c>
      <c r="O739" s="2" t="str" cm="1">
        <f t="array" ref="O739">IFERROR(playerPoints($H739,$F739,$G739,O$1),"")</f>
        <v/>
      </c>
      <c r="Q739" s="2">
        <f t="shared" si="11"/>
        <v>0</v>
      </c>
    </row>
    <row r="740" spans="1:17">
      <c r="A740" s="2">
        <v>739</v>
      </c>
      <c r="B740" s="2" t="s">
        <v>2218</v>
      </c>
      <c r="C740" s="2" t="s">
        <v>2219</v>
      </c>
      <c r="D740" s="2" t="s">
        <v>891</v>
      </c>
      <c r="F740" s="2" t="str">
        <f>LOOKUP(D740,Sheet3!A$1:A$32,Sheet3!B$1:B$32)</f>
        <v>TUN</v>
      </c>
      <c r="G740" s="2" t="s">
        <v>3071</v>
      </c>
      <c r="H740" s="2" t="s">
        <v>48</v>
      </c>
      <c r="I740" s="2" t="str" cm="1">
        <f t="array" ref="I740">IFERROR(playerPoints($H740,$F740,$G740,I$1),"")</f>
        <v/>
      </c>
      <c r="J740" s="2" t="str" cm="1">
        <f t="array" ref="J740">IFERROR(playerPoints($H740,$F740,$G740,J$1),"")</f>
        <v/>
      </c>
      <c r="K740" s="2" t="str" cm="1">
        <f t="array" ref="K740">IFERROR(playerPoints($H740,$F740,$G740,K$1),"")</f>
        <v/>
      </c>
      <c r="L740" s="2" t="str" cm="1">
        <f t="array" ref="L740">IFERROR(playerPoints($H740,$F740,$G740,L$1),"")</f>
        <v/>
      </c>
      <c r="M740" s="2" t="str" cm="1">
        <f t="array" ref="M740">IFERROR(playerPoints($H740,$F740,$G740,M$1),"")</f>
        <v/>
      </c>
      <c r="N740" s="2" t="str" cm="1">
        <f t="array" ref="N740">IFERROR(playerPoints($H740,$F740,$G740,N$1),"")</f>
        <v/>
      </c>
      <c r="O740" s="2" t="str" cm="1">
        <f t="array" ref="O740">IFERROR(playerPoints($H740,$F740,$G740,O$1),"")</f>
        <v/>
      </c>
      <c r="Q740" s="2">
        <f t="shared" si="11"/>
        <v>0</v>
      </c>
    </row>
    <row r="741" spans="1:17">
      <c r="A741" s="2">
        <v>740</v>
      </c>
      <c r="B741" s="2" t="s">
        <v>1654</v>
      </c>
      <c r="C741" s="2" t="s">
        <v>2220</v>
      </c>
      <c r="D741" s="2" t="s">
        <v>891</v>
      </c>
      <c r="F741" s="2" t="str">
        <f>LOOKUP(D741,Sheet3!A$1:A$32,Sheet3!B$1:B$32)</f>
        <v>TUN</v>
      </c>
      <c r="G741" s="2" t="s">
        <v>3072</v>
      </c>
      <c r="H741" s="2" t="s">
        <v>48</v>
      </c>
      <c r="I741" s="2" t="str" cm="1">
        <f t="array" ref="I741">IFERROR(playerPoints($H741,$F741,$G741,I$1),"")</f>
        <v/>
      </c>
      <c r="J741" s="2" t="str" cm="1">
        <f t="array" ref="J741">IFERROR(playerPoints($H741,$F741,$G741,J$1),"")</f>
        <v/>
      </c>
      <c r="K741" s="2" t="str" cm="1">
        <f t="array" ref="K741">IFERROR(playerPoints($H741,$F741,$G741,K$1),"")</f>
        <v/>
      </c>
      <c r="L741" s="2" t="str" cm="1">
        <f t="array" ref="L741">IFERROR(playerPoints($H741,$F741,$G741,L$1),"")</f>
        <v/>
      </c>
      <c r="M741" s="2" t="str" cm="1">
        <f t="array" ref="M741">IFERROR(playerPoints($H741,$F741,$G741,M$1),"")</f>
        <v/>
      </c>
      <c r="N741" s="2" t="str" cm="1">
        <f t="array" ref="N741">IFERROR(playerPoints($H741,$F741,$G741,N$1),"")</f>
        <v/>
      </c>
      <c r="O741" s="2" t="str" cm="1">
        <f t="array" ref="O741">IFERROR(playerPoints($H741,$F741,$G741,O$1),"")</f>
        <v/>
      </c>
      <c r="Q741" s="2">
        <f t="shared" si="11"/>
        <v>0</v>
      </c>
    </row>
    <row r="742" spans="1:17">
      <c r="A742" s="2">
        <v>741</v>
      </c>
      <c r="B742" s="2" t="s">
        <v>2221</v>
      </c>
      <c r="C742" s="2" t="s">
        <v>2222</v>
      </c>
      <c r="D742" s="2" t="s">
        <v>891</v>
      </c>
      <c r="F742" s="2" t="str">
        <f>LOOKUP(D742,Sheet3!A$1:A$32,Sheet3!B$1:B$32)</f>
        <v>TUN</v>
      </c>
      <c r="G742" s="2" t="s">
        <v>3073</v>
      </c>
      <c r="H742" s="2" t="s">
        <v>57</v>
      </c>
      <c r="I742" s="2" t="str" cm="1">
        <f t="array" ref="I742">IFERROR(playerPoints($H742,$F742,$G742,I$1),"")</f>
        <v/>
      </c>
      <c r="J742" s="2" t="str" cm="1">
        <f t="array" ref="J742">IFERROR(playerPoints($H742,$F742,$G742,J$1),"")</f>
        <v/>
      </c>
      <c r="K742" s="2" t="str" cm="1">
        <f t="array" ref="K742">IFERROR(playerPoints($H742,$F742,$G742,K$1),"")</f>
        <v/>
      </c>
      <c r="L742" s="2" t="str" cm="1">
        <f t="array" ref="L742">IFERROR(playerPoints($H742,$F742,$G742,L$1),"")</f>
        <v/>
      </c>
      <c r="M742" s="2" t="str" cm="1">
        <f t="array" ref="M742">IFERROR(playerPoints($H742,$F742,$G742,M$1),"")</f>
        <v/>
      </c>
      <c r="N742" s="2" t="str" cm="1">
        <f t="array" ref="N742">IFERROR(playerPoints($H742,$F742,$G742,N$1),"")</f>
        <v/>
      </c>
      <c r="O742" s="2" t="str" cm="1">
        <f t="array" ref="O742">IFERROR(playerPoints($H742,$F742,$G742,O$1),"")</f>
        <v/>
      </c>
      <c r="Q742" s="2">
        <f t="shared" si="11"/>
        <v>0</v>
      </c>
    </row>
    <row r="743" spans="1:17">
      <c r="A743" s="2">
        <v>742</v>
      </c>
      <c r="B743" s="2" t="s">
        <v>2223</v>
      </c>
      <c r="C743" s="2" t="s">
        <v>2224</v>
      </c>
      <c r="D743" s="2" t="s">
        <v>891</v>
      </c>
      <c r="F743" s="2" t="str">
        <f>LOOKUP(D743,Sheet3!A$1:A$32,Sheet3!B$1:B$32)</f>
        <v>TUN</v>
      </c>
      <c r="G743" s="2" t="s">
        <v>3074</v>
      </c>
      <c r="H743" s="2" t="s">
        <v>57</v>
      </c>
      <c r="I743" s="2" t="str" cm="1">
        <f t="array" ref="I743">IFERROR(playerPoints($H743,$F743,$G743,I$1),"")</f>
        <v/>
      </c>
      <c r="J743" s="2" t="str" cm="1">
        <f t="array" ref="J743">IFERROR(playerPoints($H743,$F743,$G743,J$1),"")</f>
        <v/>
      </c>
      <c r="K743" s="2" t="str" cm="1">
        <f t="array" ref="K743">IFERROR(playerPoints($H743,$F743,$G743,K$1),"")</f>
        <v/>
      </c>
      <c r="L743" s="2" t="str" cm="1">
        <f t="array" ref="L743">IFERROR(playerPoints($H743,$F743,$G743,L$1),"")</f>
        <v/>
      </c>
      <c r="M743" s="2" t="str" cm="1">
        <f t="array" ref="M743">IFERROR(playerPoints($H743,$F743,$G743,M$1),"")</f>
        <v/>
      </c>
      <c r="N743" s="2" t="str" cm="1">
        <f t="array" ref="N743">IFERROR(playerPoints($H743,$F743,$G743,N$1),"")</f>
        <v/>
      </c>
      <c r="O743" s="2" t="str" cm="1">
        <f t="array" ref="O743">IFERROR(playerPoints($H743,$F743,$G743,O$1),"")</f>
        <v/>
      </c>
      <c r="Q743" s="2">
        <f t="shared" si="11"/>
        <v>0</v>
      </c>
    </row>
    <row r="744" spans="1:17">
      <c r="A744" s="2">
        <v>743</v>
      </c>
      <c r="B744" s="2" t="s">
        <v>2225</v>
      </c>
      <c r="C744" s="2" t="s">
        <v>2226</v>
      </c>
      <c r="D744" s="2" t="s">
        <v>891</v>
      </c>
      <c r="F744" s="2" t="str">
        <f>LOOKUP(D744,Sheet3!A$1:A$32,Sheet3!B$1:B$32)</f>
        <v>TUN</v>
      </c>
      <c r="G744" s="2" t="s">
        <v>3075</v>
      </c>
      <c r="H744" s="2" t="s">
        <v>57</v>
      </c>
      <c r="I744" s="2" t="str" cm="1">
        <f t="array" ref="I744">IFERROR(playerPoints($H744,$F744,$G744,I$1),"")</f>
        <v/>
      </c>
      <c r="J744" s="2" t="str" cm="1">
        <f t="array" ref="J744">IFERROR(playerPoints($H744,$F744,$G744,J$1),"")</f>
        <v/>
      </c>
      <c r="K744" s="2" t="str" cm="1">
        <f t="array" ref="K744">IFERROR(playerPoints($H744,$F744,$G744,K$1),"")</f>
        <v/>
      </c>
      <c r="L744" s="2" t="str" cm="1">
        <f t="array" ref="L744">IFERROR(playerPoints($H744,$F744,$G744,L$1),"")</f>
        <v/>
      </c>
      <c r="M744" s="2" t="str" cm="1">
        <f t="array" ref="M744">IFERROR(playerPoints($H744,$F744,$G744,M$1),"")</f>
        <v/>
      </c>
      <c r="N744" s="2" t="str" cm="1">
        <f t="array" ref="N744">IFERROR(playerPoints($H744,$F744,$G744,N$1),"")</f>
        <v/>
      </c>
      <c r="O744" s="2" t="str" cm="1">
        <f t="array" ref="O744">IFERROR(playerPoints($H744,$F744,$G744,O$1),"")</f>
        <v/>
      </c>
      <c r="Q744" s="2">
        <f t="shared" si="11"/>
        <v>0</v>
      </c>
    </row>
    <row r="745" spans="1:17">
      <c r="A745" s="2">
        <v>744</v>
      </c>
      <c r="B745" s="2" t="s">
        <v>2227</v>
      </c>
      <c r="C745" s="2" t="s">
        <v>2228</v>
      </c>
      <c r="D745" s="2" t="s">
        <v>891</v>
      </c>
      <c r="F745" s="2" t="str">
        <f>LOOKUP(D745,Sheet3!A$1:A$32,Sheet3!B$1:B$32)</f>
        <v>TUN</v>
      </c>
      <c r="G745" s="2" t="s">
        <v>3076</v>
      </c>
      <c r="H745" s="2" t="s">
        <v>57</v>
      </c>
      <c r="I745" s="2" t="str" cm="1">
        <f t="array" ref="I745">IFERROR(playerPoints($H745,$F745,$G745,I$1),"")</f>
        <v/>
      </c>
      <c r="J745" s="2" t="str" cm="1">
        <f t="array" ref="J745">IFERROR(playerPoints($H745,$F745,$G745,J$1),"")</f>
        <v/>
      </c>
      <c r="K745" s="2" t="str" cm="1">
        <f t="array" ref="K745">IFERROR(playerPoints($H745,$F745,$G745,K$1),"")</f>
        <v/>
      </c>
      <c r="L745" s="2" t="str" cm="1">
        <f t="array" ref="L745">IFERROR(playerPoints($H745,$F745,$G745,L$1),"")</f>
        <v/>
      </c>
      <c r="M745" s="2" t="str" cm="1">
        <f t="array" ref="M745">IFERROR(playerPoints($H745,$F745,$G745,M$1),"")</f>
        <v/>
      </c>
      <c r="N745" s="2" t="str" cm="1">
        <f t="array" ref="N745">IFERROR(playerPoints($H745,$F745,$G745,N$1),"")</f>
        <v/>
      </c>
      <c r="O745" s="2" t="str" cm="1">
        <f t="array" ref="O745">IFERROR(playerPoints($H745,$F745,$G745,O$1),"")</f>
        <v/>
      </c>
      <c r="Q745" s="2">
        <f t="shared" si="11"/>
        <v>0</v>
      </c>
    </row>
    <row r="746" spans="1:17">
      <c r="A746" s="2">
        <v>745</v>
      </c>
      <c r="B746" s="2" t="s">
        <v>2000</v>
      </c>
      <c r="C746" s="2" t="s">
        <v>2229</v>
      </c>
      <c r="D746" s="2" t="s">
        <v>891</v>
      </c>
      <c r="F746" s="2" t="str">
        <f>LOOKUP(D746,Sheet3!A$1:A$32,Sheet3!B$1:B$32)</f>
        <v>TUN</v>
      </c>
      <c r="G746" s="2" t="s">
        <v>3077</v>
      </c>
      <c r="H746" s="2" t="s">
        <v>57</v>
      </c>
      <c r="I746" s="2" t="str" cm="1">
        <f t="array" ref="I746">IFERROR(playerPoints($H746,$F746,$G746,I$1),"")</f>
        <v/>
      </c>
      <c r="J746" s="2" t="str" cm="1">
        <f t="array" ref="J746">IFERROR(playerPoints($H746,$F746,$G746,J$1),"")</f>
        <v/>
      </c>
      <c r="K746" s="2" t="str" cm="1">
        <f t="array" ref="K746">IFERROR(playerPoints($H746,$F746,$G746,K$1),"")</f>
        <v/>
      </c>
      <c r="L746" s="2" t="str" cm="1">
        <f t="array" ref="L746">IFERROR(playerPoints($H746,$F746,$G746,L$1),"")</f>
        <v/>
      </c>
      <c r="M746" s="2" t="str" cm="1">
        <f t="array" ref="M746">IFERROR(playerPoints($H746,$F746,$G746,M$1),"")</f>
        <v/>
      </c>
      <c r="N746" s="2" t="str" cm="1">
        <f t="array" ref="N746">IFERROR(playerPoints($H746,$F746,$G746,N$1),"")</f>
        <v/>
      </c>
      <c r="O746" s="2" t="str" cm="1">
        <f t="array" ref="O746">IFERROR(playerPoints($H746,$F746,$G746,O$1),"")</f>
        <v/>
      </c>
      <c r="Q746" s="2">
        <f t="shared" si="11"/>
        <v>0</v>
      </c>
    </row>
    <row r="747" spans="1:17">
      <c r="A747" s="2">
        <v>746</v>
      </c>
      <c r="B747" s="2" t="s">
        <v>2230</v>
      </c>
      <c r="C747" s="2" t="s">
        <v>2231</v>
      </c>
      <c r="D747" s="2" t="s">
        <v>891</v>
      </c>
      <c r="F747" s="2" t="str">
        <f>LOOKUP(D747,Sheet3!A$1:A$32,Sheet3!B$1:B$32)</f>
        <v>TUN</v>
      </c>
      <c r="G747" s="2" t="s">
        <v>3078</v>
      </c>
      <c r="H747" s="2" t="s">
        <v>57</v>
      </c>
      <c r="I747" s="2" t="str" cm="1">
        <f t="array" ref="I747">IFERROR(playerPoints($H747,$F747,$G747,I$1),"")</f>
        <v/>
      </c>
      <c r="J747" s="2" t="str" cm="1">
        <f t="array" ref="J747">IFERROR(playerPoints($H747,$F747,$G747,J$1),"")</f>
        <v/>
      </c>
      <c r="K747" s="2" t="str" cm="1">
        <f t="array" ref="K747">IFERROR(playerPoints($H747,$F747,$G747,K$1),"")</f>
        <v/>
      </c>
      <c r="L747" s="2" t="str" cm="1">
        <f t="array" ref="L747">IFERROR(playerPoints($H747,$F747,$G747,L$1),"")</f>
        <v/>
      </c>
      <c r="M747" s="2" t="str" cm="1">
        <f t="array" ref="M747">IFERROR(playerPoints($H747,$F747,$G747,M$1),"")</f>
        <v/>
      </c>
      <c r="N747" s="2" t="str" cm="1">
        <f t="array" ref="N747">IFERROR(playerPoints($H747,$F747,$G747,N$1),"")</f>
        <v/>
      </c>
      <c r="O747" s="2" t="str" cm="1">
        <f t="array" ref="O747">IFERROR(playerPoints($H747,$F747,$G747,O$1),"")</f>
        <v/>
      </c>
      <c r="Q747" s="2">
        <f t="shared" si="11"/>
        <v>0</v>
      </c>
    </row>
    <row r="748" spans="1:17">
      <c r="A748" s="2">
        <v>747</v>
      </c>
      <c r="B748" s="2" t="s">
        <v>2232</v>
      </c>
      <c r="C748" s="2" t="s">
        <v>2233</v>
      </c>
      <c r="D748" s="2" t="s">
        <v>891</v>
      </c>
      <c r="F748" s="2" t="str">
        <f>LOOKUP(D748,Sheet3!A$1:A$32,Sheet3!B$1:B$32)</f>
        <v>TUN</v>
      </c>
      <c r="G748" s="2" t="s">
        <v>3079</v>
      </c>
      <c r="H748" s="2" t="s">
        <v>57</v>
      </c>
      <c r="I748" s="2" t="str" cm="1">
        <f t="array" ref="I748">IFERROR(playerPoints($H748,$F748,$G748,I$1),"")</f>
        <v/>
      </c>
      <c r="J748" s="2" t="str" cm="1">
        <f t="array" ref="J748">IFERROR(playerPoints($H748,$F748,$G748,J$1),"")</f>
        <v/>
      </c>
      <c r="K748" s="2" t="str" cm="1">
        <f t="array" ref="K748">IFERROR(playerPoints($H748,$F748,$G748,K$1),"")</f>
        <v/>
      </c>
      <c r="L748" s="2" t="str" cm="1">
        <f t="array" ref="L748">IFERROR(playerPoints($H748,$F748,$G748,L$1),"")</f>
        <v/>
      </c>
      <c r="M748" s="2" t="str" cm="1">
        <f t="array" ref="M748">IFERROR(playerPoints($H748,$F748,$G748,M$1),"")</f>
        <v/>
      </c>
      <c r="N748" s="2" t="str" cm="1">
        <f t="array" ref="N748">IFERROR(playerPoints($H748,$F748,$G748,N$1),"")</f>
        <v/>
      </c>
      <c r="O748" s="2" t="str" cm="1">
        <f t="array" ref="O748">IFERROR(playerPoints($H748,$F748,$G748,O$1),"")</f>
        <v/>
      </c>
      <c r="Q748" s="2">
        <f t="shared" si="11"/>
        <v>0</v>
      </c>
    </row>
    <row r="749" spans="1:17">
      <c r="A749" s="2">
        <v>748</v>
      </c>
      <c r="B749" s="2" t="s">
        <v>2234</v>
      </c>
      <c r="C749" s="2" t="s">
        <v>2235</v>
      </c>
      <c r="D749" s="2" t="s">
        <v>891</v>
      </c>
      <c r="F749" s="2" t="str">
        <f>LOOKUP(D749,Sheet3!A$1:A$32,Sheet3!B$1:B$32)</f>
        <v>TUN</v>
      </c>
      <c r="G749" s="2" t="s">
        <v>3080</v>
      </c>
      <c r="H749" s="2" t="s">
        <v>57</v>
      </c>
      <c r="I749" s="2" t="str" cm="1">
        <f t="array" ref="I749">IFERROR(playerPoints($H749,$F749,$G749,I$1),"")</f>
        <v/>
      </c>
      <c r="J749" s="2" t="str" cm="1">
        <f t="array" ref="J749">IFERROR(playerPoints($H749,$F749,$G749,J$1),"")</f>
        <v/>
      </c>
      <c r="K749" s="2" t="str" cm="1">
        <f t="array" ref="K749">IFERROR(playerPoints($H749,$F749,$G749,K$1),"")</f>
        <v/>
      </c>
      <c r="L749" s="2" t="str" cm="1">
        <f t="array" ref="L749">IFERROR(playerPoints($H749,$F749,$G749,L$1),"")</f>
        <v/>
      </c>
      <c r="M749" s="2" t="str" cm="1">
        <f t="array" ref="M749">IFERROR(playerPoints($H749,$F749,$G749,M$1),"")</f>
        <v/>
      </c>
      <c r="N749" s="2" t="str" cm="1">
        <f t="array" ref="N749">IFERROR(playerPoints($H749,$F749,$G749,N$1),"")</f>
        <v/>
      </c>
      <c r="O749" s="2" t="str" cm="1">
        <f t="array" ref="O749">IFERROR(playerPoints($H749,$F749,$G749,O$1),"")</f>
        <v/>
      </c>
      <c r="Q749" s="2">
        <f t="shared" si="11"/>
        <v>0</v>
      </c>
    </row>
    <row r="750" spans="1:17">
      <c r="A750" s="2">
        <v>749</v>
      </c>
      <c r="B750" s="2" t="s">
        <v>2236</v>
      </c>
      <c r="C750" s="2" t="s">
        <v>2237</v>
      </c>
      <c r="D750" s="2" t="s">
        <v>891</v>
      </c>
      <c r="F750" s="2" t="str">
        <f>LOOKUP(D750,Sheet3!A$1:A$32,Sheet3!B$1:B$32)</f>
        <v>TUN</v>
      </c>
      <c r="G750" s="2" t="s">
        <v>3081</v>
      </c>
      <c r="H750" s="2" t="s">
        <v>57</v>
      </c>
      <c r="I750" s="2" t="str" cm="1">
        <f t="array" ref="I750">IFERROR(playerPoints($H750,$F750,$G750,I$1),"")</f>
        <v/>
      </c>
      <c r="J750" s="2" t="str" cm="1">
        <f t="array" ref="J750">IFERROR(playerPoints($H750,$F750,$G750,J$1),"")</f>
        <v/>
      </c>
      <c r="K750" s="2" t="str" cm="1">
        <f t="array" ref="K750">IFERROR(playerPoints($H750,$F750,$G750,K$1),"")</f>
        <v/>
      </c>
      <c r="L750" s="2" t="str" cm="1">
        <f t="array" ref="L750">IFERROR(playerPoints($H750,$F750,$G750,L$1),"")</f>
        <v/>
      </c>
      <c r="M750" s="2" t="str" cm="1">
        <f t="array" ref="M750">IFERROR(playerPoints($H750,$F750,$G750,M$1),"")</f>
        <v/>
      </c>
      <c r="N750" s="2" t="str" cm="1">
        <f t="array" ref="N750">IFERROR(playerPoints($H750,$F750,$G750,N$1),"")</f>
        <v/>
      </c>
      <c r="O750" s="2" t="str" cm="1">
        <f t="array" ref="O750">IFERROR(playerPoints($H750,$F750,$G750,O$1),"")</f>
        <v/>
      </c>
      <c r="Q750" s="2">
        <f t="shared" si="11"/>
        <v>0</v>
      </c>
    </row>
    <row r="751" spans="1:17">
      <c r="A751" s="2">
        <v>750</v>
      </c>
      <c r="B751" s="2" t="s">
        <v>1804</v>
      </c>
      <c r="C751" s="2" t="s">
        <v>2238</v>
      </c>
      <c r="D751" s="2" t="s">
        <v>891</v>
      </c>
      <c r="F751" s="2" t="str">
        <f>LOOKUP(D751,Sheet3!A$1:A$32,Sheet3!B$1:B$32)</f>
        <v>TUN</v>
      </c>
      <c r="G751" s="2" t="s">
        <v>3082</v>
      </c>
      <c r="H751" s="2" t="s">
        <v>66</v>
      </c>
      <c r="I751" s="2" t="str" cm="1">
        <f t="array" ref="I751">IFERROR(playerPoints($H751,$F751,$G751,I$1),"")</f>
        <v/>
      </c>
      <c r="J751" s="2" t="str" cm="1">
        <f t="array" ref="J751">IFERROR(playerPoints($H751,$F751,$G751,J$1),"")</f>
        <v/>
      </c>
      <c r="K751" s="2" t="str" cm="1">
        <f t="array" ref="K751">IFERROR(playerPoints($H751,$F751,$G751,K$1),"")</f>
        <v/>
      </c>
      <c r="L751" s="2" t="str" cm="1">
        <f t="array" ref="L751">IFERROR(playerPoints($H751,$F751,$G751,L$1),"")</f>
        <v/>
      </c>
      <c r="M751" s="2" t="str" cm="1">
        <f t="array" ref="M751">IFERROR(playerPoints($H751,$F751,$G751,M$1),"")</f>
        <v/>
      </c>
      <c r="N751" s="2" t="str" cm="1">
        <f t="array" ref="N751">IFERROR(playerPoints($H751,$F751,$G751,N$1),"")</f>
        <v/>
      </c>
      <c r="O751" s="2" t="str" cm="1">
        <f t="array" ref="O751">IFERROR(playerPoints($H751,$F751,$G751,O$1),"")</f>
        <v/>
      </c>
      <c r="Q751" s="2">
        <f t="shared" si="11"/>
        <v>0</v>
      </c>
    </row>
    <row r="752" spans="1:17">
      <c r="A752" s="2">
        <v>751</v>
      </c>
      <c r="B752" s="2" t="s">
        <v>2239</v>
      </c>
      <c r="C752" s="2" t="s">
        <v>2240</v>
      </c>
      <c r="D752" s="2" t="s">
        <v>891</v>
      </c>
      <c r="F752" s="2" t="str">
        <f>LOOKUP(D752,Sheet3!A$1:A$32,Sheet3!B$1:B$32)</f>
        <v>TUN</v>
      </c>
      <c r="G752" s="2" t="s">
        <v>3083</v>
      </c>
      <c r="H752" s="2" t="s">
        <v>66</v>
      </c>
      <c r="I752" s="2" t="str" cm="1">
        <f t="array" ref="I752">IFERROR(playerPoints($H752,$F752,$G752,I$1),"")</f>
        <v/>
      </c>
      <c r="J752" s="2" t="str" cm="1">
        <f t="array" ref="J752">IFERROR(playerPoints($H752,$F752,$G752,J$1),"")</f>
        <v/>
      </c>
      <c r="K752" s="2" t="str" cm="1">
        <f t="array" ref="K752">IFERROR(playerPoints($H752,$F752,$G752,K$1),"")</f>
        <v/>
      </c>
      <c r="L752" s="2" t="str" cm="1">
        <f t="array" ref="L752">IFERROR(playerPoints($H752,$F752,$G752,L$1),"")</f>
        <v/>
      </c>
      <c r="M752" s="2" t="str" cm="1">
        <f t="array" ref="M752">IFERROR(playerPoints($H752,$F752,$G752,M$1),"")</f>
        <v/>
      </c>
      <c r="N752" s="2" t="str" cm="1">
        <f t="array" ref="N752">IFERROR(playerPoints($H752,$F752,$G752,N$1),"")</f>
        <v/>
      </c>
      <c r="O752" s="2" t="str" cm="1">
        <f t="array" ref="O752">IFERROR(playerPoints($H752,$F752,$G752,O$1),"")</f>
        <v/>
      </c>
      <c r="Q752" s="2">
        <f t="shared" si="11"/>
        <v>0</v>
      </c>
    </row>
    <row r="753" spans="1:17">
      <c r="A753" s="2">
        <v>752</v>
      </c>
      <c r="B753" s="2" t="s">
        <v>2241</v>
      </c>
      <c r="C753" s="2" t="s">
        <v>2242</v>
      </c>
      <c r="D753" s="2" t="s">
        <v>891</v>
      </c>
      <c r="F753" s="2" t="str">
        <f>LOOKUP(D753,Sheet3!A$1:A$32,Sheet3!B$1:B$32)</f>
        <v>TUN</v>
      </c>
      <c r="G753" s="2" t="s">
        <v>3084</v>
      </c>
      <c r="H753" s="2" t="s">
        <v>66</v>
      </c>
      <c r="I753" s="2" t="str" cm="1">
        <f t="array" ref="I753">IFERROR(playerPoints($H753,$F753,$G753,I$1),"")</f>
        <v/>
      </c>
      <c r="J753" s="2" t="str" cm="1">
        <f t="array" ref="J753">IFERROR(playerPoints($H753,$F753,$G753,J$1),"")</f>
        <v/>
      </c>
      <c r="K753" s="2" t="str" cm="1">
        <f t="array" ref="K753">IFERROR(playerPoints($H753,$F753,$G753,K$1),"")</f>
        <v/>
      </c>
      <c r="L753" s="2" t="str" cm="1">
        <f t="array" ref="L753">IFERROR(playerPoints($H753,$F753,$G753,L$1),"")</f>
        <v/>
      </c>
      <c r="M753" s="2" t="str" cm="1">
        <f t="array" ref="M753">IFERROR(playerPoints($H753,$F753,$G753,M$1),"")</f>
        <v/>
      </c>
      <c r="N753" s="2" t="str" cm="1">
        <f t="array" ref="N753">IFERROR(playerPoints($H753,$F753,$G753,N$1),"")</f>
        <v/>
      </c>
      <c r="O753" s="2" t="str" cm="1">
        <f t="array" ref="O753">IFERROR(playerPoints($H753,$F753,$G753,O$1),"")</f>
        <v/>
      </c>
      <c r="Q753" s="2">
        <f t="shared" si="11"/>
        <v>0</v>
      </c>
    </row>
    <row r="754" spans="1:17">
      <c r="A754" s="2">
        <v>753</v>
      </c>
      <c r="B754" s="2" t="s">
        <v>2243</v>
      </c>
      <c r="C754" s="2" t="s">
        <v>2244</v>
      </c>
      <c r="D754" s="2" t="s">
        <v>891</v>
      </c>
      <c r="F754" s="2" t="str">
        <f>LOOKUP(D754,Sheet3!A$1:A$32,Sheet3!B$1:B$32)</f>
        <v>TUN</v>
      </c>
      <c r="G754" s="2" t="s">
        <v>3085</v>
      </c>
      <c r="H754" s="2" t="s">
        <v>66</v>
      </c>
      <c r="I754" s="2" t="str" cm="1">
        <f t="array" ref="I754">IFERROR(playerPoints($H754,$F754,$G754,I$1),"")</f>
        <v/>
      </c>
      <c r="J754" s="2" t="str" cm="1">
        <f t="array" ref="J754">IFERROR(playerPoints($H754,$F754,$G754,J$1),"")</f>
        <v/>
      </c>
      <c r="K754" s="2" t="str" cm="1">
        <f t="array" ref="K754">IFERROR(playerPoints($H754,$F754,$G754,K$1),"")</f>
        <v/>
      </c>
      <c r="L754" s="2" t="str" cm="1">
        <f t="array" ref="L754">IFERROR(playerPoints($H754,$F754,$G754,L$1),"")</f>
        <v/>
      </c>
      <c r="M754" s="2" t="str" cm="1">
        <f t="array" ref="M754">IFERROR(playerPoints($H754,$F754,$G754,M$1),"")</f>
        <v/>
      </c>
      <c r="N754" s="2" t="str" cm="1">
        <f t="array" ref="N754">IFERROR(playerPoints($H754,$F754,$G754,N$1),"")</f>
        <v/>
      </c>
      <c r="O754" s="2" t="str" cm="1">
        <f t="array" ref="O754">IFERROR(playerPoints($H754,$F754,$G754,O$1),"")</f>
        <v/>
      </c>
      <c r="Q754" s="2">
        <f t="shared" si="11"/>
        <v>0</v>
      </c>
    </row>
    <row r="755" spans="1:17">
      <c r="A755" s="2">
        <v>754</v>
      </c>
      <c r="B755" s="2" t="s">
        <v>2245</v>
      </c>
      <c r="C755" s="2" t="s">
        <v>2246</v>
      </c>
      <c r="D755" s="2" t="s">
        <v>891</v>
      </c>
      <c r="F755" s="2" t="str">
        <f>LOOKUP(D755,Sheet3!A$1:A$32,Sheet3!B$1:B$32)</f>
        <v>TUN</v>
      </c>
      <c r="G755" s="2" t="s">
        <v>3086</v>
      </c>
      <c r="H755" s="2" t="s">
        <v>66</v>
      </c>
      <c r="I755" s="2" t="str" cm="1">
        <f t="array" ref="I755">IFERROR(playerPoints($H755,$F755,$G755,I$1),"")</f>
        <v/>
      </c>
      <c r="J755" s="2" t="str" cm="1">
        <f t="array" ref="J755">IFERROR(playerPoints($H755,$F755,$G755,J$1),"")</f>
        <v/>
      </c>
      <c r="K755" s="2" t="str" cm="1">
        <f t="array" ref="K755">IFERROR(playerPoints($H755,$F755,$G755,K$1),"")</f>
        <v/>
      </c>
      <c r="L755" s="2" t="str" cm="1">
        <f t="array" ref="L755">IFERROR(playerPoints($H755,$F755,$G755,L$1),"")</f>
        <v/>
      </c>
      <c r="M755" s="2" t="str" cm="1">
        <f t="array" ref="M755">IFERROR(playerPoints($H755,$F755,$G755,M$1),"")</f>
        <v/>
      </c>
      <c r="N755" s="2" t="str" cm="1">
        <f t="array" ref="N755">IFERROR(playerPoints($H755,$F755,$G755,N$1),"")</f>
        <v/>
      </c>
      <c r="O755" s="2" t="str" cm="1">
        <f t="array" ref="O755">IFERROR(playerPoints($H755,$F755,$G755,O$1),"")</f>
        <v/>
      </c>
      <c r="Q755" s="2">
        <f t="shared" si="11"/>
        <v>0</v>
      </c>
    </row>
    <row r="756" spans="1:17">
      <c r="A756" s="2">
        <v>755</v>
      </c>
      <c r="B756" s="2" t="s">
        <v>2247</v>
      </c>
      <c r="C756" s="2" t="s">
        <v>2248</v>
      </c>
      <c r="D756" s="2" t="s">
        <v>892</v>
      </c>
      <c r="F756" s="2" t="str">
        <f>LOOKUP(D756,Sheet3!A$1:A$32,Sheet3!B$1:B$32)</f>
        <v>USA</v>
      </c>
      <c r="G756" s="2" t="s">
        <v>3087</v>
      </c>
      <c r="H756" s="2" t="s">
        <v>44</v>
      </c>
      <c r="I756" s="2" t="str" cm="1">
        <f t="array" ref="I756">IFERROR(playerPoints($H756,$F756,$G756,I$1),"")</f>
        <v/>
      </c>
      <c r="J756" s="2" t="str" cm="1">
        <f t="array" ref="J756">IFERROR(playerPoints($H756,$F756,$G756,J$1),"")</f>
        <v/>
      </c>
      <c r="K756" s="2" t="str" cm="1">
        <f t="array" ref="K756">IFERROR(playerPoints($H756,$F756,$G756,K$1),"")</f>
        <v/>
      </c>
      <c r="L756" s="2" t="str" cm="1">
        <f t="array" ref="L756">IFERROR(playerPoints($H756,$F756,$G756,L$1),"")</f>
        <v/>
      </c>
      <c r="M756" s="2" t="str" cm="1">
        <f t="array" ref="M756">IFERROR(playerPoints($H756,$F756,$G756,M$1),"")</f>
        <v/>
      </c>
      <c r="N756" s="2" t="str" cm="1">
        <f t="array" ref="N756">IFERROR(playerPoints($H756,$F756,$G756,N$1),"")</f>
        <v/>
      </c>
      <c r="O756" s="2" t="str" cm="1">
        <f t="array" ref="O756">IFERROR(playerPoints($H756,$F756,$G756,O$1),"")</f>
        <v/>
      </c>
      <c r="Q756" s="2">
        <f t="shared" si="11"/>
        <v>0</v>
      </c>
    </row>
    <row r="757" spans="1:17">
      <c r="A757" s="2">
        <v>756</v>
      </c>
      <c r="B757" s="2" t="s">
        <v>2249</v>
      </c>
      <c r="C757" s="2" t="s">
        <v>2250</v>
      </c>
      <c r="D757" s="2" t="s">
        <v>892</v>
      </c>
      <c r="F757" s="2" t="str">
        <f>LOOKUP(D757,Sheet3!A$1:A$32,Sheet3!B$1:B$32)</f>
        <v>USA</v>
      </c>
      <c r="G757" s="2" t="s">
        <v>3088</v>
      </c>
      <c r="H757" s="2" t="s">
        <v>44</v>
      </c>
      <c r="I757" s="2" t="str" cm="1">
        <f t="array" ref="I757">IFERROR(playerPoints($H757,$F757,$G757,I$1),"")</f>
        <v/>
      </c>
      <c r="J757" s="2" t="str" cm="1">
        <f t="array" ref="J757">IFERROR(playerPoints($H757,$F757,$G757,J$1),"")</f>
        <v/>
      </c>
      <c r="K757" s="2" t="str" cm="1">
        <f t="array" ref="K757">IFERROR(playerPoints($H757,$F757,$G757,K$1),"")</f>
        <v/>
      </c>
      <c r="L757" s="2" t="str" cm="1">
        <f t="array" ref="L757">IFERROR(playerPoints($H757,$F757,$G757,L$1),"")</f>
        <v/>
      </c>
      <c r="M757" s="2" t="str" cm="1">
        <f t="array" ref="M757">IFERROR(playerPoints($H757,$F757,$G757,M$1),"")</f>
        <v/>
      </c>
      <c r="N757" s="2" t="str" cm="1">
        <f t="array" ref="N757">IFERROR(playerPoints($H757,$F757,$G757,N$1),"")</f>
        <v/>
      </c>
      <c r="O757" s="2" t="str" cm="1">
        <f t="array" ref="O757">IFERROR(playerPoints($H757,$F757,$G757,O$1),"")</f>
        <v/>
      </c>
      <c r="Q757" s="2">
        <f t="shared" si="11"/>
        <v>0</v>
      </c>
    </row>
    <row r="758" spans="1:17">
      <c r="A758" s="2">
        <v>757</v>
      </c>
      <c r="B758" s="2" t="s">
        <v>2251</v>
      </c>
      <c r="C758" s="2" t="s">
        <v>2252</v>
      </c>
      <c r="D758" s="2" t="s">
        <v>892</v>
      </c>
      <c r="F758" s="2" t="str">
        <f>LOOKUP(D758,Sheet3!A$1:A$32,Sheet3!B$1:B$32)</f>
        <v>USA</v>
      </c>
      <c r="G758" s="2" t="s">
        <v>3089</v>
      </c>
      <c r="H758" s="2" t="s">
        <v>44</v>
      </c>
      <c r="I758" s="2" t="str" cm="1">
        <f t="array" ref="I758">IFERROR(playerPoints($H758,$F758,$G758,I$1),"")</f>
        <v/>
      </c>
      <c r="J758" s="2" t="str" cm="1">
        <f t="array" ref="J758">IFERROR(playerPoints($H758,$F758,$G758,J$1),"")</f>
        <v/>
      </c>
      <c r="K758" s="2" t="str" cm="1">
        <f t="array" ref="K758">IFERROR(playerPoints($H758,$F758,$G758,K$1),"")</f>
        <v/>
      </c>
      <c r="L758" s="2" t="str" cm="1">
        <f t="array" ref="L758">IFERROR(playerPoints($H758,$F758,$G758,L$1),"")</f>
        <v/>
      </c>
      <c r="M758" s="2" t="str" cm="1">
        <f t="array" ref="M758">IFERROR(playerPoints($H758,$F758,$G758,M$1),"")</f>
        <v/>
      </c>
      <c r="N758" s="2" t="str" cm="1">
        <f t="array" ref="N758">IFERROR(playerPoints($H758,$F758,$G758,N$1),"")</f>
        <v/>
      </c>
      <c r="O758" s="2" t="str" cm="1">
        <f t="array" ref="O758">IFERROR(playerPoints($H758,$F758,$G758,O$1),"")</f>
        <v/>
      </c>
      <c r="Q758" s="2">
        <f t="shared" si="11"/>
        <v>0</v>
      </c>
    </row>
    <row r="759" spans="1:17">
      <c r="A759" s="2">
        <v>758</v>
      </c>
      <c r="B759" s="2" t="s">
        <v>2253</v>
      </c>
      <c r="C759" s="2" t="s">
        <v>2254</v>
      </c>
      <c r="D759" s="2" t="s">
        <v>892</v>
      </c>
      <c r="F759" s="2" t="str">
        <f>LOOKUP(D759,Sheet3!A$1:A$32,Sheet3!B$1:B$32)</f>
        <v>USA</v>
      </c>
      <c r="G759" s="2" t="s">
        <v>3090</v>
      </c>
      <c r="H759" s="2" t="s">
        <v>48</v>
      </c>
      <c r="I759" s="2" t="str" cm="1">
        <f t="array" ref="I759">IFERROR(playerPoints($H759,$F759,$G759,I$1),"")</f>
        <v/>
      </c>
      <c r="J759" s="2" t="str" cm="1">
        <f t="array" ref="J759">IFERROR(playerPoints($H759,$F759,$G759,J$1),"")</f>
        <v/>
      </c>
      <c r="K759" s="2" t="str" cm="1">
        <f t="array" ref="K759">IFERROR(playerPoints($H759,$F759,$G759,K$1),"")</f>
        <v/>
      </c>
      <c r="L759" s="2" t="str" cm="1">
        <f t="array" ref="L759">IFERROR(playerPoints($H759,$F759,$G759,L$1),"")</f>
        <v/>
      </c>
      <c r="M759" s="2" t="str" cm="1">
        <f t="array" ref="M759">IFERROR(playerPoints($H759,$F759,$G759,M$1),"")</f>
        <v/>
      </c>
      <c r="N759" s="2" t="str" cm="1">
        <f t="array" ref="N759">IFERROR(playerPoints($H759,$F759,$G759,N$1),"")</f>
        <v/>
      </c>
      <c r="O759" s="2" t="str" cm="1">
        <f t="array" ref="O759">IFERROR(playerPoints($H759,$F759,$G759,O$1),"")</f>
        <v/>
      </c>
      <c r="Q759" s="2">
        <f t="shared" si="11"/>
        <v>0</v>
      </c>
    </row>
    <row r="760" spans="1:17">
      <c r="A760" s="2">
        <v>759</v>
      </c>
      <c r="B760" s="2" t="s">
        <v>1452</v>
      </c>
      <c r="C760" s="2" t="s">
        <v>2255</v>
      </c>
      <c r="D760" s="2" t="s">
        <v>892</v>
      </c>
      <c r="F760" s="2" t="str">
        <f>LOOKUP(D760,Sheet3!A$1:A$32,Sheet3!B$1:B$32)</f>
        <v>USA</v>
      </c>
      <c r="G760" s="2" t="s">
        <v>3091</v>
      </c>
      <c r="H760" s="2" t="s">
        <v>48</v>
      </c>
      <c r="I760" s="2" t="str" cm="1">
        <f t="array" ref="I760">IFERROR(playerPoints($H760,$F760,$G760,I$1),"")</f>
        <v/>
      </c>
      <c r="J760" s="2" t="str" cm="1">
        <f t="array" ref="J760">IFERROR(playerPoints($H760,$F760,$G760,J$1),"")</f>
        <v/>
      </c>
      <c r="K760" s="2" t="str" cm="1">
        <f t="array" ref="K760">IFERROR(playerPoints($H760,$F760,$G760,K$1),"")</f>
        <v/>
      </c>
      <c r="L760" s="2" t="str" cm="1">
        <f t="array" ref="L760">IFERROR(playerPoints($H760,$F760,$G760,L$1),"")</f>
        <v/>
      </c>
      <c r="M760" s="2" t="str" cm="1">
        <f t="array" ref="M760">IFERROR(playerPoints($H760,$F760,$G760,M$1),"")</f>
        <v/>
      </c>
      <c r="N760" s="2" t="str" cm="1">
        <f t="array" ref="N760">IFERROR(playerPoints($H760,$F760,$G760,N$1),"")</f>
        <v/>
      </c>
      <c r="O760" s="2" t="str" cm="1">
        <f t="array" ref="O760">IFERROR(playerPoints($H760,$F760,$G760,O$1),"")</f>
        <v/>
      </c>
      <c r="Q760" s="2">
        <f t="shared" si="11"/>
        <v>0</v>
      </c>
    </row>
    <row r="761" spans="1:17">
      <c r="A761" s="2">
        <v>760</v>
      </c>
      <c r="B761" s="2" t="s">
        <v>2256</v>
      </c>
      <c r="C761" s="2" t="s">
        <v>2257</v>
      </c>
      <c r="D761" s="2" t="s">
        <v>892</v>
      </c>
      <c r="F761" s="2" t="str">
        <f>LOOKUP(D761,Sheet3!A$1:A$32,Sheet3!B$1:B$32)</f>
        <v>USA</v>
      </c>
      <c r="G761" s="2" t="s">
        <v>3092</v>
      </c>
      <c r="H761" s="2" t="s">
        <v>48</v>
      </c>
      <c r="I761" s="2" t="str" cm="1">
        <f t="array" ref="I761">IFERROR(playerPoints($H761,$F761,$G761,I$1),"")</f>
        <v/>
      </c>
      <c r="J761" s="2" t="str" cm="1">
        <f t="array" ref="J761">IFERROR(playerPoints($H761,$F761,$G761,J$1),"")</f>
        <v/>
      </c>
      <c r="K761" s="2" t="str" cm="1">
        <f t="array" ref="K761">IFERROR(playerPoints($H761,$F761,$G761,K$1),"")</f>
        <v/>
      </c>
      <c r="L761" s="2" t="str" cm="1">
        <f t="array" ref="L761">IFERROR(playerPoints($H761,$F761,$G761,L$1),"")</f>
        <v/>
      </c>
      <c r="M761" s="2" t="str" cm="1">
        <f t="array" ref="M761">IFERROR(playerPoints($H761,$F761,$G761,M$1),"")</f>
        <v/>
      </c>
      <c r="N761" s="2" t="str" cm="1">
        <f t="array" ref="N761">IFERROR(playerPoints($H761,$F761,$G761,N$1),"")</f>
        <v/>
      </c>
      <c r="O761" s="2" t="str" cm="1">
        <f t="array" ref="O761">IFERROR(playerPoints($H761,$F761,$G761,O$1),"")</f>
        <v/>
      </c>
      <c r="Q761" s="2">
        <f t="shared" si="11"/>
        <v>0</v>
      </c>
    </row>
    <row r="762" spans="1:17">
      <c r="A762" s="2">
        <v>761</v>
      </c>
      <c r="B762" s="2" t="s">
        <v>2258</v>
      </c>
      <c r="C762" s="2" t="s">
        <v>2259</v>
      </c>
      <c r="D762" s="2" t="s">
        <v>892</v>
      </c>
      <c r="F762" s="2" t="str">
        <f>LOOKUP(D762,Sheet3!A$1:A$32,Sheet3!B$1:B$32)</f>
        <v>USA</v>
      </c>
      <c r="G762" s="2" t="s">
        <v>3093</v>
      </c>
      <c r="H762" s="2" t="s">
        <v>48</v>
      </c>
      <c r="I762" s="2" t="str" cm="1">
        <f t="array" ref="I762">IFERROR(playerPoints($H762,$F762,$G762,I$1),"")</f>
        <v/>
      </c>
      <c r="J762" s="2" t="str" cm="1">
        <f t="array" ref="J762">IFERROR(playerPoints($H762,$F762,$G762,J$1),"")</f>
        <v/>
      </c>
      <c r="K762" s="2" t="str" cm="1">
        <f t="array" ref="K762">IFERROR(playerPoints($H762,$F762,$G762,K$1),"")</f>
        <v/>
      </c>
      <c r="L762" s="2" t="str" cm="1">
        <f t="array" ref="L762">IFERROR(playerPoints($H762,$F762,$G762,L$1),"")</f>
        <v/>
      </c>
      <c r="M762" s="2" t="str" cm="1">
        <f t="array" ref="M762">IFERROR(playerPoints($H762,$F762,$G762,M$1),"")</f>
        <v/>
      </c>
      <c r="N762" s="2" t="str" cm="1">
        <f t="array" ref="N762">IFERROR(playerPoints($H762,$F762,$G762,N$1),"")</f>
        <v/>
      </c>
      <c r="O762" s="2" t="str" cm="1">
        <f t="array" ref="O762">IFERROR(playerPoints($H762,$F762,$G762,O$1),"")</f>
        <v/>
      </c>
      <c r="Q762" s="2">
        <f t="shared" si="11"/>
        <v>0</v>
      </c>
    </row>
    <row r="763" spans="1:17">
      <c r="A763" s="2">
        <v>762</v>
      </c>
      <c r="B763" s="2" t="s">
        <v>1088</v>
      </c>
      <c r="C763" s="2" t="s">
        <v>2260</v>
      </c>
      <c r="D763" s="2" t="s">
        <v>892</v>
      </c>
      <c r="F763" s="2" t="str">
        <f>LOOKUP(D763,Sheet3!A$1:A$32,Sheet3!B$1:B$32)</f>
        <v>USA</v>
      </c>
      <c r="G763" s="2" t="s">
        <v>3094</v>
      </c>
      <c r="H763" s="2" t="s">
        <v>48</v>
      </c>
      <c r="I763" s="2" t="str" cm="1">
        <f t="array" ref="I763">IFERROR(playerPoints($H763,$F763,$G763,I$1),"")</f>
        <v/>
      </c>
      <c r="J763" s="2" t="str" cm="1">
        <f t="array" ref="J763">IFERROR(playerPoints($H763,$F763,$G763,J$1),"")</f>
        <v/>
      </c>
      <c r="K763" s="2" t="str" cm="1">
        <f t="array" ref="K763">IFERROR(playerPoints($H763,$F763,$G763,K$1),"")</f>
        <v/>
      </c>
      <c r="L763" s="2" t="str" cm="1">
        <f t="array" ref="L763">IFERROR(playerPoints($H763,$F763,$G763,L$1),"")</f>
        <v/>
      </c>
      <c r="M763" s="2" t="str" cm="1">
        <f t="array" ref="M763">IFERROR(playerPoints($H763,$F763,$G763,M$1),"")</f>
        <v/>
      </c>
      <c r="N763" s="2" t="str" cm="1">
        <f t="array" ref="N763">IFERROR(playerPoints($H763,$F763,$G763,N$1),"")</f>
        <v/>
      </c>
      <c r="O763" s="2" t="str" cm="1">
        <f t="array" ref="O763">IFERROR(playerPoints($H763,$F763,$G763,O$1),"")</f>
        <v/>
      </c>
      <c r="Q763" s="2">
        <f t="shared" si="11"/>
        <v>0</v>
      </c>
    </row>
    <row r="764" spans="1:17">
      <c r="A764" s="2">
        <v>763</v>
      </c>
      <c r="B764" s="2" t="s">
        <v>2261</v>
      </c>
      <c r="C764" s="2" t="s">
        <v>2262</v>
      </c>
      <c r="D764" s="2" t="s">
        <v>892</v>
      </c>
      <c r="F764" s="2" t="str">
        <f>LOOKUP(D764,Sheet3!A$1:A$32,Sheet3!B$1:B$32)</f>
        <v>USA</v>
      </c>
      <c r="G764" s="2" t="s">
        <v>3095</v>
      </c>
      <c r="H764" s="2" t="s">
        <v>48</v>
      </c>
      <c r="I764" s="2" t="str" cm="1">
        <f t="array" ref="I764">IFERROR(playerPoints($H764,$F764,$G764,I$1),"")</f>
        <v/>
      </c>
      <c r="J764" s="2" t="str" cm="1">
        <f t="array" ref="J764">IFERROR(playerPoints($H764,$F764,$G764,J$1),"")</f>
        <v/>
      </c>
      <c r="K764" s="2" t="str" cm="1">
        <f t="array" ref="K764">IFERROR(playerPoints($H764,$F764,$G764,K$1),"")</f>
        <v/>
      </c>
      <c r="L764" s="2" t="str" cm="1">
        <f t="array" ref="L764">IFERROR(playerPoints($H764,$F764,$G764,L$1),"")</f>
        <v/>
      </c>
      <c r="M764" s="2" t="str" cm="1">
        <f t="array" ref="M764">IFERROR(playerPoints($H764,$F764,$G764,M$1),"")</f>
        <v/>
      </c>
      <c r="N764" s="2" t="str" cm="1">
        <f t="array" ref="N764">IFERROR(playerPoints($H764,$F764,$G764,N$1),"")</f>
        <v/>
      </c>
      <c r="O764" s="2" t="str" cm="1">
        <f t="array" ref="O764">IFERROR(playerPoints($H764,$F764,$G764,O$1),"")</f>
        <v/>
      </c>
      <c r="Q764" s="2">
        <f t="shared" si="11"/>
        <v>0</v>
      </c>
    </row>
    <row r="765" spans="1:17">
      <c r="A765" s="2">
        <v>764</v>
      </c>
      <c r="B765" s="2" t="s">
        <v>1092</v>
      </c>
      <c r="C765" s="2" t="s">
        <v>2263</v>
      </c>
      <c r="D765" s="2" t="s">
        <v>892</v>
      </c>
      <c r="F765" s="2" t="str">
        <f>LOOKUP(D765,Sheet3!A$1:A$32,Sheet3!B$1:B$32)</f>
        <v>USA</v>
      </c>
      <c r="G765" s="2" t="s">
        <v>3096</v>
      </c>
      <c r="H765" s="2" t="s">
        <v>48</v>
      </c>
      <c r="I765" s="2" t="str" cm="1">
        <f t="array" ref="I765">IFERROR(playerPoints($H765,$F765,$G765,I$1),"")</f>
        <v/>
      </c>
      <c r="J765" s="2" t="str" cm="1">
        <f t="array" ref="J765">IFERROR(playerPoints($H765,$F765,$G765,J$1),"")</f>
        <v/>
      </c>
      <c r="K765" s="2" t="str" cm="1">
        <f t="array" ref="K765">IFERROR(playerPoints($H765,$F765,$G765,K$1),"")</f>
        <v/>
      </c>
      <c r="L765" s="2" t="str" cm="1">
        <f t="array" ref="L765">IFERROR(playerPoints($H765,$F765,$G765,L$1),"")</f>
        <v/>
      </c>
      <c r="M765" s="2" t="str" cm="1">
        <f t="array" ref="M765">IFERROR(playerPoints($H765,$F765,$G765,M$1),"")</f>
        <v/>
      </c>
      <c r="N765" s="2" t="str" cm="1">
        <f t="array" ref="N765">IFERROR(playerPoints($H765,$F765,$G765,N$1),"")</f>
        <v/>
      </c>
      <c r="O765" s="2" t="str" cm="1">
        <f t="array" ref="O765">IFERROR(playerPoints($H765,$F765,$G765,O$1),"")</f>
        <v/>
      </c>
      <c r="Q765" s="2">
        <f t="shared" si="11"/>
        <v>0</v>
      </c>
    </row>
    <row r="766" spans="1:17">
      <c r="A766" s="2">
        <v>765</v>
      </c>
      <c r="B766" s="2" t="s">
        <v>2264</v>
      </c>
      <c r="C766" s="2" t="s">
        <v>2265</v>
      </c>
      <c r="D766" s="2" t="s">
        <v>892</v>
      </c>
      <c r="F766" s="2" t="str">
        <f>LOOKUP(D766,Sheet3!A$1:A$32,Sheet3!B$1:B$32)</f>
        <v>USA</v>
      </c>
      <c r="G766" s="2" t="s">
        <v>3097</v>
      </c>
      <c r="H766" s="2" t="s">
        <v>48</v>
      </c>
      <c r="I766" s="2" t="str" cm="1">
        <f t="array" ref="I766">IFERROR(playerPoints($H766,$F766,$G766,I$1),"")</f>
        <v/>
      </c>
      <c r="J766" s="2" t="str" cm="1">
        <f t="array" ref="J766">IFERROR(playerPoints($H766,$F766,$G766,J$1),"")</f>
        <v/>
      </c>
      <c r="K766" s="2" t="str" cm="1">
        <f t="array" ref="K766">IFERROR(playerPoints($H766,$F766,$G766,K$1),"")</f>
        <v/>
      </c>
      <c r="L766" s="2" t="str" cm="1">
        <f t="array" ref="L766">IFERROR(playerPoints($H766,$F766,$G766,L$1),"")</f>
        <v/>
      </c>
      <c r="M766" s="2" t="str" cm="1">
        <f t="array" ref="M766">IFERROR(playerPoints($H766,$F766,$G766,M$1),"")</f>
        <v/>
      </c>
      <c r="N766" s="2" t="str" cm="1">
        <f t="array" ref="N766">IFERROR(playerPoints($H766,$F766,$G766,N$1),"")</f>
        <v/>
      </c>
      <c r="O766" s="2" t="str" cm="1">
        <f t="array" ref="O766">IFERROR(playerPoints($H766,$F766,$G766,O$1),"")</f>
        <v/>
      </c>
      <c r="Q766" s="2">
        <f t="shared" si="11"/>
        <v>0</v>
      </c>
    </row>
    <row r="767" spans="1:17">
      <c r="A767" s="2">
        <v>766</v>
      </c>
      <c r="B767" s="2" t="s">
        <v>2266</v>
      </c>
      <c r="C767" s="2" t="s">
        <v>2267</v>
      </c>
      <c r="D767" s="2" t="s">
        <v>892</v>
      </c>
      <c r="F767" s="2" t="str">
        <f>LOOKUP(D767,Sheet3!A$1:A$32,Sheet3!B$1:B$32)</f>
        <v>USA</v>
      </c>
      <c r="G767" s="2" t="s">
        <v>3098</v>
      </c>
      <c r="H767" s="2" t="s">
        <v>48</v>
      </c>
      <c r="I767" s="2" t="str" cm="1">
        <f t="array" ref="I767">IFERROR(playerPoints($H767,$F767,$G767,I$1),"")</f>
        <v/>
      </c>
      <c r="J767" s="2" t="str" cm="1">
        <f t="array" ref="J767">IFERROR(playerPoints($H767,$F767,$G767,J$1),"")</f>
        <v/>
      </c>
      <c r="K767" s="2" t="str" cm="1">
        <f t="array" ref="K767">IFERROR(playerPoints($H767,$F767,$G767,K$1),"")</f>
        <v/>
      </c>
      <c r="L767" s="2" t="str" cm="1">
        <f t="array" ref="L767">IFERROR(playerPoints($H767,$F767,$G767,L$1),"")</f>
        <v/>
      </c>
      <c r="M767" s="2" t="str" cm="1">
        <f t="array" ref="M767">IFERROR(playerPoints($H767,$F767,$G767,M$1),"")</f>
        <v/>
      </c>
      <c r="N767" s="2" t="str" cm="1">
        <f t="array" ref="N767">IFERROR(playerPoints($H767,$F767,$G767,N$1),"")</f>
        <v/>
      </c>
      <c r="O767" s="2" t="str" cm="1">
        <f t="array" ref="O767">IFERROR(playerPoints($H767,$F767,$G767,O$1),"")</f>
        <v/>
      </c>
      <c r="Q767" s="2">
        <f t="shared" si="11"/>
        <v>0</v>
      </c>
    </row>
    <row r="768" spans="1:17">
      <c r="A768" s="2">
        <v>767</v>
      </c>
      <c r="B768" s="2" t="s">
        <v>2268</v>
      </c>
      <c r="C768" s="2" t="s">
        <v>2269</v>
      </c>
      <c r="D768" s="2" t="s">
        <v>892</v>
      </c>
      <c r="F768" s="2" t="str">
        <f>LOOKUP(D768,Sheet3!A$1:A$32,Sheet3!B$1:B$32)</f>
        <v>USA</v>
      </c>
      <c r="G768" s="2" t="s">
        <v>3099</v>
      </c>
      <c r="H768" s="2" t="s">
        <v>57</v>
      </c>
      <c r="I768" s="2" t="str" cm="1">
        <f t="array" ref="I768">IFERROR(playerPoints($H768,$F768,$G768,I$1),"")</f>
        <v/>
      </c>
      <c r="J768" s="2" t="str" cm="1">
        <f t="array" ref="J768">IFERROR(playerPoints($H768,$F768,$G768,J$1),"")</f>
        <v/>
      </c>
      <c r="K768" s="2" t="str" cm="1">
        <f t="array" ref="K768">IFERROR(playerPoints($H768,$F768,$G768,K$1),"")</f>
        <v/>
      </c>
      <c r="L768" s="2" t="str" cm="1">
        <f t="array" ref="L768">IFERROR(playerPoints($H768,$F768,$G768,L$1),"")</f>
        <v/>
      </c>
      <c r="M768" s="2" t="str" cm="1">
        <f t="array" ref="M768">IFERROR(playerPoints($H768,$F768,$G768,M$1),"")</f>
        <v/>
      </c>
      <c r="N768" s="2" t="str" cm="1">
        <f t="array" ref="N768">IFERROR(playerPoints($H768,$F768,$G768,N$1),"")</f>
        <v/>
      </c>
      <c r="O768" s="2" t="str" cm="1">
        <f t="array" ref="O768">IFERROR(playerPoints($H768,$F768,$G768,O$1),"")</f>
        <v/>
      </c>
      <c r="Q768" s="2">
        <f t="shared" si="11"/>
        <v>0</v>
      </c>
    </row>
    <row r="769" spans="1:17">
      <c r="A769" s="2">
        <v>768</v>
      </c>
      <c r="B769" s="2" t="s">
        <v>2270</v>
      </c>
      <c r="C769" s="2" t="s">
        <v>2271</v>
      </c>
      <c r="D769" s="2" t="s">
        <v>892</v>
      </c>
      <c r="F769" s="2" t="str">
        <f>LOOKUP(D769,Sheet3!A$1:A$32,Sheet3!B$1:B$32)</f>
        <v>USA</v>
      </c>
      <c r="G769" s="2" t="s">
        <v>3100</v>
      </c>
      <c r="H769" s="2" t="s">
        <v>57</v>
      </c>
      <c r="I769" s="2" t="str" cm="1">
        <f t="array" ref="I769">IFERROR(playerPoints($H769,$F769,$G769,I$1),"")</f>
        <v/>
      </c>
      <c r="J769" s="2" t="str" cm="1">
        <f t="array" ref="J769">IFERROR(playerPoints($H769,$F769,$G769,J$1),"")</f>
        <v/>
      </c>
      <c r="K769" s="2" t="str" cm="1">
        <f t="array" ref="K769">IFERROR(playerPoints($H769,$F769,$G769,K$1),"")</f>
        <v/>
      </c>
      <c r="L769" s="2" t="str" cm="1">
        <f t="array" ref="L769">IFERROR(playerPoints($H769,$F769,$G769,L$1),"")</f>
        <v/>
      </c>
      <c r="M769" s="2" t="str" cm="1">
        <f t="array" ref="M769">IFERROR(playerPoints($H769,$F769,$G769,M$1),"")</f>
        <v/>
      </c>
      <c r="N769" s="2" t="str" cm="1">
        <f t="array" ref="N769">IFERROR(playerPoints($H769,$F769,$G769,N$1),"")</f>
        <v/>
      </c>
      <c r="O769" s="2" t="str" cm="1">
        <f t="array" ref="O769">IFERROR(playerPoints($H769,$F769,$G769,O$1),"")</f>
        <v/>
      </c>
      <c r="Q769" s="2">
        <f t="shared" si="11"/>
        <v>0</v>
      </c>
    </row>
    <row r="770" spans="1:17">
      <c r="A770" s="2">
        <v>769</v>
      </c>
      <c r="B770" s="2" t="s">
        <v>2272</v>
      </c>
      <c r="C770" s="2" t="s">
        <v>2273</v>
      </c>
      <c r="D770" s="2" t="s">
        <v>892</v>
      </c>
      <c r="F770" s="2" t="str">
        <f>LOOKUP(D770,Sheet3!A$1:A$32,Sheet3!B$1:B$32)</f>
        <v>USA</v>
      </c>
      <c r="G770" s="2" t="s">
        <v>3101</v>
      </c>
      <c r="H770" s="2" t="s">
        <v>57</v>
      </c>
      <c r="I770" s="2" t="str" cm="1">
        <f t="array" ref="I770">IFERROR(playerPoints($H770,$F770,$G770,I$1),"")</f>
        <v/>
      </c>
      <c r="J770" s="2" t="str" cm="1">
        <f t="array" ref="J770">IFERROR(playerPoints($H770,$F770,$G770,J$1),"")</f>
        <v/>
      </c>
      <c r="K770" s="2" t="str" cm="1">
        <f t="array" ref="K770">IFERROR(playerPoints($H770,$F770,$G770,K$1),"")</f>
        <v/>
      </c>
      <c r="L770" s="2" t="str" cm="1">
        <f t="array" ref="L770">IFERROR(playerPoints($H770,$F770,$G770,L$1),"")</f>
        <v/>
      </c>
      <c r="M770" s="2" t="str" cm="1">
        <f t="array" ref="M770">IFERROR(playerPoints($H770,$F770,$G770,M$1),"")</f>
        <v/>
      </c>
      <c r="N770" s="2" t="str" cm="1">
        <f t="array" ref="N770">IFERROR(playerPoints($H770,$F770,$G770,N$1),"")</f>
        <v/>
      </c>
      <c r="O770" s="2" t="str" cm="1">
        <f t="array" ref="O770">IFERROR(playerPoints($H770,$F770,$G770,O$1),"")</f>
        <v/>
      </c>
      <c r="Q770" s="2">
        <f t="shared" si="11"/>
        <v>0</v>
      </c>
    </row>
    <row r="771" spans="1:17">
      <c r="A771" s="2">
        <v>770</v>
      </c>
      <c r="B771" s="2" t="s">
        <v>2274</v>
      </c>
      <c r="C771" s="2" t="s">
        <v>2275</v>
      </c>
      <c r="D771" s="2" t="s">
        <v>892</v>
      </c>
      <c r="F771" s="2" t="str">
        <f>LOOKUP(D771,Sheet3!A$1:A$32,Sheet3!B$1:B$32)</f>
        <v>USA</v>
      </c>
      <c r="G771" s="2" t="s">
        <v>3102</v>
      </c>
      <c r="H771" s="2" t="s">
        <v>57</v>
      </c>
      <c r="I771" s="2" t="str" cm="1">
        <f t="array" ref="I771">IFERROR(playerPoints($H771,$F771,$G771,I$1),"")</f>
        <v/>
      </c>
      <c r="J771" s="2" t="str" cm="1">
        <f t="array" ref="J771">IFERROR(playerPoints($H771,$F771,$G771,J$1),"")</f>
        <v/>
      </c>
      <c r="K771" s="2" t="str" cm="1">
        <f t="array" ref="K771">IFERROR(playerPoints($H771,$F771,$G771,K$1),"")</f>
        <v/>
      </c>
      <c r="L771" s="2" t="str" cm="1">
        <f t="array" ref="L771">IFERROR(playerPoints($H771,$F771,$G771,L$1),"")</f>
        <v/>
      </c>
      <c r="M771" s="2" t="str" cm="1">
        <f t="array" ref="M771">IFERROR(playerPoints($H771,$F771,$G771,M$1),"")</f>
        <v/>
      </c>
      <c r="N771" s="2" t="str" cm="1">
        <f t="array" ref="N771">IFERROR(playerPoints($H771,$F771,$G771,N$1),"")</f>
        <v/>
      </c>
      <c r="O771" s="2" t="str" cm="1">
        <f t="array" ref="O771">IFERROR(playerPoints($H771,$F771,$G771,O$1),"")</f>
        <v/>
      </c>
      <c r="Q771" s="2">
        <f t="shared" ref="Q771:Q833" si="12">SUM(I771:O771)</f>
        <v>0</v>
      </c>
    </row>
    <row r="772" spans="1:17">
      <c r="A772" s="2">
        <v>771</v>
      </c>
      <c r="B772" s="2" t="s">
        <v>1219</v>
      </c>
      <c r="C772" s="2" t="s">
        <v>2276</v>
      </c>
      <c r="D772" s="2" t="s">
        <v>892</v>
      </c>
      <c r="F772" s="2" t="str">
        <f>LOOKUP(D772,Sheet3!A$1:A$32,Sheet3!B$1:B$32)</f>
        <v>USA</v>
      </c>
      <c r="G772" s="2" t="s">
        <v>3103</v>
      </c>
      <c r="H772" s="2" t="s">
        <v>57</v>
      </c>
      <c r="I772" s="2" t="str" cm="1">
        <f t="array" ref="I772">IFERROR(playerPoints($H772,$F772,$G772,I$1),"")</f>
        <v/>
      </c>
      <c r="J772" s="2" t="str" cm="1">
        <f t="array" ref="J772">IFERROR(playerPoints($H772,$F772,$G772,J$1),"")</f>
        <v/>
      </c>
      <c r="K772" s="2" t="str" cm="1">
        <f t="array" ref="K772">IFERROR(playerPoints($H772,$F772,$G772,K$1),"")</f>
        <v/>
      </c>
      <c r="L772" s="2" t="str" cm="1">
        <f t="array" ref="L772">IFERROR(playerPoints($H772,$F772,$G772,L$1),"")</f>
        <v/>
      </c>
      <c r="M772" s="2" t="str" cm="1">
        <f t="array" ref="M772">IFERROR(playerPoints($H772,$F772,$G772,M$1),"")</f>
        <v/>
      </c>
      <c r="N772" s="2" t="str" cm="1">
        <f t="array" ref="N772">IFERROR(playerPoints($H772,$F772,$G772,N$1),"")</f>
        <v/>
      </c>
      <c r="O772" s="2" t="str" cm="1">
        <f t="array" ref="O772">IFERROR(playerPoints($H772,$F772,$G772,O$1),"")</f>
        <v/>
      </c>
      <c r="Q772" s="2">
        <f t="shared" si="12"/>
        <v>0</v>
      </c>
    </row>
    <row r="773" spans="1:17">
      <c r="A773" s="2">
        <v>772</v>
      </c>
      <c r="B773" s="2" t="s">
        <v>2277</v>
      </c>
      <c r="C773" s="2" t="s">
        <v>2278</v>
      </c>
      <c r="D773" s="2" t="s">
        <v>892</v>
      </c>
      <c r="F773" s="2" t="str">
        <f>LOOKUP(D773,Sheet3!A$1:A$32,Sheet3!B$1:B$32)</f>
        <v>USA</v>
      </c>
      <c r="G773" s="2" t="s">
        <v>3104</v>
      </c>
      <c r="H773" s="2" t="s">
        <v>57</v>
      </c>
      <c r="I773" s="2" t="str" cm="1">
        <f t="array" ref="I773">IFERROR(playerPoints($H773,$F773,$G773,I$1),"")</f>
        <v/>
      </c>
      <c r="J773" s="2" t="str" cm="1">
        <f t="array" ref="J773">IFERROR(playerPoints($H773,$F773,$G773,J$1),"")</f>
        <v/>
      </c>
      <c r="K773" s="2" t="str" cm="1">
        <f t="array" ref="K773">IFERROR(playerPoints($H773,$F773,$G773,K$1),"")</f>
        <v/>
      </c>
      <c r="L773" s="2" t="str" cm="1">
        <f t="array" ref="L773">IFERROR(playerPoints($H773,$F773,$G773,L$1),"")</f>
        <v/>
      </c>
      <c r="M773" s="2" t="str" cm="1">
        <f t="array" ref="M773">IFERROR(playerPoints($H773,$F773,$G773,M$1),"")</f>
        <v/>
      </c>
      <c r="N773" s="2" t="str" cm="1">
        <f t="array" ref="N773">IFERROR(playerPoints($H773,$F773,$G773,N$1),"")</f>
        <v/>
      </c>
      <c r="O773" s="2" t="str" cm="1">
        <f t="array" ref="O773">IFERROR(playerPoints($H773,$F773,$G773,O$1),"")</f>
        <v/>
      </c>
      <c r="Q773" s="2">
        <f t="shared" si="12"/>
        <v>0</v>
      </c>
    </row>
    <row r="774" spans="1:17">
      <c r="A774" s="2">
        <v>773</v>
      </c>
      <c r="B774" s="2" t="s">
        <v>2279</v>
      </c>
      <c r="C774" s="2" t="s">
        <v>2280</v>
      </c>
      <c r="D774" s="2" t="s">
        <v>892</v>
      </c>
      <c r="F774" s="2" t="str">
        <f>LOOKUP(D774,Sheet3!A$1:A$32,Sheet3!B$1:B$32)</f>
        <v>USA</v>
      </c>
      <c r="G774" s="2" t="s">
        <v>3105</v>
      </c>
      <c r="H774" s="2" t="s">
        <v>57</v>
      </c>
      <c r="I774" s="2" t="str" cm="1">
        <f t="array" ref="I774">IFERROR(playerPoints($H774,$F774,$G774,I$1),"")</f>
        <v/>
      </c>
      <c r="J774" s="2" t="str" cm="1">
        <f t="array" ref="J774">IFERROR(playerPoints($H774,$F774,$G774,J$1),"")</f>
        <v/>
      </c>
      <c r="K774" s="2" t="str" cm="1">
        <f t="array" ref="K774">IFERROR(playerPoints($H774,$F774,$G774,K$1),"")</f>
        <v/>
      </c>
      <c r="L774" s="2" t="str" cm="1">
        <f t="array" ref="L774">IFERROR(playerPoints($H774,$F774,$G774,L$1),"")</f>
        <v/>
      </c>
      <c r="M774" s="2" t="str" cm="1">
        <f t="array" ref="M774">IFERROR(playerPoints($H774,$F774,$G774,M$1),"")</f>
        <v/>
      </c>
      <c r="N774" s="2" t="str" cm="1">
        <f t="array" ref="N774">IFERROR(playerPoints($H774,$F774,$G774,N$1),"")</f>
        <v/>
      </c>
      <c r="O774" s="2" t="str" cm="1">
        <f t="array" ref="O774">IFERROR(playerPoints($H774,$F774,$G774,O$1),"")</f>
        <v/>
      </c>
      <c r="Q774" s="2">
        <f t="shared" si="12"/>
        <v>0</v>
      </c>
    </row>
    <row r="775" spans="1:17">
      <c r="A775" s="2">
        <v>774</v>
      </c>
      <c r="B775" s="2" t="s">
        <v>1028</v>
      </c>
      <c r="C775" s="2" t="s">
        <v>2281</v>
      </c>
      <c r="D775" s="2" t="s">
        <v>892</v>
      </c>
      <c r="F775" s="2" t="str">
        <f>LOOKUP(D775,Sheet3!A$1:A$32,Sheet3!B$1:B$32)</f>
        <v>USA</v>
      </c>
      <c r="G775" s="2" t="s">
        <v>3106</v>
      </c>
      <c r="H775" s="2" t="s">
        <v>57</v>
      </c>
      <c r="I775" s="2" t="str" cm="1">
        <f t="array" ref="I775">IFERROR(playerPoints($H775,$F775,$G775,I$1),"")</f>
        <v/>
      </c>
      <c r="J775" s="2" t="str" cm="1">
        <f t="array" ref="J775">IFERROR(playerPoints($H775,$F775,$G775,J$1),"")</f>
        <v/>
      </c>
      <c r="K775" s="2" t="str" cm="1">
        <f t="array" ref="K775">IFERROR(playerPoints($H775,$F775,$G775,K$1),"")</f>
        <v/>
      </c>
      <c r="L775" s="2" t="str" cm="1">
        <f t="array" ref="L775">IFERROR(playerPoints($H775,$F775,$G775,L$1),"")</f>
        <v/>
      </c>
      <c r="M775" s="2" t="str" cm="1">
        <f t="array" ref="M775">IFERROR(playerPoints($H775,$F775,$G775,M$1),"")</f>
        <v/>
      </c>
      <c r="N775" s="2" t="str" cm="1">
        <f t="array" ref="N775">IFERROR(playerPoints($H775,$F775,$G775,N$1),"")</f>
        <v/>
      </c>
      <c r="O775" s="2" t="str" cm="1">
        <f t="array" ref="O775">IFERROR(playerPoints($H775,$F775,$G775,O$1),"")</f>
        <v/>
      </c>
      <c r="Q775" s="2">
        <f t="shared" si="12"/>
        <v>0</v>
      </c>
    </row>
    <row r="776" spans="1:17">
      <c r="A776" s="2">
        <v>775</v>
      </c>
      <c r="B776" s="2" t="s">
        <v>2282</v>
      </c>
      <c r="C776" s="2" t="s">
        <v>2283</v>
      </c>
      <c r="D776" s="2" t="s">
        <v>892</v>
      </c>
      <c r="F776" s="2" t="str">
        <f>LOOKUP(D776,Sheet3!A$1:A$32,Sheet3!B$1:B$32)</f>
        <v>USA</v>
      </c>
      <c r="G776" s="2" t="s">
        <v>3107</v>
      </c>
      <c r="H776" s="2" t="s">
        <v>57</v>
      </c>
      <c r="I776" s="2" t="str" cm="1">
        <f t="array" ref="I776">IFERROR(playerPoints($H776,$F776,$G776,I$1),"")</f>
        <v/>
      </c>
      <c r="J776" s="2" t="str" cm="1">
        <f t="array" ref="J776">IFERROR(playerPoints($H776,$F776,$G776,J$1),"")</f>
        <v/>
      </c>
      <c r="K776" s="2" t="str" cm="1">
        <f t="array" ref="K776">IFERROR(playerPoints($H776,$F776,$G776,K$1),"")</f>
        <v/>
      </c>
      <c r="L776" s="2" t="str" cm="1">
        <f t="array" ref="L776">IFERROR(playerPoints($H776,$F776,$G776,L$1),"")</f>
        <v/>
      </c>
      <c r="M776" s="2" t="str" cm="1">
        <f t="array" ref="M776">IFERROR(playerPoints($H776,$F776,$G776,M$1),"")</f>
        <v/>
      </c>
      <c r="N776" s="2" t="str" cm="1">
        <f t="array" ref="N776">IFERROR(playerPoints($H776,$F776,$G776,N$1),"")</f>
        <v/>
      </c>
      <c r="O776" s="2" t="str" cm="1">
        <f t="array" ref="O776">IFERROR(playerPoints($H776,$F776,$G776,O$1),"")</f>
        <v/>
      </c>
      <c r="Q776" s="2">
        <f t="shared" si="12"/>
        <v>0</v>
      </c>
    </row>
    <row r="777" spans="1:17">
      <c r="A777" s="2">
        <v>776</v>
      </c>
      <c r="B777" s="2" t="s">
        <v>1731</v>
      </c>
      <c r="C777" s="2" t="s">
        <v>2284</v>
      </c>
      <c r="D777" s="2" t="s">
        <v>892</v>
      </c>
      <c r="F777" s="2" t="str">
        <f>LOOKUP(D777,Sheet3!A$1:A$32,Sheet3!B$1:B$32)</f>
        <v>USA</v>
      </c>
      <c r="G777" s="2" t="s">
        <v>3108</v>
      </c>
      <c r="H777" s="2" t="s">
        <v>66</v>
      </c>
      <c r="I777" s="2" t="str" cm="1">
        <f t="array" ref="I777">IFERROR(playerPoints($H777,$F777,$G777,I$1),"")</f>
        <v/>
      </c>
      <c r="J777" s="2" t="str" cm="1">
        <f t="array" ref="J777">IFERROR(playerPoints($H777,$F777,$G777,J$1),"")</f>
        <v/>
      </c>
      <c r="K777" s="2" t="str" cm="1">
        <f t="array" ref="K777">IFERROR(playerPoints($H777,$F777,$G777,K$1),"")</f>
        <v/>
      </c>
      <c r="L777" s="2" t="str" cm="1">
        <f t="array" ref="L777">IFERROR(playerPoints($H777,$F777,$G777,L$1),"")</f>
        <v/>
      </c>
      <c r="M777" s="2" t="str" cm="1">
        <f t="array" ref="M777">IFERROR(playerPoints($H777,$F777,$G777,M$1),"")</f>
        <v/>
      </c>
      <c r="N777" s="2" t="str" cm="1">
        <f t="array" ref="N777">IFERROR(playerPoints($H777,$F777,$G777,N$1),"")</f>
        <v/>
      </c>
      <c r="O777" s="2" t="str" cm="1">
        <f t="array" ref="O777">IFERROR(playerPoints($H777,$F777,$G777,O$1),"")</f>
        <v/>
      </c>
      <c r="Q777" s="2">
        <f t="shared" si="12"/>
        <v>0</v>
      </c>
    </row>
    <row r="778" spans="1:17">
      <c r="A778" s="2">
        <v>777</v>
      </c>
      <c r="B778" s="2" t="s">
        <v>1446</v>
      </c>
      <c r="C778" s="2" t="s">
        <v>2285</v>
      </c>
      <c r="D778" s="2" t="s">
        <v>892</v>
      </c>
      <c r="F778" s="2" t="str">
        <f>LOOKUP(D778,Sheet3!A$1:A$32,Sheet3!B$1:B$32)</f>
        <v>USA</v>
      </c>
      <c r="G778" s="2" t="s">
        <v>3109</v>
      </c>
      <c r="H778" s="2" t="s">
        <v>66</v>
      </c>
      <c r="I778" s="2" t="str" cm="1">
        <f t="array" ref="I778">IFERROR(playerPoints($H778,$F778,$G778,I$1),"")</f>
        <v/>
      </c>
      <c r="J778" s="2" t="str" cm="1">
        <f t="array" ref="J778">IFERROR(playerPoints($H778,$F778,$G778,J$1),"")</f>
        <v/>
      </c>
      <c r="K778" s="2" t="str" cm="1">
        <f t="array" ref="K778">IFERROR(playerPoints($H778,$F778,$G778,K$1),"")</f>
        <v/>
      </c>
      <c r="L778" s="2" t="str" cm="1">
        <f t="array" ref="L778">IFERROR(playerPoints($H778,$F778,$G778,L$1),"")</f>
        <v/>
      </c>
      <c r="M778" s="2" t="str" cm="1">
        <f t="array" ref="M778">IFERROR(playerPoints($H778,$F778,$G778,M$1),"")</f>
        <v/>
      </c>
      <c r="N778" s="2" t="str" cm="1">
        <f t="array" ref="N778">IFERROR(playerPoints($H778,$F778,$G778,N$1),"")</f>
        <v/>
      </c>
      <c r="O778" s="2" t="str" cm="1">
        <f t="array" ref="O778">IFERROR(playerPoints($H778,$F778,$G778,O$1),"")</f>
        <v/>
      </c>
      <c r="Q778" s="2">
        <f t="shared" si="12"/>
        <v>0</v>
      </c>
    </row>
    <row r="779" spans="1:17">
      <c r="A779" s="2">
        <v>778</v>
      </c>
      <c r="B779" s="2" t="s">
        <v>2286</v>
      </c>
      <c r="C779" s="2" t="s">
        <v>1075</v>
      </c>
      <c r="D779" s="2" t="s">
        <v>892</v>
      </c>
      <c r="F779" s="2" t="str">
        <f>LOOKUP(D779,Sheet3!A$1:A$32,Sheet3!B$1:B$32)</f>
        <v>USA</v>
      </c>
      <c r="G779" s="2" t="s">
        <v>3110</v>
      </c>
      <c r="H779" s="2" t="s">
        <v>66</v>
      </c>
      <c r="I779" s="2" t="str" cm="1">
        <f t="array" ref="I779">IFERROR(playerPoints($H779,$F779,$G779,I$1),"")</f>
        <v/>
      </c>
      <c r="J779" s="2" t="str" cm="1">
        <f t="array" ref="J779">IFERROR(playerPoints($H779,$F779,$G779,J$1),"")</f>
        <v/>
      </c>
      <c r="K779" s="2" t="str" cm="1">
        <f t="array" ref="K779">IFERROR(playerPoints($H779,$F779,$G779,K$1),"")</f>
        <v/>
      </c>
      <c r="L779" s="2" t="str" cm="1">
        <f t="array" ref="L779">IFERROR(playerPoints($H779,$F779,$G779,L$1),"")</f>
        <v/>
      </c>
      <c r="M779" s="2" t="str" cm="1">
        <f t="array" ref="M779">IFERROR(playerPoints($H779,$F779,$G779,M$1),"")</f>
        <v/>
      </c>
      <c r="N779" s="2" t="str" cm="1">
        <f t="array" ref="N779">IFERROR(playerPoints($H779,$F779,$G779,N$1),"")</f>
        <v/>
      </c>
      <c r="O779" s="2" t="str" cm="1">
        <f t="array" ref="O779">IFERROR(playerPoints($H779,$F779,$G779,O$1),"")</f>
        <v/>
      </c>
      <c r="Q779" s="2">
        <f t="shared" si="12"/>
        <v>0</v>
      </c>
    </row>
    <row r="780" spans="1:17">
      <c r="A780" s="2">
        <v>779</v>
      </c>
      <c r="B780" s="2" t="s">
        <v>1126</v>
      </c>
      <c r="C780" s="2" t="s">
        <v>2287</v>
      </c>
      <c r="D780" s="2" t="s">
        <v>892</v>
      </c>
      <c r="F780" s="2" t="str">
        <f>LOOKUP(D780,Sheet3!A$1:A$32,Sheet3!B$1:B$32)</f>
        <v>USA</v>
      </c>
      <c r="G780" s="2" t="s">
        <v>931</v>
      </c>
      <c r="H780" s="2" t="s">
        <v>66</v>
      </c>
      <c r="I780" s="2" t="str" cm="1">
        <f t="array" ref="I780">IFERROR(playerPoints($H780,$F780,$G780,I$1),"")</f>
        <v/>
      </c>
      <c r="J780" s="2" t="str" cm="1">
        <f t="array" ref="J780">IFERROR(playerPoints($H780,$F780,$G780,J$1),"")</f>
        <v/>
      </c>
      <c r="K780" s="2" t="str" cm="1">
        <f t="array" ref="K780">IFERROR(playerPoints($H780,$F780,$G780,K$1),"")</f>
        <v/>
      </c>
      <c r="L780" s="2" t="str" cm="1">
        <f t="array" ref="L780">IFERROR(playerPoints($H780,$F780,$G780,L$1),"")</f>
        <v/>
      </c>
      <c r="M780" s="2" t="str" cm="1">
        <f t="array" ref="M780">IFERROR(playerPoints($H780,$F780,$G780,M$1),"")</f>
        <v/>
      </c>
      <c r="N780" s="2" t="str" cm="1">
        <f t="array" ref="N780">IFERROR(playerPoints($H780,$F780,$G780,N$1),"")</f>
        <v/>
      </c>
      <c r="O780" s="2" t="str" cm="1">
        <f t="array" ref="O780">IFERROR(playerPoints($H780,$F780,$G780,O$1),"")</f>
        <v/>
      </c>
      <c r="Q780" s="2">
        <f t="shared" si="12"/>
        <v>0</v>
      </c>
    </row>
    <row r="781" spans="1:17">
      <c r="A781" s="2">
        <v>780</v>
      </c>
      <c r="B781" s="2" t="s">
        <v>2288</v>
      </c>
      <c r="C781" s="2" t="s">
        <v>2289</v>
      </c>
      <c r="D781" s="2" t="s">
        <v>892</v>
      </c>
      <c r="F781" s="2" t="str">
        <f>LOOKUP(D781,Sheet3!A$1:A$32,Sheet3!B$1:B$32)</f>
        <v>USA</v>
      </c>
      <c r="G781" s="2" t="s">
        <v>3111</v>
      </c>
      <c r="H781" s="2" t="s">
        <v>66</v>
      </c>
      <c r="I781" s="2" t="str" cm="1">
        <f t="array" ref="I781">IFERROR(playerPoints($H781,$F781,$G781,I$1),"")</f>
        <v/>
      </c>
      <c r="J781" s="2" t="str" cm="1">
        <f t="array" ref="J781">IFERROR(playerPoints($H781,$F781,$G781,J$1),"")</f>
        <v/>
      </c>
      <c r="K781" s="2" t="str" cm="1">
        <f t="array" ref="K781">IFERROR(playerPoints($H781,$F781,$G781,K$1),"")</f>
        <v/>
      </c>
      <c r="L781" s="2" t="str" cm="1">
        <f t="array" ref="L781">IFERROR(playerPoints($H781,$F781,$G781,L$1),"")</f>
        <v/>
      </c>
      <c r="M781" s="2" t="str" cm="1">
        <f t="array" ref="M781">IFERROR(playerPoints($H781,$F781,$G781,M$1),"")</f>
        <v/>
      </c>
      <c r="N781" s="2" t="str" cm="1">
        <f t="array" ref="N781">IFERROR(playerPoints($H781,$F781,$G781,N$1),"")</f>
        <v/>
      </c>
      <c r="O781" s="2" t="str" cm="1">
        <f t="array" ref="O781">IFERROR(playerPoints($H781,$F781,$G781,O$1),"")</f>
        <v/>
      </c>
      <c r="Q781" s="2">
        <f t="shared" si="12"/>
        <v>0</v>
      </c>
    </row>
    <row r="782" spans="1:17">
      <c r="A782" s="2">
        <v>781</v>
      </c>
      <c r="B782" s="2" t="s">
        <v>2290</v>
      </c>
      <c r="C782" s="2" t="s">
        <v>2291</v>
      </c>
      <c r="D782" s="2" t="s">
        <v>893</v>
      </c>
      <c r="F782" s="2" t="str">
        <f>LOOKUP(D782,Sheet3!A$1:A$32,Sheet3!B$1:B$32)</f>
        <v>URU</v>
      </c>
      <c r="G782" s="2" t="s">
        <v>3112</v>
      </c>
      <c r="H782" s="2" t="s">
        <v>44</v>
      </c>
      <c r="I782" s="2" t="str" cm="1">
        <f t="array" ref="I782">IFERROR(playerPoints($H782,$F782,$G782,I$1),"")</f>
        <v/>
      </c>
      <c r="J782" s="2" t="str" cm="1">
        <f t="array" ref="J782">IFERROR(playerPoints($H782,$F782,$G782,J$1),"")</f>
        <v/>
      </c>
      <c r="K782" s="2" t="str" cm="1">
        <f t="array" ref="K782">IFERROR(playerPoints($H782,$F782,$G782,K$1),"")</f>
        <v/>
      </c>
      <c r="L782" s="2" t="str" cm="1">
        <f t="array" ref="L782">IFERROR(playerPoints($H782,$F782,$G782,L$1),"")</f>
        <v/>
      </c>
      <c r="M782" s="2" t="str" cm="1">
        <f t="array" ref="M782">IFERROR(playerPoints($H782,$F782,$G782,M$1),"")</f>
        <v/>
      </c>
      <c r="N782" s="2" t="str" cm="1">
        <f t="array" ref="N782">IFERROR(playerPoints($H782,$F782,$G782,N$1),"")</f>
        <v/>
      </c>
      <c r="O782" s="2" t="str" cm="1">
        <f t="array" ref="O782">IFERROR(playerPoints($H782,$F782,$G782,O$1),"")</f>
        <v/>
      </c>
      <c r="Q782" s="2">
        <f t="shared" si="12"/>
        <v>0</v>
      </c>
    </row>
    <row r="783" spans="1:17">
      <c r="A783" s="2">
        <v>782</v>
      </c>
      <c r="B783" s="2" t="s">
        <v>2292</v>
      </c>
      <c r="C783" s="2" t="s">
        <v>1333</v>
      </c>
      <c r="D783" s="2" t="s">
        <v>893</v>
      </c>
      <c r="F783" s="2" t="str">
        <f>LOOKUP(D783,Sheet3!A$1:A$32,Sheet3!B$1:B$32)</f>
        <v>URU</v>
      </c>
      <c r="G783" s="2" t="s">
        <v>3113</v>
      </c>
      <c r="H783" s="2" t="s">
        <v>44</v>
      </c>
      <c r="I783" s="2" t="str" cm="1">
        <f t="array" ref="I783">IFERROR(playerPoints($H783,$F783,$G783,I$1),"")</f>
        <v/>
      </c>
      <c r="J783" s="2" t="str" cm="1">
        <f t="array" ref="J783">IFERROR(playerPoints($H783,$F783,$G783,J$1),"")</f>
        <v/>
      </c>
      <c r="K783" s="2" t="str" cm="1">
        <f t="array" ref="K783">IFERROR(playerPoints($H783,$F783,$G783,K$1),"")</f>
        <v/>
      </c>
      <c r="L783" s="2" t="str" cm="1">
        <f t="array" ref="L783">IFERROR(playerPoints($H783,$F783,$G783,L$1),"")</f>
        <v/>
      </c>
      <c r="M783" s="2" t="str" cm="1">
        <f t="array" ref="M783">IFERROR(playerPoints($H783,$F783,$G783,M$1),"")</f>
        <v/>
      </c>
      <c r="N783" s="2" t="str" cm="1">
        <f t="array" ref="N783">IFERROR(playerPoints($H783,$F783,$G783,N$1),"")</f>
        <v/>
      </c>
      <c r="O783" s="2" t="str" cm="1">
        <f t="array" ref="O783">IFERROR(playerPoints($H783,$F783,$G783,O$1),"")</f>
        <v/>
      </c>
      <c r="Q783" s="2">
        <f t="shared" si="12"/>
        <v>0</v>
      </c>
    </row>
    <row r="784" spans="1:17">
      <c r="A784" s="2">
        <v>783</v>
      </c>
      <c r="B784" s="2" t="s">
        <v>2146</v>
      </c>
      <c r="C784" s="2" t="s">
        <v>2293</v>
      </c>
      <c r="D784" s="2" t="s">
        <v>893</v>
      </c>
      <c r="F784" s="2" t="str">
        <f>LOOKUP(D784,Sheet3!A$1:A$32,Sheet3!B$1:B$32)</f>
        <v>URU</v>
      </c>
      <c r="G784" s="2" t="s">
        <v>3114</v>
      </c>
      <c r="H784" s="2" t="s">
        <v>44</v>
      </c>
      <c r="I784" s="2" t="str" cm="1">
        <f t="array" ref="I784">IFERROR(playerPoints($H784,$F784,$G784,I$1),"")</f>
        <v/>
      </c>
      <c r="J784" s="2" t="str" cm="1">
        <f t="array" ref="J784">IFERROR(playerPoints($H784,$F784,$G784,J$1),"")</f>
        <v/>
      </c>
      <c r="K784" s="2" t="str" cm="1">
        <f t="array" ref="K784">IFERROR(playerPoints($H784,$F784,$G784,K$1),"")</f>
        <v/>
      </c>
      <c r="L784" s="2" t="str" cm="1">
        <f t="array" ref="L784">IFERROR(playerPoints($H784,$F784,$G784,L$1),"")</f>
        <v/>
      </c>
      <c r="M784" s="2" t="str" cm="1">
        <f t="array" ref="M784">IFERROR(playerPoints($H784,$F784,$G784,M$1),"")</f>
        <v/>
      </c>
      <c r="N784" s="2" t="str" cm="1">
        <f t="array" ref="N784">IFERROR(playerPoints($H784,$F784,$G784,N$1),"")</f>
        <v/>
      </c>
      <c r="O784" s="2" t="str" cm="1">
        <f t="array" ref="O784">IFERROR(playerPoints($H784,$F784,$G784,O$1),"")</f>
        <v/>
      </c>
      <c r="Q784" s="2">
        <f t="shared" si="12"/>
        <v>0</v>
      </c>
    </row>
    <row r="785" spans="1:17">
      <c r="A785" s="2">
        <v>784</v>
      </c>
      <c r="B785" s="2" t="s">
        <v>1426</v>
      </c>
      <c r="C785" s="2" t="s">
        <v>2294</v>
      </c>
      <c r="D785" s="2" t="s">
        <v>893</v>
      </c>
      <c r="F785" s="2" t="str">
        <f>LOOKUP(D785,Sheet3!A$1:A$32,Sheet3!B$1:B$32)</f>
        <v>URU</v>
      </c>
      <c r="G785" s="2" t="s">
        <v>3115</v>
      </c>
      <c r="H785" s="2" t="s">
        <v>48</v>
      </c>
      <c r="I785" s="2" t="str" cm="1">
        <f t="array" ref="I785">IFERROR(playerPoints($H785,$F785,$G785,I$1),"")</f>
        <v/>
      </c>
      <c r="J785" s="2" t="str" cm="1">
        <f t="array" ref="J785">IFERROR(playerPoints($H785,$F785,$G785,J$1),"")</f>
        <v/>
      </c>
      <c r="K785" s="2" t="str" cm="1">
        <f t="array" ref="K785">IFERROR(playerPoints($H785,$F785,$G785,K$1),"")</f>
        <v/>
      </c>
      <c r="L785" s="2" t="str" cm="1">
        <f t="array" ref="L785">IFERROR(playerPoints($H785,$F785,$G785,L$1),"")</f>
        <v/>
      </c>
      <c r="M785" s="2" t="str" cm="1">
        <f t="array" ref="M785">IFERROR(playerPoints($H785,$F785,$G785,M$1),"")</f>
        <v/>
      </c>
      <c r="N785" s="2" t="str" cm="1">
        <f t="array" ref="N785">IFERROR(playerPoints($H785,$F785,$G785,N$1),"")</f>
        <v/>
      </c>
      <c r="O785" s="2" t="str" cm="1">
        <f t="array" ref="O785">IFERROR(playerPoints($H785,$F785,$G785,O$1),"")</f>
        <v/>
      </c>
      <c r="Q785" s="2">
        <f t="shared" si="12"/>
        <v>0</v>
      </c>
    </row>
    <row r="786" spans="1:17">
      <c r="A786" s="2">
        <v>785</v>
      </c>
      <c r="B786" s="2" t="s">
        <v>1424</v>
      </c>
      <c r="C786" s="2" t="s">
        <v>2295</v>
      </c>
      <c r="D786" s="2" t="s">
        <v>893</v>
      </c>
      <c r="F786" s="2" t="str">
        <f>LOOKUP(D786,Sheet3!A$1:A$32,Sheet3!B$1:B$32)</f>
        <v>URU</v>
      </c>
      <c r="G786" s="2" t="s">
        <v>3116</v>
      </c>
      <c r="H786" s="2" t="s">
        <v>48</v>
      </c>
      <c r="I786" s="2" t="str" cm="1">
        <f t="array" ref="I786">IFERROR(playerPoints($H786,$F786,$G786,I$1),"")</f>
        <v/>
      </c>
      <c r="J786" s="2" t="str" cm="1">
        <f t="array" ref="J786">IFERROR(playerPoints($H786,$F786,$G786,J$1),"")</f>
        <v/>
      </c>
      <c r="K786" s="2" t="str" cm="1">
        <f t="array" ref="K786">IFERROR(playerPoints($H786,$F786,$G786,K$1),"")</f>
        <v/>
      </c>
      <c r="L786" s="2" t="str" cm="1">
        <f t="array" ref="L786">IFERROR(playerPoints($H786,$F786,$G786,L$1),"")</f>
        <v/>
      </c>
      <c r="M786" s="2" t="str" cm="1">
        <f t="array" ref="M786">IFERROR(playerPoints($H786,$F786,$G786,M$1),"")</f>
        <v/>
      </c>
      <c r="N786" s="2" t="str" cm="1">
        <f t="array" ref="N786">IFERROR(playerPoints($H786,$F786,$G786,N$1),"")</f>
        <v/>
      </c>
      <c r="O786" s="2" t="str" cm="1">
        <f t="array" ref="O786">IFERROR(playerPoints($H786,$F786,$G786,O$1),"")</f>
        <v/>
      </c>
      <c r="Q786" s="2">
        <f t="shared" si="12"/>
        <v>0</v>
      </c>
    </row>
    <row r="787" spans="1:17">
      <c r="A787" s="2">
        <v>786</v>
      </c>
      <c r="B787" s="2" t="s">
        <v>2296</v>
      </c>
      <c r="C787" s="2" t="s">
        <v>2297</v>
      </c>
      <c r="D787" s="2" t="s">
        <v>893</v>
      </c>
      <c r="F787" s="2" t="str">
        <f>LOOKUP(D787,Sheet3!A$1:A$32,Sheet3!B$1:B$32)</f>
        <v>URU</v>
      </c>
      <c r="G787" s="2" t="s">
        <v>3117</v>
      </c>
      <c r="H787" s="2" t="s">
        <v>48</v>
      </c>
      <c r="I787" s="2" t="str" cm="1">
        <f t="array" ref="I787">IFERROR(playerPoints($H787,$F787,$G787,I$1),"")</f>
        <v/>
      </c>
      <c r="J787" s="2" t="str" cm="1">
        <f t="array" ref="J787">IFERROR(playerPoints($H787,$F787,$G787,J$1),"")</f>
        <v/>
      </c>
      <c r="K787" s="2" t="str" cm="1">
        <f t="array" ref="K787">IFERROR(playerPoints($H787,$F787,$G787,K$1),"")</f>
        <v/>
      </c>
      <c r="L787" s="2" t="str" cm="1">
        <f t="array" ref="L787">IFERROR(playerPoints($H787,$F787,$G787,L$1),"")</f>
        <v/>
      </c>
      <c r="M787" s="2" t="str" cm="1">
        <f t="array" ref="M787">IFERROR(playerPoints($H787,$F787,$G787,M$1),"")</f>
        <v/>
      </c>
      <c r="N787" s="2" t="str" cm="1">
        <f t="array" ref="N787">IFERROR(playerPoints($H787,$F787,$G787,N$1),"")</f>
        <v/>
      </c>
      <c r="O787" s="2" t="str" cm="1">
        <f t="array" ref="O787">IFERROR(playerPoints($H787,$F787,$G787,O$1),"")</f>
        <v/>
      </c>
      <c r="Q787" s="2">
        <f t="shared" si="12"/>
        <v>0</v>
      </c>
    </row>
    <row r="788" spans="1:17">
      <c r="A788" s="2">
        <v>787</v>
      </c>
      <c r="B788" s="2" t="s">
        <v>2298</v>
      </c>
      <c r="C788" s="2" t="s">
        <v>2299</v>
      </c>
      <c r="D788" s="2" t="s">
        <v>893</v>
      </c>
      <c r="F788" s="2" t="str">
        <f>LOOKUP(D788,Sheet3!A$1:A$32,Sheet3!B$1:B$32)</f>
        <v>URU</v>
      </c>
      <c r="G788" s="2" t="s">
        <v>3118</v>
      </c>
      <c r="H788" s="2" t="s">
        <v>48</v>
      </c>
      <c r="I788" s="2" t="str" cm="1">
        <f t="array" ref="I788">IFERROR(playerPoints($H788,$F788,$G788,I$1),"")</f>
        <v/>
      </c>
      <c r="J788" s="2" t="str" cm="1">
        <f t="array" ref="J788">IFERROR(playerPoints($H788,$F788,$G788,J$1),"")</f>
        <v/>
      </c>
      <c r="K788" s="2" t="str" cm="1">
        <f t="array" ref="K788">IFERROR(playerPoints($H788,$F788,$G788,K$1),"")</f>
        <v/>
      </c>
      <c r="L788" s="2" t="str" cm="1">
        <f t="array" ref="L788">IFERROR(playerPoints($H788,$F788,$G788,L$1),"")</f>
        <v/>
      </c>
      <c r="M788" s="2" t="str" cm="1">
        <f t="array" ref="M788">IFERROR(playerPoints($H788,$F788,$G788,M$1),"")</f>
        <v/>
      </c>
      <c r="N788" s="2" t="str" cm="1">
        <f t="array" ref="N788">IFERROR(playerPoints($H788,$F788,$G788,N$1),"")</f>
        <v/>
      </c>
      <c r="O788" s="2" t="str" cm="1">
        <f t="array" ref="O788">IFERROR(playerPoints($H788,$F788,$G788,O$1),"")</f>
        <v/>
      </c>
      <c r="Q788" s="2">
        <f t="shared" si="12"/>
        <v>0</v>
      </c>
    </row>
    <row r="789" spans="1:17">
      <c r="A789" s="2">
        <v>788</v>
      </c>
      <c r="B789" s="2" t="s">
        <v>2300</v>
      </c>
      <c r="C789" s="2" t="s">
        <v>2301</v>
      </c>
      <c r="D789" s="2" t="s">
        <v>893</v>
      </c>
      <c r="F789" s="2" t="str">
        <f>LOOKUP(D789,Sheet3!A$1:A$32,Sheet3!B$1:B$32)</f>
        <v>URU</v>
      </c>
      <c r="G789" s="2" t="s">
        <v>3119</v>
      </c>
      <c r="H789" s="2" t="s">
        <v>48</v>
      </c>
      <c r="I789" s="2" t="str" cm="1">
        <f t="array" ref="I789">IFERROR(playerPoints($H789,$F789,$G789,I$1),"")</f>
        <v/>
      </c>
      <c r="J789" s="2" t="str" cm="1">
        <f t="array" ref="J789">IFERROR(playerPoints($H789,$F789,$G789,J$1),"")</f>
        <v/>
      </c>
      <c r="K789" s="2" t="str" cm="1">
        <f t="array" ref="K789">IFERROR(playerPoints($H789,$F789,$G789,K$1),"")</f>
        <v/>
      </c>
      <c r="L789" s="2" t="str" cm="1">
        <f t="array" ref="L789">IFERROR(playerPoints($H789,$F789,$G789,L$1),"")</f>
        <v/>
      </c>
      <c r="M789" s="2" t="str" cm="1">
        <f t="array" ref="M789">IFERROR(playerPoints($H789,$F789,$G789,M$1),"")</f>
        <v/>
      </c>
      <c r="N789" s="2" t="str" cm="1">
        <f t="array" ref="N789">IFERROR(playerPoints($H789,$F789,$G789,N$1),"")</f>
        <v/>
      </c>
      <c r="O789" s="2" t="str" cm="1">
        <f t="array" ref="O789">IFERROR(playerPoints($H789,$F789,$G789,O$1),"")</f>
        <v/>
      </c>
      <c r="Q789" s="2">
        <f t="shared" si="12"/>
        <v>0</v>
      </c>
    </row>
    <row r="790" spans="1:17">
      <c r="A790" s="2">
        <v>789</v>
      </c>
      <c r="B790" s="2" t="s">
        <v>2302</v>
      </c>
      <c r="C790" s="2" t="s">
        <v>2303</v>
      </c>
      <c r="D790" s="2" t="s">
        <v>893</v>
      </c>
      <c r="F790" s="2" t="str">
        <f>LOOKUP(D790,Sheet3!A$1:A$32,Sheet3!B$1:B$32)</f>
        <v>URU</v>
      </c>
      <c r="G790" s="2" t="s">
        <v>3120</v>
      </c>
      <c r="H790" s="2" t="s">
        <v>48</v>
      </c>
      <c r="I790" s="2" t="str" cm="1">
        <f t="array" ref="I790">IFERROR(playerPoints($H790,$F790,$G790,I$1),"")</f>
        <v/>
      </c>
      <c r="J790" s="2" t="str" cm="1">
        <f t="array" ref="J790">IFERROR(playerPoints($H790,$F790,$G790,J$1),"")</f>
        <v/>
      </c>
      <c r="K790" s="2" t="str" cm="1">
        <f t="array" ref="K790">IFERROR(playerPoints($H790,$F790,$G790,K$1),"")</f>
        <v/>
      </c>
      <c r="L790" s="2" t="str" cm="1">
        <f t="array" ref="L790">IFERROR(playerPoints($H790,$F790,$G790,L$1),"")</f>
        <v/>
      </c>
      <c r="M790" s="2" t="str" cm="1">
        <f t="array" ref="M790">IFERROR(playerPoints($H790,$F790,$G790,M$1),"")</f>
        <v/>
      </c>
      <c r="N790" s="2" t="str" cm="1">
        <f t="array" ref="N790">IFERROR(playerPoints($H790,$F790,$G790,N$1),"")</f>
        <v/>
      </c>
      <c r="O790" s="2" t="str" cm="1">
        <f t="array" ref="O790">IFERROR(playerPoints($H790,$F790,$G790,O$1),"")</f>
        <v/>
      </c>
      <c r="Q790" s="2">
        <f t="shared" si="12"/>
        <v>0</v>
      </c>
    </row>
    <row r="791" spans="1:17">
      <c r="A791" s="2">
        <v>790</v>
      </c>
      <c r="B791" s="2" t="s">
        <v>2292</v>
      </c>
      <c r="C791" s="2" t="s">
        <v>2304</v>
      </c>
      <c r="D791" s="2" t="s">
        <v>893</v>
      </c>
      <c r="F791" s="2" t="str">
        <f>LOOKUP(D791,Sheet3!A$1:A$32,Sheet3!B$1:B$32)</f>
        <v>URU</v>
      </c>
      <c r="G791" s="2" t="s">
        <v>3121</v>
      </c>
      <c r="H791" s="2" t="s">
        <v>48</v>
      </c>
      <c r="I791" s="2" t="str" cm="1">
        <f t="array" ref="I791">IFERROR(playerPoints($H791,$F791,$G791,I$1),"")</f>
        <v/>
      </c>
      <c r="J791" s="2" t="str" cm="1">
        <f t="array" ref="J791">IFERROR(playerPoints($H791,$F791,$G791,J$1),"")</f>
        <v/>
      </c>
      <c r="K791" s="2" t="str" cm="1">
        <f t="array" ref="K791">IFERROR(playerPoints($H791,$F791,$G791,K$1),"")</f>
        <v/>
      </c>
      <c r="L791" s="2" t="str" cm="1">
        <f t="array" ref="L791">IFERROR(playerPoints($H791,$F791,$G791,L$1),"")</f>
        <v/>
      </c>
      <c r="M791" s="2" t="str" cm="1">
        <f t="array" ref="M791">IFERROR(playerPoints($H791,$F791,$G791,M$1),"")</f>
        <v/>
      </c>
      <c r="N791" s="2" t="str" cm="1">
        <f t="array" ref="N791">IFERROR(playerPoints($H791,$F791,$G791,N$1),"")</f>
        <v/>
      </c>
      <c r="O791" s="2" t="str" cm="1">
        <f t="array" ref="O791">IFERROR(playerPoints($H791,$F791,$G791,O$1),"")</f>
        <v/>
      </c>
      <c r="Q791" s="2">
        <f t="shared" si="12"/>
        <v>0</v>
      </c>
    </row>
    <row r="792" spans="1:17">
      <c r="A792" s="2">
        <v>791</v>
      </c>
      <c r="B792" s="2" t="s">
        <v>1750</v>
      </c>
      <c r="C792" s="2" t="s">
        <v>2305</v>
      </c>
      <c r="D792" s="2" t="s">
        <v>893</v>
      </c>
      <c r="F792" s="2" t="str">
        <f>LOOKUP(D792,Sheet3!A$1:A$32,Sheet3!B$1:B$32)</f>
        <v>URU</v>
      </c>
      <c r="G792" s="2" t="s">
        <v>3122</v>
      </c>
      <c r="H792" s="2" t="s">
        <v>48</v>
      </c>
      <c r="I792" s="2" t="str" cm="1">
        <f t="array" ref="I792">IFERROR(playerPoints($H792,$F792,$G792,I$1),"")</f>
        <v/>
      </c>
      <c r="J792" s="2" t="str" cm="1">
        <f t="array" ref="J792">IFERROR(playerPoints($H792,$F792,$G792,J$1),"")</f>
        <v/>
      </c>
      <c r="K792" s="2" t="str" cm="1">
        <f t="array" ref="K792">IFERROR(playerPoints($H792,$F792,$G792,K$1),"")</f>
        <v/>
      </c>
      <c r="L792" s="2" t="str" cm="1">
        <f t="array" ref="L792">IFERROR(playerPoints($H792,$F792,$G792,L$1),"")</f>
        <v/>
      </c>
      <c r="M792" s="2" t="str" cm="1">
        <f t="array" ref="M792">IFERROR(playerPoints($H792,$F792,$G792,M$1),"")</f>
        <v/>
      </c>
      <c r="N792" s="2" t="str" cm="1">
        <f t="array" ref="N792">IFERROR(playerPoints($H792,$F792,$G792,N$1),"")</f>
        <v/>
      </c>
      <c r="O792" s="2" t="str" cm="1">
        <f t="array" ref="O792">IFERROR(playerPoints($H792,$F792,$G792,O$1),"")</f>
        <v/>
      </c>
      <c r="Q792" s="2">
        <f t="shared" si="12"/>
        <v>0</v>
      </c>
    </row>
    <row r="793" spans="1:17">
      <c r="A793" s="2">
        <v>792</v>
      </c>
      <c r="B793" s="2" t="s">
        <v>1426</v>
      </c>
      <c r="C793" s="2" t="s">
        <v>2306</v>
      </c>
      <c r="D793" s="2" t="s">
        <v>893</v>
      </c>
      <c r="F793" s="2" t="str">
        <f>LOOKUP(D793,Sheet3!A$1:A$32,Sheet3!B$1:B$32)</f>
        <v>URU</v>
      </c>
      <c r="G793" s="2" t="s">
        <v>3123</v>
      </c>
      <c r="H793" s="2" t="s">
        <v>48</v>
      </c>
      <c r="I793" s="2" t="str" cm="1">
        <f t="array" ref="I793">IFERROR(playerPoints($H793,$F793,$G793,I$1),"")</f>
        <v/>
      </c>
      <c r="J793" s="2" t="str" cm="1">
        <f t="array" ref="J793">IFERROR(playerPoints($H793,$F793,$G793,J$1),"")</f>
        <v/>
      </c>
      <c r="K793" s="2" t="str" cm="1">
        <f t="array" ref="K793">IFERROR(playerPoints($H793,$F793,$G793,K$1),"")</f>
        <v/>
      </c>
      <c r="L793" s="2" t="str" cm="1">
        <f t="array" ref="L793">IFERROR(playerPoints($H793,$F793,$G793,L$1),"")</f>
        <v/>
      </c>
      <c r="M793" s="2" t="str" cm="1">
        <f t="array" ref="M793">IFERROR(playerPoints($H793,$F793,$G793,M$1),"")</f>
        <v/>
      </c>
      <c r="N793" s="2" t="str" cm="1">
        <f t="array" ref="N793">IFERROR(playerPoints($H793,$F793,$G793,N$1),"")</f>
        <v/>
      </c>
      <c r="O793" s="2" t="str" cm="1">
        <f t="array" ref="O793">IFERROR(playerPoints($H793,$F793,$G793,O$1),"")</f>
        <v/>
      </c>
      <c r="Q793" s="2">
        <f t="shared" si="12"/>
        <v>0</v>
      </c>
    </row>
    <row r="794" spans="1:17">
      <c r="A794" s="2">
        <v>793</v>
      </c>
      <c r="B794" s="2" t="s">
        <v>2302</v>
      </c>
      <c r="C794" s="2" t="s">
        <v>2307</v>
      </c>
      <c r="D794" s="2" t="s">
        <v>893</v>
      </c>
      <c r="F794" s="2" t="str">
        <f>LOOKUP(D794,Sheet3!A$1:A$32,Sheet3!B$1:B$32)</f>
        <v>URU</v>
      </c>
      <c r="G794" s="2" t="s">
        <v>3124</v>
      </c>
      <c r="H794" s="2" t="s">
        <v>57</v>
      </c>
      <c r="I794" s="2" t="str" cm="1">
        <f t="array" ref="I794">IFERROR(playerPoints($H794,$F794,$G794,I$1),"")</f>
        <v/>
      </c>
      <c r="J794" s="2" t="str" cm="1">
        <f t="array" ref="J794">IFERROR(playerPoints($H794,$F794,$G794,J$1),"")</f>
        <v/>
      </c>
      <c r="K794" s="2" t="str" cm="1">
        <f t="array" ref="K794">IFERROR(playerPoints($H794,$F794,$G794,K$1),"")</f>
        <v/>
      </c>
      <c r="L794" s="2" t="str" cm="1">
        <f t="array" ref="L794">IFERROR(playerPoints($H794,$F794,$G794,L$1),"")</f>
        <v/>
      </c>
      <c r="M794" s="2" t="str" cm="1">
        <f t="array" ref="M794">IFERROR(playerPoints($H794,$F794,$G794,M$1),"")</f>
        <v/>
      </c>
      <c r="N794" s="2" t="str" cm="1">
        <f t="array" ref="N794">IFERROR(playerPoints($H794,$F794,$G794,N$1),"")</f>
        <v/>
      </c>
      <c r="O794" s="2" t="str" cm="1">
        <f t="array" ref="O794">IFERROR(playerPoints($H794,$F794,$G794,O$1),"")</f>
        <v/>
      </c>
      <c r="Q794" s="2">
        <f t="shared" si="12"/>
        <v>0</v>
      </c>
    </row>
    <row r="795" spans="1:17">
      <c r="A795" s="2">
        <v>794</v>
      </c>
      <c r="B795" s="2" t="s">
        <v>1036</v>
      </c>
      <c r="C795" s="2" t="s">
        <v>2308</v>
      </c>
      <c r="D795" s="2" t="s">
        <v>893</v>
      </c>
      <c r="F795" s="2" t="str">
        <f>LOOKUP(D795,Sheet3!A$1:A$32,Sheet3!B$1:B$32)</f>
        <v>URU</v>
      </c>
      <c r="G795" s="2" t="s">
        <v>3125</v>
      </c>
      <c r="H795" s="2" t="s">
        <v>57</v>
      </c>
      <c r="I795" s="2" t="str" cm="1">
        <f t="array" ref="I795">IFERROR(playerPoints($H795,$F795,$G795,I$1),"")</f>
        <v/>
      </c>
      <c r="J795" s="2" t="str" cm="1">
        <f t="array" ref="J795">IFERROR(playerPoints($H795,$F795,$G795,J$1),"")</f>
        <v/>
      </c>
      <c r="K795" s="2" t="str" cm="1">
        <f t="array" ref="K795">IFERROR(playerPoints($H795,$F795,$G795,K$1),"")</f>
        <v/>
      </c>
      <c r="L795" s="2" t="str" cm="1">
        <f t="array" ref="L795">IFERROR(playerPoints($H795,$F795,$G795,L$1),"")</f>
        <v/>
      </c>
      <c r="M795" s="2" t="str" cm="1">
        <f t="array" ref="M795">IFERROR(playerPoints($H795,$F795,$G795,M$1),"")</f>
        <v/>
      </c>
      <c r="N795" s="2" t="str" cm="1">
        <f t="array" ref="N795">IFERROR(playerPoints($H795,$F795,$G795,N$1),"")</f>
        <v/>
      </c>
      <c r="O795" s="2" t="str" cm="1">
        <f t="array" ref="O795">IFERROR(playerPoints($H795,$F795,$G795,O$1),"")</f>
        <v/>
      </c>
      <c r="Q795" s="2">
        <f t="shared" si="12"/>
        <v>0</v>
      </c>
    </row>
    <row r="796" spans="1:17">
      <c r="A796" s="2">
        <v>795</v>
      </c>
      <c r="B796" s="2" t="s">
        <v>1020</v>
      </c>
      <c r="C796" s="2" t="s">
        <v>2309</v>
      </c>
      <c r="D796" s="2" t="s">
        <v>893</v>
      </c>
      <c r="F796" s="2" t="str">
        <f>LOOKUP(D796,Sheet3!A$1:A$32,Sheet3!B$1:B$32)</f>
        <v>URU</v>
      </c>
      <c r="G796" s="2" t="s">
        <v>3126</v>
      </c>
      <c r="H796" s="2" t="s">
        <v>57</v>
      </c>
      <c r="I796" s="2" t="str" cm="1">
        <f t="array" ref="I796">IFERROR(playerPoints($H796,$F796,$G796,I$1),"")</f>
        <v/>
      </c>
      <c r="J796" s="2" t="str" cm="1">
        <f t="array" ref="J796">IFERROR(playerPoints($H796,$F796,$G796,J$1),"")</f>
        <v/>
      </c>
      <c r="K796" s="2" t="str" cm="1">
        <f t="array" ref="K796">IFERROR(playerPoints($H796,$F796,$G796,K$1),"")</f>
        <v/>
      </c>
      <c r="L796" s="2" t="str" cm="1">
        <f t="array" ref="L796">IFERROR(playerPoints($H796,$F796,$G796,L$1),"")</f>
        <v/>
      </c>
      <c r="M796" s="2" t="str" cm="1">
        <f t="array" ref="M796">IFERROR(playerPoints($H796,$F796,$G796,M$1),"")</f>
        <v/>
      </c>
      <c r="N796" s="2" t="str" cm="1">
        <f t="array" ref="N796">IFERROR(playerPoints($H796,$F796,$G796,N$1),"")</f>
        <v/>
      </c>
      <c r="O796" s="2" t="str" cm="1">
        <f t="array" ref="O796">IFERROR(playerPoints($H796,$F796,$G796,O$1),"")</f>
        <v/>
      </c>
      <c r="Q796" s="2">
        <f t="shared" si="12"/>
        <v>0</v>
      </c>
    </row>
    <row r="797" spans="1:17">
      <c r="A797" s="2">
        <v>796</v>
      </c>
      <c r="B797" s="2" t="s">
        <v>2310</v>
      </c>
      <c r="C797" s="2" t="s">
        <v>2311</v>
      </c>
      <c r="D797" s="2" t="s">
        <v>893</v>
      </c>
      <c r="F797" s="2" t="str">
        <f>LOOKUP(D797,Sheet3!A$1:A$32,Sheet3!B$1:B$32)</f>
        <v>URU</v>
      </c>
      <c r="G797" s="2" t="s">
        <v>3127</v>
      </c>
      <c r="H797" s="2" t="s">
        <v>57</v>
      </c>
      <c r="I797" s="2" t="str" cm="1">
        <f t="array" ref="I797">IFERROR(playerPoints($H797,$F797,$G797,I$1),"")</f>
        <v/>
      </c>
      <c r="J797" s="2" t="str" cm="1">
        <f t="array" ref="J797">IFERROR(playerPoints($H797,$F797,$G797,J$1),"")</f>
        <v/>
      </c>
      <c r="K797" s="2" t="str" cm="1">
        <f t="array" ref="K797">IFERROR(playerPoints($H797,$F797,$G797,K$1),"")</f>
        <v/>
      </c>
      <c r="L797" s="2" t="str" cm="1">
        <f t="array" ref="L797">IFERROR(playerPoints($H797,$F797,$G797,L$1),"")</f>
        <v/>
      </c>
      <c r="M797" s="2" t="str" cm="1">
        <f t="array" ref="M797">IFERROR(playerPoints($H797,$F797,$G797,M$1),"")</f>
        <v/>
      </c>
      <c r="N797" s="2" t="str" cm="1">
        <f t="array" ref="N797">IFERROR(playerPoints($H797,$F797,$G797,N$1),"")</f>
        <v/>
      </c>
      <c r="O797" s="2" t="str" cm="1">
        <f t="array" ref="O797">IFERROR(playerPoints($H797,$F797,$G797,O$1),"")</f>
        <v/>
      </c>
      <c r="Q797" s="2">
        <f t="shared" si="12"/>
        <v>0</v>
      </c>
    </row>
    <row r="798" spans="1:17">
      <c r="A798" s="2">
        <v>797</v>
      </c>
      <c r="B798" s="2" t="s">
        <v>2312</v>
      </c>
      <c r="C798" s="2" t="s">
        <v>2313</v>
      </c>
      <c r="D798" s="2" t="s">
        <v>893</v>
      </c>
      <c r="F798" s="2" t="str">
        <f>LOOKUP(D798,Sheet3!A$1:A$32,Sheet3!B$1:B$32)</f>
        <v>URU</v>
      </c>
      <c r="G798" s="2" t="s">
        <v>3128</v>
      </c>
      <c r="H798" s="2" t="s">
        <v>57</v>
      </c>
      <c r="I798" s="2" t="str" cm="1">
        <f t="array" ref="I798">IFERROR(playerPoints($H798,$F798,$G798,I$1),"")</f>
        <v/>
      </c>
      <c r="J798" s="2" t="str" cm="1">
        <f t="array" ref="J798">IFERROR(playerPoints($H798,$F798,$G798,J$1),"")</f>
        <v/>
      </c>
      <c r="K798" s="2" t="str" cm="1">
        <f t="array" ref="K798">IFERROR(playerPoints($H798,$F798,$G798,K$1),"")</f>
        <v/>
      </c>
      <c r="L798" s="2" t="str" cm="1">
        <f t="array" ref="L798">IFERROR(playerPoints($H798,$F798,$G798,L$1),"")</f>
        <v/>
      </c>
      <c r="M798" s="2" t="str" cm="1">
        <f t="array" ref="M798">IFERROR(playerPoints($H798,$F798,$G798,M$1),"")</f>
        <v/>
      </c>
      <c r="N798" s="2" t="str" cm="1">
        <f t="array" ref="N798">IFERROR(playerPoints($H798,$F798,$G798,N$1),"")</f>
        <v/>
      </c>
      <c r="O798" s="2" t="str" cm="1">
        <f t="array" ref="O798">IFERROR(playerPoints($H798,$F798,$G798,O$1),"")</f>
        <v/>
      </c>
      <c r="Q798" s="2">
        <f t="shared" si="12"/>
        <v>0</v>
      </c>
    </row>
    <row r="799" spans="1:17">
      <c r="A799" s="2">
        <v>798</v>
      </c>
      <c r="B799" s="2" t="s">
        <v>1170</v>
      </c>
      <c r="C799" s="2" t="s">
        <v>2314</v>
      </c>
      <c r="D799" s="2" t="s">
        <v>893</v>
      </c>
      <c r="F799" s="2" t="str">
        <f>LOOKUP(D799,Sheet3!A$1:A$32,Sheet3!B$1:B$32)</f>
        <v>URU</v>
      </c>
      <c r="G799" s="2" t="s">
        <v>3129</v>
      </c>
      <c r="H799" s="2" t="s">
        <v>57</v>
      </c>
      <c r="I799" s="2" t="str" cm="1">
        <f t="array" ref="I799">IFERROR(playerPoints($H799,$F799,$G799,I$1),"")</f>
        <v/>
      </c>
      <c r="J799" s="2" t="str" cm="1">
        <f t="array" ref="J799">IFERROR(playerPoints($H799,$F799,$G799,J$1),"")</f>
        <v/>
      </c>
      <c r="K799" s="2" t="str" cm="1">
        <f t="array" ref="K799">IFERROR(playerPoints($H799,$F799,$G799,K$1),"")</f>
        <v/>
      </c>
      <c r="L799" s="2" t="str" cm="1">
        <f t="array" ref="L799">IFERROR(playerPoints($H799,$F799,$G799,L$1),"")</f>
        <v/>
      </c>
      <c r="M799" s="2" t="str" cm="1">
        <f t="array" ref="M799">IFERROR(playerPoints($H799,$F799,$G799,M$1),"")</f>
        <v/>
      </c>
      <c r="N799" s="2" t="str" cm="1">
        <f t="array" ref="N799">IFERROR(playerPoints($H799,$F799,$G799,N$1),"")</f>
        <v/>
      </c>
      <c r="O799" s="2" t="str" cm="1">
        <f t="array" ref="O799">IFERROR(playerPoints($H799,$F799,$G799,O$1),"")</f>
        <v/>
      </c>
      <c r="Q799" s="2">
        <f t="shared" si="12"/>
        <v>0</v>
      </c>
    </row>
    <row r="800" spans="1:17">
      <c r="A800" s="2">
        <v>799</v>
      </c>
      <c r="B800" s="2" t="s">
        <v>2315</v>
      </c>
      <c r="C800" s="2" t="s">
        <v>2316</v>
      </c>
      <c r="D800" s="2" t="s">
        <v>893</v>
      </c>
      <c r="F800" s="2" t="str">
        <f>LOOKUP(D800,Sheet3!A$1:A$32,Sheet3!B$1:B$32)</f>
        <v>URU</v>
      </c>
      <c r="G800" s="2" t="s">
        <v>3130</v>
      </c>
      <c r="H800" s="2" t="s">
        <v>57</v>
      </c>
      <c r="I800" s="2" t="str" cm="1">
        <f t="array" ref="I800">IFERROR(playerPoints($H800,$F800,$G800,I$1),"")</f>
        <v/>
      </c>
      <c r="J800" s="2" t="str" cm="1">
        <f t="array" ref="J800">IFERROR(playerPoints($H800,$F800,$G800,J$1),"")</f>
        <v/>
      </c>
      <c r="K800" s="2" t="str" cm="1">
        <f t="array" ref="K800">IFERROR(playerPoints($H800,$F800,$G800,K$1),"")</f>
        <v/>
      </c>
      <c r="L800" s="2" t="str" cm="1">
        <f t="array" ref="L800">IFERROR(playerPoints($H800,$F800,$G800,L$1),"")</f>
        <v/>
      </c>
      <c r="M800" s="2" t="str" cm="1">
        <f t="array" ref="M800">IFERROR(playerPoints($H800,$F800,$G800,M$1),"")</f>
        <v/>
      </c>
      <c r="N800" s="2" t="str" cm="1">
        <f t="array" ref="N800">IFERROR(playerPoints($H800,$F800,$G800,N$1),"")</f>
        <v/>
      </c>
      <c r="O800" s="2" t="str" cm="1">
        <f t="array" ref="O800">IFERROR(playerPoints($H800,$F800,$G800,O$1),"")</f>
        <v/>
      </c>
      <c r="Q800" s="2">
        <f t="shared" si="12"/>
        <v>0</v>
      </c>
    </row>
    <row r="801" spans="1:17">
      <c r="A801" s="2">
        <v>800</v>
      </c>
      <c r="B801" s="2" t="s">
        <v>2310</v>
      </c>
      <c r="C801" s="2" t="s">
        <v>1302</v>
      </c>
      <c r="D801" s="2" t="s">
        <v>893</v>
      </c>
      <c r="F801" s="2" t="str">
        <f>LOOKUP(D801,Sheet3!A$1:A$32,Sheet3!B$1:B$32)</f>
        <v>URU</v>
      </c>
      <c r="G801" s="2" t="s">
        <v>2588</v>
      </c>
      <c r="H801" s="2" t="s">
        <v>57</v>
      </c>
      <c r="I801" s="2" t="str" cm="1">
        <f t="array" ref="I801">IFERROR(playerPoints($H801,$F801,$G801,I$1),"")</f>
        <v/>
      </c>
      <c r="J801" s="2" t="str" cm="1">
        <f t="array" ref="J801">IFERROR(playerPoints($H801,$F801,$G801,J$1),"")</f>
        <v/>
      </c>
      <c r="K801" s="2" t="str" cm="1">
        <f t="array" ref="K801">IFERROR(playerPoints($H801,$F801,$G801,K$1),"")</f>
        <v/>
      </c>
      <c r="L801" s="2" t="str" cm="1">
        <f t="array" ref="L801">IFERROR(playerPoints($H801,$F801,$G801,L$1),"")</f>
        <v/>
      </c>
      <c r="M801" s="2" t="str" cm="1">
        <f t="array" ref="M801">IFERROR(playerPoints($H801,$F801,$G801,M$1),"")</f>
        <v/>
      </c>
      <c r="N801" s="2" t="str" cm="1">
        <f t="array" ref="N801">IFERROR(playerPoints($H801,$F801,$G801,N$1),"")</f>
        <v/>
      </c>
      <c r="O801" s="2" t="str" cm="1">
        <f t="array" ref="O801">IFERROR(playerPoints($H801,$F801,$G801,O$1),"")</f>
        <v/>
      </c>
      <c r="Q801" s="2">
        <f t="shared" si="12"/>
        <v>0</v>
      </c>
    </row>
    <row r="802" spans="1:17">
      <c r="A802" s="2">
        <v>801</v>
      </c>
      <c r="B802" s="2" t="s">
        <v>1534</v>
      </c>
      <c r="C802" s="2" t="s">
        <v>2317</v>
      </c>
      <c r="D802" s="2" t="s">
        <v>893</v>
      </c>
      <c r="F802" s="2" t="str">
        <f>LOOKUP(D802,Sheet3!A$1:A$32,Sheet3!B$1:B$32)</f>
        <v>URU</v>
      </c>
      <c r="G802" s="2" t="s">
        <v>3131</v>
      </c>
      <c r="H802" s="2" t="s">
        <v>57</v>
      </c>
      <c r="I802" s="2" t="str" cm="1">
        <f t="array" ref="I802">IFERROR(playerPoints($H802,$F802,$G802,I$1),"")</f>
        <v/>
      </c>
      <c r="J802" s="2" t="str" cm="1">
        <f t="array" ref="J802">IFERROR(playerPoints($H802,$F802,$G802,J$1),"")</f>
        <v/>
      </c>
      <c r="K802" s="2" t="str" cm="1">
        <f t="array" ref="K802">IFERROR(playerPoints($H802,$F802,$G802,K$1),"")</f>
        <v/>
      </c>
      <c r="L802" s="2" t="str" cm="1">
        <f t="array" ref="L802">IFERROR(playerPoints($H802,$F802,$G802,L$1),"")</f>
        <v/>
      </c>
      <c r="M802" s="2" t="str" cm="1">
        <f t="array" ref="M802">IFERROR(playerPoints($H802,$F802,$G802,M$1),"")</f>
        <v/>
      </c>
      <c r="N802" s="2" t="str" cm="1">
        <f t="array" ref="N802">IFERROR(playerPoints($H802,$F802,$G802,N$1),"")</f>
        <v/>
      </c>
      <c r="O802" s="2" t="str" cm="1">
        <f t="array" ref="O802">IFERROR(playerPoints($H802,$F802,$G802,O$1),"")</f>
        <v/>
      </c>
      <c r="Q802" s="2">
        <f t="shared" si="12"/>
        <v>0</v>
      </c>
    </row>
    <row r="803" spans="1:17">
      <c r="A803" s="2">
        <v>802</v>
      </c>
      <c r="B803" s="2" t="s">
        <v>1734</v>
      </c>
      <c r="C803" s="2" t="s">
        <v>2318</v>
      </c>
      <c r="D803" s="2" t="s">
        <v>893</v>
      </c>
      <c r="F803" s="2" t="str">
        <f>LOOKUP(D803,Sheet3!A$1:A$32,Sheet3!B$1:B$32)</f>
        <v>URU</v>
      </c>
      <c r="G803" s="2" t="s">
        <v>3132</v>
      </c>
      <c r="H803" s="2" t="s">
        <v>66</v>
      </c>
      <c r="I803" s="2" t="str" cm="1">
        <f t="array" ref="I803">IFERROR(playerPoints($H803,$F803,$G803,I$1),"")</f>
        <v/>
      </c>
      <c r="J803" s="2" t="str" cm="1">
        <f t="array" ref="J803">IFERROR(playerPoints($H803,$F803,$G803,J$1),"")</f>
        <v/>
      </c>
      <c r="K803" s="2" t="str" cm="1">
        <f t="array" ref="K803">IFERROR(playerPoints($H803,$F803,$G803,K$1),"")</f>
        <v/>
      </c>
      <c r="L803" s="2" t="str" cm="1">
        <f t="array" ref="L803">IFERROR(playerPoints($H803,$F803,$G803,L$1),"")</f>
        <v/>
      </c>
      <c r="M803" s="2" t="str" cm="1">
        <f t="array" ref="M803">IFERROR(playerPoints($H803,$F803,$G803,M$1),"")</f>
        <v/>
      </c>
      <c r="N803" s="2" t="str" cm="1">
        <f t="array" ref="N803">IFERROR(playerPoints($H803,$F803,$G803,N$1),"")</f>
        <v/>
      </c>
      <c r="O803" s="2" t="str" cm="1">
        <f t="array" ref="O803">IFERROR(playerPoints($H803,$F803,$G803,O$1),"")</f>
        <v/>
      </c>
      <c r="Q803" s="2">
        <f t="shared" si="12"/>
        <v>0</v>
      </c>
    </row>
    <row r="804" spans="1:17">
      <c r="A804" s="2">
        <v>803</v>
      </c>
      <c r="B804" s="2" t="s">
        <v>2319</v>
      </c>
      <c r="C804" s="2" t="s">
        <v>2320</v>
      </c>
      <c r="D804" s="2" t="s">
        <v>893</v>
      </c>
      <c r="F804" s="2" t="str">
        <f>LOOKUP(D804,Sheet3!A$1:A$32,Sheet3!B$1:B$32)</f>
        <v>URU</v>
      </c>
      <c r="G804" s="2" t="s">
        <v>3133</v>
      </c>
      <c r="H804" s="2" t="s">
        <v>66</v>
      </c>
      <c r="I804" s="2" t="str" cm="1">
        <f t="array" ref="I804">IFERROR(playerPoints($H804,$F804,$G804,I$1),"")</f>
        <v/>
      </c>
      <c r="J804" s="2" t="str" cm="1">
        <f t="array" ref="J804">IFERROR(playerPoints($H804,$F804,$G804,J$1),"")</f>
        <v/>
      </c>
      <c r="K804" s="2" t="str" cm="1">
        <f t="array" ref="K804">IFERROR(playerPoints($H804,$F804,$G804,K$1),"")</f>
        <v/>
      </c>
      <c r="L804" s="2" t="str" cm="1">
        <f t="array" ref="L804">IFERROR(playerPoints($H804,$F804,$G804,L$1),"")</f>
        <v/>
      </c>
      <c r="M804" s="2" t="str" cm="1">
        <f t="array" ref="M804">IFERROR(playerPoints($H804,$F804,$G804,M$1),"")</f>
        <v/>
      </c>
      <c r="N804" s="2" t="str" cm="1">
        <f t="array" ref="N804">IFERROR(playerPoints($H804,$F804,$G804,N$1),"")</f>
        <v/>
      </c>
      <c r="O804" s="2" t="str" cm="1">
        <f t="array" ref="O804">IFERROR(playerPoints($H804,$F804,$G804,O$1),"")</f>
        <v/>
      </c>
      <c r="Q804" s="2">
        <f t="shared" si="12"/>
        <v>0</v>
      </c>
    </row>
    <row r="805" spans="1:17">
      <c r="A805" s="2">
        <v>804</v>
      </c>
      <c r="B805" s="2" t="s">
        <v>2321</v>
      </c>
      <c r="C805" s="2" t="s">
        <v>1043</v>
      </c>
      <c r="D805" s="2" t="s">
        <v>893</v>
      </c>
      <c r="F805" s="2" t="str">
        <f>LOOKUP(D805,Sheet3!A$1:A$32,Sheet3!B$1:B$32)</f>
        <v>URU</v>
      </c>
      <c r="G805" s="2" t="s">
        <v>3134</v>
      </c>
      <c r="H805" s="2" t="s">
        <v>66</v>
      </c>
      <c r="I805" s="2" t="str" cm="1">
        <f t="array" ref="I805">IFERROR(playerPoints($H805,$F805,$G805,I$1),"")</f>
        <v/>
      </c>
      <c r="J805" s="2" t="str" cm="1">
        <f t="array" ref="J805">IFERROR(playerPoints($H805,$F805,$G805,J$1),"")</f>
        <v/>
      </c>
      <c r="K805" s="2" t="str" cm="1">
        <f t="array" ref="K805">IFERROR(playerPoints($H805,$F805,$G805,K$1),"")</f>
        <v/>
      </c>
      <c r="L805" s="2" t="str" cm="1">
        <f t="array" ref="L805">IFERROR(playerPoints($H805,$F805,$G805,L$1),"")</f>
        <v/>
      </c>
      <c r="M805" s="2" t="str" cm="1">
        <f t="array" ref="M805">IFERROR(playerPoints($H805,$F805,$G805,M$1),"")</f>
        <v/>
      </c>
      <c r="N805" s="2" t="str" cm="1">
        <f t="array" ref="N805">IFERROR(playerPoints($H805,$F805,$G805,N$1),"")</f>
        <v/>
      </c>
      <c r="O805" s="2" t="str" cm="1">
        <f t="array" ref="O805">IFERROR(playerPoints($H805,$F805,$G805,O$1),"")</f>
        <v/>
      </c>
      <c r="Q805" s="2">
        <f t="shared" si="12"/>
        <v>0</v>
      </c>
    </row>
    <row r="806" spans="1:17">
      <c r="A806" s="2">
        <v>805</v>
      </c>
      <c r="B806" s="2" t="s">
        <v>2322</v>
      </c>
      <c r="C806" s="2" t="s">
        <v>2323</v>
      </c>
      <c r="D806" s="2" t="s">
        <v>893</v>
      </c>
      <c r="F806" s="2" t="str">
        <f>LOOKUP(D806,Sheet3!A$1:A$32,Sheet3!B$1:B$32)</f>
        <v>URU</v>
      </c>
      <c r="G806" s="2" t="s">
        <v>3135</v>
      </c>
      <c r="H806" s="2" t="s">
        <v>66</v>
      </c>
      <c r="I806" s="2" t="str" cm="1">
        <f t="array" ref="I806">IFERROR(playerPoints($H806,$F806,$G806,I$1),"")</f>
        <v/>
      </c>
      <c r="J806" s="2" t="str" cm="1">
        <f t="array" ref="J806">IFERROR(playerPoints($H806,$F806,$G806,J$1),"")</f>
        <v/>
      </c>
      <c r="K806" s="2" t="str" cm="1">
        <f t="array" ref="K806">IFERROR(playerPoints($H806,$F806,$G806,K$1),"")</f>
        <v/>
      </c>
      <c r="L806" s="2" t="str" cm="1">
        <f t="array" ref="L806">IFERROR(playerPoints($H806,$F806,$G806,L$1),"")</f>
        <v/>
      </c>
      <c r="M806" s="2" t="str" cm="1">
        <f t="array" ref="M806">IFERROR(playerPoints($H806,$F806,$G806,M$1),"")</f>
        <v/>
      </c>
      <c r="N806" s="2" t="str" cm="1">
        <f t="array" ref="N806">IFERROR(playerPoints($H806,$F806,$G806,N$1),"")</f>
        <v/>
      </c>
      <c r="O806" s="2" t="str" cm="1">
        <f t="array" ref="O806">IFERROR(playerPoints($H806,$F806,$G806,O$1),"")</f>
        <v/>
      </c>
      <c r="Q806" s="2">
        <f t="shared" si="12"/>
        <v>0</v>
      </c>
    </row>
    <row r="807" spans="1:17">
      <c r="A807" s="2">
        <v>806</v>
      </c>
      <c r="B807" s="2" t="s">
        <v>2324</v>
      </c>
      <c r="C807" s="2" t="s">
        <v>2325</v>
      </c>
      <c r="D807" s="2" t="s">
        <v>893</v>
      </c>
      <c r="F807" s="2" t="str">
        <f>LOOKUP(D807,Sheet3!A$1:A$32,Sheet3!B$1:B$32)</f>
        <v>URU</v>
      </c>
      <c r="G807" s="2" t="s">
        <v>3136</v>
      </c>
      <c r="H807" s="2" t="s">
        <v>66</v>
      </c>
      <c r="I807" s="2" t="str" cm="1">
        <f t="array" ref="I807">IFERROR(playerPoints($H807,$F807,$G807,I$1),"")</f>
        <v/>
      </c>
      <c r="J807" s="2" t="str" cm="1">
        <f t="array" ref="J807">IFERROR(playerPoints($H807,$F807,$G807,J$1),"")</f>
        <v/>
      </c>
      <c r="K807" s="2" t="str" cm="1">
        <f t="array" ref="K807">IFERROR(playerPoints($H807,$F807,$G807,K$1),"")</f>
        <v/>
      </c>
      <c r="L807" s="2" t="str" cm="1">
        <f t="array" ref="L807">IFERROR(playerPoints($H807,$F807,$G807,L$1),"")</f>
        <v/>
      </c>
      <c r="M807" s="2" t="str" cm="1">
        <f t="array" ref="M807">IFERROR(playerPoints($H807,$F807,$G807,M$1),"")</f>
        <v/>
      </c>
      <c r="N807" s="2" t="str" cm="1">
        <f t="array" ref="N807">IFERROR(playerPoints($H807,$F807,$G807,N$1),"")</f>
        <v/>
      </c>
      <c r="O807" s="2" t="str" cm="1">
        <f t="array" ref="O807">IFERROR(playerPoints($H807,$F807,$G807,O$1),"")</f>
        <v/>
      </c>
      <c r="Q807" s="2">
        <f t="shared" si="12"/>
        <v>0</v>
      </c>
    </row>
    <row r="808" spans="1:17">
      <c r="A808" s="2">
        <v>807</v>
      </c>
      <c r="B808" s="2" t="s">
        <v>2326</v>
      </c>
      <c r="C808" s="2" t="s">
        <v>2327</v>
      </c>
      <c r="D808" s="2" t="s">
        <v>894</v>
      </c>
      <c r="F808" s="2" t="str">
        <f>LOOKUP(D808,Sheet3!A$1:A$32,Sheet3!B$1:B$32)</f>
        <v>WAL</v>
      </c>
      <c r="G808" s="2" t="s">
        <v>3137</v>
      </c>
      <c r="H808" s="2" t="s">
        <v>44</v>
      </c>
      <c r="I808" s="2" t="str" cm="1">
        <f t="array" ref="I808">IFERROR(playerPoints($H808,$F808,$G808,I$1),"")</f>
        <v/>
      </c>
      <c r="J808" s="2" t="str" cm="1">
        <f t="array" ref="J808">IFERROR(playerPoints($H808,$F808,$G808,J$1),"")</f>
        <v/>
      </c>
      <c r="K808" s="2" t="str" cm="1">
        <f t="array" ref="K808">IFERROR(playerPoints($H808,$F808,$G808,K$1),"")</f>
        <v/>
      </c>
      <c r="L808" s="2" t="str" cm="1">
        <f t="array" ref="L808">IFERROR(playerPoints($H808,$F808,$G808,L$1),"")</f>
        <v/>
      </c>
      <c r="M808" s="2" t="str" cm="1">
        <f t="array" ref="M808">IFERROR(playerPoints($H808,$F808,$G808,M$1),"")</f>
        <v/>
      </c>
      <c r="N808" s="2" t="str" cm="1">
        <f t="array" ref="N808">IFERROR(playerPoints($H808,$F808,$G808,N$1),"")</f>
        <v/>
      </c>
      <c r="O808" s="2" t="str" cm="1">
        <f t="array" ref="O808">IFERROR(playerPoints($H808,$F808,$G808,O$1),"")</f>
        <v/>
      </c>
      <c r="Q808" s="2">
        <f t="shared" si="12"/>
        <v>0</v>
      </c>
    </row>
    <row r="809" spans="1:17">
      <c r="A809" s="2">
        <v>808</v>
      </c>
      <c r="B809" s="2" t="s">
        <v>1064</v>
      </c>
      <c r="C809" s="2" t="s">
        <v>2328</v>
      </c>
      <c r="D809" s="2" t="s">
        <v>894</v>
      </c>
      <c r="F809" s="2" t="str">
        <f>LOOKUP(D809,Sheet3!A$1:A$32,Sheet3!B$1:B$32)</f>
        <v>WAL</v>
      </c>
      <c r="G809" s="2" t="s">
        <v>3138</v>
      </c>
      <c r="H809" s="2" t="s">
        <v>44</v>
      </c>
      <c r="I809" s="2" t="str" cm="1">
        <f t="array" ref="I809">IFERROR(playerPoints($H809,$F809,$G809,I$1),"")</f>
        <v/>
      </c>
      <c r="J809" s="2" t="str" cm="1">
        <f t="array" ref="J809">IFERROR(playerPoints($H809,$F809,$G809,J$1),"")</f>
        <v/>
      </c>
      <c r="K809" s="2" t="str" cm="1">
        <f t="array" ref="K809">IFERROR(playerPoints($H809,$F809,$G809,K$1),"")</f>
        <v/>
      </c>
      <c r="L809" s="2" t="str" cm="1">
        <f t="array" ref="L809">IFERROR(playerPoints($H809,$F809,$G809,L$1),"")</f>
        <v/>
      </c>
      <c r="M809" s="2" t="str" cm="1">
        <f t="array" ref="M809">IFERROR(playerPoints($H809,$F809,$G809,M$1),"")</f>
        <v/>
      </c>
      <c r="N809" s="2" t="str" cm="1">
        <f t="array" ref="N809">IFERROR(playerPoints($H809,$F809,$G809,N$1),"")</f>
        <v/>
      </c>
      <c r="O809" s="2" t="str" cm="1">
        <f t="array" ref="O809">IFERROR(playerPoints($H809,$F809,$G809,O$1),"")</f>
        <v/>
      </c>
      <c r="Q809" s="2">
        <f t="shared" si="12"/>
        <v>0</v>
      </c>
    </row>
    <row r="810" spans="1:17">
      <c r="A810" s="2">
        <v>809</v>
      </c>
      <c r="B810" s="2" t="s">
        <v>2329</v>
      </c>
      <c r="C810" s="2" t="s">
        <v>1271</v>
      </c>
      <c r="D810" s="2" t="s">
        <v>894</v>
      </c>
      <c r="F810" s="2" t="str">
        <f>LOOKUP(D810,Sheet3!A$1:A$32,Sheet3!B$1:B$32)</f>
        <v>WAL</v>
      </c>
      <c r="G810" s="2" t="s">
        <v>2504</v>
      </c>
      <c r="H810" s="2" t="s">
        <v>44</v>
      </c>
      <c r="I810" s="2" t="str" cm="1">
        <f t="array" ref="I810">IFERROR(playerPoints($H810,$F810,$G810,I$1),"")</f>
        <v/>
      </c>
      <c r="J810" s="2" t="str" cm="1">
        <f t="array" ref="J810">IFERROR(playerPoints($H810,$F810,$G810,J$1),"")</f>
        <v/>
      </c>
      <c r="K810" s="2" t="str" cm="1">
        <f t="array" ref="K810">IFERROR(playerPoints($H810,$F810,$G810,K$1),"")</f>
        <v/>
      </c>
      <c r="L810" s="2" t="str" cm="1">
        <f t="array" ref="L810">IFERROR(playerPoints($H810,$F810,$G810,L$1),"")</f>
        <v/>
      </c>
      <c r="M810" s="2" t="str" cm="1">
        <f t="array" ref="M810">IFERROR(playerPoints($H810,$F810,$G810,M$1),"")</f>
        <v/>
      </c>
      <c r="N810" s="2" t="str" cm="1">
        <f t="array" ref="N810">IFERROR(playerPoints($H810,$F810,$G810,N$1),"")</f>
        <v/>
      </c>
      <c r="O810" s="2" t="str" cm="1">
        <f t="array" ref="O810">IFERROR(playerPoints($H810,$F810,$G810,O$1),"")</f>
        <v/>
      </c>
      <c r="Q810" s="2">
        <f t="shared" si="12"/>
        <v>0</v>
      </c>
    </row>
    <row r="811" spans="1:17">
      <c r="A811" s="2">
        <v>810</v>
      </c>
      <c r="B811" s="2" t="s">
        <v>2330</v>
      </c>
      <c r="C811" s="2" t="s">
        <v>2331</v>
      </c>
      <c r="D811" s="2" t="s">
        <v>894</v>
      </c>
      <c r="F811" s="2" t="str">
        <f>LOOKUP(D811,Sheet3!A$1:A$32,Sheet3!B$1:B$32)</f>
        <v>WAL</v>
      </c>
      <c r="G811" s="2" t="s">
        <v>3139</v>
      </c>
      <c r="H811" s="2" t="s">
        <v>48</v>
      </c>
      <c r="I811" s="2" t="str" cm="1">
        <f t="array" ref="I811">IFERROR(playerPoints($H811,$F811,$G811,I$1),"")</f>
        <v/>
      </c>
      <c r="J811" s="2" t="str" cm="1">
        <f t="array" ref="J811">IFERROR(playerPoints($H811,$F811,$G811,J$1),"")</f>
        <v/>
      </c>
      <c r="K811" s="2" t="str" cm="1">
        <f t="array" ref="K811">IFERROR(playerPoints($H811,$F811,$G811,K$1),"")</f>
        <v/>
      </c>
      <c r="L811" s="2" t="str" cm="1">
        <f t="array" ref="L811">IFERROR(playerPoints($H811,$F811,$G811,L$1),"")</f>
        <v/>
      </c>
      <c r="M811" s="2" t="str" cm="1">
        <f t="array" ref="M811">IFERROR(playerPoints($H811,$F811,$G811,M$1),"")</f>
        <v/>
      </c>
      <c r="N811" s="2" t="str" cm="1">
        <f t="array" ref="N811">IFERROR(playerPoints($H811,$F811,$G811,N$1),"")</f>
        <v/>
      </c>
      <c r="O811" s="2" t="str" cm="1">
        <f t="array" ref="O811">IFERROR(playerPoints($H811,$F811,$G811,O$1),"")</f>
        <v/>
      </c>
      <c r="Q811" s="2">
        <f t="shared" si="12"/>
        <v>0</v>
      </c>
    </row>
    <row r="812" spans="1:17">
      <c r="A812" s="2">
        <v>811</v>
      </c>
      <c r="B812" s="2" t="s">
        <v>2332</v>
      </c>
      <c r="C812" s="2" t="s">
        <v>1618</v>
      </c>
      <c r="D812" s="2" t="s">
        <v>894</v>
      </c>
      <c r="F812" s="2" t="str">
        <f>LOOKUP(D812,Sheet3!A$1:A$32,Sheet3!B$1:B$32)</f>
        <v>WAL</v>
      </c>
      <c r="G812" s="2" t="s">
        <v>3033</v>
      </c>
      <c r="H812" s="2" t="s">
        <v>48</v>
      </c>
      <c r="I812" s="2" t="str" cm="1">
        <f t="array" ref="I812">IFERROR(playerPoints($H812,$F812,$G812,I$1),"")</f>
        <v/>
      </c>
      <c r="J812" s="2" t="str" cm="1">
        <f t="array" ref="J812">IFERROR(playerPoints($H812,$F812,$G812,J$1),"")</f>
        <v/>
      </c>
      <c r="K812" s="2" t="str" cm="1">
        <f t="array" ref="K812">IFERROR(playerPoints($H812,$F812,$G812,K$1),"")</f>
        <v/>
      </c>
      <c r="L812" s="2" t="str" cm="1">
        <f t="array" ref="L812">IFERROR(playerPoints($H812,$F812,$G812,L$1),"")</f>
        <v/>
      </c>
      <c r="M812" s="2" t="str" cm="1">
        <f t="array" ref="M812">IFERROR(playerPoints($H812,$F812,$G812,M$1),"")</f>
        <v/>
      </c>
      <c r="N812" s="2" t="str" cm="1">
        <f t="array" ref="N812">IFERROR(playerPoints($H812,$F812,$G812,N$1),"")</f>
        <v/>
      </c>
      <c r="O812" s="2" t="str" cm="1">
        <f t="array" ref="O812">IFERROR(playerPoints($H812,$F812,$G812,O$1),"")</f>
        <v/>
      </c>
      <c r="Q812" s="2">
        <f t="shared" si="12"/>
        <v>0</v>
      </c>
    </row>
    <row r="813" spans="1:17">
      <c r="A813" s="2">
        <v>812</v>
      </c>
      <c r="B813" s="2" t="s">
        <v>1465</v>
      </c>
      <c r="C813" s="2" t="s">
        <v>1271</v>
      </c>
      <c r="D813" s="2" t="s">
        <v>894</v>
      </c>
      <c r="F813" s="2" t="str">
        <f>LOOKUP(D813,Sheet3!A$1:A$32,Sheet3!B$1:B$32)</f>
        <v>WAL</v>
      </c>
      <c r="G813" s="2" t="s">
        <v>3140</v>
      </c>
      <c r="H813" s="2" t="s">
        <v>48</v>
      </c>
      <c r="I813" s="2" t="str" cm="1">
        <f t="array" ref="I813">IFERROR(playerPoints($H813,$F813,$G813,I$1),"")</f>
        <v/>
      </c>
      <c r="J813" s="2" t="str" cm="1">
        <f t="array" ref="J813">IFERROR(playerPoints($H813,$F813,$G813,J$1),"")</f>
        <v/>
      </c>
      <c r="K813" s="2" t="str" cm="1">
        <f t="array" ref="K813">IFERROR(playerPoints($H813,$F813,$G813,K$1),"")</f>
        <v/>
      </c>
      <c r="L813" s="2" t="str" cm="1">
        <f t="array" ref="L813">IFERROR(playerPoints($H813,$F813,$G813,L$1),"")</f>
        <v/>
      </c>
      <c r="M813" s="2" t="str" cm="1">
        <f t="array" ref="M813">IFERROR(playerPoints($H813,$F813,$G813,M$1),"")</f>
        <v/>
      </c>
      <c r="N813" s="2" t="str" cm="1">
        <f t="array" ref="N813">IFERROR(playerPoints($H813,$F813,$G813,N$1),"")</f>
        <v/>
      </c>
      <c r="O813" s="2" t="str" cm="1">
        <f t="array" ref="O813">IFERROR(playerPoints($H813,$F813,$G813,O$1),"")</f>
        <v/>
      </c>
      <c r="Q813" s="2">
        <f t="shared" si="12"/>
        <v>0</v>
      </c>
    </row>
    <row r="814" spans="1:17">
      <c r="A814" s="2">
        <v>813</v>
      </c>
      <c r="B814" s="2" t="s">
        <v>2330</v>
      </c>
      <c r="C814" s="2" t="s">
        <v>2333</v>
      </c>
      <c r="D814" s="2" t="s">
        <v>894</v>
      </c>
      <c r="F814" s="2" t="str">
        <f>LOOKUP(D814,Sheet3!A$1:A$32,Sheet3!B$1:B$32)</f>
        <v>WAL</v>
      </c>
      <c r="G814" s="2" t="s">
        <v>3141</v>
      </c>
      <c r="H814" s="2" t="s">
        <v>48</v>
      </c>
      <c r="I814" s="2" t="str" cm="1">
        <f t="array" ref="I814">IFERROR(playerPoints($H814,$F814,$G814,I$1),"")</f>
        <v/>
      </c>
      <c r="J814" s="2" t="str" cm="1">
        <f t="array" ref="J814">IFERROR(playerPoints($H814,$F814,$G814,J$1),"")</f>
        <v/>
      </c>
      <c r="K814" s="2" t="str" cm="1">
        <f t="array" ref="K814">IFERROR(playerPoints($H814,$F814,$G814,K$1),"")</f>
        <v/>
      </c>
      <c r="L814" s="2" t="str" cm="1">
        <f t="array" ref="L814">IFERROR(playerPoints($H814,$F814,$G814,L$1),"")</f>
        <v/>
      </c>
      <c r="M814" s="2" t="str" cm="1">
        <f t="array" ref="M814">IFERROR(playerPoints($H814,$F814,$G814,M$1),"")</f>
        <v/>
      </c>
      <c r="N814" s="2" t="str" cm="1">
        <f t="array" ref="N814">IFERROR(playerPoints($H814,$F814,$G814,N$1),"")</f>
        <v/>
      </c>
      <c r="O814" s="2" t="str" cm="1">
        <f t="array" ref="O814">IFERROR(playerPoints($H814,$F814,$G814,O$1),"")</f>
        <v/>
      </c>
      <c r="Q814" s="2">
        <f t="shared" si="12"/>
        <v>0</v>
      </c>
    </row>
    <row r="815" spans="1:17">
      <c r="A815" s="2">
        <v>814</v>
      </c>
      <c r="B815" s="2" t="s">
        <v>2266</v>
      </c>
      <c r="C815" s="2" t="s">
        <v>2334</v>
      </c>
      <c r="D815" s="2" t="s">
        <v>894</v>
      </c>
      <c r="F815" s="2" t="str">
        <f>LOOKUP(D815,Sheet3!A$1:A$32,Sheet3!B$1:B$32)</f>
        <v>WAL</v>
      </c>
      <c r="G815" s="2" t="s">
        <v>3142</v>
      </c>
      <c r="H815" s="2" t="s">
        <v>48</v>
      </c>
      <c r="I815" s="2" t="str" cm="1">
        <f t="array" ref="I815">IFERROR(playerPoints($H815,$F815,$G815,I$1),"")</f>
        <v/>
      </c>
      <c r="J815" s="2" t="str" cm="1">
        <f t="array" ref="J815">IFERROR(playerPoints($H815,$F815,$G815,J$1),"")</f>
        <v/>
      </c>
      <c r="K815" s="2" t="str" cm="1">
        <f t="array" ref="K815">IFERROR(playerPoints($H815,$F815,$G815,K$1),"")</f>
        <v/>
      </c>
      <c r="L815" s="2" t="str" cm="1">
        <f t="array" ref="L815">IFERROR(playerPoints($H815,$F815,$G815,L$1),"")</f>
        <v/>
      </c>
      <c r="M815" s="2" t="str" cm="1">
        <f t="array" ref="M815">IFERROR(playerPoints($H815,$F815,$G815,M$1),"")</f>
        <v/>
      </c>
      <c r="N815" s="2" t="str" cm="1">
        <f t="array" ref="N815">IFERROR(playerPoints($H815,$F815,$G815,N$1),"")</f>
        <v/>
      </c>
      <c r="O815" s="2" t="str" cm="1">
        <f t="array" ref="O815">IFERROR(playerPoints($H815,$F815,$G815,O$1),"")</f>
        <v/>
      </c>
      <c r="Q815" s="2">
        <f t="shared" si="12"/>
        <v>0</v>
      </c>
    </row>
    <row r="816" spans="1:17">
      <c r="A816" s="2">
        <v>815</v>
      </c>
      <c r="B816" s="2" t="s">
        <v>2335</v>
      </c>
      <c r="C816" s="2" t="s">
        <v>2336</v>
      </c>
      <c r="D816" s="2" t="s">
        <v>894</v>
      </c>
      <c r="F816" s="2" t="str">
        <f>LOOKUP(D816,Sheet3!A$1:A$32,Sheet3!B$1:B$32)</f>
        <v>WAL</v>
      </c>
      <c r="G816" s="2" t="s">
        <v>3143</v>
      </c>
      <c r="H816" s="2" t="s">
        <v>48</v>
      </c>
      <c r="I816" s="2" t="str" cm="1">
        <f t="array" ref="I816">IFERROR(playerPoints($H816,$F816,$G816,I$1),"")</f>
        <v/>
      </c>
      <c r="J816" s="2" t="str" cm="1">
        <f t="array" ref="J816">IFERROR(playerPoints($H816,$F816,$G816,J$1),"")</f>
        <v/>
      </c>
      <c r="K816" s="2" t="str" cm="1">
        <f t="array" ref="K816">IFERROR(playerPoints($H816,$F816,$G816,K$1),"")</f>
        <v/>
      </c>
      <c r="L816" s="2" t="str" cm="1">
        <f t="array" ref="L816">IFERROR(playerPoints($H816,$F816,$G816,L$1),"")</f>
        <v/>
      </c>
      <c r="M816" s="2" t="str" cm="1">
        <f t="array" ref="M816">IFERROR(playerPoints($H816,$F816,$G816,M$1),"")</f>
        <v/>
      </c>
      <c r="N816" s="2" t="str" cm="1">
        <f t="array" ref="N816">IFERROR(playerPoints($H816,$F816,$G816,N$1),"")</f>
        <v/>
      </c>
      <c r="O816" s="2" t="str" cm="1">
        <f t="array" ref="O816">IFERROR(playerPoints($H816,$F816,$G816,O$1),"")</f>
        <v/>
      </c>
      <c r="Q816" s="2">
        <f t="shared" si="12"/>
        <v>0</v>
      </c>
    </row>
    <row r="817" spans="1:17">
      <c r="A817" s="2">
        <v>816</v>
      </c>
      <c r="B817" s="2" t="s">
        <v>2249</v>
      </c>
      <c r="C817" s="2" t="s">
        <v>2337</v>
      </c>
      <c r="D817" s="2" t="s">
        <v>894</v>
      </c>
      <c r="F817" s="2" t="str">
        <f>LOOKUP(D817,Sheet3!A$1:A$32,Sheet3!B$1:B$32)</f>
        <v>WAL</v>
      </c>
      <c r="G817" s="2" t="s">
        <v>3144</v>
      </c>
      <c r="H817" s="2" t="s">
        <v>48</v>
      </c>
      <c r="I817" s="2" t="str" cm="1">
        <f t="array" ref="I817">IFERROR(playerPoints($H817,$F817,$G817,I$1),"")</f>
        <v/>
      </c>
      <c r="J817" s="2" t="str" cm="1">
        <f t="array" ref="J817">IFERROR(playerPoints($H817,$F817,$G817,J$1),"")</f>
        <v/>
      </c>
      <c r="K817" s="2" t="str" cm="1">
        <f t="array" ref="K817">IFERROR(playerPoints($H817,$F817,$G817,K$1),"")</f>
        <v/>
      </c>
      <c r="L817" s="2" t="str" cm="1">
        <f t="array" ref="L817">IFERROR(playerPoints($H817,$F817,$G817,L$1),"")</f>
        <v/>
      </c>
      <c r="M817" s="2" t="str" cm="1">
        <f t="array" ref="M817">IFERROR(playerPoints($H817,$F817,$G817,M$1),"")</f>
        <v/>
      </c>
      <c r="N817" s="2" t="str" cm="1">
        <f t="array" ref="N817">IFERROR(playerPoints($H817,$F817,$G817,N$1),"")</f>
        <v/>
      </c>
      <c r="O817" s="2" t="str" cm="1">
        <f t="array" ref="O817">IFERROR(playerPoints($H817,$F817,$G817,O$1),"")</f>
        <v/>
      </c>
      <c r="Q817" s="2">
        <f t="shared" si="12"/>
        <v>0</v>
      </c>
    </row>
    <row r="818" spans="1:17">
      <c r="A818" s="2">
        <v>817</v>
      </c>
      <c r="B818" s="2" t="s">
        <v>2338</v>
      </c>
      <c r="C818" s="2" t="s">
        <v>2339</v>
      </c>
      <c r="D818" s="2" t="s">
        <v>894</v>
      </c>
      <c r="F818" s="2" t="str">
        <f>LOOKUP(D818,Sheet3!A$1:A$32,Sheet3!B$1:B$32)</f>
        <v>WAL</v>
      </c>
      <c r="G818" s="2" t="s">
        <v>3145</v>
      </c>
      <c r="H818" s="2" t="s">
        <v>48</v>
      </c>
      <c r="I818" s="2" t="str" cm="1">
        <f t="array" ref="I818">IFERROR(playerPoints($H818,$F818,$G818,I$1),"")</f>
        <v/>
      </c>
      <c r="J818" s="2" t="str" cm="1">
        <f t="array" ref="J818">IFERROR(playerPoints($H818,$F818,$G818,J$1),"")</f>
        <v/>
      </c>
      <c r="K818" s="2" t="str" cm="1">
        <f t="array" ref="K818">IFERROR(playerPoints($H818,$F818,$G818,K$1),"")</f>
        <v/>
      </c>
      <c r="L818" s="2" t="str" cm="1">
        <f t="array" ref="L818">IFERROR(playerPoints($H818,$F818,$G818,L$1),"")</f>
        <v/>
      </c>
      <c r="M818" s="2" t="str" cm="1">
        <f t="array" ref="M818">IFERROR(playerPoints($H818,$F818,$G818,M$1),"")</f>
        <v/>
      </c>
      <c r="N818" s="2" t="str" cm="1">
        <f t="array" ref="N818">IFERROR(playerPoints($H818,$F818,$G818,N$1),"")</f>
        <v/>
      </c>
      <c r="O818" s="2" t="str" cm="1">
        <f t="array" ref="O818">IFERROR(playerPoints($H818,$F818,$G818,O$1),"")</f>
        <v/>
      </c>
      <c r="Q818" s="2">
        <f t="shared" si="12"/>
        <v>0</v>
      </c>
    </row>
    <row r="819" spans="1:17">
      <c r="A819" s="2">
        <v>818</v>
      </c>
      <c r="B819" s="2" t="s">
        <v>1465</v>
      </c>
      <c r="C819" s="2" t="s">
        <v>2340</v>
      </c>
      <c r="D819" s="2" t="s">
        <v>894</v>
      </c>
      <c r="F819" s="2" t="str">
        <f>LOOKUP(D819,Sheet3!A$1:A$32,Sheet3!B$1:B$32)</f>
        <v>WAL</v>
      </c>
      <c r="G819" s="2" t="s">
        <v>3146</v>
      </c>
      <c r="H819" s="2" t="s">
        <v>48</v>
      </c>
      <c r="I819" s="2" t="str" cm="1">
        <f t="array" ref="I819">IFERROR(playerPoints($H819,$F819,$G819,I$1),"")</f>
        <v/>
      </c>
      <c r="J819" s="2" t="str" cm="1">
        <f t="array" ref="J819">IFERROR(playerPoints($H819,$F819,$G819,J$1),"")</f>
        <v/>
      </c>
      <c r="K819" s="2" t="str" cm="1">
        <f t="array" ref="K819">IFERROR(playerPoints($H819,$F819,$G819,K$1),"")</f>
        <v/>
      </c>
      <c r="L819" s="2" t="str" cm="1">
        <f t="array" ref="L819">IFERROR(playerPoints($H819,$F819,$G819,L$1),"")</f>
        <v/>
      </c>
      <c r="M819" s="2" t="str" cm="1">
        <f t="array" ref="M819">IFERROR(playerPoints($H819,$F819,$G819,M$1),"")</f>
        <v/>
      </c>
      <c r="N819" s="2" t="str" cm="1">
        <f t="array" ref="N819">IFERROR(playerPoints($H819,$F819,$G819,N$1),"")</f>
        <v/>
      </c>
      <c r="O819" s="2" t="str" cm="1">
        <f t="array" ref="O819">IFERROR(playerPoints($H819,$F819,$G819,O$1),"")</f>
        <v/>
      </c>
      <c r="Q819" s="2">
        <f t="shared" si="12"/>
        <v>0</v>
      </c>
    </row>
    <row r="820" spans="1:17">
      <c r="A820" s="2">
        <v>819</v>
      </c>
      <c r="B820" s="2" t="s">
        <v>2266</v>
      </c>
      <c r="C820" s="2" t="s">
        <v>2341</v>
      </c>
      <c r="D820" s="2" t="s">
        <v>894</v>
      </c>
      <c r="F820" s="2" t="str">
        <f>LOOKUP(D820,Sheet3!A$1:A$32,Sheet3!B$1:B$32)</f>
        <v>WAL</v>
      </c>
      <c r="G820" s="2" t="s">
        <v>3147</v>
      </c>
      <c r="H820" s="2" t="s">
        <v>57</v>
      </c>
      <c r="I820" s="2" t="str" cm="1">
        <f t="array" ref="I820">IFERROR(playerPoints($H820,$F820,$G820,I$1),"")</f>
        <v/>
      </c>
      <c r="J820" s="2" t="str" cm="1">
        <f t="array" ref="J820">IFERROR(playerPoints($H820,$F820,$G820,J$1),"")</f>
        <v/>
      </c>
      <c r="K820" s="2" t="str" cm="1">
        <f t="array" ref="K820">IFERROR(playerPoints($H820,$F820,$G820,K$1),"")</f>
        <v/>
      </c>
      <c r="L820" s="2" t="str" cm="1">
        <f t="array" ref="L820">IFERROR(playerPoints($H820,$F820,$G820,L$1),"")</f>
        <v/>
      </c>
      <c r="M820" s="2" t="str" cm="1">
        <f t="array" ref="M820">IFERROR(playerPoints($H820,$F820,$G820,M$1),"")</f>
        <v/>
      </c>
      <c r="N820" s="2" t="str" cm="1">
        <f t="array" ref="N820">IFERROR(playerPoints($H820,$F820,$G820,N$1),"")</f>
        <v/>
      </c>
      <c r="O820" s="2" t="str" cm="1">
        <f t="array" ref="O820">IFERROR(playerPoints($H820,$F820,$G820,O$1),"")</f>
        <v/>
      </c>
      <c r="Q820" s="2">
        <f t="shared" si="12"/>
        <v>0</v>
      </c>
    </row>
    <row r="821" spans="1:17">
      <c r="A821" s="2">
        <v>820</v>
      </c>
      <c r="B821" s="2" t="s">
        <v>1078</v>
      </c>
      <c r="C821" s="2" t="s">
        <v>1318</v>
      </c>
      <c r="D821" s="2" t="s">
        <v>894</v>
      </c>
      <c r="F821" s="2" t="str">
        <f>LOOKUP(D821,Sheet3!A$1:A$32,Sheet3!B$1:B$32)</f>
        <v>WAL</v>
      </c>
      <c r="G821" s="2" t="s">
        <v>3148</v>
      </c>
      <c r="H821" s="2" t="s">
        <v>57</v>
      </c>
      <c r="I821" s="2" t="str" cm="1">
        <f t="array" ref="I821">IFERROR(playerPoints($H821,$F821,$G821,I$1),"")</f>
        <v/>
      </c>
      <c r="J821" s="2" t="str" cm="1">
        <f t="array" ref="J821">IFERROR(playerPoints($H821,$F821,$G821,J$1),"")</f>
        <v/>
      </c>
      <c r="K821" s="2" t="str" cm="1">
        <f t="array" ref="K821">IFERROR(playerPoints($H821,$F821,$G821,K$1),"")</f>
        <v/>
      </c>
      <c r="L821" s="2" t="str" cm="1">
        <f t="array" ref="L821">IFERROR(playerPoints($H821,$F821,$G821,L$1),"")</f>
        <v/>
      </c>
      <c r="M821" s="2" t="str" cm="1">
        <f t="array" ref="M821">IFERROR(playerPoints($H821,$F821,$G821,M$1),"")</f>
        <v/>
      </c>
      <c r="N821" s="2" t="str" cm="1">
        <f t="array" ref="N821">IFERROR(playerPoints($H821,$F821,$G821,N$1),"")</f>
        <v/>
      </c>
      <c r="O821" s="2" t="str" cm="1">
        <f t="array" ref="O821">IFERROR(playerPoints($H821,$F821,$G821,O$1),"")</f>
        <v/>
      </c>
      <c r="Q821" s="2">
        <f t="shared" si="12"/>
        <v>0</v>
      </c>
    </row>
    <row r="822" spans="1:17">
      <c r="A822" s="2">
        <v>821</v>
      </c>
      <c r="B822" s="2" t="s">
        <v>1088</v>
      </c>
      <c r="C822" s="2" t="s">
        <v>2342</v>
      </c>
      <c r="D822" s="2" t="s">
        <v>894</v>
      </c>
      <c r="F822" s="2" t="str">
        <f>LOOKUP(D822,Sheet3!A$1:A$32,Sheet3!B$1:B$32)</f>
        <v>WAL</v>
      </c>
      <c r="G822" s="2" t="s">
        <v>3149</v>
      </c>
      <c r="H822" s="2" t="s">
        <v>57</v>
      </c>
      <c r="I822" s="2" t="str" cm="1">
        <f t="array" ref="I822">IFERROR(playerPoints($H822,$F822,$G822,I$1),"")</f>
        <v/>
      </c>
      <c r="J822" s="2" t="str" cm="1">
        <f t="array" ref="J822">IFERROR(playerPoints($H822,$F822,$G822,J$1),"")</f>
        <v/>
      </c>
      <c r="K822" s="2" t="str" cm="1">
        <f t="array" ref="K822">IFERROR(playerPoints($H822,$F822,$G822,K$1),"")</f>
        <v/>
      </c>
      <c r="L822" s="2" t="str" cm="1">
        <f t="array" ref="L822">IFERROR(playerPoints($H822,$F822,$G822,L$1),"")</f>
        <v/>
      </c>
      <c r="M822" s="2" t="str" cm="1">
        <f t="array" ref="M822">IFERROR(playerPoints($H822,$F822,$G822,M$1),"")</f>
        <v/>
      </c>
      <c r="N822" s="2" t="str" cm="1">
        <f t="array" ref="N822">IFERROR(playerPoints($H822,$F822,$G822,N$1),"")</f>
        <v/>
      </c>
      <c r="O822" s="2" t="str" cm="1">
        <f t="array" ref="O822">IFERROR(playerPoints($H822,$F822,$G822,O$1),"")</f>
        <v/>
      </c>
      <c r="Q822" s="2">
        <f t="shared" si="12"/>
        <v>0</v>
      </c>
    </row>
    <row r="823" spans="1:17">
      <c r="A823" s="2">
        <v>822</v>
      </c>
      <c r="B823" s="2" t="s">
        <v>2266</v>
      </c>
      <c r="C823" s="2" t="s">
        <v>2343</v>
      </c>
      <c r="D823" s="2" t="s">
        <v>894</v>
      </c>
      <c r="F823" s="2" t="str">
        <f>LOOKUP(D823,Sheet3!A$1:A$32,Sheet3!B$1:B$32)</f>
        <v>WAL</v>
      </c>
      <c r="G823" s="2" t="s">
        <v>3150</v>
      </c>
      <c r="H823" s="2" t="s">
        <v>57</v>
      </c>
      <c r="I823" s="2" t="str" cm="1">
        <f t="array" ref="I823">IFERROR(playerPoints($H823,$F823,$G823,I$1),"")</f>
        <v/>
      </c>
      <c r="J823" s="2" t="str" cm="1">
        <f t="array" ref="J823">IFERROR(playerPoints($H823,$F823,$G823,J$1),"")</f>
        <v/>
      </c>
      <c r="K823" s="2" t="str" cm="1">
        <f t="array" ref="K823">IFERROR(playerPoints($H823,$F823,$G823,K$1),"")</f>
        <v/>
      </c>
      <c r="L823" s="2" t="str" cm="1">
        <f t="array" ref="L823">IFERROR(playerPoints($H823,$F823,$G823,L$1),"")</f>
        <v/>
      </c>
      <c r="M823" s="2" t="str" cm="1">
        <f t="array" ref="M823">IFERROR(playerPoints($H823,$F823,$G823,M$1),"")</f>
        <v/>
      </c>
      <c r="N823" s="2" t="str" cm="1">
        <f t="array" ref="N823">IFERROR(playerPoints($H823,$F823,$G823,N$1),"")</f>
        <v/>
      </c>
      <c r="O823" s="2" t="str" cm="1">
        <f t="array" ref="O823">IFERROR(playerPoints($H823,$F823,$G823,O$1),"")</f>
        <v/>
      </c>
      <c r="Q823" s="2">
        <f t="shared" si="12"/>
        <v>0</v>
      </c>
    </row>
    <row r="824" spans="1:17">
      <c r="A824" s="2">
        <v>823</v>
      </c>
      <c r="B824" s="2" t="s">
        <v>2344</v>
      </c>
      <c r="C824" s="2" t="s">
        <v>1618</v>
      </c>
      <c r="D824" s="2" t="s">
        <v>894</v>
      </c>
      <c r="F824" s="2" t="str">
        <f>LOOKUP(D824,Sheet3!A$1:A$32,Sheet3!B$1:B$32)</f>
        <v>WAL</v>
      </c>
      <c r="G824" s="2" t="s">
        <v>3151</v>
      </c>
      <c r="H824" s="2" t="s">
        <v>57</v>
      </c>
      <c r="I824" s="2" t="str" cm="1">
        <f t="array" ref="I824">IFERROR(playerPoints($H824,$F824,$G824,I$1),"")</f>
        <v/>
      </c>
      <c r="J824" s="2" t="str" cm="1">
        <f t="array" ref="J824">IFERROR(playerPoints($H824,$F824,$G824,J$1),"")</f>
        <v/>
      </c>
      <c r="K824" s="2" t="str" cm="1">
        <f t="array" ref="K824">IFERROR(playerPoints($H824,$F824,$G824,K$1),"")</f>
        <v/>
      </c>
      <c r="L824" s="2" t="str" cm="1">
        <f t="array" ref="L824">IFERROR(playerPoints($H824,$F824,$G824,L$1),"")</f>
        <v/>
      </c>
      <c r="M824" s="2" t="str" cm="1">
        <f t="array" ref="M824">IFERROR(playerPoints($H824,$F824,$G824,M$1),"")</f>
        <v/>
      </c>
      <c r="N824" s="2" t="str" cm="1">
        <f t="array" ref="N824">IFERROR(playerPoints($H824,$F824,$G824,N$1),"")</f>
        <v/>
      </c>
      <c r="O824" s="2" t="str" cm="1">
        <f t="array" ref="O824">IFERROR(playerPoints($H824,$F824,$G824,O$1),"")</f>
        <v/>
      </c>
      <c r="Q824" s="2">
        <f t="shared" si="12"/>
        <v>0</v>
      </c>
    </row>
    <row r="825" spans="1:17">
      <c r="A825" s="2">
        <v>824</v>
      </c>
      <c r="B825" s="2" t="s">
        <v>2345</v>
      </c>
      <c r="C825" s="2" t="s">
        <v>2346</v>
      </c>
      <c r="D825" s="2" t="s">
        <v>894</v>
      </c>
      <c r="F825" s="2" t="str">
        <f>LOOKUP(D825,Sheet3!A$1:A$32,Sheet3!B$1:B$32)</f>
        <v>WAL</v>
      </c>
      <c r="G825" s="2" t="s">
        <v>3152</v>
      </c>
      <c r="H825" s="2" t="s">
        <v>57</v>
      </c>
      <c r="I825" s="2" t="str" cm="1">
        <f t="array" ref="I825">IFERROR(playerPoints($H825,$F825,$G825,I$1),"")</f>
        <v/>
      </c>
      <c r="J825" s="2" t="str" cm="1">
        <f t="array" ref="J825">IFERROR(playerPoints($H825,$F825,$G825,J$1),"")</f>
        <v/>
      </c>
      <c r="K825" s="2" t="str" cm="1">
        <f t="array" ref="K825">IFERROR(playerPoints($H825,$F825,$G825,K$1),"")</f>
        <v/>
      </c>
      <c r="L825" s="2" t="str" cm="1">
        <f t="array" ref="L825">IFERROR(playerPoints($H825,$F825,$G825,L$1),"")</f>
        <v/>
      </c>
      <c r="M825" s="2" t="str" cm="1">
        <f t="array" ref="M825">IFERROR(playerPoints($H825,$F825,$G825,M$1),"")</f>
        <v/>
      </c>
      <c r="N825" s="2" t="str" cm="1">
        <f t="array" ref="N825">IFERROR(playerPoints($H825,$F825,$G825,N$1),"")</f>
        <v/>
      </c>
      <c r="O825" s="2" t="str" cm="1">
        <f t="array" ref="O825">IFERROR(playerPoints($H825,$F825,$G825,O$1),"")</f>
        <v/>
      </c>
      <c r="Q825" s="2">
        <f t="shared" si="12"/>
        <v>0</v>
      </c>
    </row>
    <row r="826" spans="1:17">
      <c r="A826" s="2">
        <v>825</v>
      </c>
      <c r="B826" s="2" t="s">
        <v>1295</v>
      </c>
      <c r="C826" s="2" t="s">
        <v>1229</v>
      </c>
      <c r="D826" s="2" t="s">
        <v>894</v>
      </c>
      <c r="F826" s="2" t="str">
        <f>LOOKUP(D826,Sheet3!A$1:A$32,Sheet3!B$1:B$32)</f>
        <v>WAL</v>
      </c>
      <c r="G826" s="2" t="s">
        <v>3153</v>
      </c>
      <c r="H826" s="2" t="s">
        <v>57</v>
      </c>
      <c r="I826" s="2" t="str" cm="1">
        <f t="array" ref="I826">IFERROR(playerPoints($H826,$F826,$G826,I$1),"")</f>
        <v/>
      </c>
      <c r="J826" s="2" t="str" cm="1">
        <f t="array" ref="J826">IFERROR(playerPoints($H826,$F826,$G826,J$1),"")</f>
        <v/>
      </c>
      <c r="K826" s="2" t="str" cm="1">
        <f t="array" ref="K826">IFERROR(playerPoints($H826,$F826,$G826,K$1),"")</f>
        <v/>
      </c>
      <c r="L826" s="2" t="str" cm="1">
        <f t="array" ref="L826">IFERROR(playerPoints($H826,$F826,$G826,L$1),"")</f>
        <v/>
      </c>
      <c r="M826" s="2" t="str" cm="1">
        <f t="array" ref="M826">IFERROR(playerPoints($H826,$F826,$G826,M$1),"")</f>
        <v/>
      </c>
      <c r="N826" s="2" t="str" cm="1">
        <f t="array" ref="N826">IFERROR(playerPoints($H826,$F826,$G826,N$1),"")</f>
        <v/>
      </c>
      <c r="O826" s="2" t="str" cm="1">
        <f t="array" ref="O826">IFERROR(playerPoints($H826,$F826,$G826,O$1),"")</f>
        <v/>
      </c>
      <c r="Q826" s="2">
        <f t="shared" si="12"/>
        <v>0</v>
      </c>
    </row>
    <row r="827" spans="1:17">
      <c r="A827" s="2">
        <v>826</v>
      </c>
      <c r="B827" s="2" t="s">
        <v>2347</v>
      </c>
      <c r="C827" s="2" t="s">
        <v>1080</v>
      </c>
      <c r="D827" s="2" t="s">
        <v>894</v>
      </c>
      <c r="F827" s="2" t="str">
        <f>LOOKUP(D827,Sheet3!A$1:A$32,Sheet3!B$1:B$32)</f>
        <v>WAL</v>
      </c>
      <c r="G827" s="2" t="s">
        <v>3154</v>
      </c>
      <c r="H827" s="2" t="s">
        <v>57</v>
      </c>
      <c r="I827" s="2" t="str" cm="1">
        <f t="array" ref="I827">IFERROR(playerPoints($H827,$F827,$G827,I$1),"")</f>
        <v/>
      </c>
      <c r="J827" s="2" t="str" cm="1">
        <f t="array" ref="J827">IFERROR(playerPoints($H827,$F827,$G827,J$1),"")</f>
        <v/>
      </c>
      <c r="K827" s="2" t="str" cm="1">
        <f t="array" ref="K827">IFERROR(playerPoints($H827,$F827,$G827,K$1),"")</f>
        <v/>
      </c>
      <c r="L827" s="2" t="str" cm="1">
        <f t="array" ref="L827">IFERROR(playerPoints($H827,$F827,$G827,L$1),"")</f>
        <v/>
      </c>
      <c r="M827" s="2" t="str" cm="1">
        <f t="array" ref="M827">IFERROR(playerPoints($H827,$F827,$G827,M$1),"")</f>
        <v/>
      </c>
      <c r="N827" s="2" t="str" cm="1">
        <f t="array" ref="N827">IFERROR(playerPoints($H827,$F827,$G827,N$1),"")</f>
        <v/>
      </c>
      <c r="O827" s="2" t="str" cm="1">
        <f t="array" ref="O827">IFERROR(playerPoints($H827,$F827,$G827,O$1),"")</f>
        <v/>
      </c>
      <c r="Q827" s="2">
        <f t="shared" si="12"/>
        <v>0</v>
      </c>
    </row>
    <row r="828" spans="1:17">
      <c r="A828" s="2">
        <v>827</v>
      </c>
      <c r="B828" s="2" t="s">
        <v>2214</v>
      </c>
      <c r="C828" s="2" t="s">
        <v>2348</v>
      </c>
      <c r="D828" s="2" t="s">
        <v>894</v>
      </c>
      <c r="F828" s="2" t="str">
        <f>LOOKUP(D828,Sheet3!A$1:A$32,Sheet3!B$1:B$32)</f>
        <v>WAL</v>
      </c>
      <c r="G828" s="2" t="s">
        <v>3155</v>
      </c>
      <c r="H828" s="2" t="s">
        <v>57</v>
      </c>
      <c r="I828" s="2" t="str" cm="1">
        <f t="array" ref="I828">IFERROR(playerPoints($H828,$F828,$G828,I$1),"")</f>
        <v/>
      </c>
      <c r="J828" s="2" t="str" cm="1">
        <f t="array" ref="J828">IFERROR(playerPoints($H828,$F828,$G828,J$1),"")</f>
        <v/>
      </c>
      <c r="K828" s="2" t="str" cm="1">
        <f t="array" ref="K828">IFERROR(playerPoints($H828,$F828,$G828,K$1),"")</f>
        <v/>
      </c>
      <c r="L828" s="2" t="str" cm="1">
        <f t="array" ref="L828">IFERROR(playerPoints($H828,$F828,$G828,L$1),"")</f>
        <v/>
      </c>
      <c r="M828" s="2" t="str" cm="1">
        <f t="array" ref="M828">IFERROR(playerPoints($H828,$F828,$G828,M$1),"")</f>
        <v/>
      </c>
      <c r="N828" s="2" t="str" cm="1">
        <f t="array" ref="N828">IFERROR(playerPoints($H828,$F828,$G828,N$1),"")</f>
        <v/>
      </c>
      <c r="O828" s="2" t="str" cm="1">
        <f t="array" ref="O828">IFERROR(playerPoints($H828,$F828,$G828,O$1),"")</f>
        <v/>
      </c>
      <c r="Q828" s="2">
        <f t="shared" si="12"/>
        <v>0</v>
      </c>
    </row>
    <row r="829" spans="1:17">
      <c r="A829" s="2">
        <v>828</v>
      </c>
      <c r="B829" s="2" t="s">
        <v>2349</v>
      </c>
      <c r="C829" s="2" t="s">
        <v>2350</v>
      </c>
      <c r="D829" s="2" t="s">
        <v>894</v>
      </c>
      <c r="F829" s="2" t="str">
        <f>LOOKUP(D829,Sheet3!A$1:A$32,Sheet3!B$1:B$32)</f>
        <v>WAL</v>
      </c>
      <c r="G829" s="2" t="s">
        <v>3156</v>
      </c>
      <c r="H829" s="2" t="s">
        <v>57</v>
      </c>
      <c r="I829" s="2" t="str" cm="1">
        <f t="array" ref="I829">IFERROR(playerPoints($H829,$F829,$G829,I$1),"")</f>
        <v/>
      </c>
      <c r="J829" s="2" t="str" cm="1">
        <f t="array" ref="J829">IFERROR(playerPoints($H829,$F829,$G829,J$1),"")</f>
        <v/>
      </c>
      <c r="K829" s="2" t="str" cm="1">
        <f t="array" ref="K829">IFERROR(playerPoints($H829,$F829,$G829,K$1),"")</f>
        <v/>
      </c>
      <c r="L829" s="2" t="str" cm="1">
        <f t="array" ref="L829">IFERROR(playerPoints($H829,$F829,$G829,L$1),"")</f>
        <v/>
      </c>
      <c r="M829" s="2" t="str" cm="1">
        <f t="array" ref="M829">IFERROR(playerPoints($H829,$F829,$G829,M$1),"")</f>
        <v/>
      </c>
      <c r="N829" s="2" t="str" cm="1">
        <f t="array" ref="N829">IFERROR(playerPoints($H829,$F829,$G829,N$1),"")</f>
        <v/>
      </c>
      <c r="O829" s="2" t="str" cm="1">
        <f t="array" ref="O829">IFERROR(playerPoints($H829,$F829,$G829,O$1),"")</f>
        <v/>
      </c>
      <c r="Q829" s="2">
        <f t="shared" si="12"/>
        <v>0</v>
      </c>
    </row>
    <row r="830" spans="1:17">
      <c r="A830" s="2">
        <v>829</v>
      </c>
      <c r="B830" s="2" t="s">
        <v>2351</v>
      </c>
      <c r="C830" s="2" t="s">
        <v>2252</v>
      </c>
      <c r="D830" s="2" t="s">
        <v>894</v>
      </c>
      <c r="F830" s="2" t="str">
        <f>LOOKUP(D830,Sheet3!A$1:A$32,Sheet3!B$1:B$32)</f>
        <v>WAL</v>
      </c>
      <c r="G830" s="2" t="s">
        <v>3157</v>
      </c>
      <c r="H830" s="2" t="s">
        <v>66</v>
      </c>
      <c r="I830" s="2" t="str" cm="1">
        <f t="array" ref="I830">IFERROR(playerPoints($H830,$F830,$G830,I$1),"")</f>
        <v/>
      </c>
      <c r="J830" s="2" t="str" cm="1">
        <f t="array" ref="J830">IFERROR(playerPoints($H830,$F830,$G830,J$1),"")</f>
        <v/>
      </c>
      <c r="K830" s="2" t="str" cm="1">
        <f t="array" ref="K830">IFERROR(playerPoints($H830,$F830,$G830,K$1),"")</f>
        <v/>
      </c>
      <c r="L830" s="2" t="str" cm="1">
        <f t="array" ref="L830">IFERROR(playerPoints($H830,$F830,$G830,L$1),"")</f>
        <v/>
      </c>
      <c r="M830" s="2" t="str" cm="1">
        <f t="array" ref="M830">IFERROR(playerPoints($H830,$F830,$G830,M$1),"")</f>
        <v/>
      </c>
      <c r="N830" s="2" t="str" cm="1">
        <f t="array" ref="N830">IFERROR(playerPoints($H830,$F830,$G830,N$1),"")</f>
        <v/>
      </c>
      <c r="O830" s="2" t="str" cm="1">
        <f t="array" ref="O830">IFERROR(playerPoints($H830,$F830,$G830,O$1),"")</f>
        <v/>
      </c>
      <c r="Q830" s="2">
        <f t="shared" si="12"/>
        <v>0</v>
      </c>
    </row>
    <row r="831" spans="1:17">
      <c r="A831" s="2">
        <v>830</v>
      </c>
      <c r="B831" s="2" t="s">
        <v>2352</v>
      </c>
      <c r="C831" s="2" t="s">
        <v>2353</v>
      </c>
      <c r="D831" s="2" t="s">
        <v>894</v>
      </c>
      <c r="F831" s="2" t="str">
        <f>LOOKUP(D831,Sheet3!A$1:A$32,Sheet3!B$1:B$32)</f>
        <v>WAL</v>
      </c>
      <c r="G831" s="2" t="s">
        <v>932</v>
      </c>
      <c r="H831" s="2" t="s">
        <v>66</v>
      </c>
      <c r="I831" s="2" t="str" cm="1">
        <f t="array" ref="I831">IFERROR(playerPoints($H831,$F831,$G831,I$1),"")</f>
        <v/>
      </c>
      <c r="J831" s="2" t="str" cm="1">
        <f t="array" ref="J831">IFERROR(playerPoints($H831,$F831,$G831,J$1),"")</f>
        <v/>
      </c>
      <c r="K831" s="2" t="str" cm="1">
        <f t="array" ref="K831">IFERROR(playerPoints($H831,$F831,$G831,K$1),"")</f>
        <v/>
      </c>
      <c r="L831" s="2" t="str" cm="1">
        <f t="array" ref="L831">IFERROR(playerPoints($H831,$F831,$G831,L$1),"")</f>
        <v/>
      </c>
      <c r="M831" s="2" t="str" cm="1">
        <f t="array" ref="M831">IFERROR(playerPoints($H831,$F831,$G831,M$1),"")</f>
        <v/>
      </c>
      <c r="N831" s="2" t="str" cm="1">
        <f t="array" ref="N831">IFERROR(playerPoints($H831,$F831,$G831,N$1),"")</f>
        <v/>
      </c>
      <c r="O831" s="2" t="str" cm="1">
        <f t="array" ref="O831">IFERROR(playerPoints($H831,$F831,$G831,O$1),"")</f>
        <v/>
      </c>
      <c r="Q831" s="2">
        <f t="shared" si="12"/>
        <v>0</v>
      </c>
    </row>
    <row r="832" spans="1:17">
      <c r="A832" s="2">
        <v>831</v>
      </c>
      <c r="B832" s="2" t="s">
        <v>2354</v>
      </c>
      <c r="C832" s="2" t="s">
        <v>2262</v>
      </c>
      <c r="D832" s="2" t="s">
        <v>894</v>
      </c>
      <c r="F832" s="2" t="str">
        <f>LOOKUP(D832,Sheet3!A$1:A$32,Sheet3!B$1:B$32)</f>
        <v>WAL</v>
      </c>
      <c r="G832" s="2" t="s">
        <v>3158</v>
      </c>
      <c r="H832" s="2" t="s">
        <v>66</v>
      </c>
      <c r="I832" s="2" t="str" cm="1">
        <f t="array" ref="I832">IFERROR(playerPoints($H832,$F832,$G832,I$1),"")</f>
        <v/>
      </c>
      <c r="J832" s="2" t="str" cm="1">
        <f t="array" ref="J832">IFERROR(playerPoints($H832,$F832,$G832,J$1),"")</f>
        <v/>
      </c>
      <c r="K832" s="2" t="str" cm="1">
        <f t="array" ref="K832">IFERROR(playerPoints($H832,$F832,$G832,K$1),"")</f>
        <v/>
      </c>
      <c r="L832" s="2" t="str" cm="1">
        <f t="array" ref="L832">IFERROR(playerPoints($H832,$F832,$G832,L$1),"")</f>
        <v/>
      </c>
      <c r="M832" s="2" t="str" cm="1">
        <f t="array" ref="M832">IFERROR(playerPoints($H832,$F832,$G832,M$1),"")</f>
        <v/>
      </c>
      <c r="N832" s="2" t="str" cm="1">
        <f t="array" ref="N832">IFERROR(playerPoints($H832,$F832,$G832,N$1),"")</f>
        <v/>
      </c>
      <c r="O832" s="2" t="str" cm="1">
        <f t="array" ref="O832">IFERROR(playerPoints($H832,$F832,$G832,O$1),"")</f>
        <v/>
      </c>
      <c r="Q832" s="2">
        <f t="shared" si="12"/>
        <v>0</v>
      </c>
    </row>
    <row r="833" spans="1:17">
      <c r="A833" s="2">
        <v>832</v>
      </c>
      <c r="B833" s="2" t="s">
        <v>2247</v>
      </c>
      <c r="C833" s="2" t="s">
        <v>2355</v>
      </c>
      <c r="D833" s="2" t="s">
        <v>894</v>
      </c>
      <c r="F833" s="2" t="str">
        <f>LOOKUP(D833,Sheet3!A$1:A$32,Sheet3!B$1:B$32)</f>
        <v>WAL</v>
      </c>
      <c r="G833" s="2" t="s">
        <v>3159</v>
      </c>
      <c r="H833" s="2" t="s">
        <v>66</v>
      </c>
      <c r="I833" s="2" t="str" cm="1">
        <f t="array" ref="I833">IFERROR(playerPoints($H833,$F833,$G833,I$1),"")</f>
        <v/>
      </c>
      <c r="J833" s="2" t="str" cm="1">
        <f t="array" ref="J833">IFERROR(playerPoints($H833,$F833,$G833,J$1),"")</f>
        <v/>
      </c>
      <c r="K833" s="2" t="str" cm="1">
        <f t="array" ref="K833">IFERROR(playerPoints($H833,$F833,$G833,K$1),"")</f>
        <v/>
      </c>
      <c r="L833" s="2" t="str" cm="1">
        <f t="array" ref="L833">IFERROR(playerPoints($H833,$F833,$G833,L$1),"")</f>
        <v/>
      </c>
      <c r="M833" s="2" t="str" cm="1">
        <f t="array" ref="M833">IFERROR(playerPoints($H833,$F833,$G833,M$1),"")</f>
        <v/>
      </c>
      <c r="N833" s="2" t="str" cm="1">
        <f t="array" ref="N833">IFERROR(playerPoints($H833,$F833,$G833,N$1),"")</f>
        <v/>
      </c>
      <c r="O833" s="2" t="str" cm="1">
        <f t="array" ref="O833">IFERROR(playerPoints($H833,$F833,$G833,O$1),"")</f>
        <v/>
      </c>
      <c r="Q833" s="2">
        <f t="shared" si="12"/>
        <v>0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F8761-197E-4C53-AA7F-C089EA8F74A8}">
  <sheetPr codeName="Sheet5"/>
  <dimension ref="B1:F619"/>
  <sheetViews>
    <sheetView workbookViewId="0">
      <selection activeCell="E2" sqref="E2:E8"/>
    </sheetView>
  </sheetViews>
  <sheetFormatPr defaultRowHeight="14.4"/>
  <cols>
    <col min="1" max="1" width="20.33203125" style="2" bestFit="1" customWidth="1"/>
    <col min="2" max="2" width="10.33203125" style="2" bestFit="1" customWidth="1"/>
    <col min="3" max="5" width="8.88671875" style="2"/>
    <col min="6" max="6" width="10.5546875" style="2" bestFit="1" customWidth="1"/>
    <col min="7" max="16384" width="8.88671875" style="2"/>
  </cols>
  <sheetData>
    <row r="1" spans="2:5">
      <c r="D1" s="2" t="s">
        <v>3171</v>
      </c>
    </row>
    <row r="2" spans="2:5">
      <c r="B2" s="2">
        <v>1</v>
      </c>
      <c r="C2" s="2">
        <v>4</v>
      </c>
      <c r="D2" s="2">
        <f>B2*4</f>
        <v>4</v>
      </c>
      <c r="E2" s="2">
        <f>B2*4+3</f>
        <v>7</v>
      </c>
    </row>
    <row r="3" spans="2:5">
      <c r="B3" s="2">
        <v>2</v>
      </c>
      <c r="C3" s="2">
        <v>8</v>
      </c>
      <c r="D3" s="2">
        <f t="shared" ref="D3:D8" si="0">B3*4</f>
        <v>8</v>
      </c>
      <c r="E3" s="2">
        <f t="shared" ref="E3:E8" si="1">B3*4+3</f>
        <v>11</v>
      </c>
    </row>
    <row r="4" spans="2:5">
      <c r="B4" s="2">
        <v>3</v>
      </c>
      <c r="C4" s="2">
        <v>12</v>
      </c>
      <c r="D4" s="2">
        <f t="shared" si="0"/>
        <v>12</v>
      </c>
      <c r="E4" s="2">
        <f t="shared" si="1"/>
        <v>15</v>
      </c>
    </row>
    <row r="5" spans="2:5">
      <c r="B5" s="2">
        <v>4</v>
      </c>
      <c r="C5" s="2">
        <v>16</v>
      </c>
      <c r="D5" s="2">
        <f t="shared" si="0"/>
        <v>16</v>
      </c>
      <c r="E5" s="2">
        <f t="shared" si="1"/>
        <v>19</v>
      </c>
    </row>
    <row r="6" spans="2:5">
      <c r="B6" s="2">
        <v>5</v>
      </c>
      <c r="C6" s="2">
        <v>20</v>
      </c>
      <c r="D6" s="2">
        <f t="shared" si="0"/>
        <v>20</v>
      </c>
      <c r="E6" s="2">
        <f t="shared" si="1"/>
        <v>23</v>
      </c>
    </row>
    <row r="7" spans="2:5">
      <c r="B7" s="2">
        <v>6</v>
      </c>
      <c r="C7" s="2">
        <v>24</v>
      </c>
      <c r="D7" s="2">
        <f t="shared" si="0"/>
        <v>24</v>
      </c>
      <c r="E7" s="2">
        <f t="shared" si="1"/>
        <v>27</v>
      </c>
    </row>
    <row r="8" spans="2:5">
      <c r="B8" s="2">
        <v>7</v>
      </c>
      <c r="C8" s="2">
        <v>28</v>
      </c>
      <c r="D8" s="2">
        <f t="shared" si="0"/>
        <v>28</v>
      </c>
      <c r="E8" s="2">
        <f t="shared" si="1"/>
        <v>31</v>
      </c>
    </row>
    <row r="591" spans="6:6">
      <c r="F591" s="3"/>
    </row>
    <row r="592" spans="6:6">
      <c r="F592" s="3"/>
    </row>
    <row r="593" spans="6:6">
      <c r="F593" s="3"/>
    </row>
    <row r="594" spans="6:6">
      <c r="F594" s="3"/>
    </row>
    <row r="595" spans="6:6">
      <c r="F595" s="3"/>
    </row>
    <row r="596" spans="6:6">
      <c r="F596" s="3"/>
    </row>
    <row r="597" spans="6:6">
      <c r="F597" s="3"/>
    </row>
    <row r="598" spans="6:6">
      <c r="F598" s="3"/>
    </row>
    <row r="599" spans="6:6">
      <c r="F599" s="3"/>
    </row>
    <row r="600" spans="6:6">
      <c r="F600" s="3"/>
    </row>
    <row r="601" spans="6:6">
      <c r="F601" s="3"/>
    </row>
    <row r="602" spans="6:6">
      <c r="F602" s="3"/>
    </row>
    <row r="603" spans="6:6">
      <c r="F603" s="3"/>
    </row>
    <row r="604" spans="6:6">
      <c r="F604" s="3"/>
    </row>
    <row r="605" spans="6:6">
      <c r="F605" s="3"/>
    </row>
    <row r="606" spans="6:6">
      <c r="F606" s="3"/>
    </row>
    <row r="607" spans="6:6">
      <c r="F607" s="3"/>
    </row>
    <row r="608" spans="6:6">
      <c r="F608" s="3"/>
    </row>
    <row r="609" spans="6:6">
      <c r="F609" s="3"/>
    </row>
    <row r="610" spans="6:6">
      <c r="F610" s="3"/>
    </row>
    <row r="611" spans="6:6">
      <c r="F611" s="3"/>
    </row>
    <row r="612" spans="6:6">
      <c r="F612" s="3"/>
    </row>
    <row r="613" spans="6:6">
      <c r="F613" s="3"/>
    </row>
    <row r="614" spans="6:6">
      <c r="F614" s="3"/>
    </row>
    <row r="615" spans="6:6">
      <c r="F615" s="3"/>
    </row>
    <row r="616" spans="6:6">
      <c r="F616" s="3"/>
    </row>
    <row r="617" spans="6:6">
      <c r="F617" s="3"/>
    </row>
    <row r="618" spans="6:6">
      <c r="F618" s="3"/>
    </row>
    <row r="619" spans="6:6">
      <c r="F619" s="3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Enable">
                <anchor moveWithCells="1" sizeWithCells="1">
                  <from>
                    <xdr:col>9</xdr:col>
                    <xdr:colOff>190500</xdr:colOff>
                    <xdr:row>6</xdr:row>
                    <xdr:rowOff>0</xdr:rowOff>
                  </from>
                  <to>
                    <xdr:col>10</xdr:col>
                    <xdr:colOff>289560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alculationStop">
                <anchor moveWithCells="1" sizeWithCells="1">
                  <from>
                    <xdr:col>10</xdr:col>
                    <xdr:colOff>457200</xdr:colOff>
                    <xdr:row>6</xdr:row>
                    <xdr:rowOff>0</xdr:rowOff>
                  </from>
                  <to>
                    <xdr:col>11</xdr:col>
                    <xdr:colOff>556260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712D-C9AC-49F1-A5F2-796C6A0C27D7}">
  <sheetPr codeName="Sheet7"/>
  <dimension ref="A1:B32"/>
  <sheetViews>
    <sheetView workbookViewId="0"/>
  </sheetViews>
  <sheetFormatPr defaultRowHeight="14.4"/>
  <cols>
    <col min="1" max="1" width="11.88671875" bestFit="1" customWidth="1"/>
    <col min="2" max="2" width="5.6640625" style="8" customWidth="1"/>
  </cols>
  <sheetData>
    <row r="1" spans="1:2">
      <c r="A1" s="2" t="s">
        <v>895</v>
      </c>
      <c r="B1" s="8" t="s">
        <v>933</v>
      </c>
    </row>
    <row r="2" spans="1:2">
      <c r="A2" s="2" t="s">
        <v>896</v>
      </c>
      <c r="B2" s="8" t="s">
        <v>943</v>
      </c>
    </row>
    <row r="3" spans="1:2">
      <c r="A3" s="2" t="s">
        <v>897</v>
      </c>
      <c r="B3" s="8" t="s">
        <v>993</v>
      </c>
    </row>
    <row r="4" spans="1:2">
      <c r="A4" s="2" t="s">
        <v>898</v>
      </c>
      <c r="B4" s="8" t="s">
        <v>995</v>
      </c>
    </row>
    <row r="5" spans="1:2">
      <c r="A5" s="2" t="s">
        <v>899</v>
      </c>
      <c r="B5" s="8" t="s">
        <v>996</v>
      </c>
    </row>
    <row r="6" spans="1:2">
      <c r="A6" s="2" t="s">
        <v>900</v>
      </c>
      <c r="B6" s="8" t="s">
        <v>994</v>
      </c>
    </row>
    <row r="7" spans="1:2">
      <c r="A7" s="2" t="s">
        <v>901</v>
      </c>
      <c r="B7" s="8" t="s">
        <v>990</v>
      </c>
    </row>
    <row r="8" spans="1:2">
      <c r="A8" s="2" t="s">
        <v>902</v>
      </c>
      <c r="B8" s="8" t="s">
        <v>991</v>
      </c>
    </row>
    <row r="9" spans="1:2">
      <c r="A9" s="2" t="s">
        <v>903</v>
      </c>
      <c r="B9" s="8" t="s">
        <v>938</v>
      </c>
    </row>
    <row r="10" spans="1:2">
      <c r="A10" s="2" t="s">
        <v>904</v>
      </c>
      <c r="B10" s="8" t="s">
        <v>915</v>
      </c>
    </row>
    <row r="11" spans="1:2">
      <c r="A11" s="2" t="s">
        <v>905</v>
      </c>
      <c r="B11" s="8" t="s">
        <v>917</v>
      </c>
    </row>
    <row r="12" spans="1:2">
      <c r="A12" s="2" t="s">
        <v>906</v>
      </c>
      <c r="B12" s="8" t="s">
        <v>942</v>
      </c>
    </row>
    <row r="13" spans="1:2">
      <c r="A13" s="2" t="s">
        <v>907</v>
      </c>
      <c r="B13" s="8" t="s">
        <v>989</v>
      </c>
    </row>
    <row r="14" spans="1:2">
      <c r="A14" s="2" t="s">
        <v>908</v>
      </c>
      <c r="B14" s="8" t="s">
        <v>999</v>
      </c>
    </row>
    <row r="15" spans="1:2">
      <c r="A15" s="2" t="s">
        <v>986</v>
      </c>
      <c r="B15" s="8" t="s">
        <v>918</v>
      </c>
    </row>
    <row r="16" spans="1:2">
      <c r="A16" s="2" t="s">
        <v>910</v>
      </c>
      <c r="B16" s="8" t="s">
        <v>988</v>
      </c>
    </row>
    <row r="17" spans="1:2">
      <c r="A17" s="2" t="s">
        <v>879</v>
      </c>
      <c r="B17" s="8" t="s">
        <v>940</v>
      </c>
    </row>
    <row r="18" spans="1:2">
      <c r="A18" s="2" t="s">
        <v>880</v>
      </c>
      <c r="B18" s="8" t="s">
        <v>992</v>
      </c>
    </row>
    <row r="19" spans="1:2">
      <c r="A19" s="2" t="s">
        <v>881</v>
      </c>
      <c r="B19" s="8" t="s">
        <v>926</v>
      </c>
    </row>
    <row r="20" spans="1:2">
      <c r="A20" s="2" t="s">
        <v>882</v>
      </c>
      <c r="B20" s="8" t="s">
        <v>941</v>
      </c>
    </row>
    <row r="21" spans="1:2">
      <c r="A21" s="2" t="s">
        <v>883</v>
      </c>
      <c r="B21" s="8" t="s">
        <v>1000</v>
      </c>
    </row>
    <row r="22" spans="1:2">
      <c r="A22" s="2" t="s">
        <v>884</v>
      </c>
      <c r="B22" s="8" t="s">
        <v>914</v>
      </c>
    </row>
    <row r="23" spans="1:2">
      <c r="A23" s="2" t="s">
        <v>885</v>
      </c>
      <c r="B23" s="8" t="s">
        <v>934</v>
      </c>
    </row>
    <row r="24" spans="1:2">
      <c r="A24" s="2" t="s">
        <v>886</v>
      </c>
      <c r="B24" s="8" t="s">
        <v>925</v>
      </c>
    </row>
    <row r="25" spans="1:2">
      <c r="A25" s="2" t="s">
        <v>887</v>
      </c>
      <c r="B25" s="8" t="s">
        <v>997</v>
      </c>
    </row>
    <row r="26" spans="1:2">
      <c r="A26" s="2" t="s">
        <v>888</v>
      </c>
      <c r="B26" s="8" t="s">
        <v>1002</v>
      </c>
    </row>
    <row r="27" spans="1:2">
      <c r="A27" s="2" t="s">
        <v>889</v>
      </c>
      <c r="B27" s="8" t="s">
        <v>987</v>
      </c>
    </row>
    <row r="28" spans="1:2">
      <c r="A28" s="2" t="s">
        <v>890</v>
      </c>
      <c r="B28" s="8" t="s">
        <v>998</v>
      </c>
    </row>
    <row r="29" spans="1:2">
      <c r="A29" s="2" t="s">
        <v>891</v>
      </c>
      <c r="B29" s="8" t="s">
        <v>939</v>
      </c>
    </row>
    <row r="30" spans="1:2">
      <c r="A30" s="2" t="s">
        <v>892</v>
      </c>
      <c r="B30" s="8" t="s">
        <v>929</v>
      </c>
    </row>
    <row r="31" spans="1:2">
      <c r="A31" s="2" t="s">
        <v>893</v>
      </c>
      <c r="B31" s="8" t="s">
        <v>1001</v>
      </c>
    </row>
    <row r="32" spans="1:2">
      <c r="A32" s="2" t="s">
        <v>894</v>
      </c>
      <c r="B32" s="8" t="s">
        <v>930</v>
      </c>
    </row>
  </sheetData>
  <sortState xmlns:xlrd2="http://schemas.microsoft.com/office/spreadsheetml/2017/richdata2" ref="A1:B32">
    <sortCondition ref="A1:A3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7EB5E-BF7F-4548-97D1-59738212B7F6}">
  <sheetPr codeName="Sheet1"/>
  <dimension ref="A1:E32"/>
  <sheetViews>
    <sheetView topLeftCell="A7" workbookViewId="0">
      <selection activeCell="E1" sqref="E1:E32"/>
    </sheetView>
  </sheetViews>
  <sheetFormatPr defaultRowHeight="14.4"/>
  <cols>
    <col min="1" max="1" width="53.44140625" bestFit="1" customWidth="1"/>
    <col min="2" max="2" width="15.5546875" bestFit="1" customWidth="1"/>
  </cols>
  <sheetData>
    <row r="1" spans="1:5">
      <c r="A1" t="s">
        <v>0</v>
      </c>
      <c r="B1" t="str">
        <f>RIGHT(A1,(LEN(A1)-42))</f>
        <v>202/argentina</v>
      </c>
      <c r="C1" t="str">
        <f>LEFT(RIGHT(B1,LEN(B1)-FIND("/",B1)),3)</f>
        <v>arg</v>
      </c>
      <c r="D1" s="1" t="str">
        <f>LEFT(B1,3)</f>
        <v>202</v>
      </c>
      <c r="E1" t="str">
        <f>"https://www.espn.co.uk/football/team/squad/_/id/" &amp; C1 &amp; "/" &amp; D1 &amp; "',"</f>
        <v>https://www.espn.co.uk/football/team/squad/_/id/arg/202',</v>
      </c>
    </row>
    <row r="2" spans="1:5">
      <c r="A2" t="s">
        <v>1</v>
      </c>
      <c r="B2" s="2" t="str">
        <f t="shared" ref="B2:B32" si="0">RIGHT(A2,(LEN(A2)-42))</f>
        <v>628/australia</v>
      </c>
      <c r="C2" s="2" t="str">
        <f t="shared" ref="C2:C32" si="1">LEFT(RIGHT(B2,LEN(B2)-FIND("/",B2)),3)</f>
        <v>aus</v>
      </c>
      <c r="D2" s="1" t="str">
        <f t="shared" ref="D2:D32" si="2">LEFT(B2,3)</f>
        <v>628</v>
      </c>
      <c r="E2" s="2" t="str">
        <f t="shared" ref="E2:E32" si="3">"https://www.espn.co.uk/football/team/squad/_/id/" &amp; C2 &amp; "/" &amp; D2 &amp; "',"</f>
        <v>https://www.espn.co.uk/football/team/squad/_/id/aus/628',</v>
      </c>
    </row>
    <row r="3" spans="1:5">
      <c r="A3" t="s">
        <v>2</v>
      </c>
      <c r="B3" s="2" t="str">
        <f t="shared" si="0"/>
        <v>459/belgium</v>
      </c>
      <c r="C3" s="2" t="str">
        <f t="shared" si="1"/>
        <v>bel</v>
      </c>
      <c r="D3" s="1" t="str">
        <f t="shared" si="2"/>
        <v>459</v>
      </c>
      <c r="E3" s="2" t="str">
        <f t="shared" si="3"/>
        <v>https://www.espn.co.uk/football/team/squad/_/id/bel/459',</v>
      </c>
    </row>
    <row r="4" spans="1:5">
      <c r="A4" t="s">
        <v>3</v>
      </c>
      <c r="B4" s="2" t="str">
        <f t="shared" si="0"/>
        <v>205/brazil</v>
      </c>
      <c r="C4" s="2" t="str">
        <f t="shared" si="1"/>
        <v>bra</v>
      </c>
      <c r="D4" s="1" t="str">
        <f t="shared" si="2"/>
        <v>205</v>
      </c>
      <c r="E4" s="2" t="str">
        <f t="shared" si="3"/>
        <v>https://www.espn.co.uk/football/team/squad/_/id/bra/205',</v>
      </c>
    </row>
    <row r="5" spans="1:5">
      <c r="A5" t="s">
        <v>4</v>
      </c>
      <c r="B5" s="2" t="str">
        <f t="shared" si="0"/>
        <v>656/cameroon</v>
      </c>
      <c r="C5" s="2" t="s">
        <v>32</v>
      </c>
      <c r="D5" s="1" t="str">
        <f t="shared" si="2"/>
        <v>656</v>
      </c>
      <c r="E5" s="2" t="str">
        <f t="shared" si="3"/>
        <v>https://www.espn.co.uk/football/team/squad/_/id/cmr/656',</v>
      </c>
    </row>
    <row r="6" spans="1:5">
      <c r="A6" t="s">
        <v>5</v>
      </c>
      <c r="B6" s="2" t="str">
        <f t="shared" si="0"/>
        <v>206/canada</v>
      </c>
      <c r="C6" s="2" t="str">
        <f t="shared" si="1"/>
        <v>can</v>
      </c>
      <c r="D6" s="1" t="str">
        <f t="shared" si="2"/>
        <v>206</v>
      </c>
      <c r="E6" s="2" t="str">
        <f t="shared" si="3"/>
        <v>https://www.espn.co.uk/football/team/squad/_/id/can/206',</v>
      </c>
    </row>
    <row r="7" spans="1:5">
      <c r="A7" t="s">
        <v>6</v>
      </c>
      <c r="B7" s="2" t="str">
        <f t="shared" si="0"/>
        <v>214/costa-rica</v>
      </c>
      <c r="C7" s="2" t="s">
        <v>33</v>
      </c>
      <c r="D7" s="1" t="str">
        <f t="shared" si="2"/>
        <v>214</v>
      </c>
      <c r="E7" s="2" t="str">
        <f t="shared" si="3"/>
        <v>https://www.espn.co.uk/football/team/squad/_/id/crc/214',</v>
      </c>
    </row>
    <row r="8" spans="1:5">
      <c r="A8" t="s">
        <v>7</v>
      </c>
      <c r="B8" s="2" t="str">
        <f t="shared" si="0"/>
        <v>477/croatia</v>
      </c>
      <c r="C8" s="2" t="str">
        <f t="shared" si="1"/>
        <v>cro</v>
      </c>
      <c r="D8" s="1" t="str">
        <f t="shared" si="2"/>
        <v>477</v>
      </c>
      <c r="E8" s="2" t="str">
        <f t="shared" si="3"/>
        <v>https://www.espn.co.uk/football/team/squad/_/id/cro/477',</v>
      </c>
    </row>
    <row r="9" spans="1:5">
      <c r="A9" t="s">
        <v>8</v>
      </c>
      <c r="B9" s="2" t="str">
        <f t="shared" si="0"/>
        <v>479/denmark</v>
      </c>
      <c r="C9" s="2" t="str">
        <f t="shared" si="1"/>
        <v>den</v>
      </c>
      <c r="D9" s="1" t="str">
        <f t="shared" si="2"/>
        <v>479</v>
      </c>
      <c r="E9" s="2" t="str">
        <f t="shared" si="3"/>
        <v>https://www.espn.co.uk/football/team/squad/_/id/den/479',</v>
      </c>
    </row>
    <row r="10" spans="1:5">
      <c r="A10" t="s">
        <v>9</v>
      </c>
      <c r="B10" s="2" t="str">
        <f t="shared" si="0"/>
        <v>209/ecuador</v>
      </c>
      <c r="C10" s="2" t="str">
        <f t="shared" si="1"/>
        <v>ecu</v>
      </c>
      <c r="D10" s="1" t="str">
        <f t="shared" si="2"/>
        <v>209</v>
      </c>
      <c r="E10" s="2" t="str">
        <f t="shared" si="3"/>
        <v>https://www.espn.co.uk/football/team/squad/_/id/ecu/209',</v>
      </c>
    </row>
    <row r="11" spans="1:5">
      <c r="A11" t="s">
        <v>10</v>
      </c>
      <c r="B11" s="2" t="str">
        <f t="shared" si="0"/>
        <v>448/england</v>
      </c>
      <c r="C11" s="2" t="str">
        <f t="shared" si="1"/>
        <v>eng</v>
      </c>
      <c r="D11" s="1" t="str">
        <f t="shared" si="2"/>
        <v>448</v>
      </c>
      <c r="E11" s="2" t="str">
        <f t="shared" si="3"/>
        <v>https://www.espn.co.uk/football/team/squad/_/id/eng/448',</v>
      </c>
    </row>
    <row r="12" spans="1:5">
      <c r="A12" t="s">
        <v>11</v>
      </c>
      <c r="B12" s="2" t="str">
        <f t="shared" si="0"/>
        <v>478/france</v>
      </c>
      <c r="C12" s="2" t="str">
        <f t="shared" si="1"/>
        <v>fra</v>
      </c>
      <c r="D12" s="1" t="str">
        <f t="shared" si="2"/>
        <v>478</v>
      </c>
      <c r="E12" s="2" t="str">
        <f t="shared" si="3"/>
        <v>https://www.espn.co.uk/football/team/squad/_/id/fra/478',</v>
      </c>
    </row>
    <row r="13" spans="1:5">
      <c r="A13" t="s">
        <v>12</v>
      </c>
      <c r="B13" s="2" t="str">
        <f t="shared" si="0"/>
        <v>481/germany</v>
      </c>
      <c r="C13" s="2" t="str">
        <f t="shared" si="1"/>
        <v>ger</v>
      </c>
      <c r="D13" s="1" t="str">
        <f t="shared" si="2"/>
        <v>481</v>
      </c>
      <c r="E13" s="2" t="str">
        <f t="shared" si="3"/>
        <v>https://www.espn.co.uk/football/team/squad/_/id/ger/481',</v>
      </c>
    </row>
    <row r="14" spans="1:5">
      <c r="A14" t="s">
        <v>13</v>
      </c>
      <c r="B14" s="2" t="str">
        <f t="shared" si="0"/>
        <v>4469/ghana</v>
      </c>
      <c r="C14" s="2" t="str">
        <f t="shared" si="1"/>
        <v>gha</v>
      </c>
      <c r="D14" s="1">
        <v>4469</v>
      </c>
      <c r="E14" s="2" t="str">
        <f t="shared" si="3"/>
        <v>https://www.espn.co.uk/football/team/squad/_/id/gha/4469',</v>
      </c>
    </row>
    <row r="15" spans="1:5">
      <c r="A15" t="s">
        <v>14</v>
      </c>
      <c r="B15" s="2" t="str">
        <f t="shared" si="0"/>
        <v>469/ir-iran</v>
      </c>
      <c r="C15" s="2" t="s">
        <v>34</v>
      </c>
      <c r="D15" s="1" t="str">
        <f t="shared" si="2"/>
        <v>469</v>
      </c>
      <c r="E15" s="2" t="str">
        <f t="shared" si="3"/>
        <v>https://www.espn.co.uk/football/team/squad/_/id/irn/469',</v>
      </c>
    </row>
    <row r="16" spans="1:5">
      <c r="A16" t="s">
        <v>15</v>
      </c>
      <c r="B16" s="2" t="str">
        <f t="shared" si="0"/>
        <v>627/japan</v>
      </c>
      <c r="C16" s="2" t="str">
        <f t="shared" si="1"/>
        <v>jap</v>
      </c>
      <c r="D16" s="1" t="str">
        <f t="shared" si="2"/>
        <v>627</v>
      </c>
      <c r="E16" s="2" t="str">
        <f t="shared" si="3"/>
        <v>https://www.espn.co.uk/football/team/squad/_/id/jap/627',</v>
      </c>
    </row>
    <row r="17" spans="1:5">
      <c r="A17" s="2" t="s">
        <v>16</v>
      </c>
      <c r="B17" s="2" t="str">
        <f t="shared" si="0"/>
        <v>203/mexico</v>
      </c>
      <c r="C17" s="2" t="str">
        <f t="shared" si="1"/>
        <v>mex</v>
      </c>
      <c r="D17" s="1" t="str">
        <f t="shared" si="2"/>
        <v>203</v>
      </c>
      <c r="E17" s="2" t="str">
        <f t="shared" si="3"/>
        <v>https://www.espn.co.uk/football/team/squad/_/id/mex/203',</v>
      </c>
    </row>
    <row r="18" spans="1:5">
      <c r="A18" s="2" t="s">
        <v>17</v>
      </c>
      <c r="B18" s="2" t="str">
        <f t="shared" si="0"/>
        <v>2869/morocco</v>
      </c>
      <c r="C18" s="2" t="s">
        <v>35</v>
      </c>
      <c r="D18" s="1">
        <v>2869</v>
      </c>
      <c r="E18" s="2" t="str">
        <f t="shared" si="3"/>
        <v>https://www.espn.co.uk/football/team/squad/_/id/mar/2869',</v>
      </c>
    </row>
    <row r="19" spans="1:5">
      <c r="A19" s="2" t="s">
        <v>18</v>
      </c>
      <c r="B19" s="2" t="str">
        <f t="shared" si="0"/>
        <v>449/netherlands</v>
      </c>
      <c r="C19" s="2" t="s">
        <v>36</v>
      </c>
      <c r="D19" s="1" t="str">
        <f t="shared" si="2"/>
        <v>449</v>
      </c>
      <c r="E19" s="2" t="str">
        <f t="shared" si="3"/>
        <v>https://www.espn.co.uk/football/team/squad/_/id/ned/449',</v>
      </c>
    </row>
    <row r="20" spans="1:5">
      <c r="A20" s="2" t="s">
        <v>19</v>
      </c>
      <c r="B20" s="2" t="str">
        <f t="shared" si="0"/>
        <v>471/poland</v>
      </c>
      <c r="C20" s="2" t="str">
        <f t="shared" si="1"/>
        <v>pol</v>
      </c>
      <c r="D20" s="1" t="str">
        <f t="shared" si="2"/>
        <v>471</v>
      </c>
      <c r="E20" s="2" t="str">
        <f t="shared" si="3"/>
        <v>https://www.espn.co.uk/football/team/squad/_/id/pol/471',</v>
      </c>
    </row>
    <row r="21" spans="1:5">
      <c r="A21" s="2" t="s">
        <v>20</v>
      </c>
      <c r="B21" s="2" t="str">
        <f t="shared" si="0"/>
        <v>482/portugal</v>
      </c>
      <c r="C21" s="2" t="str">
        <f t="shared" si="1"/>
        <v>por</v>
      </c>
      <c r="D21" s="1" t="str">
        <f t="shared" si="2"/>
        <v>482</v>
      </c>
      <c r="E21" s="2" t="str">
        <f t="shared" si="3"/>
        <v>https://www.espn.co.uk/football/team/squad/_/id/por/482',</v>
      </c>
    </row>
    <row r="22" spans="1:5">
      <c r="A22" s="2" t="s">
        <v>21</v>
      </c>
      <c r="B22" s="2" t="str">
        <f t="shared" si="0"/>
        <v>4398/qatar</v>
      </c>
      <c r="C22" s="2" t="str">
        <f t="shared" si="1"/>
        <v>qat</v>
      </c>
      <c r="D22" s="1">
        <v>4398</v>
      </c>
      <c r="E22" s="2" t="str">
        <f t="shared" si="3"/>
        <v>https://www.espn.co.uk/football/team/squad/_/id/qat/4398',</v>
      </c>
    </row>
    <row r="23" spans="1:5">
      <c r="A23" s="2" t="s">
        <v>22</v>
      </c>
      <c r="B23" s="2" t="str">
        <f t="shared" si="0"/>
        <v>655/saudi-arabia</v>
      </c>
      <c r="C23" s="2" t="s">
        <v>37</v>
      </c>
      <c r="D23" s="1" t="str">
        <f t="shared" si="2"/>
        <v>655</v>
      </c>
      <c r="E23" s="2" t="str">
        <f t="shared" si="3"/>
        <v>https://www.espn.co.uk/football/team/squad/_/id/ksa/655',</v>
      </c>
    </row>
    <row r="24" spans="1:5">
      <c r="A24" s="2" t="s">
        <v>23</v>
      </c>
      <c r="B24" s="2" t="str">
        <f t="shared" si="0"/>
        <v>654/senegal</v>
      </c>
      <c r="C24" s="2" t="str">
        <f t="shared" si="1"/>
        <v>sen</v>
      </c>
      <c r="D24" s="1" t="str">
        <f t="shared" si="2"/>
        <v>654</v>
      </c>
      <c r="E24" s="2" t="str">
        <f t="shared" si="3"/>
        <v>https://www.espn.co.uk/football/team/squad/_/id/sen/654',</v>
      </c>
    </row>
    <row r="25" spans="1:5">
      <c r="A25" s="2" t="s">
        <v>24</v>
      </c>
      <c r="B25" s="2" t="str">
        <f t="shared" si="0"/>
        <v>6757/serbia</v>
      </c>
      <c r="C25" s="2" t="s">
        <v>38</v>
      </c>
      <c r="D25" s="1">
        <v>6757</v>
      </c>
      <c r="E25" s="2" t="str">
        <f t="shared" si="3"/>
        <v>https://www.espn.co.uk/football/team/squad/_/id/sba/6757',</v>
      </c>
    </row>
    <row r="26" spans="1:5">
      <c r="A26" s="2" t="s">
        <v>25</v>
      </c>
      <c r="B26" s="2" t="str">
        <f t="shared" si="0"/>
        <v>451/south-korea</v>
      </c>
      <c r="C26" s="2" t="s">
        <v>39</v>
      </c>
      <c r="D26" s="1" t="str">
        <f t="shared" si="2"/>
        <v>451</v>
      </c>
      <c r="E26" s="2" t="str">
        <f t="shared" si="3"/>
        <v>https://www.espn.co.uk/football/team/squad/_/id/kors/451',</v>
      </c>
    </row>
    <row r="27" spans="1:5">
      <c r="A27" s="2" t="s">
        <v>26</v>
      </c>
      <c r="B27" s="2" t="str">
        <f t="shared" si="0"/>
        <v>164/spain</v>
      </c>
      <c r="C27" s="2" t="s">
        <v>40</v>
      </c>
      <c r="D27" s="1" t="str">
        <f t="shared" si="2"/>
        <v>164</v>
      </c>
      <c r="E27" s="2" t="str">
        <f t="shared" si="3"/>
        <v>https://www.espn.co.uk/football/team/squad/_/id/esp/164',</v>
      </c>
    </row>
    <row r="28" spans="1:5">
      <c r="A28" s="2" t="s">
        <v>27</v>
      </c>
      <c r="B28" s="2" t="str">
        <f t="shared" si="0"/>
        <v>475/switzerland</v>
      </c>
      <c r="C28" s="2" t="s">
        <v>41</v>
      </c>
      <c r="D28" s="1" t="str">
        <f t="shared" si="2"/>
        <v>475</v>
      </c>
      <c r="E28" s="2" t="str">
        <f t="shared" si="3"/>
        <v>https://www.espn.co.uk/football/team/squad/_/id/sui/475',</v>
      </c>
    </row>
    <row r="29" spans="1:5">
      <c r="A29" s="2" t="s">
        <v>28</v>
      </c>
      <c r="B29" s="2" t="str">
        <f t="shared" si="0"/>
        <v>659/tunisia</v>
      </c>
      <c r="C29" s="2" t="str">
        <f t="shared" si="1"/>
        <v>tun</v>
      </c>
      <c r="D29" s="1" t="str">
        <f t="shared" si="2"/>
        <v>659</v>
      </c>
      <c r="E29" s="2" t="str">
        <f t="shared" si="3"/>
        <v>https://www.espn.co.uk/football/team/squad/_/id/tun/659',</v>
      </c>
    </row>
    <row r="30" spans="1:5">
      <c r="A30" s="2" t="s">
        <v>29</v>
      </c>
      <c r="B30" s="2" t="str">
        <f t="shared" si="0"/>
        <v>660/united-states</v>
      </c>
      <c r="C30" s="2" t="s">
        <v>42</v>
      </c>
      <c r="D30" s="1" t="str">
        <f t="shared" si="2"/>
        <v>660</v>
      </c>
      <c r="E30" s="2" t="str">
        <f t="shared" si="3"/>
        <v>https://www.espn.co.uk/football/team/squad/_/id/usa/660',</v>
      </c>
    </row>
    <row r="31" spans="1:5">
      <c r="A31" s="2" t="s">
        <v>30</v>
      </c>
      <c r="B31" s="2" t="str">
        <f t="shared" si="0"/>
        <v>212/uruguay</v>
      </c>
      <c r="C31" s="2" t="str">
        <f t="shared" si="1"/>
        <v>uru</v>
      </c>
      <c r="D31" s="1" t="str">
        <f t="shared" si="2"/>
        <v>212</v>
      </c>
      <c r="E31" s="2" t="str">
        <f t="shared" si="3"/>
        <v>https://www.espn.co.uk/football/team/squad/_/id/uru/212',</v>
      </c>
    </row>
    <row r="32" spans="1:5">
      <c r="A32" s="2" t="s">
        <v>31</v>
      </c>
      <c r="B32" s="2" t="str">
        <f t="shared" si="0"/>
        <v>578/wales</v>
      </c>
      <c r="C32" s="2" t="str">
        <f t="shared" si="1"/>
        <v>wal</v>
      </c>
      <c r="D32" s="1" t="str">
        <f t="shared" si="2"/>
        <v>578</v>
      </c>
      <c r="E32" s="2" t="str">
        <f t="shared" si="3"/>
        <v>https://www.espn.co.uk/football/team/squad/_/id/wal/578',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08F3-3F1E-4F40-8F2A-81D518FF7399}">
  <sheetPr codeName="Sheet4"/>
  <dimension ref="A1:H33"/>
  <sheetViews>
    <sheetView topLeftCell="A16" workbookViewId="0">
      <selection activeCell="G2" sqref="G2:H33"/>
    </sheetView>
  </sheetViews>
  <sheetFormatPr defaultRowHeight="14.4"/>
  <cols>
    <col min="4" max="4" width="10.88671875" bestFit="1" customWidth="1"/>
    <col min="6" max="6" width="2.21875" bestFit="1" customWidth="1"/>
    <col min="7" max="7" width="11.88671875" bestFit="1" customWidth="1"/>
    <col min="8" max="8" width="4.88671875" bestFit="1" customWidth="1"/>
  </cols>
  <sheetData>
    <row r="1" spans="1:8" ht="15" thickBot="1">
      <c r="A1" s="6" t="s">
        <v>948</v>
      </c>
    </row>
    <row r="2" spans="1:8" ht="15" thickBot="1">
      <c r="A2" s="5" t="s">
        <v>950</v>
      </c>
      <c r="B2" t="s">
        <v>949</v>
      </c>
      <c r="C2" t="str">
        <f>LEFT(A2,1)</f>
        <v>1</v>
      </c>
      <c r="D2" t="str">
        <f>RIGHT(A2,LEN(A2) - 1)</f>
        <v>Netherlands</v>
      </c>
      <c r="F2" t="s">
        <v>949</v>
      </c>
      <c r="G2" t="s">
        <v>881</v>
      </c>
      <c r="H2" t="s">
        <v>926</v>
      </c>
    </row>
    <row r="3" spans="1:8" ht="15" thickBot="1">
      <c r="A3" s="5" t="s">
        <v>951</v>
      </c>
      <c r="B3" t="s">
        <v>949</v>
      </c>
      <c r="C3" s="2" t="str">
        <f t="shared" ref="C3:C33" si="0">LEFT(A3,1)</f>
        <v>2</v>
      </c>
      <c r="D3" s="2" t="str">
        <f t="shared" ref="D3:D33" si="1">RIGHT(A3,LEN(A3) - 1)</f>
        <v>Ecuador</v>
      </c>
      <c r="F3" t="s">
        <v>949</v>
      </c>
      <c r="G3" t="s">
        <v>904</v>
      </c>
      <c r="H3" t="s">
        <v>915</v>
      </c>
    </row>
    <row r="4" spans="1:8" ht="15" thickBot="1">
      <c r="A4" s="5" t="s">
        <v>952</v>
      </c>
      <c r="B4" t="s">
        <v>949</v>
      </c>
      <c r="C4" s="2" t="str">
        <f t="shared" si="0"/>
        <v>3</v>
      </c>
      <c r="D4" s="2" t="str">
        <f t="shared" si="1"/>
        <v>Senegal</v>
      </c>
      <c r="F4" t="s">
        <v>949</v>
      </c>
      <c r="G4" t="s">
        <v>886</v>
      </c>
      <c r="H4" t="s">
        <v>925</v>
      </c>
    </row>
    <row r="5" spans="1:8" ht="15" thickBot="1">
      <c r="A5" s="5" t="s">
        <v>953</v>
      </c>
      <c r="B5" t="s">
        <v>949</v>
      </c>
      <c r="C5" s="2" t="str">
        <f t="shared" si="0"/>
        <v>4</v>
      </c>
      <c r="D5" s="2" t="str">
        <f t="shared" si="1"/>
        <v>Qatar</v>
      </c>
      <c r="F5" t="s">
        <v>949</v>
      </c>
      <c r="G5" t="s">
        <v>884</v>
      </c>
      <c r="H5" t="s">
        <v>914</v>
      </c>
    </row>
    <row r="6" spans="1:8" ht="15" thickBot="1">
      <c r="A6" s="5" t="s">
        <v>954</v>
      </c>
      <c r="B6" t="s">
        <v>982</v>
      </c>
      <c r="C6" s="2" t="str">
        <f t="shared" si="0"/>
        <v>1</v>
      </c>
      <c r="D6" s="2" t="str">
        <f t="shared" si="1"/>
        <v>England</v>
      </c>
      <c r="F6" t="s">
        <v>982</v>
      </c>
      <c r="G6" t="s">
        <v>905</v>
      </c>
      <c r="H6" t="s">
        <v>917</v>
      </c>
    </row>
    <row r="7" spans="1:8" ht="15" thickBot="1">
      <c r="A7" s="5" t="s">
        <v>955</v>
      </c>
      <c r="B7" t="s">
        <v>982</v>
      </c>
      <c r="C7" s="2" t="str">
        <f t="shared" si="0"/>
        <v>2</v>
      </c>
      <c r="D7" s="2" t="str">
        <f t="shared" si="1"/>
        <v>Wales</v>
      </c>
      <c r="F7" t="s">
        <v>982</v>
      </c>
      <c r="G7" t="s">
        <v>894</v>
      </c>
      <c r="H7" t="s">
        <v>930</v>
      </c>
    </row>
    <row r="8" spans="1:8" ht="15" thickBot="1">
      <c r="A8" s="5" t="s">
        <v>956</v>
      </c>
      <c r="B8" t="s">
        <v>982</v>
      </c>
      <c r="C8" s="2" t="str">
        <f t="shared" si="0"/>
        <v>3</v>
      </c>
      <c r="D8" s="2" t="str">
        <f t="shared" si="1"/>
        <v>United States</v>
      </c>
      <c r="F8" t="s">
        <v>982</v>
      </c>
      <c r="G8" t="s">
        <v>892</v>
      </c>
      <c r="H8" t="s">
        <v>929</v>
      </c>
    </row>
    <row r="9" spans="1:8" ht="15" thickBot="1">
      <c r="A9" s="5" t="s">
        <v>957</v>
      </c>
      <c r="B9" t="s">
        <v>982</v>
      </c>
      <c r="C9" s="2" t="str">
        <f t="shared" si="0"/>
        <v>4</v>
      </c>
      <c r="D9" s="2" t="str">
        <f t="shared" si="1"/>
        <v>Iran</v>
      </c>
      <c r="F9" t="s">
        <v>982</v>
      </c>
      <c r="G9" t="s">
        <v>986</v>
      </c>
      <c r="H9" t="s">
        <v>918</v>
      </c>
    </row>
    <row r="10" spans="1:8" ht="15" thickBot="1">
      <c r="A10" s="5" t="s">
        <v>958</v>
      </c>
      <c r="B10" t="s">
        <v>983</v>
      </c>
      <c r="C10" s="2" t="str">
        <f t="shared" si="0"/>
        <v>1</v>
      </c>
      <c r="D10" s="2" t="str">
        <f t="shared" si="1"/>
        <v>Saudi Arabia</v>
      </c>
      <c r="F10" t="s">
        <v>983</v>
      </c>
      <c r="G10" t="s">
        <v>885</v>
      </c>
      <c r="H10" t="s">
        <v>934</v>
      </c>
    </row>
    <row r="11" spans="1:8" ht="15" thickBot="1">
      <c r="A11" s="5" t="s">
        <v>959</v>
      </c>
      <c r="B11" s="2" t="s">
        <v>983</v>
      </c>
      <c r="C11" s="2" t="str">
        <f t="shared" si="0"/>
        <v>2</v>
      </c>
      <c r="D11" s="2" t="str">
        <f t="shared" si="1"/>
        <v>Poland</v>
      </c>
      <c r="F11" t="s">
        <v>983</v>
      </c>
      <c r="G11" t="s">
        <v>882</v>
      </c>
      <c r="H11" t="s">
        <v>941</v>
      </c>
    </row>
    <row r="12" spans="1:8" ht="15" thickBot="1">
      <c r="A12" s="5" t="s">
        <v>960</v>
      </c>
      <c r="B12" s="2" t="s">
        <v>983</v>
      </c>
      <c r="C12" s="2" t="str">
        <f t="shared" si="0"/>
        <v>3</v>
      </c>
      <c r="D12" s="2" t="str">
        <f t="shared" si="1"/>
        <v>Mexico</v>
      </c>
      <c r="F12" t="s">
        <v>983</v>
      </c>
      <c r="G12" t="s">
        <v>879</v>
      </c>
      <c r="H12" t="s">
        <v>940</v>
      </c>
    </row>
    <row r="13" spans="1:8" ht="15" thickBot="1">
      <c r="A13" s="5" t="s">
        <v>961</v>
      </c>
      <c r="B13" s="2" t="s">
        <v>983</v>
      </c>
      <c r="C13" s="2" t="str">
        <f t="shared" si="0"/>
        <v>4</v>
      </c>
      <c r="D13" s="2" t="str">
        <f t="shared" si="1"/>
        <v>Argentina</v>
      </c>
      <c r="F13" t="s">
        <v>983</v>
      </c>
      <c r="G13" t="s">
        <v>895</v>
      </c>
      <c r="H13" t="s">
        <v>933</v>
      </c>
    </row>
    <row r="14" spans="1:8" ht="15" thickBot="1">
      <c r="A14" s="5" t="s">
        <v>962</v>
      </c>
      <c r="B14" t="s">
        <v>48</v>
      </c>
      <c r="C14" s="2" t="str">
        <f t="shared" si="0"/>
        <v>1</v>
      </c>
      <c r="D14" s="2" t="str">
        <f t="shared" si="1"/>
        <v>France</v>
      </c>
      <c r="F14" t="s">
        <v>48</v>
      </c>
      <c r="G14" t="s">
        <v>906</v>
      </c>
      <c r="H14" t="s">
        <v>942</v>
      </c>
    </row>
    <row r="15" spans="1:8" ht="15" thickBot="1">
      <c r="A15" s="5" t="s">
        <v>963</v>
      </c>
      <c r="B15" t="s">
        <v>48</v>
      </c>
      <c r="C15" s="2" t="str">
        <f t="shared" si="0"/>
        <v>2</v>
      </c>
      <c r="D15" s="2" t="str">
        <f t="shared" si="1"/>
        <v>Tunisia</v>
      </c>
      <c r="F15" t="s">
        <v>48</v>
      </c>
      <c r="G15" t="s">
        <v>891</v>
      </c>
      <c r="H15" t="s">
        <v>939</v>
      </c>
    </row>
    <row r="16" spans="1:8" ht="15" thickBot="1">
      <c r="A16" s="5" t="s">
        <v>964</v>
      </c>
      <c r="B16" t="s">
        <v>48</v>
      </c>
      <c r="C16" s="2" t="str">
        <f t="shared" si="0"/>
        <v>3</v>
      </c>
      <c r="D16" s="2" t="str">
        <f t="shared" si="1"/>
        <v>Denmark</v>
      </c>
      <c r="F16" t="s">
        <v>48</v>
      </c>
      <c r="G16" t="s">
        <v>903</v>
      </c>
      <c r="H16" t="s">
        <v>938</v>
      </c>
    </row>
    <row r="17" spans="1:8" ht="15" thickBot="1">
      <c r="A17" s="5" t="s">
        <v>965</v>
      </c>
      <c r="B17" t="s">
        <v>48</v>
      </c>
      <c r="C17" s="2" t="str">
        <f t="shared" si="0"/>
        <v>4</v>
      </c>
      <c r="D17" s="2" t="str">
        <f t="shared" si="1"/>
        <v>Australia</v>
      </c>
      <c r="F17" t="s">
        <v>48</v>
      </c>
      <c r="G17" t="s">
        <v>896</v>
      </c>
      <c r="H17" t="s">
        <v>943</v>
      </c>
    </row>
    <row r="18" spans="1:8" ht="15" thickBot="1">
      <c r="A18" s="5" t="s">
        <v>966</v>
      </c>
      <c r="B18" t="s">
        <v>984</v>
      </c>
      <c r="C18" s="2" t="str">
        <f t="shared" si="0"/>
        <v>1</v>
      </c>
      <c r="D18" s="2" t="str">
        <f t="shared" si="1"/>
        <v>Spain</v>
      </c>
      <c r="F18" t="s">
        <v>984</v>
      </c>
      <c r="G18" t="s">
        <v>889</v>
      </c>
      <c r="H18" t="s">
        <v>987</v>
      </c>
    </row>
    <row r="19" spans="1:8" ht="15" thickBot="1">
      <c r="A19" s="5" t="s">
        <v>967</v>
      </c>
      <c r="B19" t="s">
        <v>984</v>
      </c>
      <c r="C19" s="2" t="str">
        <f t="shared" si="0"/>
        <v>2</v>
      </c>
      <c r="D19" s="2" t="str">
        <f t="shared" si="1"/>
        <v>Japan</v>
      </c>
      <c r="F19" t="s">
        <v>984</v>
      </c>
      <c r="G19" t="s">
        <v>910</v>
      </c>
      <c r="H19" t="s">
        <v>988</v>
      </c>
    </row>
    <row r="20" spans="1:8" ht="15" thickBot="1">
      <c r="A20" s="5" t="s">
        <v>968</v>
      </c>
      <c r="B20" t="s">
        <v>984</v>
      </c>
      <c r="C20" s="2" t="str">
        <f t="shared" si="0"/>
        <v>3</v>
      </c>
      <c r="D20" s="2" t="str">
        <f t="shared" si="1"/>
        <v>Germany</v>
      </c>
      <c r="F20" t="s">
        <v>984</v>
      </c>
      <c r="G20" t="s">
        <v>907</v>
      </c>
      <c r="H20" t="s">
        <v>989</v>
      </c>
    </row>
    <row r="21" spans="1:8" ht="15" thickBot="1">
      <c r="A21" s="5" t="s">
        <v>969</v>
      </c>
      <c r="B21" t="s">
        <v>984</v>
      </c>
      <c r="C21" s="2" t="str">
        <f t="shared" si="0"/>
        <v>4</v>
      </c>
      <c r="D21" s="2" t="str">
        <f t="shared" si="1"/>
        <v>Costa Rica</v>
      </c>
      <c r="F21" t="s">
        <v>984</v>
      </c>
      <c r="G21" t="s">
        <v>901</v>
      </c>
      <c r="H21" t="s">
        <v>990</v>
      </c>
    </row>
    <row r="22" spans="1:8" ht="15" thickBot="1">
      <c r="A22" s="5" t="s">
        <v>970</v>
      </c>
      <c r="B22" t="s">
        <v>66</v>
      </c>
      <c r="C22" s="2" t="str">
        <f t="shared" si="0"/>
        <v>1</v>
      </c>
      <c r="D22" s="2" t="str">
        <f t="shared" si="1"/>
        <v>Croatia</v>
      </c>
      <c r="F22" t="s">
        <v>66</v>
      </c>
      <c r="G22" t="s">
        <v>902</v>
      </c>
      <c r="H22" t="s">
        <v>991</v>
      </c>
    </row>
    <row r="23" spans="1:8" ht="15" thickBot="1">
      <c r="A23" s="5" t="s">
        <v>971</v>
      </c>
      <c r="B23" t="s">
        <v>66</v>
      </c>
      <c r="C23" s="2" t="str">
        <f t="shared" si="0"/>
        <v>2</v>
      </c>
      <c r="D23" s="2" t="str">
        <f t="shared" si="1"/>
        <v>Morocco</v>
      </c>
      <c r="F23" t="s">
        <v>66</v>
      </c>
      <c r="G23" t="s">
        <v>880</v>
      </c>
      <c r="H23" t="s">
        <v>992</v>
      </c>
    </row>
    <row r="24" spans="1:8" ht="15" thickBot="1">
      <c r="A24" s="5" t="s">
        <v>972</v>
      </c>
      <c r="B24" t="s">
        <v>66</v>
      </c>
      <c r="C24" s="2" t="str">
        <f t="shared" si="0"/>
        <v>3</v>
      </c>
      <c r="D24" s="2" t="str">
        <f t="shared" si="1"/>
        <v>Belgium</v>
      </c>
      <c r="F24" t="s">
        <v>66</v>
      </c>
      <c r="G24" t="s">
        <v>897</v>
      </c>
      <c r="H24" t="s">
        <v>993</v>
      </c>
    </row>
    <row r="25" spans="1:8" ht="15" thickBot="1">
      <c r="A25" s="5" t="s">
        <v>973</v>
      </c>
      <c r="B25" t="s">
        <v>66</v>
      </c>
      <c r="C25" s="2" t="str">
        <f t="shared" si="0"/>
        <v>4</v>
      </c>
      <c r="D25" s="2" t="str">
        <f t="shared" si="1"/>
        <v>Canada</v>
      </c>
      <c r="F25" t="s">
        <v>66</v>
      </c>
      <c r="G25" t="s">
        <v>900</v>
      </c>
      <c r="H25" t="s">
        <v>994</v>
      </c>
    </row>
    <row r="26" spans="1:8" ht="15" thickBot="1">
      <c r="A26" s="5" t="s">
        <v>974</v>
      </c>
      <c r="B26" t="s">
        <v>44</v>
      </c>
      <c r="C26" s="2" t="str">
        <f t="shared" si="0"/>
        <v>1</v>
      </c>
      <c r="D26" s="2" t="str">
        <f t="shared" si="1"/>
        <v>Brazil</v>
      </c>
      <c r="F26" t="s">
        <v>44</v>
      </c>
      <c r="G26" t="s">
        <v>898</v>
      </c>
      <c r="H26" t="s">
        <v>995</v>
      </c>
    </row>
    <row r="27" spans="1:8" ht="15" thickBot="1">
      <c r="A27" s="5" t="s">
        <v>975</v>
      </c>
      <c r="B27" t="s">
        <v>44</v>
      </c>
      <c r="C27" s="2" t="str">
        <f t="shared" si="0"/>
        <v>2</v>
      </c>
      <c r="D27" s="2" t="str">
        <f t="shared" si="1"/>
        <v>Cameroon</v>
      </c>
      <c r="F27" t="s">
        <v>44</v>
      </c>
      <c r="G27" t="s">
        <v>899</v>
      </c>
      <c r="H27" t="s">
        <v>996</v>
      </c>
    </row>
    <row r="28" spans="1:8" ht="15" thickBot="1">
      <c r="A28" s="5" t="s">
        <v>976</v>
      </c>
      <c r="B28" t="s">
        <v>44</v>
      </c>
      <c r="C28" s="2" t="str">
        <f t="shared" si="0"/>
        <v>3</v>
      </c>
      <c r="D28" s="2" t="str">
        <f t="shared" si="1"/>
        <v>Serbia</v>
      </c>
      <c r="F28" t="s">
        <v>44</v>
      </c>
      <c r="G28" t="s">
        <v>887</v>
      </c>
      <c r="H28" t="s">
        <v>997</v>
      </c>
    </row>
    <row r="29" spans="1:8" ht="15" thickBot="1">
      <c r="A29" s="5" t="s">
        <v>977</v>
      </c>
      <c r="B29" t="s">
        <v>44</v>
      </c>
      <c r="C29" s="2" t="str">
        <f t="shared" si="0"/>
        <v>4</v>
      </c>
      <c r="D29" s="2" t="str">
        <f t="shared" si="1"/>
        <v>Switzerland</v>
      </c>
      <c r="F29" t="s">
        <v>44</v>
      </c>
      <c r="G29" t="s">
        <v>890</v>
      </c>
      <c r="H29" t="s">
        <v>998</v>
      </c>
    </row>
    <row r="30" spans="1:8" ht="15" thickBot="1">
      <c r="A30" s="5" t="s">
        <v>978</v>
      </c>
      <c r="B30" t="s">
        <v>985</v>
      </c>
      <c r="C30" s="2" t="str">
        <f t="shared" si="0"/>
        <v>1</v>
      </c>
      <c r="D30" s="2" t="str">
        <f t="shared" si="1"/>
        <v>Ghana</v>
      </c>
      <c r="F30" t="s">
        <v>985</v>
      </c>
      <c r="G30" t="s">
        <v>908</v>
      </c>
      <c r="H30" t="s">
        <v>999</v>
      </c>
    </row>
    <row r="31" spans="1:8" ht="15" thickBot="1">
      <c r="A31" s="5" t="s">
        <v>979</v>
      </c>
      <c r="B31" t="s">
        <v>985</v>
      </c>
      <c r="C31" s="2" t="str">
        <f t="shared" si="0"/>
        <v>2</v>
      </c>
      <c r="D31" s="2" t="str">
        <f t="shared" si="1"/>
        <v>South Korea</v>
      </c>
      <c r="F31" t="s">
        <v>985</v>
      </c>
      <c r="G31" t="s">
        <v>888</v>
      </c>
      <c r="H31" t="s">
        <v>1002</v>
      </c>
    </row>
    <row r="32" spans="1:8" ht="15" thickBot="1">
      <c r="A32" s="5" t="s">
        <v>980</v>
      </c>
      <c r="B32" t="s">
        <v>985</v>
      </c>
      <c r="C32" s="2" t="str">
        <f t="shared" si="0"/>
        <v>3</v>
      </c>
      <c r="D32" s="2" t="str">
        <f t="shared" si="1"/>
        <v>Portugal</v>
      </c>
      <c r="F32" t="s">
        <v>985</v>
      </c>
      <c r="G32" t="s">
        <v>883</v>
      </c>
      <c r="H32" t="s">
        <v>1000</v>
      </c>
    </row>
    <row r="33" spans="1:8">
      <c r="A33" s="5" t="s">
        <v>981</v>
      </c>
      <c r="B33" t="s">
        <v>985</v>
      </c>
      <c r="C33" s="2" t="str">
        <f t="shared" si="0"/>
        <v>4</v>
      </c>
      <c r="D33" s="2" t="str">
        <f t="shared" si="1"/>
        <v>Uruguay</v>
      </c>
      <c r="F33" t="s">
        <v>985</v>
      </c>
      <c r="G33" t="s">
        <v>893</v>
      </c>
      <c r="H33" t="s">
        <v>1001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DF040-3992-4918-8A41-37EDAB7A5D3C}">
  <sheetPr codeName="Sheet2"/>
  <dimension ref="A1:O865"/>
  <sheetViews>
    <sheetView workbookViewId="0">
      <selection activeCell="K1" sqref="K1:O833"/>
    </sheetView>
  </sheetViews>
  <sheetFormatPr defaultRowHeight="14.4"/>
  <cols>
    <col min="1" max="1" width="26.5546875" bestFit="1" customWidth="1"/>
    <col min="2" max="2" width="4" bestFit="1" customWidth="1"/>
    <col min="3" max="3" width="12.44140625" customWidth="1"/>
    <col min="5" max="5" width="13.77734375" bestFit="1" customWidth="1"/>
    <col min="6" max="6" width="21.109375" bestFit="1" customWidth="1"/>
    <col min="10" max="11" width="8.88671875" style="2"/>
    <col min="13" max="13" width="12.44140625" style="2" customWidth="1"/>
    <col min="15" max="15" width="4" style="2" bestFit="1" customWidth="1"/>
  </cols>
  <sheetData>
    <row r="1" spans="1:15">
      <c r="A1" t="s">
        <v>911</v>
      </c>
      <c r="B1" t="s">
        <v>912</v>
      </c>
      <c r="C1" t="s">
        <v>913</v>
      </c>
      <c r="K1" s="2" t="s">
        <v>3160</v>
      </c>
      <c r="L1" t="s">
        <v>3161</v>
      </c>
      <c r="M1" s="2" t="s">
        <v>913</v>
      </c>
      <c r="N1" t="s">
        <v>2039</v>
      </c>
      <c r="O1" s="2" t="s">
        <v>912</v>
      </c>
    </row>
    <row r="2" spans="1:15">
      <c r="A2" t="s">
        <v>464</v>
      </c>
      <c r="B2" t="s">
        <v>44</v>
      </c>
      <c r="C2" t="s">
        <v>895</v>
      </c>
      <c r="E2" s="2" t="str">
        <f>IF(ISERROR(FIND(" ",A2)),"", LEFT(A2,FIND(" ",A2)-1))</f>
        <v>Franco</v>
      </c>
      <c r="F2" s="2" t="str">
        <f>IF(ISERROR(FIND(" ",A2)),A2,RIGHT(A2,LEN(A2)-FIND(" ",A2)))</f>
        <v>Armani</v>
      </c>
      <c r="H2" t="str">
        <f>LEFT(E2,1)</f>
        <v>F</v>
      </c>
      <c r="I2" t="s">
        <v>2356</v>
      </c>
      <c r="K2" s="2" t="s">
        <v>1012</v>
      </c>
      <c r="L2" t="s">
        <v>1013</v>
      </c>
      <c r="M2" s="2" t="s">
        <v>895</v>
      </c>
      <c r="N2" t="s">
        <v>2356</v>
      </c>
      <c r="O2" s="2" t="s">
        <v>44</v>
      </c>
    </row>
    <row r="3" spans="1:15">
      <c r="A3" t="s">
        <v>465</v>
      </c>
      <c r="B3" t="s">
        <v>44</v>
      </c>
      <c r="C3" t="s">
        <v>895</v>
      </c>
      <c r="E3" s="2" t="str">
        <f t="shared" ref="E3:E66" si="0">IF(ISERROR(FIND(" ",A3)),"", LEFT(A3,FIND(" ",A3)-1))</f>
        <v>Gerónimo</v>
      </c>
      <c r="F3" s="2" t="str">
        <f t="shared" ref="F3:F66" si="1">IF(ISERROR(FIND(" ",A3)),A3,RIGHT(A3,LEN(A3)-FIND(" ",A3)))</f>
        <v>Rulli</v>
      </c>
      <c r="H3" s="2" t="str">
        <f t="shared" ref="H3:H66" si="2">LEFT(E3,1)</f>
        <v>G</v>
      </c>
      <c r="I3" s="2" t="s">
        <v>2357</v>
      </c>
      <c r="K3" s="2" t="s">
        <v>1014</v>
      </c>
      <c r="L3" t="s">
        <v>1015</v>
      </c>
      <c r="M3" s="2" t="s">
        <v>895</v>
      </c>
      <c r="N3" t="s">
        <v>2357</v>
      </c>
      <c r="O3" s="2" t="s">
        <v>44</v>
      </c>
    </row>
    <row r="4" spans="1:15">
      <c r="A4" t="s">
        <v>466</v>
      </c>
      <c r="B4" t="s">
        <v>44</v>
      </c>
      <c r="C4" t="s">
        <v>895</v>
      </c>
      <c r="E4" s="2" t="str">
        <f t="shared" si="0"/>
        <v>Emiliano</v>
      </c>
      <c r="F4" s="2" t="str">
        <f t="shared" si="1"/>
        <v>Martínez</v>
      </c>
      <c r="H4" s="2" t="str">
        <f t="shared" si="2"/>
        <v>E</v>
      </c>
      <c r="I4" s="2" t="s">
        <v>2358</v>
      </c>
      <c r="K4" s="2" t="s">
        <v>1016</v>
      </c>
      <c r="L4" t="s">
        <v>1017</v>
      </c>
      <c r="M4" s="2" t="s">
        <v>895</v>
      </c>
      <c r="N4" t="s">
        <v>2358</v>
      </c>
      <c r="O4" s="2" t="s">
        <v>44</v>
      </c>
    </row>
    <row r="5" spans="1:15">
      <c r="A5" t="s">
        <v>467</v>
      </c>
      <c r="B5" t="s">
        <v>48</v>
      </c>
      <c r="C5" t="s">
        <v>895</v>
      </c>
      <c r="E5" s="2" t="str">
        <f t="shared" si="0"/>
        <v>Juan</v>
      </c>
      <c r="F5" s="2" t="str">
        <f t="shared" si="1"/>
        <v>Foyth</v>
      </c>
      <c r="H5" s="2" t="str">
        <f t="shared" si="2"/>
        <v>J</v>
      </c>
      <c r="I5" s="2" t="s">
        <v>2359</v>
      </c>
      <c r="K5" s="2" t="s">
        <v>1018</v>
      </c>
      <c r="L5" t="s">
        <v>1019</v>
      </c>
      <c r="M5" s="2" t="s">
        <v>895</v>
      </c>
      <c r="N5" t="s">
        <v>2359</v>
      </c>
      <c r="O5" s="2" t="s">
        <v>48</v>
      </c>
    </row>
    <row r="6" spans="1:15">
      <c r="A6" t="s">
        <v>468</v>
      </c>
      <c r="B6" t="s">
        <v>48</v>
      </c>
      <c r="C6" t="s">
        <v>895</v>
      </c>
      <c r="E6" s="2" t="str">
        <f t="shared" si="0"/>
        <v>Nicolás</v>
      </c>
      <c r="F6" s="2" t="str">
        <f t="shared" si="1"/>
        <v>Tagliafico</v>
      </c>
      <c r="H6" s="2" t="str">
        <f t="shared" si="2"/>
        <v>N</v>
      </c>
      <c r="I6" s="2" t="s">
        <v>2360</v>
      </c>
      <c r="K6" s="2" t="s">
        <v>1020</v>
      </c>
      <c r="L6" t="s">
        <v>1021</v>
      </c>
      <c r="M6" s="2" t="s">
        <v>895</v>
      </c>
      <c r="N6" t="s">
        <v>2360</v>
      </c>
      <c r="O6" s="2" t="s">
        <v>48</v>
      </c>
    </row>
    <row r="7" spans="1:15">
      <c r="A7" t="s">
        <v>469</v>
      </c>
      <c r="B7" t="s">
        <v>48</v>
      </c>
      <c r="C7" t="s">
        <v>895</v>
      </c>
      <c r="E7" s="2" t="str">
        <f t="shared" si="0"/>
        <v>Gonzalo</v>
      </c>
      <c r="F7" s="2" t="str">
        <f t="shared" si="1"/>
        <v>Montiel</v>
      </c>
      <c r="H7" s="2" t="str">
        <f t="shared" si="2"/>
        <v>G</v>
      </c>
      <c r="I7" s="2" t="s">
        <v>2361</v>
      </c>
      <c r="K7" s="2" t="s">
        <v>1022</v>
      </c>
      <c r="L7" t="s">
        <v>1023</v>
      </c>
      <c r="M7" s="2" t="s">
        <v>895</v>
      </c>
      <c r="N7" t="s">
        <v>2361</v>
      </c>
      <c r="O7" s="2" t="s">
        <v>48</v>
      </c>
    </row>
    <row r="8" spans="1:15">
      <c r="A8" t="s">
        <v>470</v>
      </c>
      <c r="B8" t="s">
        <v>48</v>
      </c>
      <c r="C8" t="s">
        <v>895</v>
      </c>
      <c r="E8" s="2" t="str">
        <f t="shared" si="0"/>
        <v>Germán</v>
      </c>
      <c r="F8" s="2" t="str">
        <f t="shared" si="1"/>
        <v>Pezzella</v>
      </c>
      <c r="H8" s="2" t="str">
        <f t="shared" si="2"/>
        <v>G</v>
      </c>
      <c r="I8" s="2" t="s">
        <v>2362</v>
      </c>
      <c r="K8" s="2" t="s">
        <v>1024</v>
      </c>
      <c r="L8" t="s">
        <v>1025</v>
      </c>
      <c r="M8" s="2" t="s">
        <v>895</v>
      </c>
      <c r="N8" t="s">
        <v>2362</v>
      </c>
      <c r="O8" s="2" t="s">
        <v>48</v>
      </c>
    </row>
    <row r="9" spans="1:15">
      <c r="A9" t="s">
        <v>471</v>
      </c>
      <c r="B9" t="s">
        <v>48</v>
      </c>
      <c r="C9" t="s">
        <v>895</v>
      </c>
      <c r="E9" s="2" t="str">
        <f t="shared" si="0"/>
        <v>Marcos</v>
      </c>
      <c r="F9" s="2" t="str">
        <f t="shared" si="1"/>
        <v>Acuña</v>
      </c>
      <c r="H9" s="2" t="str">
        <f t="shared" si="2"/>
        <v>M</v>
      </c>
      <c r="I9" s="2" t="s">
        <v>2363</v>
      </c>
      <c r="K9" s="2" t="s">
        <v>1026</v>
      </c>
      <c r="L9" t="s">
        <v>1027</v>
      </c>
      <c r="M9" s="2" t="s">
        <v>895</v>
      </c>
      <c r="N9" t="s">
        <v>2363</v>
      </c>
      <c r="O9" s="2" t="s">
        <v>48</v>
      </c>
    </row>
    <row r="10" spans="1:15">
      <c r="A10" t="s">
        <v>472</v>
      </c>
      <c r="B10" t="s">
        <v>48</v>
      </c>
      <c r="C10" t="s">
        <v>895</v>
      </c>
      <c r="E10" s="2" t="str">
        <f t="shared" si="0"/>
        <v>Cristian</v>
      </c>
      <c r="F10" s="2" t="str">
        <f t="shared" si="1"/>
        <v>Romero</v>
      </c>
      <c r="H10" s="2" t="str">
        <f t="shared" si="2"/>
        <v>C</v>
      </c>
      <c r="I10" s="2" t="s">
        <v>2364</v>
      </c>
      <c r="K10" s="2" t="s">
        <v>1028</v>
      </c>
      <c r="L10" t="s">
        <v>1029</v>
      </c>
      <c r="M10" s="2" t="s">
        <v>895</v>
      </c>
      <c r="N10" t="s">
        <v>2364</v>
      </c>
      <c r="O10" s="2" t="s">
        <v>48</v>
      </c>
    </row>
    <row r="11" spans="1:15">
      <c r="A11" t="s">
        <v>473</v>
      </c>
      <c r="B11" t="s">
        <v>48</v>
      </c>
      <c r="C11" t="s">
        <v>895</v>
      </c>
      <c r="E11" s="2" t="str">
        <f t="shared" si="0"/>
        <v>Nicolás</v>
      </c>
      <c r="F11" s="2" t="str">
        <f t="shared" si="1"/>
        <v>Otamendi</v>
      </c>
      <c r="H11" s="2" t="str">
        <f t="shared" si="2"/>
        <v>N</v>
      </c>
      <c r="I11" s="2" t="s">
        <v>2365</v>
      </c>
      <c r="K11" s="2" t="s">
        <v>1020</v>
      </c>
      <c r="L11" t="s">
        <v>1030</v>
      </c>
      <c r="M11" s="2" t="s">
        <v>895</v>
      </c>
      <c r="N11" t="s">
        <v>2365</v>
      </c>
      <c r="O11" s="2" t="s">
        <v>48</v>
      </c>
    </row>
    <row r="12" spans="1:15">
      <c r="A12" t="s">
        <v>474</v>
      </c>
      <c r="B12" t="s">
        <v>48</v>
      </c>
      <c r="C12" t="s">
        <v>895</v>
      </c>
      <c r="E12" s="2" t="str">
        <f t="shared" si="0"/>
        <v>Lisandro</v>
      </c>
      <c r="F12" s="2" t="str">
        <f t="shared" si="1"/>
        <v>Martínez</v>
      </c>
      <c r="H12" s="2" t="str">
        <f t="shared" si="2"/>
        <v>L</v>
      </c>
      <c r="I12" s="2" t="s">
        <v>2366</v>
      </c>
      <c r="K12" s="2" t="s">
        <v>1031</v>
      </c>
      <c r="L12" t="s">
        <v>1017</v>
      </c>
      <c r="M12" s="2" t="s">
        <v>895</v>
      </c>
      <c r="N12" t="s">
        <v>2366</v>
      </c>
      <c r="O12" s="2" t="s">
        <v>48</v>
      </c>
    </row>
    <row r="13" spans="1:15">
      <c r="A13" t="s">
        <v>475</v>
      </c>
      <c r="B13" t="s">
        <v>48</v>
      </c>
      <c r="C13" t="s">
        <v>895</v>
      </c>
      <c r="E13" s="2" t="str">
        <f t="shared" si="0"/>
        <v>Nahuel</v>
      </c>
      <c r="F13" s="2" t="str">
        <f t="shared" si="1"/>
        <v>Molina</v>
      </c>
      <c r="H13" s="2" t="str">
        <f t="shared" si="2"/>
        <v>N</v>
      </c>
      <c r="I13" s="2" t="s">
        <v>2367</v>
      </c>
      <c r="K13" s="2" t="s">
        <v>1032</v>
      </c>
      <c r="L13" t="s">
        <v>1033</v>
      </c>
      <c r="M13" s="2" t="s">
        <v>895</v>
      </c>
      <c r="N13" t="s">
        <v>2367</v>
      </c>
      <c r="O13" s="2" t="s">
        <v>48</v>
      </c>
    </row>
    <row r="14" spans="1:15">
      <c r="A14" t="s">
        <v>476</v>
      </c>
      <c r="B14" t="s">
        <v>57</v>
      </c>
      <c r="C14" t="s">
        <v>895</v>
      </c>
      <c r="E14" s="2" t="str">
        <f t="shared" si="0"/>
        <v>Leandro</v>
      </c>
      <c r="F14" s="2" t="str">
        <f t="shared" si="1"/>
        <v>Paredes</v>
      </c>
      <c r="H14" s="2" t="str">
        <f t="shared" si="2"/>
        <v>L</v>
      </c>
      <c r="I14" s="2" t="s">
        <v>2368</v>
      </c>
      <c r="K14" s="2" t="s">
        <v>1034</v>
      </c>
      <c r="L14" t="s">
        <v>1035</v>
      </c>
      <c r="M14" s="2" t="s">
        <v>895</v>
      </c>
      <c r="N14" t="s">
        <v>2368</v>
      </c>
      <c r="O14" s="2" t="s">
        <v>57</v>
      </c>
    </row>
    <row r="15" spans="1:15">
      <c r="A15" t="s">
        <v>477</v>
      </c>
      <c r="B15" t="s">
        <v>57</v>
      </c>
      <c r="C15" t="s">
        <v>895</v>
      </c>
      <c r="E15" s="2" t="str">
        <f t="shared" si="0"/>
        <v>Rodrigo</v>
      </c>
      <c r="F15" s="2" t="str">
        <f t="shared" si="1"/>
        <v>De Paul</v>
      </c>
      <c r="H15" s="2" t="str">
        <f t="shared" si="2"/>
        <v>R</v>
      </c>
      <c r="I15" s="2" t="s">
        <v>2369</v>
      </c>
      <c r="K15" s="2" t="s">
        <v>1036</v>
      </c>
      <c r="L15" t="s">
        <v>1037</v>
      </c>
      <c r="M15" s="2" t="s">
        <v>895</v>
      </c>
      <c r="N15" t="s">
        <v>2369</v>
      </c>
      <c r="O15" s="2" t="s">
        <v>57</v>
      </c>
    </row>
    <row r="16" spans="1:15">
      <c r="A16" t="s">
        <v>478</v>
      </c>
      <c r="B16" t="s">
        <v>57</v>
      </c>
      <c r="C16" t="s">
        <v>895</v>
      </c>
      <c r="E16" s="2" t="str">
        <f t="shared" si="0"/>
        <v>Ángel</v>
      </c>
      <c r="F16" s="2" t="str">
        <f t="shared" si="1"/>
        <v>Di María</v>
      </c>
      <c r="H16" s="2" t="str">
        <f t="shared" si="2"/>
        <v>Á</v>
      </c>
      <c r="I16" s="2" t="s">
        <v>2370</v>
      </c>
      <c r="K16" s="2" t="s">
        <v>1038</v>
      </c>
      <c r="L16" t="s">
        <v>1039</v>
      </c>
      <c r="M16" s="2" t="s">
        <v>895</v>
      </c>
      <c r="N16" t="s">
        <v>2370</v>
      </c>
      <c r="O16" s="2" t="s">
        <v>57</v>
      </c>
    </row>
    <row r="17" spans="1:15">
      <c r="A17" t="s">
        <v>479</v>
      </c>
      <c r="B17" t="s">
        <v>57</v>
      </c>
      <c r="C17" t="s">
        <v>895</v>
      </c>
      <c r="E17" s="2" t="str">
        <f t="shared" si="0"/>
        <v>Exequiel</v>
      </c>
      <c r="F17" s="2" t="str">
        <f t="shared" si="1"/>
        <v>Palacios</v>
      </c>
      <c r="H17" s="2" t="str">
        <f t="shared" si="2"/>
        <v>E</v>
      </c>
      <c r="I17" s="2" t="s">
        <v>2371</v>
      </c>
      <c r="K17" s="2" t="s">
        <v>1040</v>
      </c>
      <c r="L17" t="s">
        <v>1041</v>
      </c>
      <c r="M17" s="2" t="s">
        <v>895</v>
      </c>
      <c r="N17" t="s">
        <v>2371</v>
      </c>
      <c r="O17" s="2" t="s">
        <v>57</v>
      </c>
    </row>
    <row r="18" spans="1:15">
      <c r="A18" t="s">
        <v>480</v>
      </c>
      <c r="B18" t="s">
        <v>57</v>
      </c>
      <c r="C18" t="s">
        <v>895</v>
      </c>
      <c r="E18" s="2" t="str">
        <f t="shared" si="0"/>
        <v>Alejandro</v>
      </c>
      <c r="F18" s="2" t="str">
        <f t="shared" si="1"/>
        <v>Gómez</v>
      </c>
      <c r="H18" s="2" t="str">
        <f t="shared" si="2"/>
        <v>A</v>
      </c>
      <c r="I18" s="2" t="s">
        <v>2372</v>
      </c>
      <c r="K18" s="2" t="s">
        <v>1042</v>
      </c>
      <c r="L18" t="s">
        <v>1043</v>
      </c>
      <c r="M18" s="2" t="s">
        <v>895</v>
      </c>
      <c r="N18" t="s">
        <v>2372</v>
      </c>
      <c r="O18" s="2" t="s">
        <v>57</v>
      </c>
    </row>
    <row r="19" spans="1:15">
      <c r="A19" t="s">
        <v>481</v>
      </c>
      <c r="B19" t="s">
        <v>57</v>
      </c>
      <c r="C19" t="s">
        <v>895</v>
      </c>
      <c r="E19" s="2" t="str">
        <f t="shared" si="0"/>
        <v>Guido</v>
      </c>
      <c r="F19" s="2" t="str">
        <f t="shared" si="1"/>
        <v>Rodríguez</v>
      </c>
      <c r="H19" s="2" t="str">
        <f t="shared" si="2"/>
        <v>G</v>
      </c>
      <c r="I19" s="2" t="s">
        <v>2373</v>
      </c>
      <c r="K19" s="2" t="s">
        <v>1044</v>
      </c>
      <c r="L19" t="s">
        <v>1045</v>
      </c>
      <c r="M19" s="2" t="s">
        <v>895</v>
      </c>
      <c r="N19" t="s">
        <v>2373</v>
      </c>
      <c r="O19" s="2" t="s">
        <v>57</v>
      </c>
    </row>
    <row r="20" spans="1:15">
      <c r="A20" t="s">
        <v>482</v>
      </c>
      <c r="B20" t="s">
        <v>57</v>
      </c>
      <c r="C20" t="s">
        <v>895</v>
      </c>
      <c r="E20" s="2" t="str">
        <f t="shared" si="0"/>
        <v>Alexis</v>
      </c>
      <c r="F20" s="2" t="str">
        <f t="shared" si="1"/>
        <v>Mac Allister</v>
      </c>
      <c r="H20" s="2" t="str">
        <f t="shared" si="2"/>
        <v>A</v>
      </c>
      <c r="I20" s="2" t="s">
        <v>2374</v>
      </c>
      <c r="K20" s="2" t="s">
        <v>1046</v>
      </c>
      <c r="L20" t="s">
        <v>1047</v>
      </c>
      <c r="M20" s="2" t="s">
        <v>895</v>
      </c>
      <c r="N20" t="s">
        <v>2374</v>
      </c>
      <c r="O20" s="2" t="s">
        <v>57</v>
      </c>
    </row>
    <row r="21" spans="1:15">
      <c r="A21" t="s">
        <v>483</v>
      </c>
      <c r="B21" t="s">
        <v>57</v>
      </c>
      <c r="C21" t="s">
        <v>895</v>
      </c>
      <c r="E21" s="2" t="str">
        <f t="shared" si="0"/>
        <v>Enzo</v>
      </c>
      <c r="F21" s="2" t="str">
        <f t="shared" si="1"/>
        <v>Fernández</v>
      </c>
      <c r="H21" s="2" t="str">
        <f t="shared" si="2"/>
        <v>E</v>
      </c>
      <c r="I21" s="2" t="s">
        <v>2375</v>
      </c>
      <c r="K21" s="2" t="s">
        <v>1048</v>
      </c>
      <c r="L21" t="s">
        <v>1049</v>
      </c>
      <c r="M21" s="2" t="s">
        <v>895</v>
      </c>
      <c r="N21" t="s">
        <v>2375</v>
      </c>
      <c r="O21" s="2" t="s">
        <v>57</v>
      </c>
    </row>
    <row r="22" spans="1:15">
      <c r="A22" t="s">
        <v>484</v>
      </c>
      <c r="B22" t="s">
        <v>66</v>
      </c>
      <c r="C22" t="s">
        <v>895</v>
      </c>
      <c r="E22" s="2" t="str">
        <f t="shared" si="0"/>
        <v>Julián</v>
      </c>
      <c r="F22" s="2" t="str">
        <f t="shared" si="1"/>
        <v>Álvarez</v>
      </c>
      <c r="H22" s="2" t="str">
        <f t="shared" si="2"/>
        <v>J</v>
      </c>
      <c r="I22" s="2" t="s">
        <v>2376</v>
      </c>
      <c r="K22" s="2" t="s">
        <v>1050</v>
      </c>
      <c r="L22" t="s">
        <v>1051</v>
      </c>
      <c r="M22" s="2" t="s">
        <v>895</v>
      </c>
      <c r="N22" t="s">
        <v>2376</v>
      </c>
      <c r="O22" s="2" t="s">
        <v>66</v>
      </c>
    </row>
    <row r="23" spans="1:15">
      <c r="A23" t="s">
        <v>485</v>
      </c>
      <c r="B23" t="s">
        <v>66</v>
      </c>
      <c r="C23" t="s">
        <v>895</v>
      </c>
      <c r="E23" s="2" t="str">
        <f t="shared" si="0"/>
        <v>Lionel</v>
      </c>
      <c r="F23" s="2" t="str">
        <f t="shared" si="1"/>
        <v>Messi</v>
      </c>
      <c r="H23" s="2" t="str">
        <f t="shared" si="2"/>
        <v>L</v>
      </c>
      <c r="I23" s="2" t="s">
        <v>935</v>
      </c>
      <c r="K23" s="2" t="s">
        <v>1052</v>
      </c>
      <c r="L23" t="s">
        <v>1053</v>
      </c>
      <c r="M23" s="2" t="s">
        <v>895</v>
      </c>
      <c r="N23" t="s">
        <v>935</v>
      </c>
      <c r="O23" s="2" t="s">
        <v>66</v>
      </c>
    </row>
    <row r="24" spans="1:15">
      <c r="A24" t="s">
        <v>486</v>
      </c>
      <c r="B24" t="s">
        <v>66</v>
      </c>
      <c r="C24" t="s">
        <v>895</v>
      </c>
      <c r="E24" s="2" t="str">
        <f t="shared" si="0"/>
        <v>Nicolás</v>
      </c>
      <c r="F24" s="2" t="str">
        <f t="shared" si="1"/>
        <v>González</v>
      </c>
      <c r="H24" s="2" t="str">
        <f t="shared" si="2"/>
        <v>N</v>
      </c>
      <c r="I24" s="2" t="s">
        <v>2377</v>
      </c>
      <c r="K24" s="2" t="s">
        <v>1020</v>
      </c>
      <c r="L24" t="s">
        <v>1054</v>
      </c>
      <c r="M24" s="2" t="s">
        <v>895</v>
      </c>
      <c r="N24" t="s">
        <v>2377</v>
      </c>
      <c r="O24" s="2" t="s">
        <v>66</v>
      </c>
    </row>
    <row r="25" spans="1:15">
      <c r="A25" t="s">
        <v>487</v>
      </c>
      <c r="B25" t="s">
        <v>66</v>
      </c>
      <c r="C25" t="s">
        <v>895</v>
      </c>
      <c r="E25" s="2" t="str">
        <f t="shared" si="0"/>
        <v>Joaquín</v>
      </c>
      <c r="F25" s="2" t="str">
        <f t="shared" si="1"/>
        <v>Correa</v>
      </c>
      <c r="H25" s="2" t="str">
        <f t="shared" si="2"/>
        <v>J</v>
      </c>
      <c r="I25" s="2" t="s">
        <v>2378</v>
      </c>
      <c r="K25" s="2" t="s">
        <v>1055</v>
      </c>
      <c r="L25" t="s">
        <v>1056</v>
      </c>
      <c r="M25" s="2" t="s">
        <v>895</v>
      </c>
      <c r="N25" t="s">
        <v>2378</v>
      </c>
      <c r="O25" s="2" t="s">
        <v>66</v>
      </c>
    </row>
    <row r="26" spans="1:15">
      <c r="A26" t="s">
        <v>488</v>
      </c>
      <c r="B26" t="s">
        <v>66</v>
      </c>
      <c r="C26" t="s">
        <v>895</v>
      </c>
      <c r="E26" s="2" t="str">
        <f t="shared" si="0"/>
        <v>Paulo</v>
      </c>
      <c r="F26" s="2" t="str">
        <f t="shared" si="1"/>
        <v>Dybala</v>
      </c>
      <c r="H26" s="2" t="str">
        <f t="shared" si="2"/>
        <v>P</v>
      </c>
      <c r="I26" s="2" t="s">
        <v>2379</v>
      </c>
      <c r="K26" s="2" t="s">
        <v>1057</v>
      </c>
      <c r="L26" t="s">
        <v>1058</v>
      </c>
      <c r="M26" s="2" t="s">
        <v>895</v>
      </c>
      <c r="N26" t="s">
        <v>2379</v>
      </c>
      <c r="O26" s="2" t="s">
        <v>66</v>
      </c>
    </row>
    <row r="27" spans="1:15">
      <c r="A27" t="s">
        <v>489</v>
      </c>
      <c r="B27" t="s">
        <v>66</v>
      </c>
      <c r="C27" t="s">
        <v>895</v>
      </c>
      <c r="E27" s="2" t="str">
        <f t="shared" si="0"/>
        <v>Lautaro</v>
      </c>
      <c r="F27" s="2" t="str">
        <f t="shared" si="1"/>
        <v>Martínez</v>
      </c>
      <c r="H27" s="2" t="str">
        <f t="shared" si="2"/>
        <v>L</v>
      </c>
      <c r="I27" s="2" t="s">
        <v>2366</v>
      </c>
      <c r="K27" s="2" t="s">
        <v>1059</v>
      </c>
      <c r="L27" t="s">
        <v>1017</v>
      </c>
      <c r="M27" s="2" t="s">
        <v>895</v>
      </c>
      <c r="N27" t="s">
        <v>2366</v>
      </c>
      <c r="O27" s="2" t="s">
        <v>66</v>
      </c>
    </row>
    <row r="28" spans="1:15">
      <c r="A28" t="s">
        <v>490</v>
      </c>
      <c r="B28" t="s">
        <v>44</v>
      </c>
      <c r="C28" t="s">
        <v>896</v>
      </c>
      <c r="E28" s="2" t="str">
        <f t="shared" si="0"/>
        <v>Mathew</v>
      </c>
      <c r="F28" s="2" t="str">
        <f t="shared" si="1"/>
        <v>Ryan</v>
      </c>
      <c r="H28" s="2" t="str">
        <f t="shared" si="2"/>
        <v>M</v>
      </c>
      <c r="I28" s="2" t="s">
        <v>2380</v>
      </c>
      <c r="K28" s="2" t="s">
        <v>1060</v>
      </c>
      <c r="L28" t="s">
        <v>1061</v>
      </c>
      <c r="M28" s="2" t="s">
        <v>896</v>
      </c>
      <c r="N28" t="s">
        <v>2380</v>
      </c>
      <c r="O28" s="2" t="s">
        <v>44</v>
      </c>
    </row>
    <row r="29" spans="1:15">
      <c r="A29" t="s">
        <v>491</v>
      </c>
      <c r="B29" t="s">
        <v>44</v>
      </c>
      <c r="C29" t="s">
        <v>896</v>
      </c>
      <c r="E29" s="2" t="str">
        <f t="shared" si="0"/>
        <v>Andrew</v>
      </c>
      <c r="F29" s="2" t="str">
        <f t="shared" si="1"/>
        <v>Redmayne</v>
      </c>
      <c r="H29" s="2" t="str">
        <f t="shared" si="2"/>
        <v>A</v>
      </c>
      <c r="I29" s="2" t="s">
        <v>2381</v>
      </c>
      <c r="K29" s="2" t="s">
        <v>1062</v>
      </c>
      <c r="L29" t="s">
        <v>1063</v>
      </c>
      <c r="M29" s="2" t="s">
        <v>896</v>
      </c>
      <c r="N29" t="s">
        <v>2381</v>
      </c>
      <c r="O29" s="2" t="s">
        <v>44</v>
      </c>
    </row>
    <row r="30" spans="1:15">
      <c r="A30" t="s">
        <v>492</v>
      </c>
      <c r="B30" t="s">
        <v>44</v>
      </c>
      <c r="C30" t="s">
        <v>896</v>
      </c>
      <c r="E30" s="2" t="str">
        <f t="shared" si="0"/>
        <v>Danny</v>
      </c>
      <c r="F30" s="2" t="str">
        <f t="shared" si="1"/>
        <v>Vukovic</v>
      </c>
      <c r="H30" s="2" t="str">
        <f t="shared" si="2"/>
        <v>D</v>
      </c>
      <c r="I30" s="2" t="s">
        <v>2382</v>
      </c>
      <c r="K30" s="2" t="s">
        <v>1064</v>
      </c>
      <c r="L30" t="s">
        <v>1065</v>
      </c>
      <c r="M30" s="2" t="s">
        <v>896</v>
      </c>
      <c r="N30" t="s">
        <v>2382</v>
      </c>
      <c r="O30" s="2" t="s">
        <v>44</v>
      </c>
    </row>
    <row r="31" spans="1:15">
      <c r="A31" t="s">
        <v>493</v>
      </c>
      <c r="B31" t="s">
        <v>48</v>
      </c>
      <c r="C31" s="2" t="s">
        <v>896</v>
      </c>
      <c r="E31" s="2" t="str">
        <f t="shared" si="0"/>
        <v>Milos</v>
      </c>
      <c r="F31" s="2" t="str">
        <f t="shared" si="1"/>
        <v>Degenek</v>
      </c>
      <c r="H31" s="2" t="str">
        <f t="shared" si="2"/>
        <v>M</v>
      </c>
      <c r="I31" s="2" t="s">
        <v>2383</v>
      </c>
      <c r="K31" s="2" t="s">
        <v>1066</v>
      </c>
      <c r="L31" t="s">
        <v>1067</v>
      </c>
      <c r="M31" s="2" t="s">
        <v>896</v>
      </c>
      <c r="N31" t="s">
        <v>2383</v>
      </c>
      <c r="O31" s="2" t="s">
        <v>48</v>
      </c>
    </row>
    <row r="32" spans="1:15">
      <c r="A32" t="s">
        <v>494</v>
      </c>
      <c r="B32" t="s">
        <v>48</v>
      </c>
      <c r="C32" s="2" t="s">
        <v>896</v>
      </c>
      <c r="E32" s="2" t="str">
        <f t="shared" si="0"/>
        <v>Nathaniel</v>
      </c>
      <c r="F32" s="2" t="str">
        <f t="shared" si="1"/>
        <v>Atkinson</v>
      </c>
      <c r="H32" s="2" t="str">
        <f t="shared" si="2"/>
        <v>N</v>
      </c>
      <c r="I32" s="2" t="s">
        <v>2384</v>
      </c>
      <c r="K32" s="2" t="s">
        <v>1068</v>
      </c>
      <c r="L32" t="s">
        <v>1069</v>
      </c>
      <c r="M32" s="2" t="s">
        <v>896</v>
      </c>
      <c r="N32" t="s">
        <v>2384</v>
      </c>
      <c r="O32" s="2" t="s">
        <v>48</v>
      </c>
    </row>
    <row r="33" spans="1:15">
      <c r="A33" t="s">
        <v>495</v>
      </c>
      <c r="B33" t="s">
        <v>48</v>
      </c>
      <c r="C33" s="2" t="s">
        <v>896</v>
      </c>
      <c r="E33" s="2" t="str">
        <f t="shared" si="0"/>
        <v>Kye</v>
      </c>
      <c r="F33" s="2" t="str">
        <f t="shared" si="1"/>
        <v>Rowles</v>
      </c>
      <c r="H33" s="2" t="str">
        <f t="shared" si="2"/>
        <v>K</v>
      </c>
      <c r="I33" s="2" t="s">
        <v>2385</v>
      </c>
      <c r="K33" s="2" t="s">
        <v>1070</v>
      </c>
      <c r="L33" t="s">
        <v>1071</v>
      </c>
      <c r="M33" s="2" t="s">
        <v>896</v>
      </c>
      <c r="N33" t="s">
        <v>2385</v>
      </c>
      <c r="O33" s="2" t="s">
        <v>48</v>
      </c>
    </row>
    <row r="34" spans="1:15">
      <c r="A34" t="s">
        <v>496</v>
      </c>
      <c r="B34" t="s">
        <v>48</v>
      </c>
      <c r="C34" s="2" t="s">
        <v>896</v>
      </c>
      <c r="E34" s="2" t="str">
        <f t="shared" si="0"/>
        <v>Fran</v>
      </c>
      <c r="F34" s="2" t="str">
        <f t="shared" si="1"/>
        <v>Karacic</v>
      </c>
      <c r="H34" s="2" t="str">
        <f t="shared" si="2"/>
        <v>F</v>
      </c>
      <c r="I34" s="2" t="s">
        <v>2386</v>
      </c>
      <c r="K34" s="2" t="s">
        <v>1072</v>
      </c>
      <c r="L34" t="s">
        <v>1073</v>
      </c>
      <c r="M34" s="2" t="s">
        <v>896</v>
      </c>
      <c r="N34" t="s">
        <v>2386</v>
      </c>
      <c r="O34" s="2" t="s">
        <v>48</v>
      </c>
    </row>
    <row r="35" spans="1:15">
      <c r="A35" t="s">
        <v>497</v>
      </c>
      <c r="B35" t="s">
        <v>48</v>
      </c>
      <c r="C35" s="2" t="s">
        <v>896</v>
      </c>
      <c r="E35" s="2" t="str">
        <f t="shared" si="0"/>
        <v>Bailey</v>
      </c>
      <c r="F35" s="2" t="str">
        <f t="shared" si="1"/>
        <v>Wright</v>
      </c>
      <c r="H35" s="2" t="str">
        <f t="shared" si="2"/>
        <v>B</v>
      </c>
      <c r="I35" s="2" t="s">
        <v>2387</v>
      </c>
      <c r="K35" s="2" t="s">
        <v>1074</v>
      </c>
      <c r="L35" t="s">
        <v>1075</v>
      </c>
      <c r="M35" s="2" t="s">
        <v>896</v>
      </c>
      <c r="N35" t="s">
        <v>2387</v>
      </c>
      <c r="O35" s="2" t="s">
        <v>48</v>
      </c>
    </row>
    <row r="36" spans="1:15">
      <c r="A36" t="s">
        <v>498</v>
      </c>
      <c r="B36" t="s">
        <v>48</v>
      </c>
      <c r="C36" s="2" t="s">
        <v>896</v>
      </c>
      <c r="E36" s="2" t="str">
        <f t="shared" si="0"/>
        <v>Aziz</v>
      </c>
      <c r="F36" s="2" t="str">
        <f t="shared" si="1"/>
        <v>Behich</v>
      </c>
      <c r="H36" s="2" t="str">
        <f t="shared" si="2"/>
        <v>A</v>
      </c>
      <c r="I36" s="2" t="s">
        <v>2388</v>
      </c>
      <c r="K36" s="2" t="s">
        <v>1076</v>
      </c>
      <c r="L36" t="s">
        <v>1077</v>
      </c>
      <c r="M36" s="2" t="s">
        <v>896</v>
      </c>
      <c r="N36" t="s">
        <v>2388</v>
      </c>
      <c r="O36" s="2" t="s">
        <v>48</v>
      </c>
    </row>
    <row r="37" spans="1:15">
      <c r="A37" t="s">
        <v>499</v>
      </c>
      <c r="B37" t="s">
        <v>48</v>
      </c>
      <c r="C37" s="2" t="s">
        <v>896</v>
      </c>
      <c r="E37" s="2" t="str">
        <f t="shared" si="0"/>
        <v>Harry</v>
      </c>
      <c r="F37" s="2" t="str">
        <f t="shared" si="1"/>
        <v>Souttar</v>
      </c>
      <c r="H37" s="2" t="str">
        <f t="shared" si="2"/>
        <v>H</v>
      </c>
      <c r="I37" s="2" t="s">
        <v>2389</v>
      </c>
      <c r="K37" s="2" t="s">
        <v>1078</v>
      </c>
      <c r="L37" t="s">
        <v>1079</v>
      </c>
      <c r="M37" s="2" t="s">
        <v>896</v>
      </c>
      <c r="N37" t="s">
        <v>2389</v>
      </c>
      <c r="O37" s="2" t="s">
        <v>48</v>
      </c>
    </row>
    <row r="38" spans="1:15">
      <c r="A38" t="s">
        <v>500</v>
      </c>
      <c r="B38" t="s">
        <v>48</v>
      </c>
      <c r="C38" s="2" t="s">
        <v>896</v>
      </c>
      <c r="E38" s="2" t="str">
        <f t="shared" si="0"/>
        <v>Thomas</v>
      </c>
      <c r="F38" s="2" t="str">
        <f t="shared" si="1"/>
        <v>Deng</v>
      </c>
      <c r="H38" s="2" t="str">
        <f t="shared" si="2"/>
        <v>T</v>
      </c>
      <c r="I38" s="2" t="s">
        <v>2390</v>
      </c>
      <c r="K38" s="2" t="s">
        <v>1080</v>
      </c>
      <c r="L38" t="s">
        <v>1081</v>
      </c>
      <c r="M38" s="2" t="s">
        <v>896</v>
      </c>
      <c r="N38" t="s">
        <v>2390</v>
      </c>
      <c r="O38" s="2" t="s">
        <v>48</v>
      </c>
    </row>
    <row r="39" spans="1:15">
      <c r="A39" t="s">
        <v>501</v>
      </c>
      <c r="B39" t="s">
        <v>48</v>
      </c>
      <c r="C39" s="2" t="s">
        <v>896</v>
      </c>
      <c r="E39" s="2" t="str">
        <f t="shared" si="0"/>
        <v>Joel</v>
      </c>
      <c r="F39" s="2" t="str">
        <f t="shared" si="1"/>
        <v>King</v>
      </c>
      <c r="H39" s="2" t="str">
        <f t="shared" si="2"/>
        <v>J</v>
      </c>
      <c r="I39" s="2" t="s">
        <v>2391</v>
      </c>
      <c r="K39" s="2" t="s">
        <v>1082</v>
      </c>
      <c r="L39" t="s">
        <v>1083</v>
      </c>
      <c r="M39" s="2" t="s">
        <v>896</v>
      </c>
      <c r="N39" t="s">
        <v>2391</v>
      </c>
      <c r="O39" s="2" t="s">
        <v>48</v>
      </c>
    </row>
    <row r="40" spans="1:15">
      <c r="A40" t="s">
        <v>502</v>
      </c>
      <c r="B40" t="s">
        <v>57</v>
      </c>
      <c r="C40" s="2" t="s">
        <v>896</v>
      </c>
      <c r="E40" s="2" t="str">
        <f t="shared" si="0"/>
        <v>Ajdin</v>
      </c>
      <c r="F40" s="2" t="str">
        <f t="shared" si="1"/>
        <v>Hrustic</v>
      </c>
      <c r="H40" s="2" t="str">
        <f t="shared" si="2"/>
        <v>A</v>
      </c>
      <c r="I40" s="2" t="s">
        <v>2392</v>
      </c>
      <c r="K40" s="2" t="s">
        <v>1084</v>
      </c>
      <c r="L40" t="s">
        <v>1085</v>
      </c>
      <c r="M40" s="2" t="s">
        <v>896</v>
      </c>
      <c r="N40" t="s">
        <v>2392</v>
      </c>
      <c r="O40" s="2" t="s">
        <v>57</v>
      </c>
    </row>
    <row r="41" spans="1:15">
      <c r="A41" t="s">
        <v>503</v>
      </c>
      <c r="B41" t="s">
        <v>57</v>
      </c>
      <c r="C41" s="2" t="s">
        <v>896</v>
      </c>
      <c r="E41" s="2" t="str">
        <f t="shared" si="0"/>
        <v>Awer</v>
      </c>
      <c r="F41" s="2" t="str">
        <f t="shared" si="1"/>
        <v>Mabil</v>
      </c>
      <c r="H41" s="2" t="str">
        <f t="shared" si="2"/>
        <v>A</v>
      </c>
      <c r="I41" s="2" t="s">
        <v>2393</v>
      </c>
      <c r="K41" s="2" t="s">
        <v>1086</v>
      </c>
      <c r="L41" t="s">
        <v>1087</v>
      </c>
      <c r="M41" s="2" t="s">
        <v>896</v>
      </c>
      <c r="N41" t="s">
        <v>2393</v>
      </c>
      <c r="O41" s="2" t="s">
        <v>57</v>
      </c>
    </row>
    <row r="42" spans="1:15">
      <c r="A42" t="s">
        <v>504</v>
      </c>
      <c r="B42" t="s">
        <v>57</v>
      </c>
      <c r="C42" s="2" t="s">
        <v>896</v>
      </c>
      <c r="E42" s="2" t="str">
        <f t="shared" si="0"/>
        <v>Aaron</v>
      </c>
      <c r="F42" s="2" t="str">
        <f t="shared" si="1"/>
        <v>Mooy</v>
      </c>
      <c r="H42" s="2" t="str">
        <f t="shared" si="2"/>
        <v>A</v>
      </c>
      <c r="I42" s="2" t="s">
        <v>2394</v>
      </c>
      <c r="K42" s="2" t="s">
        <v>1088</v>
      </c>
      <c r="L42" t="s">
        <v>1089</v>
      </c>
      <c r="M42" s="2" t="s">
        <v>896</v>
      </c>
      <c r="N42" t="s">
        <v>2394</v>
      </c>
      <c r="O42" s="2" t="s">
        <v>57</v>
      </c>
    </row>
    <row r="43" spans="1:15">
      <c r="A43" t="s">
        <v>505</v>
      </c>
      <c r="B43" t="s">
        <v>57</v>
      </c>
      <c r="C43" s="2" t="s">
        <v>896</v>
      </c>
      <c r="E43" s="2" t="str">
        <f t="shared" si="0"/>
        <v>Riley</v>
      </c>
      <c r="F43" s="2" t="str">
        <f t="shared" si="1"/>
        <v>McGree</v>
      </c>
      <c r="H43" s="2" t="str">
        <f t="shared" si="2"/>
        <v>R</v>
      </c>
      <c r="I43" s="2" t="s">
        <v>2395</v>
      </c>
      <c r="K43" s="2" t="s">
        <v>1090</v>
      </c>
      <c r="L43" t="s">
        <v>1091</v>
      </c>
      <c r="M43" s="2" t="s">
        <v>896</v>
      </c>
      <c r="N43" t="s">
        <v>2395</v>
      </c>
      <c r="O43" s="2" t="s">
        <v>57</v>
      </c>
    </row>
    <row r="44" spans="1:15">
      <c r="A44" t="s">
        <v>506</v>
      </c>
      <c r="B44" t="s">
        <v>57</v>
      </c>
      <c r="C44" s="2" t="s">
        <v>896</v>
      </c>
      <c r="E44" s="2" t="str">
        <f t="shared" si="0"/>
        <v>Cameron</v>
      </c>
      <c r="F44" s="2" t="str">
        <f t="shared" si="1"/>
        <v>Devlin</v>
      </c>
      <c r="H44" s="2" t="str">
        <f t="shared" si="2"/>
        <v>C</v>
      </c>
      <c r="I44" s="2" t="s">
        <v>2396</v>
      </c>
      <c r="K44" s="2" t="s">
        <v>1092</v>
      </c>
      <c r="L44" t="s">
        <v>1093</v>
      </c>
      <c r="M44" s="2" t="s">
        <v>896</v>
      </c>
      <c r="N44" t="s">
        <v>2396</v>
      </c>
      <c r="O44" s="2" t="s">
        <v>57</v>
      </c>
    </row>
    <row r="45" spans="1:15">
      <c r="A45" t="s">
        <v>507</v>
      </c>
      <c r="B45" t="s">
        <v>57</v>
      </c>
      <c r="C45" s="2" t="s">
        <v>896</v>
      </c>
      <c r="E45" s="2" t="str">
        <f t="shared" si="0"/>
        <v>Jackson</v>
      </c>
      <c r="F45" s="2" t="str">
        <f t="shared" si="1"/>
        <v>Irvine</v>
      </c>
      <c r="H45" s="2" t="str">
        <f t="shared" si="2"/>
        <v>J</v>
      </c>
      <c r="I45" s="2" t="s">
        <v>2397</v>
      </c>
      <c r="K45" s="2" t="s">
        <v>1094</v>
      </c>
      <c r="L45" t="s">
        <v>1095</v>
      </c>
      <c r="M45" s="2" t="s">
        <v>896</v>
      </c>
      <c r="N45" t="s">
        <v>2397</v>
      </c>
      <c r="O45" s="2" t="s">
        <v>57</v>
      </c>
    </row>
    <row r="46" spans="1:15">
      <c r="A46" t="s">
        <v>508</v>
      </c>
      <c r="B46" t="s">
        <v>57</v>
      </c>
      <c r="C46" s="2" t="s">
        <v>896</v>
      </c>
      <c r="E46" s="2" t="str">
        <f t="shared" si="0"/>
        <v>Craig</v>
      </c>
      <c r="F46" s="2" t="str">
        <f t="shared" si="1"/>
        <v>Goodwin</v>
      </c>
      <c r="H46" s="2" t="str">
        <f t="shared" si="2"/>
        <v>C</v>
      </c>
      <c r="I46" s="2" t="s">
        <v>947</v>
      </c>
      <c r="K46" s="2" t="s">
        <v>1096</v>
      </c>
      <c r="L46" t="s">
        <v>1097</v>
      </c>
      <c r="M46" s="2" t="s">
        <v>896</v>
      </c>
      <c r="N46" t="s">
        <v>947</v>
      </c>
      <c r="O46" s="2" t="s">
        <v>57</v>
      </c>
    </row>
    <row r="47" spans="1:15">
      <c r="A47" t="s">
        <v>509</v>
      </c>
      <c r="B47" t="s">
        <v>57</v>
      </c>
      <c r="C47" s="2" t="s">
        <v>896</v>
      </c>
      <c r="E47" s="2" t="str">
        <f t="shared" si="0"/>
        <v>Keanu</v>
      </c>
      <c r="F47" s="2" t="str">
        <f t="shared" si="1"/>
        <v>Baccus</v>
      </c>
      <c r="H47" s="2" t="str">
        <f t="shared" si="2"/>
        <v>K</v>
      </c>
      <c r="I47" s="2" t="s">
        <v>2398</v>
      </c>
      <c r="K47" s="2" t="s">
        <v>1098</v>
      </c>
      <c r="L47" t="s">
        <v>1099</v>
      </c>
      <c r="M47" s="2" t="s">
        <v>896</v>
      </c>
      <c r="N47" t="s">
        <v>2398</v>
      </c>
      <c r="O47" s="2" t="s">
        <v>57</v>
      </c>
    </row>
    <row r="48" spans="1:15">
      <c r="A48" t="s">
        <v>510</v>
      </c>
      <c r="B48" t="s">
        <v>66</v>
      </c>
      <c r="C48" s="2" t="s">
        <v>896</v>
      </c>
      <c r="E48" s="2" t="str">
        <f t="shared" si="0"/>
        <v>Martin</v>
      </c>
      <c r="F48" s="2" t="str">
        <f t="shared" si="1"/>
        <v>Boyle</v>
      </c>
      <c r="H48" s="2" t="str">
        <f t="shared" si="2"/>
        <v>M</v>
      </c>
      <c r="I48" s="2" t="s">
        <v>2399</v>
      </c>
      <c r="K48" s="2" t="s">
        <v>1100</v>
      </c>
      <c r="L48" t="s">
        <v>1101</v>
      </c>
      <c r="M48" s="2" t="s">
        <v>896</v>
      </c>
      <c r="N48" t="s">
        <v>2399</v>
      </c>
      <c r="O48" s="2" t="s">
        <v>66</v>
      </c>
    </row>
    <row r="49" spans="1:15">
      <c r="A49" t="s">
        <v>511</v>
      </c>
      <c r="B49" t="s">
        <v>66</v>
      </c>
      <c r="C49" s="2" t="s">
        <v>896</v>
      </c>
      <c r="E49" s="2" t="str">
        <f t="shared" si="0"/>
        <v>Mathew</v>
      </c>
      <c r="F49" s="2" t="str">
        <f t="shared" si="1"/>
        <v>Leckie</v>
      </c>
      <c r="H49" s="2" t="str">
        <f t="shared" si="2"/>
        <v>M</v>
      </c>
      <c r="I49" s="2" t="s">
        <v>2400</v>
      </c>
      <c r="K49" s="2" t="s">
        <v>1060</v>
      </c>
      <c r="L49" t="s">
        <v>1102</v>
      </c>
      <c r="M49" s="2" t="s">
        <v>896</v>
      </c>
      <c r="N49" t="s">
        <v>2400</v>
      </c>
      <c r="O49" s="2" t="s">
        <v>66</v>
      </c>
    </row>
    <row r="50" spans="1:15">
      <c r="A50" t="s">
        <v>512</v>
      </c>
      <c r="B50" t="s">
        <v>66</v>
      </c>
      <c r="C50" s="2" t="s">
        <v>896</v>
      </c>
      <c r="E50" s="2" t="str">
        <f t="shared" si="0"/>
        <v>Jamie</v>
      </c>
      <c r="F50" s="2" t="str">
        <f t="shared" si="1"/>
        <v>Maclaren</v>
      </c>
      <c r="H50" s="2" t="str">
        <f t="shared" si="2"/>
        <v>J</v>
      </c>
      <c r="I50" s="2" t="s">
        <v>2401</v>
      </c>
      <c r="K50" s="2" t="s">
        <v>1103</v>
      </c>
      <c r="L50" t="s">
        <v>1104</v>
      </c>
      <c r="M50" s="2" t="s">
        <v>896</v>
      </c>
      <c r="N50" t="s">
        <v>2401</v>
      </c>
      <c r="O50" s="2" t="s">
        <v>66</v>
      </c>
    </row>
    <row r="51" spans="1:15">
      <c r="A51" t="s">
        <v>513</v>
      </c>
      <c r="B51" t="s">
        <v>66</v>
      </c>
      <c r="C51" s="2" t="s">
        <v>896</v>
      </c>
      <c r="E51" s="2" t="str">
        <f t="shared" si="0"/>
        <v>Mitchell</v>
      </c>
      <c r="F51" s="2" t="str">
        <f t="shared" si="1"/>
        <v>Duke</v>
      </c>
      <c r="H51" s="2" t="str">
        <f t="shared" si="2"/>
        <v>M</v>
      </c>
      <c r="I51" s="2" t="s">
        <v>2402</v>
      </c>
      <c r="K51" s="2" t="s">
        <v>1105</v>
      </c>
      <c r="L51" t="s">
        <v>1106</v>
      </c>
      <c r="M51" s="2" t="s">
        <v>896</v>
      </c>
      <c r="N51" t="s">
        <v>2402</v>
      </c>
      <c r="O51" s="2" t="s">
        <v>66</v>
      </c>
    </row>
    <row r="52" spans="1:15">
      <c r="A52" t="s">
        <v>514</v>
      </c>
      <c r="B52" t="s">
        <v>66</v>
      </c>
      <c r="C52" s="2" t="s">
        <v>896</v>
      </c>
      <c r="E52" s="2" t="str">
        <f t="shared" si="0"/>
        <v>Garang</v>
      </c>
      <c r="F52" s="2" t="str">
        <f t="shared" si="1"/>
        <v>Kuol</v>
      </c>
      <c r="H52" s="2" t="str">
        <f t="shared" si="2"/>
        <v>G</v>
      </c>
      <c r="I52" s="2" t="s">
        <v>2403</v>
      </c>
      <c r="K52" s="2" t="s">
        <v>1107</v>
      </c>
      <c r="L52" t="s">
        <v>1108</v>
      </c>
      <c r="M52" s="2" t="s">
        <v>896</v>
      </c>
      <c r="N52" t="s">
        <v>2403</v>
      </c>
      <c r="O52" s="2" t="s">
        <v>66</v>
      </c>
    </row>
    <row r="53" spans="1:15">
      <c r="A53" t="s">
        <v>515</v>
      </c>
      <c r="B53" t="s">
        <v>66</v>
      </c>
      <c r="C53" s="2" t="s">
        <v>896</v>
      </c>
      <c r="E53" s="2" t="str">
        <f t="shared" si="0"/>
        <v>Jason</v>
      </c>
      <c r="F53" s="2" t="str">
        <f t="shared" si="1"/>
        <v>Cummings</v>
      </c>
      <c r="H53" s="2" t="str">
        <f t="shared" si="2"/>
        <v>J</v>
      </c>
      <c r="I53" s="2" t="s">
        <v>2404</v>
      </c>
      <c r="K53" s="2" t="s">
        <v>1109</v>
      </c>
      <c r="L53" t="s">
        <v>1110</v>
      </c>
      <c r="M53" s="2" t="s">
        <v>896</v>
      </c>
      <c r="N53" t="s">
        <v>2404</v>
      </c>
      <c r="O53" s="2" t="s">
        <v>66</v>
      </c>
    </row>
    <row r="54" spans="1:15">
      <c r="A54" t="s">
        <v>516</v>
      </c>
      <c r="B54" t="s">
        <v>44</v>
      </c>
      <c r="C54" s="2" t="s">
        <v>897</v>
      </c>
      <c r="E54" s="2" t="str">
        <f t="shared" si="0"/>
        <v>Thibaut</v>
      </c>
      <c r="F54" s="2" t="str">
        <f t="shared" si="1"/>
        <v>Courtois</v>
      </c>
      <c r="H54" s="2" t="str">
        <f t="shared" si="2"/>
        <v>T</v>
      </c>
      <c r="I54" s="2" t="s">
        <v>2405</v>
      </c>
      <c r="K54" s="2" t="s">
        <v>1111</v>
      </c>
      <c r="L54" t="s">
        <v>1112</v>
      </c>
      <c r="M54" s="2" t="s">
        <v>897</v>
      </c>
      <c r="N54" t="s">
        <v>2405</v>
      </c>
      <c r="O54" s="2" t="s">
        <v>44</v>
      </c>
    </row>
    <row r="55" spans="1:15">
      <c r="A55" t="s">
        <v>517</v>
      </c>
      <c r="B55" t="s">
        <v>44</v>
      </c>
      <c r="C55" s="2" t="s">
        <v>897</v>
      </c>
      <c r="E55" s="2" t="str">
        <f t="shared" si="0"/>
        <v>Simon</v>
      </c>
      <c r="F55" s="2" t="str">
        <f t="shared" si="1"/>
        <v>Mignolet</v>
      </c>
      <c r="H55" s="2" t="str">
        <f t="shared" si="2"/>
        <v>S</v>
      </c>
      <c r="I55" s="2" t="s">
        <v>2406</v>
      </c>
      <c r="K55" s="2" t="s">
        <v>1113</v>
      </c>
      <c r="L55" t="s">
        <v>1114</v>
      </c>
      <c r="M55" s="2" t="s">
        <v>897</v>
      </c>
      <c r="N55" t="s">
        <v>2406</v>
      </c>
      <c r="O55" s="2" t="s">
        <v>44</v>
      </c>
    </row>
    <row r="56" spans="1:15">
      <c r="A56" t="s">
        <v>518</v>
      </c>
      <c r="B56" t="s">
        <v>44</v>
      </c>
      <c r="C56" t="s">
        <v>897</v>
      </c>
      <c r="E56" s="2" t="str">
        <f t="shared" si="0"/>
        <v>Koen</v>
      </c>
      <c r="F56" s="2" t="str">
        <f t="shared" si="1"/>
        <v>Casteels</v>
      </c>
      <c r="H56" s="2" t="str">
        <f t="shared" si="2"/>
        <v>K</v>
      </c>
      <c r="I56" s="2" t="s">
        <v>2407</v>
      </c>
      <c r="K56" s="2" t="s">
        <v>1115</v>
      </c>
      <c r="L56" t="s">
        <v>1116</v>
      </c>
      <c r="M56" s="2" t="s">
        <v>897</v>
      </c>
      <c r="N56" t="s">
        <v>2407</v>
      </c>
      <c r="O56" s="2" t="s">
        <v>44</v>
      </c>
    </row>
    <row r="57" spans="1:15">
      <c r="A57" t="s">
        <v>519</v>
      </c>
      <c r="B57" t="s">
        <v>48</v>
      </c>
      <c r="C57" t="s">
        <v>897</v>
      </c>
      <c r="E57" s="2" t="str">
        <f t="shared" si="0"/>
        <v>Toby</v>
      </c>
      <c r="F57" s="2" t="str">
        <f t="shared" si="1"/>
        <v>Alderweireld</v>
      </c>
      <c r="H57" s="2" t="str">
        <f t="shared" si="2"/>
        <v>T</v>
      </c>
      <c r="I57" s="2" t="s">
        <v>2408</v>
      </c>
      <c r="K57" s="2" t="s">
        <v>1117</v>
      </c>
      <c r="L57" t="s">
        <v>1118</v>
      </c>
      <c r="M57" s="2" t="s">
        <v>897</v>
      </c>
      <c r="N57" t="s">
        <v>2408</v>
      </c>
      <c r="O57" s="2" t="s">
        <v>48</v>
      </c>
    </row>
    <row r="58" spans="1:15">
      <c r="A58" t="s">
        <v>520</v>
      </c>
      <c r="B58" t="s">
        <v>48</v>
      </c>
      <c r="C58" s="2" t="s">
        <v>897</v>
      </c>
      <c r="E58" s="2" t="str">
        <f t="shared" si="0"/>
        <v>Arthur</v>
      </c>
      <c r="F58" s="2" t="str">
        <f t="shared" si="1"/>
        <v>Theate</v>
      </c>
      <c r="H58" s="2" t="str">
        <f t="shared" si="2"/>
        <v>A</v>
      </c>
      <c r="I58" s="2" t="s">
        <v>2409</v>
      </c>
      <c r="K58" s="2" t="s">
        <v>1119</v>
      </c>
      <c r="L58" t="s">
        <v>1120</v>
      </c>
      <c r="M58" s="2" t="s">
        <v>897</v>
      </c>
      <c r="N58" t="s">
        <v>2409</v>
      </c>
      <c r="O58" s="2" t="s">
        <v>48</v>
      </c>
    </row>
    <row r="59" spans="1:15">
      <c r="A59" t="s">
        <v>521</v>
      </c>
      <c r="B59" t="s">
        <v>48</v>
      </c>
      <c r="C59" s="2" t="s">
        <v>897</v>
      </c>
      <c r="E59" s="2" t="str">
        <f t="shared" si="0"/>
        <v>Wout</v>
      </c>
      <c r="F59" s="2" t="str">
        <f t="shared" si="1"/>
        <v>Faes</v>
      </c>
      <c r="H59" s="2" t="str">
        <f t="shared" si="2"/>
        <v>W</v>
      </c>
      <c r="I59" s="2" t="s">
        <v>2410</v>
      </c>
      <c r="K59" s="2" t="s">
        <v>1121</v>
      </c>
      <c r="L59" t="s">
        <v>1122</v>
      </c>
      <c r="M59" s="2" t="s">
        <v>897</v>
      </c>
      <c r="N59" t="s">
        <v>2410</v>
      </c>
      <c r="O59" s="2" t="s">
        <v>48</v>
      </c>
    </row>
    <row r="60" spans="1:15">
      <c r="A60" t="s">
        <v>522</v>
      </c>
      <c r="B60" t="s">
        <v>48</v>
      </c>
      <c r="C60" s="2" t="s">
        <v>897</v>
      </c>
      <c r="E60" s="2" t="str">
        <f t="shared" si="0"/>
        <v>Jan</v>
      </c>
      <c r="F60" s="2" t="str">
        <f t="shared" si="1"/>
        <v>Vertonghen</v>
      </c>
      <c r="H60" s="2" t="str">
        <f t="shared" si="2"/>
        <v>J</v>
      </c>
      <c r="I60" s="2" t="s">
        <v>2411</v>
      </c>
      <c r="K60" s="2" t="s">
        <v>1123</v>
      </c>
      <c r="L60" t="s">
        <v>1124</v>
      </c>
      <c r="M60" s="2" t="s">
        <v>897</v>
      </c>
      <c r="N60" t="s">
        <v>2411</v>
      </c>
      <c r="O60" s="2" t="s">
        <v>48</v>
      </c>
    </row>
    <row r="61" spans="1:15">
      <c r="A61" t="s">
        <v>523</v>
      </c>
      <c r="B61" t="s">
        <v>48</v>
      </c>
      <c r="C61" s="2" t="s">
        <v>897</v>
      </c>
      <c r="E61" s="2" t="str">
        <f t="shared" si="0"/>
        <v>Thomas</v>
      </c>
      <c r="F61" s="2" t="str">
        <f t="shared" si="1"/>
        <v>Meunier</v>
      </c>
      <c r="H61" s="2" t="str">
        <f t="shared" si="2"/>
        <v>T</v>
      </c>
      <c r="I61" s="2" t="s">
        <v>2412</v>
      </c>
      <c r="K61" s="2" t="s">
        <v>1080</v>
      </c>
      <c r="L61" t="s">
        <v>1125</v>
      </c>
      <c r="M61" s="2" t="s">
        <v>897</v>
      </c>
      <c r="N61" t="s">
        <v>2412</v>
      </c>
      <c r="O61" s="2" t="s">
        <v>48</v>
      </c>
    </row>
    <row r="62" spans="1:15">
      <c r="A62" t="s">
        <v>524</v>
      </c>
      <c r="B62" t="s">
        <v>48</v>
      </c>
      <c r="C62" s="2" t="s">
        <v>897</v>
      </c>
      <c r="E62" s="2" t="str">
        <f t="shared" si="0"/>
        <v>Timothy</v>
      </c>
      <c r="F62" s="2" t="str">
        <f t="shared" si="1"/>
        <v>Castagne</v>
      </c>
      <c r="H62" s="2" t="str">
        <f t="shared" si="2"/>
        <v>T</v>
      </c>
      <c r="I62" s="2" t="s">
        <v>2413</v>
      </c>
      <c r="K62" s="2" t="s">
        <v>1126</v>
      </c>
      <c r="L62" t="s">
        <v>1127</v>
      </c>
      <c r="M62" s="2" t="s">
        <v>897</v>
      </c>
      <c r="N62" t="s">
        <v>2413</v>
      </c>
      <c r="O62" s="2" t="s">
        <v>48</v>
      </c>
    </row>
    <row r="63" spans="1:15">
      <c r="A63" t="s">
        <v>525</v>
      </c>
      <c r="B63" t="s">
        <v>48</v>
      </c>
      <c r="C63" s="2" t="s">
        <v>897</v>
      </c>
      <c r="E63" s="2" t="str">
        <f t="shared" si="0"/>
        <v>Zeno</v>
      </c>
      <c r="F63" s="2" t="str">
        <f t="shared" si="1"/>
        <v>Debast</v>
      </c>
      <c r="H63" s="2" t="str">
        <f t="shared" si="2"/>
        <v>Z</v>
      </c>
      <c r="I63" s="2" t="s">
        <v>2414</v>
      </c>
      <c r="K63" s="2" t="s">
        <v>1128</v>
      </c>
      <c r="L63" t="s">
        <v>1129</v>
      </c>
      <c r="M63" s="2" t="s">
        <v>897</v>
      </c>
      <c r="N63" t="s">
        <v>2414</v>
      </c>
      <c r="O63" s="2" t="s">
        <v>48</v>
      </c>
    </row>
    <row r="64" spans="1:15">
      <c r="A64" t="s">
        <v>526</v>
      </c>
      <c r="B64" t="s">
        <v>57</v>
      </c>
      <c r="C64" s="2" t="s">
        <v>897</v>
      </c>
      <c r="E64" s="2" t="str">
        <f t="shared" si="0"/>
        <v>Axel</v>
      </c>
      <c r="F64" s="2" t="str">
        <f t="shared" si="1"/>
        <v>Witsel</v>
      </c>
      <c r="H64" s="2" t="str">
        <f t="shared" si="2"/>
        <v>A</v>
      </c>
      <c r="I64" s="2" t="s">
        <v>2415</v>
      </c>
      <c r="K64" s="2" t="s">
        <v>1130</v>
      </c>
      <c r="L64" t="s">
        <v>1131</v>
      </c>
      <c r="M64" s="2" t="s">
        <v>897</v>
      </c>
      <c r="N64" t="s">
        <v>2415</v>
      </c>
      <c r="O64" s="2" t="s">
        <v>57</v>
      </c>
    </row>
    <row r="65" spans="1:15">
      <c r="A65" t="s">
        <v>527</v>
      </c>
      <c r="B65" t="s">
        <v>57</v>
      </c>
      <c r="C65" s="2" t="s">
        <v>897</v>
      </c>
      <c r="E65" s="2" t="str">
        <f t="shared" si="0"/>
        <v>Kevin</v>
      </c>
      <c r="F65" s="2" t="str">
        <f t="shared" si="1"/>
        <v>De Bruyne</v>
      </c>
      <c r="H65" s="2" t="str">
        <f t="shared" si="2"/>
        <v>K</v>
      </c>
      <c r="I65" s="2" t="s">
        <v>2416</v>
      </c>
      <c r="K65" s="2" t="s">
        <v>1132</v>
      </c>
      <c r="L65" t="s">
        <v>1133</v>
      </c>
      <c r="M65" s="2" t="s">
        <v>897</v>
      </c>
      <c r="N65" t="s">
        <v>2416</v>
      </c>
      <c r="O65" s="2" t="s">
        <v>57</v>
      </c>
    </row>
    <row r="66" spans="1:15">
      <c r="A66" t="s">
        <v>528</v>
      </c>
      <c r="B66" t="s">
        <v>57</v>
      </c>
      <c r="C66" s="2" t="s">
        <v>897</v>
      </c>
      <c r="E66" s="2" t="str">
        <f t="shared" si="0"/>
        <v>Youri</v>
      </c>
      <c r="F66" s="2" t="str">
        <f t="shared" si="1"/>
        <v>Tielemans</v>
      </c>
      <c r="H66" s="2" t="str">
        <f t="shared" si="2"/>
        <v>Y</v>
      </c>
      <c r="I66" s="2" t="s">
        <v>2417</v>
      </c>
      <c r="K66" s="2" t="s">
        <v>1134</v>
      </c>
      <c r="L66" t="s">
        <v>1135</v>
      </c>
      <c r="M66" s="2" t="s">
        <v>897</v>
      </c>
      <c r="N66" t="s">
        <v>2417</v>
      </c>
      <c r="O66" s="2" t="s">
        <v>57</v>
      </c>
    </row>
    <row r="67" spans="1:15">
      <c r="A67" t="s">
        <v>529</v>
      </c>
      <c r="B67" t="s">
        <v>57</v>
      </c>
      <c r="C67" s="2" t="s">
        <v>897</v>
      </c>
      <c r="E67" s="2" t="str">
        <f t="shared" ref="E67:E130" si="3">IF(ISERROR(FIND(" ",A67)),"", LEFT(A67,FIND(" ",A67)-1))</f>
        <v>Yannick</v>
      </c>
      <c r="F67" s="2" t="str">
        <f t="shared" ref="F67:F130" si="4">IF(ISERROR(FIND(" ",A67)),A67,RIGHT(A67,LEN(A67)-FIND(" ",A67)))</f>
        <v>Carrasco</v>
      </c>
      <c r="H67" s="2" t="str">
        <f t="shared" ref="H67:H130" si="5">LEFT(E67,1)</f>
        <v>Y</v>
      </c>
      <c r="I67" s="2" t="s">
        <v>2418</v>
      </c>
      <c r="K67" s="2" t="s">
        <v>1136</v>
      </c>
      <c r="L67" t="s">
        <v>1137</v>
      </c>
      <c r="M67" s="2" t="s">
        <v>897</v>
      </c>
      <c r="N67" t="s">
        <v>2418</v>
      </c>
      <c r="O67" s="2" t="s">
        <v>57</v>
      </c>
    </row>
    <row r="68" spans="1:15">
      <c r="A68" t="s">
        <v>530</v>
      </c>
      <c r="B68" t="s">
        <v>57</v>
      </c>
      <c r="C68" s="2" t="s">
        <v>897</v>
      </c>
      <c r="E68" s="2" t="str">
        <f t="shared" si="3"/>
        <v>Thorgan</v>
      </c>
      <c r="F68" s="2" t="str">
        <f t="shared" si="4"/>
        <v>Hazard</v>
      </c>
      <c r="H68" s="2" t="str">
        <f t="shared" si="5"/>
        <v>T</v>
      </c>
      <c r="I68" s="2" t="s">
        <v>2419</v>
      </c>
      <c r="K68" s="2" t="s">
        <v>1138</v>
      </c>
      <c r="L68" t="s">
        <v>1139</v>
      </c>
      <c r="M68" s="2" t="s">
        <v>897</v>
      </c>
      <c r="N68" t="s">
        <v>2419</v>
      </c>
      <c r="O68" s="2" t="s">
        <v>57</v>
      </c>
    </row>
    <row r="69" spans="1:15">
      <c r="A69" t="s">
        <v>531</v>
      </c>
      <c r="B69" t="s">
        <v>57</v>
      </c>
      <c r="C69" s="2" t="s">
        <v>897</v>
      </c>
      <c r="E69" s="2" t="str">
        <f t="shared" si="3"/>
        <v>Amadou</v>
      </c>
      <c r="F69" s="2" t="str">
        <f t="shared" si="4"/>
        <v>Onana</v>
      </c>
      <c r="H69" s="2" t="str">
        <f t="shared" si="5"/>
        <v>A</v>
      </c>
      <c r="I69" s="2" t="s">
        <v>2420</v>
      </c>
      <c r="K69" s="2" t="s">
        <v>1140</v>
      </c>
      <c r="L69" t="s">
        <v>1141</v>
      </c>
      <c r="M69" s="2" t="s">
        <v>897</v>
      </c>
      <c r="N69" t="s">
        <v>2420</v>
      </c>
      <c r="O69" s="2" t="s">
        <v>57</v>
      </c>
    </row>
    <row r="70" spans="1:15">
      <c r="A70" t="s">
        <v>532</v>
      </c>
      <c r="B70" t="s">
        <v>57</v>
      </c>
      <c r="C70" s="2" t="s">
        <v>897</v>
      </c>
      <c r="E70" s="2" t="str">
        <f t="shared" si="3"/>
        <v>Leander</v>
      </c>
      <c r="F70" s="2" t="str">
        <f t="shared" si="4"/>
        <v>Dendoncker</v>
      </c>
      <c r="H70" s="2" t="str">
        <f t="shared" si="5"/>
        <v>L</v>
      </c>
      <c r="I70" s="2" t="s">
        <v>2421</v>
      </c>
      <c r="K70" s="2" t="s">
        <v>1142</v>
      </c>
      <c r="L70" t="s">
        <v>1143</v>
      </c>
      <c r="M70" s="2" t="s">
        <v>897</v>
      </c>
      <c r="N70" t="s">
        <v>2421</v>
      </c>
      <c r="O70" s="2" t="s">
        <v>57</v>
      </c>
    </row>
    <row r="71" spans="1:15">
      <c r="A71" t="s">
        <v>533</v>
      </c>
      <c r="B71" t="s">
        <v>57</v>
      </c>
      <c r="C71" s="2" t="s">
        <v>897</v>
      </c>
      <c r="E71" s="2" t="str">
        <f t="shared" si="3"/>
        <v>Hans</v>
      </c>
      <c r="F71" s="2" t="str">
        <f t="shared" si="4"/>
        <v>Vanaken</v>
      </c>
      <c r="H71" s="2" t="str">
        <f t="shared" si="5"/>
        <v>H</v>
      </c>
      <c r="I71" s="2" t="s">
        <v>2422</v>
      </c>
      <c r="K71" s="2" t="s">
        <v>1144</v>
      </c>
      <c r="L71" t="s">
        <v>1145</v>
      </c>
      <c r="M71" s="2" t="s">
        <v>897</v>
      </c>
      <c r="N71" t="s">
        <v>2422</v>
      </c>
      <c r="O71" s="2" t="s">
        <v>57</v>
      </c>
    </row>
    <row r="72" spans="1:15">
      <c r="A72" t="s">
        <v>534</v>
      </c>
      <c r="B72" t="s">
        <v>57</v>
      </c>
      <c r="C72" s="2" t="s">
        <v>897</v>
      </c>
      <c r="E72" s="2" t="str">
        <f t="shared" si="3"/>
        <v>Charles</v>
      </c>
      <c r="F72" s="2" t="str">
        <f t="shared" si="4"/>
        <v>De Ketelaere</v>
      </c>
      <c r="H72" s="2" t="str">
        <f t="shared" si="5"/>
        <v>C</v>
      </c>
      <c r="I72" s="2" t="s">
        <v>2423</v>
      </c>
      <c r="K72" s="2" t="s">
        <v>1146</v>
      </c>
      <c r="L72" t="s">
        <v>1147</v>
      </c>
      <c r="M72" s="2" t="s">
        <v>897</v>
      </c>
      <c r="N72" t="s">
        <v>2423</v>
      </c>
      <c r="O72" s="2" t="s">
        <v>57</v>
      </c>
    </row>
    <row r="73" spans="1:15">
      <c r="A73" t="s">
        <v>535</v>
      </c>
      <c r="B73" t="s">
        <v>66</v>
      </c>
      <c r="C73" s="2" t="s">
        <v>897</v>
      </c>
      <c r="E73" s="2" t="str">
        <f t="shared" si="3"/>
        <v>Romelu</v>
      </c>
      <c r="F73" s="2" t="str">
        <f t="shared" si="4"/>
        <v>Lukaku</v>
      </c>
      <c r="H73" s="2" t="str">
        <f t="shared" si="5"/>
        <v>R</v>
      </c>
      <c r="I73" s="2" t="s">
        <v>2424</v>
      </c>
      <c r="K73" s="2" t="s">
        <v>1148</v>
      </c>
      <c r="L73" t="s">
        <v>1149</v>
      </c>
      <c r="M73" s="2" t="s">
        <v>897</v>
      </c>
      <c r="N73" t="s">
        <v>2424</v>
      </c>
      <c r="O73" s="2" t="s">
        <v>66</v>
      </c>
    </row>
    <row r="74" spans="1:15">
      <c r="A74" t="s">
        <v>536</v>
      </c>
      <c r="B74" t="s">
        <v>66</v>
      </c>
      <c r="C74" s="2" t="s">
        <v>897</v>
      </c>
      <c r="E74" s="2" t="str">
        <f t="shared" si="3"/>
        <v>Eden</v>
      </c>
      <c r="F74" s="2" t="str">
        <f t="shared" si="4"/>
        <v>Hazard</v>
      </c>
      <c r="H74" s="2" t="str">
        <f t="shared" si="5"/>
        <v>E</v>
      </c>
      <c r="I74" s="2" t="s">
        <v>2425</v>
      </c>
      <c r="K74" s="2" t="s">
        <v>1150</v>
      </c>
      <c r="L74" t="s">
        <v>1139</v>
      </c>
      <c r="M74" s="2" t="s">
        <v>897</v>
      </c>
      <c r="N74" t="s">
        <v>2425</v>
      </c>
      <c r="O74" s="2" t="s">
        <v>66</v>
      </c>
    </row>
    <row r="75" spans="1:15">
      <c r="A75" t="s">
        <v>537</v>
      </c>
      <c r="B75" t="s">
        <v>66</v>
      </c>
      <c r="C75" s="2" t="s">
        <v>897</v>
      </c>
      <c r="E75" s="2" t="str">
        <f t="shared" si="3"/>
        <v>Dries</v>
      </c>
      <c r="F75" s="2" t="str">
        <f t="shared" si="4"/>
        <v>Mertens</v>
      </c>
      <c r="H75" s="2" t="str">
        <f t="shared" si="5"/>
        <v>D</v>
      </c>
      <c r="I75" s="2" t="s">
        <v>2426</v>
      </c>
      <c r="K75" s="2" t="s">
        <v>1151</v>
      </c>
      <c r="L75" t="s">
        <v>1152</v>
      </c>
      <c r="M75" s="2" t="s">
        <v>897</v>
      </c>
      <c r="N75" t="s">
        <v>2426</v>
      </c>
      <c r="O75" s="2" t="s">
        <v>66</v>
      </c>
    </row>
    <row r="76" spans="1:15">
      <c r="A76" t="s">
        <v>538</v>
      </c>
      <c r="B76" t="s">
        <v>66</v>
      </c>
      <c r="C76" s="2" t="s">
        <v>897</v>
      </c>
      <c r="E76" s="2" t="str">
        <f t="shared" si="3"/>
        <v>Leandro</v>
      </c>
      <c r="F76" s="2" t="str">
        <f t="shared" si="4"/>
        <v>Trossard</v>
      </c>
      <c r="H76" s="2" t="str">
        <f t="shared" si="5"/>
        <v>L</v>
      </c>
      <c r="I76" s="2" t="s">
        <v>2427</v>
      </c>
      <c r="K76" s="2" t="s">
        <v>1034</v>
      </c>
      <c r="L76" t="s">
        <v>1153</v>
      </c>
      <c r="M76" s="2" t="s">
        <v>897</v>
      </c>
      <c r="N76" t="s">
        <v>2427</v>
      </c>
      <c r="O76" s="2" t="s">
        <v>66</v>
      </c>
    </row>
    <row r="77" spans="1:15">
      <c r="A77" t="s">
        <v>539</v>
      </c>
      <c r="B77" t="s">
        <v>66</v>
      </c>
      <c r="C77" s="2" t="s">
        <v>897</v>
      </c>
      <c r="E77" s="2" t="str">
        <f t="shared" si="3"/>
        <v>Michy</v>
      </c>
      <c r="F77" s="2" t="str">
        <f t="shared" si="4"/>
        <v>Batshuayi</v>
      </c>
      <c r="H77" s="2" t="str">
        <f t="shared" si="5"/>
        <v>M</v>
      </c>
      <c r="I77" s="2" t="s">
        <v>1011</v>
      </c>
      <c r="K77" s="2" t="s">
        <v>1154</v>
      </c>
      <c r="L77" t="s">
        <v>1155</v>
      </c>
      <c r="M77" s="2" t="s">
        <v>897</v>
      </c>
      <c r="N77" t="s">
        <v>1011</v>
      </c>
      <c r="O77" s="2" t="s">
        <v>66</v>
      </c>
    </row>
    <row r="78" spans="1:15">
      <c r="A78" t="s">
        <v>540</v>
      </c>
      <c r="B78" t="s">
        <v>66</v>
      </c>
      <c r="C78" s="2" t="s">
        <v>897</v>
      </c>
      <c r="E78" s="2" t="str">
        <f t="shared" si="3"/>
        <v>Loïs</v>
      </c>
      <c r="F78" s="2" t="str">
        <f t="shared" si="4"/>
        <v>Openda</v>
      </c>
      <c r="H78" s="2" t="str">
        <f t="shared" si="5"/>
        <v>L</v>
      </c>
      <c r="I78" s="2" t="s">
        <v>2428</v>
      </c>
      <c r="K78" s="2" t="s">
        <v>1156</v>
      </c>
      <c r="L78" t="s">
        <v>1157</v>
      </c>
      <c r="M78" s="2" t="s">
        <v>897</v>
      </c>
      <c r="N78" t="s">
        <v>2428</v>
      </c>
      <c r="O78" s="2" t="s">
        <v>66</v>
      </c>
    </row>
    <row r="79" spans="1:15">
      <c r="A79" t="s">
        <v>541</v>
      </c>
      <c r="B79" t="s">
        <v>66</v>
      </c>
      <c r="C79" s="2" t="s">
        <v>897</v>
      </c>
      <c r="E79" s="2" t="str">
        <f t="shared" si="3"/>
        <v>Jérémy</v>
      </c>
      <c r="F79" s="2" t="str">
        <f t="shared" si="4"/>
        <v>Doku</v>
      </c>
      <c r="H79" s="2" t="str">
        <f t="shared" si="5"/>
        <v>J</v>
      </c>
      <c r="I79" s="2" t="s">
        <v>2429</v>
      </c>
      <c r="K79" s="2" t="s">
        <v>1158</v>
      </c>
      <c r="L79" t="s">
        <v>1159</v>
      </c>
      <c r="M79" s="2" t="s">
        <v>897</v>
      </c>
      <c r="N79" t="s">
        <v>2429</v>
      </c>
      <c r="O79" s="2" t="s">
        <v>66</v>
      </c>
    </row>
    <row r="80" spans="1:15">
      <c r="A80" t="s">
        <v>542</v>
      </c>
      <c r="B80" t="s">
        <v>44</v>
      </c>
      <c r="C80" s="2" t="s">
        <v>898</v>
      </c>
      <c r="E80" s="2" t="str">
        <f t="shared" si="3"/>
        <v/>
      </c>
      <c r="F80" s="2" t="str">
        <f t="shared" si="4"/>
        <v>Alisson</v>
      </c>
      <c r="H80" s="2" t="str">
        <f t="shared" si="5"/>
        <v/>
      </c>
      <c r="I80" s="2" t="s">
        <v>2430</v>
      </c>
      <c r="K80" s="2" t="s">
        <v>1160</v>
      </c>
      <c r="L80" t="s">
        <v>542</v>
      </c>
      <c r="M80" s="2" t="s">
        <v>898</v>
      </c>
      <c r="N80" t="s">
        <v>2430</v>
      </c>
      <c r="O80" s="2" t="s">
        <v>44</v>
      </c>
    </row>
    <row r="81" spans="1:15">
      <c r="A81" t="s">
        <v>543</v>
      </c>
      <c r="B81" t="s">
        <v>44</v>
      </c>
      <c r="C81" s="2" t="s">
        <v>898</v>
      </c>
      <c r="E81" s="2" t="str">
        <f t="shared" si="3"/>
        <v/>
      </c>
      <c r="F81" s="2" t="str">
        <f t="shared" si="4"/>
        <v>Weverton</v>
      </c>
      <c r="H81" s="2" t="str">
        <f t="shared" si="5"/>
        <v/>
      </c>
      <c r="I81" s="2" t="s">
        <v>2431</v>
      </c>
      <c r="K81" s="2" t="s">
        <v>1160</v>
      </c>
      <c r="L81" t="s">
        <v>543</v>
      </c>
      <c r="M81" s="2" t="s">
        <v>898</v>
      </c>
      <c r="N81" t="s">
        <v>2431</v>
      </c>
      <c r="O81" s="2" t="s">
        <v>44</v>
      </c>
    </row>
    <row r="82" spans="1:15">
      <c r="A82" t="s">
        <v>544</v>
      </c>
      <c r="B82" t="s">
        <v>44</v>
      </c>
      <c r="C82" s="2" t="s">
        <v>898</v>
      </c>
      <c r="E82" s="2" t="str">
        <f t="shared" si="3"/>
        <v/>
      </c>
      <c r="F82" s="2" t="str">
        <f t="shared" si="4"/>
        <v>Ederson</v>
      </c>
      <c r="H82" s="2" t="str">
        <f t="shared" si="5"/>
        <v/>
      </c>
      <c r="I82" s="2" t="s">
        <v>2432</v>
      </c>
      <c r="K82" s="2" t="s">
        <v>1160</v>
      </c>
      <c r="L82" t="s">
        <v>544</v>
      </c>
      <c r="M82" s="2" t="s">
        <v>898</v>
      </c>
      <c r="N82" t="s">
        <v>2432</v>
      </c>
      <c r="O82" s="2" t="s">
        <v>44</v>
      </c>
    </row>
    <row r="83" spans="1:15">
      <c r="A83" t="s">
        <v>545</v>
      </c>
      <c r="B83" t="s">
        <v>48</v>
      </c>
      <c r="C83" t="s">
        <v>898</v>
      </c>
      <c r="E83" s="2" t="str">
        <f t="shared" si="3"/>
        <v/>
      </c>
      <c r="F83" s="2" t="str">
        <f t="shared" si="4"/>
        <v>Danilo</v>
      </c>
      <c r="H83" s="2" t="str">
        <f t="shared" si="5"/>
        <v/>
      </c>
      <c r="I83" s="2" t="s">
        <v>2433</v>
      </c>
      <c r="K83" s="2" t="s">
        <v>1160</v>
      </c>
      <c r="L83" t="s">
        <v>545</v>
      </c>
      <c r="M83" s="2" t="s">
        <v>898</v>
      </c>
      <c r="N83" t="s">
        <v>2433</v>
      </c>
      <c r="O83" s="2" t="s">
        <v>48</v>
      </c>
    </row>
    <row r="84" spans="1:15">
      <c r="A84" t="s">
        <v>546</v>
      </c>
      <c r="B84" t="s">
        <v>48</v>
      </c>
      <c r="C84" t="s">
        <v>898</v>
      </c>
      <c r="E84" s="2" t="str">
        <f t="shared" si="3"/>
        <v>Thiago</v>
      </c>
      <c r="F84" s="2" t="str">
        <f t="shared" si="4"/>
        <v>Silva</v>
      </c>
      <c r="H84" s="2" t="str">
        <f t="shared" si="5"/>
        <v>T</v>
      </c>
      <c r="I84" s="2" t="s">
        <v>2434</v>
      </c>
      <c r="K84" s="2" t="s">
        <v>1161</v>
      </c>
      <c r="L84" t="s">
        <v>1162</v>
      </c>
      <c r="M84" s="2" t="s">
        <v>898</v>
      </c>
      <c r="N84" t="s">
        <v>2434</v>
      </c>
      <c r="O84" s="2" t="s">
        <v>48</v>
      </c>
    </row>
    <row r="85" spans="1:15">
      <c r="A85" t="s">
        <v>547</v>
      </c>
      <c r="B85" t="s">
        <v>48</v>
      </c>
      <c r="C85" s="2" t="s">
        <v>898</v>
      </c>
      <c r="E85" s="2" t="str">
        <f t="shared" si="3"/>
        <v/>
      </c>
      <c r="F85" s="2" t="str">
        <f t="shared" si="4"/>
        <v>Marquinhos</v>
      </c>
      <c r="H85" s="2" t="str">
        <f t="shared" si="5"/>
        <v/>
      </c>
      <c r="I85" s="2" t="s">
        <v>2435</v>
      </c>
      <c r="K85" s="2" t="s">
        <v>1160</v>
      </c>
      <c r="L85" t="s">
        <v>547</v>
      </c>
      <c r="M85" s="2" t="s">
        <v>898</v>
      </c>
      <c r="N85" t="s">
        <v>2435</v>
      </c>
      <c r="O85" s="2" t="s">
        <v>48</v>
      </c>
    </row>
    <row r="86" spans="1:15">
      <c r="A86" t="s">
        <v>548</v>
      </c>
      <c r="B86" t="s">
        <v>48</v>
      </c>
      <c r="C86" s="2" t="s">
        <v>898</v>
      </c>
      <c r="E86" s="2" t="str">
        <f t="shared" si="3"/>
        <v>Alex</v>
      </c>
      <c r="F86" s="2" t="str">
        <f t="shared" si="4"/>
        <v>Sandro</v>
      </c>
      <c r="H86" s="2" t="str">
        <f t="shared" si="5"/>
        <v>A</v>
      </c>
      <c r="I86" s="2" t="s">
        <v>2436</v>
      </c>
      <c r="K86" s="2" t="s">
        <v>1163</v>
      </c>
      <c r="L86" t="s">
        <v>1164</v>
      </c>
      <c r="M86" s="2" t="s">
        <v>898</v>
      </c>
      <c r="N86" t="s">
        <v>2436</v>
      </c>
      <c r="O86" s="2" t="s">
        <v>48</v>
      </c>
    </row>
    <row r="87" spans="1:15">
      <c r="A87" t="s">
        <v>549</v>
      </c>
      <c r="B87" t="s">
        <v>48</v>
      </c>
      <c r="C87" s="2" t="s">
        <v>898</v>
      </c>
      <c r="E87" s="2" t="str">
        <f t="shared" si="3"/>
        <v>Dani</v>
      </c>
      <c r="F87" s="2" t="str">
        <f t="shared" si="4"/>
        <v>Alves</v>
      </c>
      <c r="H87" s="2" t="str">
        <f t="shared" si="5"/>
        <v>D</v>
      </c>
      <c r="I87" s="2" t="s">
        <v>2437</v>
      </c>
      <c r="K87" s="2" t="s">
        <v>1165</v>
      </c>
      <c r="L87" t="s">
        <v>1166</v>
      </c>
      <c r="M87" s="2" t="s">
        <v>898</v>
      </c>
      <c r="N87" t="s">
        <v>2437</v>
      </c>
      <c r="O87" s="2" t="s">
        <v>48</v>
      </c>
    </row>
    <row r="88" spans="1:15">
      <c r="A88" t="s">
        <v>550</v>
      </c>
      <c r="B88" t="s">
        <v>48</v>
      </c>
      <c r="C88" s="2" t="s">
        <v>898</v>
      </c>
      <c r="E88" s="2" t="str">
        <f t="shared" si="3"/>
        <v>Éder</v>
      </c>
      <c r="F88" s="2" t="str">
        <f t="shared" si="4"/>
        <v>Militão</v>
      </c>
      <c r="H88" s="2" t="str">
        <f t="shared" si="5"/>
        <v>É</v>
      </c>
      <c r="I88" s="2" t="s">
        <v>2438</v>
      </c>
      <c r="K88" s="2" t="s">
        <v>1167</v>
      </c>
      <c r="L88" t="s">
        <v>1168</v>
      </c>
      <c r="M88" s="2" t="s">
        <v>898</v>
      </c>
      <c r="N88" t="s">
        <v>2438</v>
      </c>
      <c r="O88" s="2" t="s">
        <v>48</v>
      </c>
    </row>
    <row r="89" spans="1:15">
      <c r="A89" t="s">
        <v>551</v>
      </c>
      <c r="B89" t="s">
        <v>48</v>
      </c>
      <c r="C89" s="2" t="s">
        <v>898</v>
      </c>
      <c r="E89" s="2" t="str">
        <f t="shared" si="3"/>
        <v>Alex</v>
      </c>
      <c r="F89" s="2" t="str">
        <f t="shared" si="4"/>
        <v>Telles</v>
      </c>
      <c r="H89" s="2" t="str">
        <f t="shared" si="5"/>
        <v>A</v>
      </c>
      <c r="I89" s="2" t="s">
        <v>2439</v>
      </c>
      <c r="K89" s="2" t="s">
        <v>1163</v>
      </c>
      <c r="L89" t="s">
        <v>1169</v>
      </c>
      <c r="M89" s="2" t="s">
        <v>898</v>
      </c>
      <c r="N89" t="s">
        <v>2439</v>
      </c>
      <c r="O89" s="2" t="s">
        <v>48</v>
      </c>
    </row>
    <row r="90" spans="1:15">
      <c r="A90" t="s">
        <v>552</v>
      </c>
      <c r="B90" t="s">
        <v>48</v>
      </c>
      <c r="C90" s="2" t="s">
        <v>898</v>
      </c>
      <c r="E90" s="2" t="str">
        <f t="shared" si="3"/>
        <v/>
      </c>
      <c r="F90" s="2" t="str">
        <f t="shared" si="4"/>
        <v>Bremer</v>
      </c>
      <c r="H90" s="2" t="str">
        <f t="shared" si="5"/>
        <v/>
      </c>
      <c r="I90" s="2" t="s">
        <v>2440</v>
      </c>
      <c r="K90" s="2" t="s">
        <v>1160</v>
      </c>
      <c r="L90" t="s">
        <v>552</v>
      </c>
      <c r="M90" s="2" t="s">
        <v>898</v>
      </c>
      <c r="N90" t="s">
        <v>2440</v>
      </c>
      <c r="O90" s="2" t="s">
        <v>48</v>
      </c>
    </row>
    <row r="91" spans="1:15">
      <c r="A91" t="s">
        <v>553</v>
      </c>
      <c r="B91" t="s">
        <v>57</v>
      </c>
      <c r="C91" s="2" t="s">
        <v>898</v>
      </c>
      <c r="E91" s="2" t="str">
        <f t="shared" si="3"/>
        <v/>
      </c>
      <c r="F91" s="2" t="str">
        <f t="shared" si="4"/>
        <v>Casemiro</v>
      </c>
      <c r="H91" s="2" t="str">
        <f t="shared" si="5"/>
        <v/>
      </c>
      <c r="I91" s="2" t="s">
        <v>2441</v>
      </c>
      <c r="K91" s="2" t="s">
        <v>1160</v>
      </c>
      <c r="L91" t="s">
        <v>553</v>
      </c>
      <c r="M91" s="2" t="s">
        <v>898</v>
      </c>
      <c r="N91" t="s">
        <v>2441</v>
      </c>
      <c r="O91" s="2" t="s">
        <v>57</v>
      </c>
    </row>
    <row r="92" spans="1:15">
      <c r="A92" t="s">
        <v>554</v>
      </c>
      <c r="B92" t="s">
        <v>57</v>
      </c>
      <c r="C92" s="2" t="s">
        <v>898</v>
      </c>
      <c r="E92" s="2" t="str">
        <f t="shared" si="3"/>
        <v>Lucas</v>
      </c>
      <c r="F92" s="2" t="str">
        <f t="shared" si="4"/>
        <v>Paquetá</v>
      </c>
      <c r="H92" s="2" t="str">
        <f t="shared" si="5"/>
        <v>L</v>
      </c>
      <c r="I92" s="2" t="s">
        <v>2442</v>
      </c>
      <c r="K92" s="2" t="s">
        <v>1170</v>
      </c>
      <c r="L92" t="s">
        <v>1171</v>
      </c>
      <c r="M92" s="2" t="s">
        <v>898</v>
      </c>
      <c r="N92" t="s">
        <v>2442</v>
      </c>
      <c r="O92" s="2" t="s">
        <v>57</v>
      </c>
    </row>
    <row r="93" spans="1:15">
      <c r="A93" t="s">
        <v>555</v>
      </c>
      <c r="B93" t="s">
        <v>57</v>
      </c>
      <c r="C93" s="2" t="s">
        <v>898</v>
      </c>
      <c r="E93" s="2" t="str">
        <f t="shared" si="3"/>
        <v/>
      </c>
      <c r="F93" s="2" t="str">
        <f t="shared" si="4"/>
        <v>Fred</v>
      </c>
      <c r="H93" s="2" t="str">
        <f t="shared" si="5"/>
        <v/>
      </c>
      <c r="I93" s="2" t="s">
        <v>2443</v>
      </c>
      <c r="K93" s="2" t="s">
        <v>1160</v>
      </c>
      <c r="L93" t="s">
        <v>555</v>
      </c>
      <c r="M93" s="2" t="s">
        <v>898</v>
      </c>
      <c r="N93" t="s">
        <v>2443</v>
      </c>
      <c r="O93" s="2" t="s">
        <v>57</v>
      </c>
    </row>
    <row r="94" spans="1:15">
      <c r="A94" t="s">
        <v>556</v>
      </c>
      <c r="B94" t="s">
        <v>57</v>
      </c>
      <c r="C94" s="2" t="s">
        <v>898</v>
      </c>
      <c r="E94" s="2" t="str">
        <f t="shared" si="3"/>
        <v/>
      </c>
      <c r="F94" s="2" t="str">
        <f t="shared" si="4"/>
        <v>Fabinho</v>
      </c>
      <c r="H94" s="2" t="str">
        <f t="shared" si="5"/>
        <v/>
      </c>
      <c r="I94" s="2" t="s">
        <v>2444</v>
      </c>
      <c r="K94" s="2" t="s">
        <v>1160</v>
      </c>
      <c r="L94" t="s">
        <v>556</v>
      </c>
      <c r="M94" s="2" t="s">
        <v>898</v>
      </c>
      <c r="N94" t="s">
        <v>2444</v>
      </c>
      <c r="O94" s="2" t="s">
        <v>57</v>
      </c>
    </row>
    <row r="95" spans="1:15">
      <c r="A95" t="s">
        <v>557</v>
      </c>
      <c r="B95" t="s">
        <v>57</v>
      </c>
      <c r="C95" s="2" t="s">
        <v>898</v>
      </c>
      <c r="E95" s="2" t="str">
        <f t="shared" si="3"/>
        <v>Bruno</v>
      </c>
      <c r="F95" s="2" t="str">
        <f t="shared" si="4"/>
        <v>Guimarães</v>
      </c>
      <c r="H95" s="2" t="str">
        <f t="shared" si="5"/>
        <v>B</v>
      </c>
      <c r="I95" s="2" t="s">
        <v>2445</v>
      </c>
      <c r="K95" s="2" t="s">
        <v>1172</v>
      </c>
      <c r="L95" t="s">
        <v>1173</v>
      </c>
      <c r="M95" s="2" t="s">
        <v>898</v>
      </c>
      <c r="N95" t="s">
        <v>2445</v>
      </c>
      <c r="O95" s="2" t="s">
        <v>57</v>
      </c>
    </row>
    <row r="96" spans="1:15">
      <c r="A96" t="s">
        <v>558</v>
      </c>
      <c r="B96" t="s">
        <v>57</v>
      </c>
      <c r="C96" s="2" t="s">
        <v>898</v>
      </c>
      <c r="E96" s="2" t="str">
        <f t="shared" si="3"/>
        <v>Éverton</v>
      </c>
      <c r="F96" s="2" t="str">
        <f t="shared" si="4"/>
        <v>Ribeiro</v>
      </c>
      <c r="H96" s="2" t="str">
        <f t="shared" si="5"/>
        <v>É</v>
      </c>
      <c r="I96" s="2" t="s">
        <v>2446</v>
      </c>
      <c r="K96" s="2" t="s">
        <v>1174</v>
      </c>
      <c r="L96" t="s">
        <v>1175</v>
      </c>
      <c r="M96" s="2" t="s">
        <v>898</v>
      </c>
      <c r="N96" t="s">
        <v>2446</v>
      </c>
      <c r="O96" s="2" t="s">
        <v>57</v>
      </c>
    </row>
    <row r="97" spans="1:15">
      <c r="A97" t="s">
        <v>559</v>
      </c>
      <c r="B97" t="s">
        <v>66</v>
      </c>
      <c r="C97" s="2" t="s">
        <v>898</v>
      </c>
      <c r="E97" s="2" t="str">
        <f t="shared" si="3"/>
        <v/>
      </c>
      <c r="F97" s="2" t="str">
        <f t="shared" si="4"/>
        <v>Richarlison</v>
      </c>
      <c r="H97" s="2" t="str">
        <f t="shared" si="5"/>
        <v/>
      </c>
      <c r="I97" s="2" t="s">
        <v>2447</v>
      </c>
      <c r="K97" s="2" t="s">
        <v>1160</v>
      </c>
      <c r="L97" t="s">
        <v>559</v>
      </c>
      <c r="M97" s="2" t="s">
        <v>898</v>
      </c>
      <c r="N97" t="s">
        <v>2447</v>
      </c>
      <c r="O97" s="2" t="s">
        <v>66</v>
      </c>
    </row>
    <row r="98" spans="1:15">
      <c r="A98" t="s">
        <v>560</v>
      </c>
      <c r="B98" t="s">
        <v>66</v>
      </c>
      <c r="C98" s="2" t="s">
        <v>898</v>
      </c>
      <c r="E98" s="2" t="str">
        <f t="shared" si="3"/>
        <v/>
      </c>
      <c r="F98" s="2" t="str">
        <f t="shared" si="4"/>
        <v>Neymar</v>
      </c>
      <c r="H98" s="2" t="str">
        <f t="shared" si="5"/>
        <v/>
      </c>
      <c r="I98" s="2" t="s">
        <v>2448</v>
      </c>
      <c r="K98" s="2" t="s">
        <v>1160</v>
      </c>
      <c r="L98" t="s">
        <v>560</v>
      </c>
      <c r="M98" s="2" t="s">
        <v>898</v>
      </c>
      <c r="N98" t="s">
        <v>2448</v>
      </c>
      <c r="O98" s="2" t="s">
        <v>66</v>
      </c>
    </row>
    <row r="99" spans="1:15">
      <c r="A99" t="s">
        <v>561</v>
      </c>
      <c r="B99" t="s">
        <v>66</v>
      </c>
      <c r="C99" s="2" t="s">
        <v>898</v>
      </c>
      <c r="E99" s="2" t="str">
        <f t="shared" si="3"/>
        <v/>
      </c>
      <c r="F99" s="2" t="str">
        <f t="shared" si="4"/>
        <v>Raphinha</v>
      </c>
      <c r="H99" s="2" t="str">
        <f t="shared" si="5"/>
        <v/>
      </c>
      <c r="I99" s="2" t="s">
        <v>2449</v>
      </c>
      <c r="K99" s="2" t="s">
        <v>1160</v>
      </c>
      <c r="L99" t="s">
        <v>561</v>
      </c>
      <c r="M99" s="2" t="s">
        <v>898</v>
      </c>
      <c r="N99" t="s">
        <v>2449</v>
      </c>
      <c r="O99" s="2" t="s">
        <v>66</v>
      </c>
    </row>
    <row r="100" spans="1:15">
      <c r="A100" t="s">
        <v>562</v>
      </c>
      <c r="B100" t="s">
        <v>66</v>
      </c>
      <c r="C100" s="2" t="s">
        <v>898</v>
      </c>
      <c r="E100" s="2" t="str">
        <f t="shared" si="3"/>
        <v>Gabriel</v>
      </c>
      <c r="F100" s="2" t="str">
        <f t="shared" si="4"/>
        <v>Jesus</v>
      </c>
      <c r="H100" s="2" t="str">
        <f t="shared" si="5"/>
        <v>G</v>
      </c>
      <c r="I100" s="2" t="s">
        <v>2450</v>
      </c>
      <c r="K100" s="2" t="s">
        <v>1176</v>
      </c>
      <c r="L100" t="s">
        <v>1177</v>
      </c>
      <c r="M100" s="2" t="s">
        <v>898</v>
      </c>
      <c r="N100" t="s">
        <v>2450</v>
      </c>
      <c r="O100" s="2" t="s">
        <v>66</v>
      </c>
    </row>
    <row r="101" spans="1:15">
      <c r="A101" t="s">
        <v>563</v>
      </c>
      <c r="B101" t="s">
        <v>66</v>
      </c>
      <c r="C101" s="2" t="s">
        <v>898</v>
      </c>
      <c r="E101" s="2" t="str">
        <f t="shared" si="3"/>
        <v/>
      </c>
      <c r="F101" s="2" t="str">
        <f t="shared" si="4"/>
        <v>Antony</v>
      </c>
      <c r="H101" s="2" t="str">
        <f t="shared" si="5"/>
        <v/>
      </c>
      <c r="I101" s="2" t="s">
        <v>2451</v>
      </c>
      <c r="K101" s="2" t="s">
        <v>1160</v>
      </c>
      <c r="L101" t="s">
        <v>563</v>
      </c>
      <c r="M101" s="2" t="s">
        <v>898</v>
      </c>
      <c r="N101" t="s">
        <v>2451</v>
      </c>
      <c r="O101" s="2" t="s">
        <v>66</v>
      </c>
    </row>
    <row r="102" spans="1:15">
      <c r="A102" t="s">
        <v>564</v>
      </c>
      <c r="B102" t="s">
        <v>66</v>
      </c>
      <c r="C102" s="2" t="s">
        <v>898</v>
      </c>
      <c r="E102" s="2" t="str">
        <f t="shared" si="3"/>
        <v>Vinícius</v>
      </c>
      <c r="F102" s="2" t="str">
        <f t="shared" si="4"/>
        <v>Júnior</v>
      </c>
      <c r="H102" s="2" t="str">
        <f t="shared" si="5"/>
        <v>V</v>
      </c>
      <c r="I102" s="2" t="s">
        <v>2452</v>
      </c>
      <c r="K102" s="2" t="s">
        <v>1178</v>
      </c>
      <c r="L102" t="s">
        <v>1179</v>
      </c>
      <c r="M102" s="2" t="s">
        <v>898</v>
      </c>
      <c r="N102" t="s">
        <v>2452</v>
      </c>
      <c r="O102" s="2" t="s">
        <v>66</v>
      </c>
    </row>
    <row r="103" spans="1:15">
      <c r="A103" t="s">
        <v>565</v>
      </c>
      <c r="B103" t="s">
        <v>66</v>
      </c>
      <c r="C103" s="2" t="s">
        <v>898</v>
      </c>
      <c r="E103" s="2" t="str">
        <f t="shared" si="3"/>
        <v/>
      </c>
      <c r="F103" s="2" t="str">
        <f t="shared" si="4"/>
        <v>Rodrygo</v>
      </c>
      <c r="H103" s="2" t="str">
        <f t="shared" si="5"/>
        <v/>
      </c>
      <c r="I103" s="2" t="s">
        <v>2453</v>
      </c>
      <c r="K103" s="2" t="s">
        <v>1160</v>
      </c>
      <c r="L103" t="s">
        <v>565</v>
      </c>
      <c r="M103" s="2" t="s">
        <v>898</v>
      </c>
      <c r="N103" t="s">
        <v>2453</v>
      </c>
      <c r="O103" s="2" t="s">
        <v>66</v>
      </c>
    </row>
    <row r="104" spans="1:15">
      <c r="A104" t="s">
        <v>566</v>
      </c>
      <c r="B104" t="s">
        <v>66</v>
      </c>
      <c r="C104" s="2" t="s">
        <v>898</v>
      </c>
      <c r="E104" s="2" t="str">
        <f t="shared" si="3"/>
        <v/>
      </c>
      <c r="F104" s="2" t="str">
        <f t="shared" si="4"/>
        <v>Pedro</v>
      </c>
      <c r="H104" s="2" t="str">
        <f t="shared" si="5"/>
        <v/>
      </c>
      <c r="I104" s="2" t="s">
        <v>2454</v>
      </c>
      <c r="K104" s="2" t="s">
        <v>1160</v>
      </c>
      <c r="L104" t="s">
        <v>566</v>
      </c>
      <c r="M104" s="2" t="s">
        <v>898</v>
      </c>
      <c r="N104" t="s">
        <v>2454</v>
      </c>
      <c r="O104" s="2" t="s">
        <v>66</v>
      </c>
    </row>
    <row r="105" spans="1:15">
      <c r="A105" t="s">
        <v>567</v>
      </c>
      <c r="B105" t="s">
        <v>66</v>
      </c>
      <c r="C105" s="2" t="s">
        <v>898</v>
      </c>
      <c r="E105" s="2" t="str">
        <f t="shared" si="3"/>
        <v>Gabriel</v>
      </c>
      <c r="F105" s="2" t="str">
        <f t="shared" si="4"/>
        <v>Martinelli</v>
      </c>
      <c r="H105" s="2" t="str">
        <f t="shared" si="5"/>
        <v>G</v>
      </c>
      <c r="I105" s="2" t="s">
        <v>2455</v>
      </c>
      <c r="K105" s="2" t="s">
        <v>1176</v>
      </c>
      <c r="L105" t="s">
        <v>1180</v>
      </c>
      <c r="M105" s="2" t="s">
        <v>898</v>
      </c>
      <c r="N105" t="s">
        <v>2455</v>
      </c>
      <c r="O105" s="2" t="s">
        <v>66</v>
      </c>
    </row>
    <row r="106" spans="1:15">
      <c r="A106" t="s">
        <v>568</v>
      </c>
      <c r="B106" t="s">
        <v>44</v>
      </c>
      <c r="C106" s="2" t="s">
        <v>899</v>
      </c>
      <c r="E106" s="2" t="str">
        <f t="shared" si="3"/>
        <v>Simon</v>
      </c>
      <c r="F106" s="2" t="str">
        <f t="shared" si="4"/>
        <v>Ngapandouentnbu</v>
      </c>
      <c r="H106" s="2" t="str">
        <f t="shared" si="5"/>
        <v>S</v>
      </c>
      <c r="I106" s="2" t="s">
        <v>2456</v>
      </c>
      <c r="K106" s="2" t="s">
        <v>1113</v>
      </c>
      <c r="L106" t="s">
        <v>1181</v>
      </c>
      <c r="M106" s="2" t="s">
        <v>899</v>
      </c>
      <c r="N106" t="s">
        <v>2456</v>
      </c>
      <c r="O106" s="2" t="s">
        <v>44</v>
      </c>
    </row>
    <row r="107" spans="1:15">
      <c r="A107" t="s">
        <v>569</v>
      </c>
      <c r="B107" t="s">
        <v>44</v>
      </c>
      <c r="C107" s="2" t="s">
        <v>899</v>
      </c>
      <c r="E107" s="2" t="str">
        <f t="shared" si="3"/>
        <v>Devis</v>
      </c>
      <c r="F107" s="2" t="str">
        <f t="shared" si="4"/>
        <v>Epassy</v>
      </c>
      <c r="H107" s="2" t="str">
        <f t="shared" si="5"/>
        <v>D</v>
      </c>
      <c r="I107" s="2" t="s">
        <v>2457</v>
      </c>
      <c r="K107" s="2" t="s">
        <v>1182</v>
      </c>
      <c r="L107" t="s">
        <v>1183</v>
      </c>
      <c r="M107" s="2" t="s">
        <v>899</v>
      </c>
      <c r="N107" t="s">
        <v>2457</v>
      </c>
      <c r="O107" s="2" t="s">
        <v>44</v>
      </c>
    </row>
    <row r="108" spans="1:15">
      <c r="A108" t="s">
        <v>570</v>
      </c>
      <c r="B108" t="s">
        <v>44</v>
      </c>
      <c r="C108" s="2" t="s">
        <v>899</v>
      </c>
      <c r="E108" s="2" t="str">
        <f t="shared" si="3"/>
        <v>Andre</v>
      </c>
      <c r="F108" s="2" t="str">
        <f t="shared" si="4"/>
        <v>Onana</v>
      </c>
      <c r="H108" s="2" t="str">
        <f t="shared" si="5"/>
        <v>A</v>
      </c>
      <c r="I108" s="2" t="s">
        <v>2420</v>
      </c>
      <c r="K108" s="2" t="s">
        <v>1184</v>
      </c>
      <c r="L108" t="s">
        <v>1141</v>
      </c>
      <c r="M108" s="2" t="s">
        <v>899</v>
      </c>
      <c r="N108" t="s">
        <v>2420</v>
      </c>
      <c r="O108" s="2" t="s">
        <v>44</v>
      </c>
    </row>
    <row r="109" spans="1:15">
      <c r="A109" t="s">
        <v>571</v>
      </c>
      <c r="B109" t="s">
        <v>48</v>
      </c>
      <c r="C109" s="2" t="s">
        <v>899</v>
      </c>
      <c r="E109" s="2" t="str">
        <f t="shared" si="3"/>
        <v>Nicolas</v>
      </c>
      <c r="F109" s="2" t="str">
        <f t="shared" si="4"/>
        <v>Nkoulou</v>
      </c>
      <c r="H109" s="2" t="str">
        <f t="shared" si="5"/>
        <v>N</v>
      </c>
      <c r="I109" s="2" t="s">
        <v>2458</v>
      </c>
      <c r="K109" s="2" t="s">
        <v>1185</v>
      </c>
      <c r="L109" t="s">
        <v>1186</v>
      </c>
      <c r="M109" s="2" t="s">
        <v>899</v>
      </c>
      <c r="N109" t="s">
        <v>2458</v>
      </c>
      <c r="O109" s="2" t="s">
        <v>48</v>
      </c>
    </row>
    <row r="110" spans="1:15">
      <c r="A110" t="s">
        <v>572</v>
      </c>
      <c r="B110" t="s">
        <v>48</v>
      </c>
      <c r="C110" t="s">
        <v>899</v>
      </c>
      <c r="E110" s="2" t="str">
        <f t="shared" si="3"/>
        <v>Christopher</v>
      </c>
      <c r="F110" s="2" t="str">
        <f t="shared" si="4"/>
        <v>Wooh</v>
      </c>
      <c r="H110" s="2" t="str">
        <f t="shared" si="5"/>
        <v>C</v>
      </c>
      <c r="I110" s="2" t="s">
        <v>2459</v>
      </c>
      <c r="K110" s="2" t="s">
        <v>1187</v>
      </c>
      <c r="L110" t="s">
        <v>1188</v>
      </c>
      <c r="M110" s="2" t="s">
        <v>899</v>
      </c>
      <c r="N110" t="s">
        <v>2459</v>
      </c>
      <c r="O110" s="2" t="s">
        <v>48</v>
      </c>
    </row>
    <row r="111" spans="1:15">
      <c r="A111" t="s">
        <v>573</v>
      </c>
      <c r="B111" t="s">
        <v>48</v>
      </c>
      <c r="C111" t="s">
        <v>899</v>
      </c>
      <c r="E111" s="2" t="str">
        <f t="shared" si="3"/>
        <v>Olivier</v>
      </c>
      <c r="F111" s="2" t="str">
        <f t="shared" si="4"/>
        <v>Mbaizo</v>
      </c>
      <c r="H111" s="2" t="str">
        <f t="shared" si="5"/>
        <v>O</v>
      </c>
      <c r="I111" s="2" t="s">
        <v>2460</v>
      </c>
      <c r="K111" s="2" t="s">
        <v>1189</v>
      </c>
      <c r="L111" t="s">
        <v>1190</v>
      </c>
      <c r="M111" s="2" t="s">
        <v>899</v>
      </c>
      <c r="N111" t="s">
        <v>2460</v>
      </c>
      <c r="O111" s="2" t="s">
        <v>48</v>
      </c>
    </row>
    <row r="112" spans="1:15">
      <c r="A112" t="s">
        <v>574</v>
      </c>
      <c r="B112" t="s">
        <v>48</v>
      </c>
      <c r="C112" s="2" t="s">
        <v>899</v>
      </c>
      <c r="E112" s="2" t="str">
        <f t="shared" si="3"/>
        <v>Collins</v>
      </c>
      <c r="F112" s="2" t="str">
        <f t="shared" si="4"/>
        <v>Fai</v>
      </c>
      <c r="H112" s="2" t="str">
        <f t="shared" si="5"/>
        <v>C</v>
      </c>
      <c r="I112" s="2" t="s">
        <v>2461</v>
      </c>
      <c r="K112" s="2" t="s">
        <v>1191</v>
      </c>
      <c r="L112" t="s">
        <v>1192</v>
      </c>
      <c r="M112" s="2" t="s">
        <v>899</v>
      </c>
      <c r="N112" t="s">
        <v>2461</v>
      </c>
      <c r="O112" s="2" t="s">
        <v>48</v>
      </c>
    </row>
    <row r="113" spans="1:15">
      <c r="A113" t="s">
        <v>575</v>
      </c>
      <c r="B113" t="s">
        <v>48</v>
      </c>
      <c r="C113" s="2" t="s">
        <v>899</v>
      </c>
      <c r="E113" s="2" t="str">
        <f t="shared" si="3"/>
        <v>Jean-Charles</v>
      </c>
      <c r="F113" s="2" t="str">
        <f t="shared" si="4"/>
        <v>Castelletto</v>
      </c>
      <c r="H113" s="2" t="str">
        <f t="shared" si="5"/>
        <v>J</v>
      </c>
      <c r="I113" s="2" t="s">
        <v>2462</v>
      </c>
      <c r="K113" s="2" t="s">
        <v>1193</v>
      </c>
      <c r="L113" t="s">
        <v>1194</v>
      </c>
      <c r="M113" s="2" t="s">
        <v>899</v>
      </c>
      <c r="N113" t="s">
        <v>2462</v>
      </c>
      <c r="O113" s="2" t="s">
        <v>48</v>
      </c>
    </row>
    <row r="114" spans="1:15">
      <c r="A114" t="s">
        <v>576</v>
      </c>
      <c r="B114" t="s">
        <v>48</v>
      </c>
      <c r="C114" s="2" t="s">
        <v>899</v>
      </c>
      <c r="E114" s="2" t="str">
        <f t="shared" si="3"/>
        <v>Enzo</v>
      </c>
      <c r="F114" s="2" t="str">
        <f t="shared" si="4"/>
        <v>Ebosse</v>
      </c>
      <c r="H114" s="2" t="str">
        <f t="shared" si="5"/>
        <v>E</v>
      </c>
      <c r="I114" s="2" t="s">
        <v>2463</v>
      </c>
      <c r="K114" s="2" t="s">
        <v>1048</v>
      </c>
      <c r="L114" t="s">
        <v>1195</v>
      </c>
      <c r="M114" s="2" t="s">
        <v>899</v>
      </c>
      <c r="N114" t="s">
        <v>2463</v>
      </c>
      <c r="O114" s="2" t="s">
        <v>48</v>
      </c>
    </row>
    <row r="115" spans="1:15">
      <c r="A115" t="s">
        <v>577</v>
      </c>
      <c r="B115" t="s">
        <v>48</v>
      </c>
      <c r="C115" s="2" t="s">
        <v>899</v>
      </c>
      <c r="E115" s="2" t="str">
        <f t="shared" si="3"/>
        <v>Tolo</v>
      </c>
      <c r="F115" s="2" t="str">
        <f t="shared" si="4"/>
        <v>Nouhou</v>
      </c>
      <c r="H115" s="2" t="str">
        <f t="shared" si="5"/>
        <v>T</v>
      </c>
      <c r="I115" s="2" t="s">
        <v>2464</v>
      </c>
      <c r="K115" s="2" t="s">
        <v>1196</v>
      </c>
      <c r="L115" t="s">
        <v>1197</v>
      </c>
      <c r="M115" s="2" t="s">
        <v>899</v>
      </c>
      <c r="N115" t="s">
        <v>2464</v>
      </c>
      <c r="O115" s="2" t="s">
        <v>48</v>
      </c>
    </row>
    <row r="116" spans="1:15">
      <c r="A116" t="s">
        <v>578</v>
      </c>
      <c r="B116" t="s">
        <v>57</v>
      </c>
      <c r="C116" s="2" t="s">
        <v>899</v>
      </c>
      <c r="E116" s="2" t="str">
        <f t="shared" si="3"/>
        <v>Jerome</v>
      </c>
      <c r="F116" s="2" t="str">
        <f t="shared" si="4"/>
        <v>Ngom Mbekeli</v>
      </c>
      <c r="H116" s="2" t="str">
        <f t="shared" si="5"/>
        <v>J</v>
      </c>
      <c r="I116" s="2" t="s">
        <v>2465</v>
      </c>
      <c r="K116" s="2" t="s">
        <v>1198</v>
      </c>
      <c r="L116" t="s">
        <v>1199</v>
      </c>
      <c r="M116" s="2" t="s">
        <v>899</v>
      </c>
      <c r="N116" t="s">
        <v>2465</v>
      </c>
      <c r="O116" s="2" t="s">
        <v>57</v>
      </c>
    </row>
    <row r="117" spans="1:15">
      <c r="A117" t="s">
        <v>579</v>
      </c>
      <c r="B117" t="s">
        <v>57</v>
      </c>
      <c r="C117" s="2" t="s">
        <v>899</v>
      </c>
      <c r="E117" s="2" t="str">
        <f t="shared" si="3"/>
        <v>Gaël</v>
      </c>
      <c r="F117" s="2" t="str">
        <f t="shared" si="4"/>
        <v>Ondoua</v>
      </c>
      <c r="H117" s="2" t="str">
        <f t="shared" si="5"/>
        <v>G</v>
      </c>
      <c r="I117" s="2" t="s">
        <v>2466</v>
      </c>
      <c r="K117" s="2" t="s">
        <v>1200</v>
      </c>
      <c r="L117" t="s">
        <v>1201</v>
      </c>
      <c r="M117" s="2" t="s">
        <v>899</v>
      </c>
      <c r="N117" t="s">
        <v>2466</v>
      </c>
      <c r="O117" s="2" t="s">
        <v>57</v>
      </c>
    </row>
    <row r="118" spans="1:15">
      <c r="A118" t="s">
        <v>580</v>
      </c>
      <c r="B118" t="s">
        <v>57</v>
      </c>
      <c r="C118" s="2" t="s">
        <v>899</v>
      </c>
      <c r="E118" s="2" t="str">
        <f t="shared" si="3"/>
        <v>Nicolas</v>
      </c>
      <c r="F118" s="2" t="str">
        <f t="shared" si="4"/>
        <v>Moumi Ngamaleu</v>
      </c>
      <c r="H118" s="2" t="str">
        <f t="shared" si="5"/>
        <v>N</v>
      </c>
      <c r="I118" s="2" t="s">
        <v>2467</v>
      </c>
      <c r="K118" s="2" t="s">
        <v>1185</v>
      </c>
      <c r="L118" t="s">
        <v>1202</v>
      </c>
      <c r="M118" s="2" t="s">
        <v>899</v>
      </c>
      <c r="N118" t="s">
        <v>2467</v>
      </c>
      <c r="O118" s="2" t="s">
        <v>57</v>
      </c>
    </row>
    <row r="119" spans="1:15">
      <c r="A119" t="s">
        <v>581</v>
      </c>
      <c r="B119" t="s">
        <v>57</v>
      </c>
      <c r="C119" s="2" t="s">
        <v>899</v>
      </c>
      <c r="E119" s="2" t="str">
        <f t="shared" si="3"/>
        <v>Georges-Kévin</v>
      </c>
      <c r="F119" s="2" t="str">
        <f t="shared" si="4"/>
        <v>Nkoudou</v>
      </c>
      <c r="H119" s="2" t="str">
        <f t="shared" si="5"/>
        <v>G</v>
      </c>
      <c r="I119" s="2" t="s">
        <v>2468</v>
      </c>
      <c r="K119" s="2" t="s">
        <v>1203</v>
      </c>
      <c r="L119" t="s">
        <v>1204</v>
      </c>
      <c r="M119" s="2" t="s">
        <v>899</v>
      </c>
      <c r="N119" t="s">
        <v>2468</v>
      </c>
      <c r="O119" s="2" t="s">
        <v>57</v>
      </c>
    </row>
    <row r="120" spans="1:15">
      <c r="A120" t="s">
        <v>582</v>
      </c>
      <c r="B120" t="s">
        <v>57</v>
      </c>
      <c r="C120" s="2" t="s">
        <v>899</v>
      </c>
      <c r="E120" s="2" t="str">
        <f t="shared" si="3"/>
        <v>André-Frank</v>
      </c>
      <c r="F120" s="2" t="str">
        <f t="shared" si="4"/>
        <v>Zambo Anguissa</v>
      </c>
      <c r="H120" s="2" t="str">
        <f t="shared" si="5"/>
        <v>A</v>
      </c>
      <c r="I120" s="2" t="s">
        <v>2469</v>
      </c>
      <c r="K120" s="2" t="s">
        <v>1205</v>
      </c>
      <c r="L120" t="s">
        <v>1206</v>
      </c>
      <c r="M120" s="2" t="s">
        <v>899</v>
      </c>
      <c r="N120" t="s">
        <v>2469</v>
      </c>
      <c r="O120" s="2" t="s">
        <v>57</v>
      </c>
    </row>
    <row r="121" spans="1:15">
      <c r="A121" t="s">
        <v>583</v>
      </c>
      <c r="B121" t="s">
        <v>57</v>
      </c>
      <c r="C121" s="2" t="s">
        <v>899</v>
      </c>
      <c r="E121" s="2" t="str">
        <f t="shared" si="3"/>
        <v>Samuel</v>
      </c>
      <c r="F121" s="2" t="str">
        <f t="shared" si="4"/>
        <v>Oum Gouet</v>
      </c>
      <c r="H121" s="2" t="str">
        <f t="shared" si="5"/>
        <v>S</v>
      </c>
      <c r="I121" s="2" t="s">
        <v>2470</v>
      </c>
      <c r="K121" s="2" t="s">
        <v>1207</v>
      </c>
      <c r="L121" t="s">
        <v>1208</v>
      </c>
      <c r="M121" s="2" t="s">
        <v>899</v>
      </c>
      <c r="N121" t="s">
        <v>2470</v>
      </c>
      <c r="O121" s="2" t="s">
        <v>57</v>
      </c>
    </row>
    <row r="122" spans="1:15">
      <c r="A122" t="s">
        <v>584</v>
      </c>
      <c r="B122" t="s">
        <v>57</v>
      </c>
      <c r="C122" s="2" t="s">
        <v>899</v>
      </c>
      <c r="E122" s="2" t="str">
        <f t="shared" si="3"/>
        <v>Pierre</v>
      </c>
      <c r="F122" s="2" t="str">
        <f t="shared" si="4"/>
        <v>Kunde</v>
      </c>
      <c r="H122" s="2" t="str">
        <f t="shared" si="5"/>
        <v>P</v>
      </c>
      <c r="I122" s="2" t="s">
        <v>2471</v>
      </c>
      <c r="K122" s="2" t="s">
        <v>1209</v>
      </c>
      <c r="L122" t="s">
        <v>1210</v>
      </c>
      <c r="M122" s="2" t="s">
        <v>899</v>
      </c>
      <c r="N122" t="s">
        <v>2471</v>
      </c>
      <c r="O122" s="2" t="s">
        <v>57</v>
      </c>
    </row>
    <row r="123" spans="1:15">
      <c r="A123" t="s">
        <v>585</v>
      </c>
      <c r="B123" t="s">
        <v>57</v>
      </c>
      <c r="C123" s="2" t="s">
        <v>899</v>
      </c>
      <c r="E123" s="2" t="str">
        <f t="shared" si="3"/>
        <v>Martin</v>
      </c>
      <c r="F123" s="2" t="str">
        <f t="shared" si="4"/>
        <v>Hongla</v>
      </c>
      <c r="H123" s="2" t="str">
        <f t="shared" si="5"/>
        <v>M</v>
      </c>
      <c r="I123" s="2" t="s">
        <v>2472</v>
      </c>
      <c r="K123" s="2" t="s">
        <v>1100</v>
      </c>
      <c r="L123" t="s">
        <v>1211</v>
      </c>
      <c r="M123" s="2" t="s">
        <v>899</v>
      </c>
      <c r="N123" t="s">
        <v>2472</v>
      </c>
      <c r="O123" s="2" t="s">
        <v>57</v>
      </c>
    </row>
    <row r="124" spans="1:15">
      <c r="A124" t="s">
        <v>586</v>
      </c>
      <c r="B124" t="s">
        <v>57</v>
      </c>
      <c r="C124" s="2" t="s">
        <v>899</v>
      </c>
      <c r="E124" s="2" t="str">
        <f t="shared" si="3"/>
        <v>Bryan</v>
      </c>
      <c r="F124" s="2" t="str">
        <f t="shared" si="4"/>
        <v>Mbeumo</v>
      </c>
      <c r="H124" s="2" t="str">
        <f t="shared" si="5"/>
        <v>B</v>
      </c>
      <c r="I124" s="2" t="s">
        <v>2473</v>
      </c>
      <c r="K124" s="2" t="s">
        <v>1212</v>
      </c>
      <c r="L124" t="s">
        <v>1213</v>
      </c>
      <c r="M124" s="2" t="s">
        <v>899</v>
      </c>
      <c r="N124" t="s">
        <v>2473</v>
      </c>
      <c r="O124" s="2" t="s">
        <v>57</v>
      </c>
    </row>
    <row r="125" spans="1:15">
      <c r="A125" t="s">
        <v>587</v>
      </c>
      <c r="B125" t="s">
        <v>57</v>
      </c>
      <c r="C125" s="2" t="s">
        <v>899</v>
      </c>
      <c r="E125" s="2" t="str">
        <f t="shared" si="3"/>
        <v>Olivier</v>
      </c>
      <c r="F125" s="2" t="str">
        <f t="shared" si="4"/>
        <v>Ntcham</v>
      </c>
      <c r="H125" s="2" t="str">
        <f t="shared" si="5"/>
        <v>O</v>
      </c>
      <c r="I125" s="2" t="s">
        <v>2474</v>
      </c>
      <c r="K125" s="2" t="s">
        <v>1189</v>
      </c>
      <c r="L125" t="s">
        <v>1214</v>
      </c>
      <c r="M125" s="2" t="s">
        <v>899</v>
      </c>
      <c r="N125" t="s">
        <v>2474</v>
      </c>
      <c r="O125" s="2" t="s">
        <v>57</v>
      </c>
    </row>
    <row r="126" spans="1:15">
      <c r="A126" t="s">
        <v>588</v>
      </c>
      <c r="B126" t="s">
        <v>66</v>
      </c>
      <c r="C126" s="2" t="s">
        <v>899</v>
      </c>
      <c r="E126" s="2" t="str">
        <f t="shared" si="3"/>
        <v>Jean-Pierre</v>
      </c>
      <c r="F126" s="2" t="str">
        <f t="shared" si="4"/>
        <v>Nsame</v>
      </c>
      <c r="H126" s="2" t="str">
        <f t="shared" si="5"/>
        <v>J</v>
      </c>
      <c r="I126" s="2" t="s">
        <v>2475</v>
      </c>
      <c r="K126" s="2" t="s">
        <v>1215</v>
      </c>
      <c r="L126" t="s">
        <v>1216</v>
      </c>
      <c r="M126" s="2" t="s">
        <v>899</v>
      </c>
      <c r="N126" t="s">
        <v>2475</v>
      </c>
      <c r="O126" s="2" t="s">
        <v>66</v>
      </c>
    </row>
    <row r="127" spans="1:15">
      <c r="A127" t="s">
        <v>589</v>
      </c>
      <c r="B127" t="s">
        <v>66</v>
      </c>
      <c r="C127" s="2" t="s">
        <v>899</v>
      </c>
      <c r="E127" s="2" t="str">
        <f t="shared" si="3"/>
        <v>Vincent</v>
      </c>
      <c r="F127" s="2" t="str">
        <f t="shared" si="4"/>
        <v>Aboubakar</v>
      </c>
      <c r="H127" s="2" t="str">
        <f t="shared" si="5"/>
        <v>V</v>
      </c>
      <c r="I127" s="2" t="s">
        <v>2476</v>
      </c>
      <c r="K127" s="2" t="s">
        <v>1217</v>
      </c>
      <c r="L127" t="s">
        <v>1218</v>
      </c>
      <c r="M127" s="2" t="s">
        <v>899</v>
      </c>
      <c r="N127" t="s">
        <v>2476</v>
      </c>
      <c r="O127" s="2" t="s">
        <v>66</v>
      </c>
    </row>
    <row r="128" spans="1:15">
      <c r="A128" t="s">
        <v>590</v>
      </c>
      <c r="B128" t="s">
        <v>66</v>
      </c>
      <c r="C128" s="2" t="s">
        <v>899</v>
      </c>
      <c r="E128" s="2" t="str">
        <f t="shared" si="3"/>
        <v>Christian</v>
      </c>
      <c r="F128" s="2" t="str">
        <f t="shared" si="4"/>
        <v>Bassogog</v>
      </c>
      <c r="H128" s="2" t="str">
        <f t="shared" si="5"/>
        <v>C</v>
      </c>
      <c r="I128" s="2" t="s">
        <v>2477</v>
      </c>
      <c r="K128" s="2" t="s">
        <v>1219</v>
      </c>
      <c r="L128" t="s">
        <v>1220</v>
      </c>
      <c r="M128" s="2" t="s">
        <v>899</v>
      </c>
      <c r="N128" t="s">
        <v>2477</v>
      </c>
      <c r="O128" s="2" t="s">
        <v>66</v>
      </c>
    </row>
    <row r="129" spans="1:15">
      <c r="A129" t="s">
        <v>591</v>
      </c>
      <c r="B129" t="s">
        <v>66</v>
      </c>
      <c r="C129" s="2" t="s">
        <v>899</v>
      </c>
      <c r="E129" s="2" t="str">
        <f t="shared" si="3"/>
        <v>Karl</v>
      </c>
      <c r="F129" s="2" t="str">
        <f t="shared" si="4"/>
        <v>Toko Ekambi</v>
      </c>
      <c r="H129" s="2" t="str">
        <f t="shared" si="5"/>
        <v>K</v>
      </c>
      <c r="I129" s="2" t="s">
        <v>2478</v>
      </c>
      <c r="K129" s="2" t="s">
        <v>1221</v>
      </c>
      <c r="L129" t="s">
        <v>1222</v>
      </c>
      <c r="M129" s="2" t="s">
        <v>899</v>
      </c>
      <c r="N129" t="s">
        <v>2478</v>
      </c>
      <c r="O129" s="2" t="s">
        <v>66</v>
      </c>
    </row>
    <row r="130" spans="1:15">
      <c r="A130" t="s">
        <v>592</v>
      </c>
      <c r="B130" t="s">
        <v>66</v>
      </c>
      <c r="C130" s="2" t="s">
        <v>899</v>
      </c>
      <c r="E130" s="2" t="str">
        <f t="shared" si="3"/>
        <v>Eric</v>
      </c>
      <c r="F130" s="2" t="str">
        <f t="shared" si="4"/>
        <v>Maxim Choupo-Moting</v>
      </c>
      <c r="H130" s="2" t="str">
        <f t="shared" si="5"/>
        <v>E</v>
      </c>
      <c r="I130" s="2" t="s">
        <v>2479</v>
      </c>
      <c r="K130" s="2" t="s">
        <v>1223</v>
      </c>
      <c r="L130" t="s">
        <v>1224</v>
      </c>
      <c r="M130" s="2" t="s">
        <v>899</v>
      </c>
      <c r="N130" t="s">
        <v>2479</v>
      </c>
      <c r="O130" s="2" t="s">
        <v>66</v>
      </c>
    </row>
    <row r="131" spans="1:15">
      <c r="A131" t="s">
        <v>593</v>
      </c>
      <c r="B131" t="s">
        <v>66</v>
      </c>
      <c r="C131" s="2" t="s">
        <v>899</v>
      </c>
      <c r="E131" s="2" t="str">
        <f t="shared" ref="E131:E194" si="6">IF(ISERROR(FIND(" ",A131)),"", LEFT(A131,FIND(" ",A131)-1))</f>
        <v>Souaibou</v>
      </c>
      <c r="F131" s="2" t="str">
        <f t="shared" ref="F131:F194" si="7">IF(ISERROR(FIND(" ",A131)),A131,RIGHT(A131,LEN(A131)-FIND(" ",A131)))</f>
        <v>Marou</v>
      </c>
      <c r="H131" s="2" t="str">
        <f t="shared" ref="H131:H194" si="8">LEFT(E131,1)</f>
        <v>S</v>
      </c>
      <c r="I131" s="2" t="s">
        <v>2480</v>
      </c>
      <c r="K131" s="2" t="s">
        <v>1225</v>
      </c>
      <c r="L131" t="s">
        <v>1226</v>
      </c>
      <c r="M131" s="2" t="s">
        <v>899</v>
      </c>
      <c r="N131" t="s">
        <v>2480</v>
      </c>
      <c r="O131" s="2" t="s">
        <v>66</v>
      </c>
    </row>
    <row r="132" spans="1:15">
      <c r="A132" t="s">
        <v>594</v>
      </c>
      <c r="B132" t="s">
        <v>44</v>
      </c>
      <c r="C132" s="2" t="s">
        <v>900</v>
      </c>
      <c r="E132" s="2" t="str">
        <f t="shared" si="6"/>
        <v>Dayne</v>
      </c>
      <c r="F132" s="2" t="str">
        <f t="shared" si="7"/>
        <v>St. Clair</v>
      </c>
      <c r="H132" s="2" t="str">
        <f t="shared" si="8"/>
        <v>D</v>
      </c>
      <c r="I132" s="2" t="s">
        <v>2481</v>
      </c>
      <c r="K132" s="2" t="s">
        <v>1227</v>
      </c>
      <c r="L132" t="s">
        <v>1228</v>
      </c>
      <c r="M132" s="2" t="s">
        <v>900</v>
      </c>
      <c r="N132" t="s">
        <v>2481</v>
      </c>
      <c r="O132" s="2" t="s">
        <v>44</v>
      </c>
    </row>
    <row r="133" spans="1:15">
      <c r="A133" t="s">
        <v>595</v>
      </c>
      <c r="B133" t="s">
        <v>44</v>
      </c>
      <c r="C133" s="2" t="s">
        <v>900</v>
      </c>
      <c r="E133" s="2" t="str">
        <f t="shared" si="6"/>
        <v>James</v>
      </c>
      <c r="F133" s="2" t="str">
        <f t="shared" si="7"/>
        <v>Pantemis</v>
      </c>
      <c r="H133" s="2" t="str">
        <f t="shared" si="8"/>
        <v>J</v>
      </c>
      <c r="I133" s="2" t="s">
        <v>2482</v>
      </c>
      <c r="K133" s="2" t="s">
        <v>1229</v>
      </c>
      <c r="L133" t="s">
        <v>1230</v>
      </c>
      <c r="M133" s="2" t="s">
        <v>900</v>
      </c>
      <c r="N133" t="s">
        <v>2482</v>
      </c>
      <c r="O133" s="2" t="s">
        <v>44</v>
      </c>
    </row>
    <row r="134" spans="1:15">
      <c r="A134" t="s">
        <v>596</v>
      </c>
      <c r="B134" t="s">
        <v>44</v>
      </c>
      <c r="C134" s="2" t="s">
        <v>900</v>
      </c>
      <c r="E134" s="2" t="str">
        <f t="shared" si="6"/>
        <v>Milan</v>
      </c>
      <c r="F134" s="2" t="str">
        <f t="shared" si="7"/>
        <v>Borjan</v>
      </c>
      <c r="H134" s="2" t="str">
        <f t="shared" si="8"/>
        <v>M</v>
      </c>
      <c r="I134" s="2" t="s">
        <v>2483</v>
      </c>
      <c r="K134" s="2" t="s">
        <v>1231</v>
      </c>
      <c r="L134" t="s">
        <v>1232</v>
      </c>
      <c r="M134" s="2" t="s">
        <v>900</v>
      </c>
      <c r="N134" t="s">
        <v>2483</v>
      </c>
      <c r="O134" s="2" t="s">
        <v>44</v>
      </c>
    </row>
    <row r="135" spans="1:15">
      <c r="A135" t="s">
        <v>597</v>
      </c>
      <c r="B135" t="s">
        <v>48</v>
      </c>
      <c r="C135" s="2" t="s">
        <v>900</v>
      </c>
      <c r="E135" s="2" t="str">
        <f t="shared" si="6"/>
        <v>Alistair</v>
      </c>
      <c r="F135" s="2" t="str">
        <f t="shared" si="7"/>
        <v>Johnston</v>
      </c>
      <c r="H135" s="2" t="str">
        <f t="shared" si="8"/>
        <v>A</v>
      </c>
      <c r="I135" s="2" t="s">
        <v>2484</v>
      </c>
      <c r="K135" s="2" t="s">
        <v>1233</v>
      </c>
      <c r="L135" t="s">
        <v>1234</v>
      </c>
      <c r="M135" s="2" t="s">
        <v>900</v>
      </c>
      <c r="N135" t="s">
        <v>2484</v>
      </c>
      <c r="O135" s="2" t="s">
        <v>48</v>
      </c>
    </row>
    <row r="136" spans="1:15">
      <c r="A136" t="s">
        <v>598</v>
      </c>
      <c r="B136" t="s">
        <v>48</v>
      </c>
      <c r="C136" s="2" t="s">
        <v>900</v>
      </c>
      <c r="E136" s="2" t="str">
        <f t="shared" si="6"/>
        <v>Sam</v>
      </c>
      <c r="F136" s="2" t="str">
        <f t="shared" si="7"/>
        <v>Adekugbe</v>
      </c>
      <c r="H136" s="2" t="str">
        <f t="shared" si="8"/>
        <v>S</v>
      </c>
      <c r="I136" s="2" t="s">
        <v>2485</v>
      </c>
      <c r="K136" s="2" t="s">
        <v>1235</v>
      </c>
      <c r="L136" t="s">
        <v>1236</v>
      </c>
      <c r="M136" s="2" t="s">
        <v>900</v>
      </c>
      <c r="N136" t="s">
        <v>2485</v>
      </c>
      <c r="O136" s="2" t="s">
        <v>48</v>
      </c>
    </row>
    <row r="137" spans="1:15">
      <c r="A137" t="s">
        <v>599</v>
      </c>
      <c r="B137" t="s">
        <v>48</v>
      </c>
      <c r="C137" t="s">
        <v>900</v>
      </c>
      <c r="E137" s="2" t="str">
        <f t="shared" si="6"/>
        <v>Kamal</v>
      </c>
      <c r="F137" s="2" t="str">
        <f t="shared" si="7"/>
        <v>Miller</v>
      </c>
      <c r="H137" s="2" t="str">
        <f t="shared" si="8"/>
        <v>K</v>
      </c>
      <c r="I137" s="2" t="s">
        <v>2486</v>
      </c>
      <c r="K137" s="2" t="s">
        <v>1237</v>
      </c>
      <c r="L137" t="s">
        <v>1238</v>
      </c>
      <c r="M137" s="2" t="s">
        <v>900</v>
      </c>
      <c r="N137" t="s">
        <v>2486</v>
      </c>
      <c r="O137" s="2" t="s">
        <v>48</v>
      </c>
    </row>
    <row r="138" spans="1:15">
      <c r="A138" t="s">
        <v>600</v>
      </c>
      <c r="B138" t="s">
        <v>48</v>
      </c>
      <c r="C138" t="s">
        <v>900</v>
      </c>
      <c r="E138" s="2" t="str">
        <f t="shared" si="6"/>
        <v>Steven</v>
      </c>
      <c r="F138" s="2" t="str">
        <f t="shared" si="7"/>
        <v>Vitória</v>
      </c>
      <c r="H138" s="2" t="str">
        <f t="shared" si="8"/>
        <v>S</v>
      </c>
      <c r="I138" s="2" t="s">
        <v>2487</v>
      </c>
      <c r="K138" s="2" t="s">
        <v>1239</v>
      </c>
      <c r="L138" t="s">
        <v>1240</v>
      </c>
      <c r="M138" s="2" t="s">
        <v>900</v>
      </c>
      <c r="N138" t="s">
        <v>2487</v>
      </c>
      <c r="O138" s="2" t="s">
        <v>48</v>
      </c>
    </row>
    <row r="139" spans="1:15">
      <c r="A139" t="s">
        <v>601</v>
      </c>
      <c r="B139" t="s">
        <v>48</v>
      </c>
      <c r="C139" s="2" t="s">
        <v>900</v>
      </c>
      <c r="E139" s="2" t="str">
        <f t="shared" si="6"/>
        <v>Richie</v>
      </c>
      <c r="F139" s="2" t="str">
        <f t="shared" si="7"/>
        <v>Laryea</v>
      </c>
      <c r="H139" s="2" t="str">
        <f t="shared" si="8"/>
        <v>R</v>
      </c>
      <c r="I139" s="2" t="s">
        <v>2488</v>
      </c>
      <c r="K139" s="2" t="s">
        <v>1241</v>
      </c>
      <c r="L139" t="s">
        <v>1242</v>
      </c>
      <c r="M139" s="2" t="s">
        <v>900</v>
      </c>
      <c r="N139" t="s">
        <v>2488</v>
      </c>
      <c r="O139" s="2" t="s">
        <v>48</v>
      </c>
    </row>
    <row r="140" spans="1:15">
      <c r="A140" t="s">
        <v>602</v>
      </c>
      <c r="B140" t="s">
        <v>48</v>
      </c>
      <c r="C140" s="2" t="s">
        <v>900</v>
      </c>
      <c r="E140" s="2" t="str">
        <f t="shared" si="6"/>
        <v>Derek</v>
      </c>
      <c r="F140" s="2" t="str">
        <f t="shared" si="7"/>
        <v>Cornelius</v>
      </c>
      <c r="H140" s="2" t="str">
        <f t="shared" si="8"/>
        <v>D</v>
      </c>
      <c r="I140" s="2" t="s">
        <v>2489</v>
      </c>
      <c r="K140" s="2" t="s">
        <v>1243</v>
      </c>
      <c r="L140" t="s">
        <v>1244</v>
      </c>
      <c r="M140" s="2" t="s">
        <v>900</v>
      </c>
      <c r="N140" t="s">
        <v>2489</v>
      </c>
      <c r="O140" s="2" t="s">
        <v>48</v>
      </c>
    </row>
    <row r="141" spans="1:15">
      <c r="A141" t="s">
        <v>603</v>
      </c>
      <c r="B141" t="s">
        <v>48</v>
      </c>
      <c r="C141" s="2" t="s">
        <v>900</v>
      </c>
      <c r="E141" s="2" t="str">
        <f t="shared" si="6"/>
        <v>Joel</v>
      </c>
      <c r="F141" s="2" t="str">
        <f t="shared" si="7"/>
        <v>Waterman</v>
      </c>
      <c r="H141" s="2" t="str">
        <f t="shared" si="8"/>
        <v>J</v>
      </c>
      <c r="I141" s="2" t="s">
        <v>2490</v>
      </c>
      <c r="K141" s="2" t="s">
        <v>1082</v>
      </c>
      <c r="L141" t="s">
        <v>1245</v>
      </c>
      <c r="M141" s="2" t="s">
        <v>900</v>
      </c>
      <c r="N141" t="s">
        <v>2490</v>
      </c>
      <c r="O141" s="2" t="s">
        <v>48</v>
      </c>
    </row>
    <row r="142" spans="1:15">
      <c r="A142" t="s">
        <v>604</v>
      </c>
      <c r="B142" t="s">
        <v>57</v>
      </c>
      <c r="C142" s="2" t="s">
        <v>900</v>
      </c>
      <c r="E142" s="2" t="str">
        <f t="shared" si="6"/>
        <v>Samuel</v>
      </c>
      <c r="F142" s="2" t="str">
        <f t="shared" si="7"/>
        <v>Piette</v>
      </c>
      <c r="H142" s="2" t="str">
        <f t="shared" si="8"/>
        <v>S</v>
      </c>
      <c r="I142" s="2" t="s">
        <v>2491</v>
      </c>
      <c r="K142" s="2" t="s">
        <v>1207</v>
      </c>
      <c r="L142" t="s">
        <v>1246</v>
      </c>
      <c r="M142" s="2" t="s">
        <v>900</v>
      </c>
      <c r="N142" t="s">
        <v>2491</v>
      </c>
      <c r="O142" s="2" t="s">
        <v>57</v>
      </c>
    </row>
    <row r="143" spans="1:15">
      <c r="A143" t="s">
        <v>605</v>
      </c>
      <c r="B143" t="s">
        <v>57</v>
      </c>
      <c r="C143" s="2" t="s">
        <v>900</v>
      </c>
      <c r="E143" s="2" t="str">
        <f t="shared" si="6"/>
        <v>Stephen</v>
      </c>
      <c r="F143" s="2" t="str">
        <f t="shared" si="7"/>
        <v>Eustáquio</v>
      </c>
      <c r="H143" s="2" t="str">
        <f t="shared" si="8"/>
        <v>S</v>
      </c>
      <c r="I143" s="2" t="s">
        <v>2492</v>
      </c>
      <c r="K143" s="2" t="s">
        <v>1247</v>
      </c>
      <c r="L143" t="s">
        <v>1248</v>
      </c>
      <c r="M143" s="2" t="s">
        <v>900</v>
      </c>
      <c r="N143" t="s">
        <v>2492</v>
      </c>
      <c r="O143" s="2" t="s">
        <v>57</v>
      </c>
    </row>
    <row r="144" spans="1:15">
      <c r="A144" t="s">
        <v>606</v>
      </c>
      <c r="B144" t="s">
        <v>57</v>
      </c>
      <c r="C144" s="2" t="s">
        <v>900</v>
      </c>
      <c r="E144" s="2" t="str">
        <f t="shared" si="6"/>
        <v>Liam</v>
      </c>
      <c r="F144" s="2" t="str">
        <f t="shared" si="7"/>
        <v>Fraser</v>
      </c>
      <c r="H144" s="2" t="str">
        <f t="shared" si="8"/>
        <v>L</v>
      </c>
      <c r="I144" s="2" t="s">
        <v>2493</v>
      </c>
      <c r="K144" s="2" t="s">
        <v>1249</v>
      </c>
      <c r="L144" t="s">
        <v>1250</v>
      </c>
      <c r="M144" s="2" t="s">
        <v>900</v>
      </c>
      <c r="N144" t="s">
        <v>2493</v>
      </c>
      <c r="O144" s="2" t="s">
        <v>57</v>
      </c>
    </row>
    <row r="145" spans="1:15">
      <c r="A145" t="s">
        <v>607</v>
      </c>
      <c r="B145" t="s">
        <v>57</v>
      </c>
      <c r="C145" s="2" t="s">
        <v>900</v>
      </c>
      <c r="E145" s="2" t="str">
        <f t="shared" si="6"/>
        <v>Junior</v>
      </c>
      <c r="F145" s="2" t="str">
        <f t="shared" si="7"/>
        <v>Hoilett</v>
      </c>
      <c r="H145" s="2" t="str">
        <f t="shared" si="8"/>
        <v>J</v>
      </c>
      <c r="I145" s="2" t="s">
        <v>2494</v>
      </c>
      <c r="K145" s="2" t="s">
        <v>1251</v>
      </c>
      <c r="L145" t="s">
        <v>1252</v>
      </c>
      <c r="M145" s="2" t="s">
        <v>900</v>
      </c>
      <c r="N145" t="s">
        <v>2494</v>
      </c>
      <c r="O145" s="2" t="s">
        <v>57</v>
      </c>
    </row>
    <row r="146" spans="1:15">
      <c r="A146" t="s">
        <v>608</v>
      </c>
      <c r="B146" t="s">
        <v>57</v>
      </c>
      <c r="C146" s="2" t="s">
        <v>900</v>
      </c>
      <c r="E146" s="2" t="str">
        <f t="shared" si="6"/>
        <v>Atiba</v>
      </c>
      <c r="F146" s="2" t="str">
        <f t="shared" si="7"/>
        <v>Hutchinson</v>
      </c>
      <c r="H146" s="2" t="str">
        <f t="shared" si="8"/>
        <v>A</v>
      </c>
      <c r="I146" s="2" t="s">
        <v>2495</v>
      </c>
      <c r="K146" s="2" t="s">
        <v>1253</v>
      </c>
      <c r="L146" t="s">
        <v>1254</v>
      </c>
      <c r="M146" s="2" t="s">
        <v>900</v>
      </c>
      <c r="N146" t="s">
        <v>2495</v>
      </c>
      <c r="O146" s="2" t="s">
        <v>57</v>
      </c>
    </row>
    <row r="147" spans="1:15">
      <c r="A147" t="s">
        <v>609</v>
      </c>
      <c r="B147" t="s">
        <v>57</v>
      </c>
      <c r="C147" s="2" t="s">
        <v>900</v>
      </c>
      <c r="E147" s="2" t="str">
        <f t="shared" si="6"/>
        <v>Mark-Anthony</v>
      </c>
      <c r="F147" s="2" t="str">
        <f t="shared" si="7"/>
        <v>Kaye</v>
      </c>
      <c r="H147" s="2" t="str">
        <f t="shared" si="8"/>
        <v>M</v>
      </c>
      <c r="I147" s="2" t="s">
        <v>2496</v>
      </c>
      <c r="K147" s="2" t="s">
        <v>1255</v>
      </c>
      <c r="L147" t="s">
        <v>1256</v>
      </c>
      <c r="M147" s="2" t="s">
        <v>900</v>
      </c>
      <c r="N147" t="s">
        <v>2496</v>
      </c>
      <c r="O147" s="2" t="s">
        <v>57</v>
      </c>
    </row>
    <row r="148" spans="1:15">
      <c r="A148" t="s">
        <v>610</v>
      </c>
      <c r="B148" t="s">
        <v>57</v>
      </c>
      <c r="C148" s="2" t="s">
        <v>900</v>
      </c>
      <c r="E148" s="2" t="str">
        <f t="shared" si="6"/>
        <v>Ismaël</v>
      </c>
      <c r="F148" s="2" t="str">
        <f t="shared" si="7"/>
        <v>Koné</v>
      </c>
      <c r="H148" s="2" t="str">
        <f t="shared" si="8"/>
        <v>I</v>
      </c>
      <c r="I148" s="2" t="s">
        <v>2497</v>
      </c>
      <c r="K148" s="2" t="s">
        <v>1257</v>
      </c>
      <c r="L148" t="s">
        <v>1258</v>
      </c>
      <c r="M148" s="2" t="s">
        <v>900</v>
      </c>
      <c r="N148" t="s">
        <v>2497</v>
      </c>
      <c r="O148" s="2" t="s">
        <v>57</v>
      </c>
    </row>
    <row r="149" spans="1:15">
      <c r="A149" t="s">
        <v>611</v>
      </c>
      <c r="B149" t="s">
        <v>57</v>
      </c>
      <c r="C149" s="2" t="s">
        <v>900</v>
      </c>
      <c r="E149" s="2" t="str">
        <f t="shared" si="6"/>
        <v>Jonathan</v>
      </c>
      <c r="F149" s="2" t="str">
        <f t="shared" si="7"/>
        <v>Osorio</v>
      </c>
      <c r="H149" s="2" t="str">
        <f t="shared" si="8"/>
        <v>J</v>
      </c>
      <c r="I149" s="2" t="s">
        <v>2498</v>
      </c>
      <c r="K149" s="2" t="s">
        <v>1259</v>
      </c>
      <c r="L149" t="s">
        <v>1260</v>
      </c>
      <c r="M149" s="2" t="s">
        <v>900</v>
      </c>
      <c r="N149" t="s">
        <v>2498</v>
      </c>
      <c r="O149" s="2" t="s">
        <v>57</v>
      </c>
    </row>
    <row r="150" spans="1:15">
      <c r="A150" t="s">
        <v>612</v>
      </c>
      <c r="B150" t="s">
        <v>57</v>
      </c>
      <c r="C150" s="2" t="s">
        <v>900</v>
      </c>
      <c r="E150" s="2" t="str">
        <f t="shared" si="6"/>
        <v>David</v>
      </c>
      <c r="F150" s="2" t="str">
        <f t="shared" si="7"/>
        <v>Wotherspoon</v>
      </c>
      <c r="H150" s="2" t="str">
        <f t="shared" si="8"/>
        <v>D</v>
      </c>
      <c r="I150" s="2" t="s">
        <v>2499</v>
      </c>
      <c r="K150" s="2" t="s">
        <v>1261</v>
      </c>
      <c r="L150" t="s">
        <v>1262</v>
      </c>
      <c r="M150" s="2" t="s">
        <v>900</v>
      </c>
      <c r="N150" t="s">
        <v>2499</v>
      </c>
      <c r="O150" s="2" t="s">
        <v>57</v>
      </c>
    </row>
    <row r="151" spans="1:15">
      <c r="A151" t="s">
        <v>613</v>
      </c>
      <c r="B151" t="s">
        <v>66</v>
      </c>
      <c r="C151" s="2" t="s">
        <v>900</v>
      </c>
      <c r="E151" s="2" t="str">
        <f t="shared" si="6"/>
        <v>Lucas</v>
      </c>
      <c r="F151" s="2" t="str">
        <f t="shared" si="7"/>
        <v>Cavallini</v>
      </c>
      <c r="H151" s="2" t="str">
        <f t="shared" si="8"/>
        <v>L</v>
      </c>
      <c r="I151" s="2" t="s">
        <v>2500</v>
      </c>
      <c r="K151" s="2" t="s">
        <v>1170</v>
      </c>
      <c r="L151" t="s">
        <v>1263</v>
      </c>
      <c r="M151" s="2" t="s">
        <v>900</v>
      </c>
      <c r="N151" t="s">
        <v>2500</v>
      </c>
      <c r="O151" s="2" t="s">
        <v>66</v>
      </c>
    </row>
    <row r="152" spans="1:15">
      <c r="A152" t="s">
        <v>614</v>
      </c>
      <c r="B152" t="s">
        <v>66</v>
      </c>
      <c r="C152" s="2" t="s">
        <v>900</v>
      </c>
      <c r="E152" s="2" t="str">
        <f t="shared" si="6"/>
        <v>Tajon</v>
      </c>
      <c r="F152" s="2" t="str">
        <f t="shared" si="7"/>
        <v>Buchanan</v>
      </c>
      <c r="H152" s="2" t="str">
        <f t="shared" si="8"/>
        <v>T</v>
      </c>
      <c r="I152" s="2" t="s">
        <v>2501</v>
      </c>
      <c r="K152" s="2" t="s">
        <v>1264</v>
      </c>
      <c r="L152" t="s">
        <v>1265</v>
      </c>
      <c r="M152" s="2" t="s">
        <v>900</v>
      </c>
      <c r="N152" t="s">
        <v>2501</v>
      </c>
      <c r="O152" s="2" t="s">
        <v>66</v>
      </c>
    </row>
    <row r="153" spans="1:15">
      <c r="A153" t="s">
        <v>615</v>
      </c>
      <c r="B153" t="s">
        <v>66</v>
      </c>
      <c r="C153" s="2" t="s">
        <v>900</v>
      </c>
      <c r="E153" s="2" t="str">
        <f t="shared" si="6"/>
        <v>Ike</v>
      </c>
      <c r="F153" s="2" t="str">
        <f t="shared" si="7"/>
        <v>Ugbo</v>
      </c>
      <c r="H153" s="2" t="str">
        <f t="shared" si="8"/>
        <v>I</v>
      </c>
      <c r="I153" s="2" t="s">
        <v>2502</v>
      </c>
      <c r="K153" s="2" t="s">
        <v>1266</v>
      </c>
      <c r="L153" t="s">
        <v>1267</v>
      </c>
      <c r="M153" s="2" t="s">
        <v>900</v>
      </c>
      <c r="N153" t="s">
        <v>2502</v>
      </c>
      <c r="O153" s="2" t="s">
        <v>66</v>
      </c>
    </row>
    <row r="154" spans="1:15">
      <c r="A154" t="s">
        <v>616</v>
      </c>
      <c r="B154" t="s">
        <v>66</v>
      </c>
      <c r="C154" s="2" t="s">
        <v>900</v>
      </c>
      <c r="E154" s="2" t="str">
        <f t="shared" si="6"/>
        <v>Cyle</v>
      </c>
      <c r="F154" s="2" t="str">
        <f t="shared" si="7"/>
        <v>Larin</v>
      </c>
      <c r="H154" s="2" t="str">
        <f t="shared" si="8"/>
        <v>C</v>
      </c>
      <c r="I154" s="2" t="s">
        <v>2503</v>
      </c>
      <c r="K154" s="2" t="s">
        <v>1268</v>
      </c>
      <c r="L154" t="s">
        <v>1269</v>
      </c>
      <c r="M154" s="2" t="s">
        <v>900</v>
      </c>
      <c r="N154" t="s">
        <v>2503</v>
      </c>
      <c r="O154" s="2" t="s">
        <v>66</v>
      </c>
    </row>
    <row r="155" spans="1:15">
      <c r="A155" t="s">
        <v>617</v>
      </c>
      <c r="B155" t="s">
        <v>66</v>
      </c>
      <c r="C155" s="2" t="s">
        <v>900</v>
      </c>
      <c r="E155" s="2" t="str">
        <f t="shared" si="6"/>
        <v>Alphonso</v>
      </c>
      <c r="F155" s="2" t="str">
        <f t="shared" si="7"/>
        <v>Davies</v>
      </c>
      <c r="H155" s="2" t="str">
        <f t="shared" si="8"/>
        <v>A</v>
      </c>
      <c r="I155" s="2" t="s">
        <v>2504</v>
      </c>
      <c r="K155" s="2" t="s">
        <v>1270</v>
      </c>
      <c r="L155" t="s">
        <v>1271</v>
      </c>
      <c r="M155" s="2" t="s">
        <v>900</v>
      </c>
      <c r="N155" t="s">
        <v>2504</v>
      </c>
      <c r="O155" s="2" t="s">
        <v>66</v>
      </c>
    </row>
    <row r="156" spans="1:15">
      <c r="A156" t="s">
        <v>618</v>
      </c>
      <c r="B156" t="s">
        <v>66</v>
      </c>
      <c r="C156" s="2" t="s">
        <v>900</v>
      </c>
      <c r="E156" s="2" t="str">
        <f t="shared" si="6"/>
        <v>Jonathan</v>
      </c>
      <c r="F156" s="2" t="str">
        <f t="shared" si="7"/>
        <v>David</v>
      </c>
      <c r="H156" s="2" t="str">
        <f t="shared" si="8"/>
        <v>J</v>
      </c>
      <c r="I156" s="2" t="s">
        <v>2505</v>
      </c>
      <c r="K156" s="2" t="s">
        <v>1259</v>
      </c>
      <c r="L156" t="s">
        <v>1261</v>
      </c>
      <c r="M156" s="2" t="s">
        <v>900</v>
      </c>
      <c r="N156" t="s">
        <v>2505</v>
      </c>
      <c r="O156" s="2" t="s">
        <v>66</v>
      </c>
    </row>
    <row r="157" spans="1:15">
      <c r="A157" t="s">
        <v>619</v>
      </c>
      <c r="B157" t="s">
        <v>66</v>
      </c>
      <c r="C157" s="2" t="s">
        <v>900</v>
      </c>
      <c r="E157" s="2" t="str">
        <f t="shared" si="6"/>
        <v>Liam</v>
      </c>
      <c r="F157" s="2" t="str">
        <f t="shared" si="7"/>
        <v>Millar</v>
      </c>
      <c r="H157" s="2" t="str">
        <f t="shared" si="8"/>
        <v>L</v>
      </c>
      <c r="I157" s="2" t="s">
        <v>2506</v>
      </c>
      <c r="K157" s="2" t="s">
        <v>1249</v>
      </c>
      <c r="L157" t="s">
        <v>1272</v>
      </c>
      <c r="M157" s="2" t="s">
        <v>900</v>
      </c>
      <c r="N157" t="s">
        <v>2506</v>
      </c>
      <c r="O157" s="2" t="s">
        <v>66</v>
      </c>
    </row>
    <row r="158" spans="1:15">
      <c r="A158" t="s">
        <v>620</v>
      </c>
      <c r="B158" t="s">
        <v>44</v>
      </c>
      <c r="C158" s="2" t="s">
        <v>901</v>
      </c>
      <c r="E158" s="2" t="str">
        <f t="shared" si="6"/>
        <v>Keylor</v>
      </c>
      <c r="F158" s="2" t="str">
        <f t="shared" si="7"/>
        <v>Navas</v>
      </c>
      <c r="H158" s="2" t="str">
        <f t="shared" si="8"/>
        <v>K</v>
      </c>
      <c r="I158" s="2" t="s">
        <v>2507</v>
      </c>
      <c r="K158" s="2" t="s">
        <v>1273</v>
      </c>
      <c r="L158" t="s">
        <v>1274</v>
      </c>
      <c r="M158" s="2" t="s">
        <v>901</v>
      </c>
      <c r="N158" t="s">
        <v>2507</v>
      </c>
      <c r="O158" s="2" t="s">
        <v>44</v>
      </c>
    </row>
    <row r="159" spans="1:15">
      <c r="A159" t="s">
        <v>621</v>
      </c>
      <c r="B159" t="s">
        <v>44</v>
      </c>
      <c r="C159" s="2" t="s">
        <v>901</v>
      </c>
      <c r="E159" s="2" t="str">
        <f t="shared" si="6"/>
        <v>Esteban</v>
      </c>
      <c r="F159" s="2" t="str">
        <f t="shared" si="7"/>
        <v>Alvarado</v>
      </c>
      <c r="H159" s="2" t="str">
        <f t="shared" si="8"/>
        <v>E</v>
      </c>
      <c r="I159" s="2" t="s">
        <v>2508</v>
      </c>
      <c r="K159" s="2" t="s">
        <v>1275</v>
      </c>
      <c r="L159" t="s">
        <v>1276</v>
      </c>
      <c r="M159" s="2" t="s">
        <v>901</v>
      </c>
      <c r="N159" t="s">
        <v>2508</v>
      </c>
      <c r="O159" s="2" t="s">
        <v>44</v>
      </c>
    </row>
    <row r="160" spans="1:15">
      <c r="A160" t="s">
        <v>622</v>
      </c>
      <c r="B160" t="s">
        <v>44</v>
      </c>
      <c r="C160" s="2" t="s">
        <v>901</v>
      </c>
      <c r="E160" s="2" t="str">
        <f t="shared" si="6"/>
        <v>Patrick</v>
      </c>
      <c r="F160" s="2" t="str">
        <f t="shared" si="7"/>
        <v>Sequeira</v>
      </c>
      <c r="H160" s="2" t="str">
        <f t="shared" si="8"/>
        <v>P</v>
      </c>
      <c r="I160" s="2" t="s">
        <v>2509</v>
      </c>
      <c r="K160" s="2" t="s">
        <v>1277</v>
      </c>
      <c r="L160" t="s">
        <v>1278</v>
      </c>
      <c r="M160" s="2" t="s">
        <v>901</v>
      </c>
      <c r="N160" t="s">
        <v>2509</v>
      </c>
      <c r="O160" s="2" t="s">
        <v>44</v>
      </c>
    </row>
    <row r="161" spans="1:15">
      <c r="A161" t="s">
        <v>623</v>
      </c>
      <c r="B161" t="s">
        <v>48</v>
      </c>
      <c r="C161" s="2" t="s">
        <v>901</v>
      </c>
      <c r="E161" s="2" t="str">
        <f t="shared" si="6"/>
        <v>Juan</v>
      </c>
      <c r="F161" s="2" t="str">
        <f t="shared" si="7"/>
        <v>Pablo Vargas</v>
      </c>
      <c r="H161" s="2" t="str">
        <f t="shared" si="8"/>
        <v>J</v>
      </c>
      <c r="I161" s="2" t="s">
        <v>2510</v>
      </c>
      <c r="K161" s="2" t="s">
        <v>1018</v>
      </c>
      <c r="L161" t="s">
        <v>1279</v>
      </c>
      <c r="M161" s="2" t="s">
        <v>901</v>
      </c>
      <c r="N161" t="s">
        <v>2510</v>
      </c>
      <c r="O161" s="2" t="s">
        <v>48</v>
      </c>
    </row>
    <row r="162" spans="1:15">
      <c r="A162" t="s">
        <v>624</v>
      </c>
      <c r="B162" t="s">
        <v>48</v>
      </c>
      <c r="C162" s="2" t="s">
        <v>901</v>
      </c>
      <c r="E162" s="2" t="str">
        <f t="shared" si="6"/>
        <v>Keysher</v>
      </c>
      <c r="F162" s="2" t="str">
        <f t="shared" si="7"/>
        <v>Fuller</v>
      </c>
      <c r="H162" s="2" t="str">
        <f t="shared" si="8"/>
        <v>K</v>
      </c>
      <c r="I162" s="2" t="s">
        <v>2511</v>
      </c>
      <c r="K162" s="2" t="s">
        <v>1280</v>
      </c>
      <c r="L162" t="s">
        <v>1281</v>
      </c>
      <c r="M162" s="2" t="s">
        <v>901</v>
      </c>
      <c r="N162" t="s">
        <v>2511</v>
      </c>
      <c r="O162" s="2" t="s">
        <v>48</v>
      </c>
    </row>
    <row r="163" spans="1:15">
      <c r="A163" t="s">
        <v>625</v>
      </c>
      <c r="B163" t="s">
        <v>48</v>
      </c>
      <c r="C163" s="2" t="s">
        <v>901</v>
      </c>
      <c r="E163" s="2" t="str">
        <f t="shared" si="6"/>
        <v>Óscar</v>
      </c>
      <c r="F163" s="2" t="str">
        <f t="shared" si="7"/>
        <v>Duarte</v>
      </c>
      <c r="H163" s="2" t="str">
        <f t="shared" si="8"/>
        <v>Ó</v>
      </c>
      <c r="I163" s="2" t="s">
        <v>2512</v>
      </c>
      <c r="K163" s="2" t="s">
        <v>1282</v>
      </c>
      <c r="L163" t="s">
        <v>1283</v>
      </c>
      <c r="M163" s="2" t="s">
        <v>901</v>
      </c>
      <c r="N163" t="s">
        <v>2512</v>
      </c>
      <c r="O163" s="2" t="s">
        <v>48</v>
      </c>
    </row>
    <row r="164" spans="1:15">
      <c r="A164" t="s">
        <v>626</v>
      </c>
      <c r="B164" t="s">
        <v>48</v>
      </c>
      <c r="C164" t="s">
        <v>901</v>
      </c>
      <c r="E164" s="2" t="str">
        <f t="shared" si="6"/>
        <v>Bryan</v>
      </c>
      <c r="F164" s="2" t="str">
        <f t="shared" si="7"/>
        <v>Oviedo</v>
      </c>
      <c r="H164" s="2" t="str">
        <f t="shared" si="8"/>
        <v>B</v>
      </c>
      <c r="I164" s="2" t="s">
        <v>2513</v>
      </c>
      <c r="K164" s="2" t="s">
        <v>1212</v>
      </c>
      <c r="L164" t="s">
        <v>1284</v>
      </c>
      <c r="M164" s="2" t="s">
        <v>901</v>
      </c>
      <c r="N164" t="s">
        <v>2513</v>
      </c>
      <c r="O164" s="2" t="s">
        <v>48</v>
      </c>
    </row>
    <row r="165" spans="1:15">
      <c r="A165" t="s">
        <v>627</v>
      </c>
      <c r="B165" t="s">
        <v>48</v>
      </c>
      <c r="C165" t="s">
        <v>901</v>
      </c>
      <c r="E165" s="2" t="str">
        <f t="shared" si="6"/>
        <v>Francisco</v>
      </c>
      <c r="F165" s="2" t="str">
        <f t="shared" si="7"/>
        <v>Calvo</v>
      </c>
      <c r="H165" s="2" t="str">
        <f t="shared" si="8"/>
        <v>F</v>
      </c>
      <c r="I165" s="2" t="s">
        <v>2514</v>
      </c>
      <c r="K165" s="2" t="s">
        <v>1285</v>
      </c>
      <c r="L165" t="s">
        <v>1286</v>
      </c>
      <c r="M165" s="2" t="s">
        <v>901</v>
      </c>
      <c r="N165" t="s">
        <v>2514</v>
      </c>
      <c r="O165" s="2" t="s">
        <v>48</v>
      </c>
    </row>
    <row r="166" spans="1:15">
      <c r="A166" t="s">
        <v>628</v>
      </c>
      <c r="B166" t="s">
        <v>48</v>
      </c>
      <c r="C166" s="2" t="s">
        <v>901</v>
      </c>
      <c r="E166" s="2" t="str">
        <f t="shared" si="6"/>
        <v>Carlos</v>
      </c>
      <c r="F166" s="2" t="str">
        <f t="shared" si="7"/>
        <v>Martinez</v>
      </c>
      <c r="H166" s="2" t="str">
        <f t="shared" si="8"/>
        <v>C</v>
      </c>
      <c r="I166" s="2" t="s">
        <v>2515</v>
      </c>
      <c r="K166" s="2" t="s">
        <v>1287</v>
      </c>
      <c r="L166" t="s">
        <v>1288</v>
      </c>
      <c r="M166" s="2" t="s">
        <v>901</v>
      </c>
      <c r="N166" t="s">
        <v>2515</v>
      </c>
      <c r="O166" s="2" t="s">
        <v>48</v>
      </c>
    </row>
    <row r="167" spans="1:15">
      <c r="A167" t="s">
        <v>629</v>
      </c>
      <c r="B167" t="s">
        <v>48</v>
      </c>
      <c r="C167" s="2" t="s">
        <v>901</v>
      </c>
      <c r="E167" s="2" t="str">
        <f t="shared" si="6"/>
        <v>Kendall</v>
      </c>
      <c r="F167" s="2" t="str">
        <f t="shared" si="7"/>
        <v>Waston</v>
      </c>
      <c r="H167" s="2" t="str">
        <f t="shared" si="8"/>
        <v>K</v>
      </c>
      <c r="I167" s="2" t="s">
        <v>2516</v>
      </c>
      <c r="K167" s="2" t="s">
        <v>1289</v>
      </c>
      <c r="L167" t="s">
        <v>1290</v>
      </c>
      <c r="M167" s="2" t="s">
        <v>901</v>
      </c>
      <c r="N167" t="s">
        <v>2516</v>
      </c>
      <c r="O167" s="2" t="s">
        <v>48</v>
      </c>
    </row>
    <row r="168" spans="1:15">
      <c r="A168" t="s">
        <v>630</v>
      </c>
      <c r="B168" t="s">
        <v>48</v>
      </c>
      <c r="C168" s="2" t="s">
        <v>901</v>
      </c>
      <c r="E168" s="2" t="str">
        <f t="shared" si="6"/>
        <v>Douglas</v>
      </c>
      <c r="F168" s="2" t="str">
        <f t="shared" si="7"/>
        <v>López</v>
      </c>
      <c r="H168" s="2" t="str">
        <f t="shared" si="8"/>
        <v>D</v>
      </c>
      <c r="I168" s="2" t="s">
        <v>2517</v>
      </c>
      <c r="K168" s="2" t="s">
        <v>1291</v>
      </c>
      <c r="L168" t="s">
        <v>1292</v>
      </c>
      <c r="M168" s="2" t="s">
        <v>901</v>
      </c>
      <c r="N168" t="s">
        <v>2517</v>
      </c>
      <c r="O168" s="2" t="s">
        <v>48</v>
      </c>
    </row>
    <row r="169" spans="1:15">
      <c r="A169" t="s">
        <v>631</v>
      </c>
      <c r="B169" t="s">
        <v>48</v>
      </c>
      <c r="C169" s="2" t="s">
        <v>901</v>
      </c>
      <c r="E169" s="2" t="str">
        <f t="shared" si="6"/>
        <v>Rónald</v>
      </c>
      <c r="F169" s="2" t="str">
        <f t="shared" si="7"/>
        <v>Matarrita</v>
      </c>
      <c r="H169" s="2" t="str">
        <f t="shared" si="8"/>
        <v>R</v>
      </c>
      <c r="I169" s="2" t="s">
        <v>2518</v>
      </c>
      <c r="K169" s="2" t="s">
        <v>1293</v>
      </c>
      <c r="L169" t="s">
        <v>1294</v>
      </c>
      <c r="M169" s="2" t="s">
        <v>901</v>
      </c>
      <c r="N169" t="s">
        <v>2518</v>
      </c>
      <c r="O169" s="2" t="s">
        <v>48</v>
      </c>
    </row>
    <row r="170" spans="1:15">
      <c r="A170" t="s">
        <v>632</v>
      </c>
      <c r="B170" t="s">
        <v>57</v>
      </c>
      <c r="C170" s="2" t="s">
        <v>901</v>
      </c>
      <c r="E170" s="2" t="str">
        <f t="shared" si="6"/>
        <v>Daniel</v>
      </c>
      <c r="F170" s="2" t="str">
        <f t="shared" si="7"/>
        <v>Chacón</v>
      </c>
      <c r="H170" s="2" t="str">
        <f t="shared" si="8"/>
        <v>D</v>
      </c>
      <c r="I170" s="2" t="s">
        <v>2519</v>
      </c>
      <c r="K170" s="2" t="s">
        <v>1295</v>
      </c>
      <c r="L170" t="s">
        <v>1296</v>
      </c>
      <c r="M170" s="2" t="s">
        <v>901</v>
      </c>
      <c r="N170" t="s">
        <v>2519</v>
      </c>
      <c r="O170" s="2" t="s">
        <v>57</v>
      </c>
    </row>
    <row r="171" spans="1:15">
      <c r="A171" t="s">
        <v>633</v>
      </c>
      <c r="B171" t="s">
        <v>57</v>
      </c>
      <c r="C171" s="2" t="s">
        <v>901</v>
      </c>
      <c r="E171" s="2" t="str">
        <f t="shared" si="6"/>
        <v>Celso</v>
      </c>
      <c r="F171" s="2" t="str">
        <f t="shared" si="7"/>
        <v>Borges</v>
      </c>
      <c r="H171" s="2" t="str">
        <f t="shared" si="8"/>
        <v>C</v>
      </c>
      <c r="I171" s="2" t="s">
        <v>2520</v>
      </c>
      <c r="K171" s="2" t="s">
        <v>1297</v>
      </c>
      <c r="L171" t="s">
        <v>1298</v>
      </c>
      <c r="M171" s="2" t="s">
        <v>901</v>
      </c>
      <c r="N171" t="s">
        <v>2520</v>
      </c>
      <c r="O171" s="2" t="s">
        <v>57</v>
      </c>
    </row>
    <row r="172" spans="1:15">
      <c r="A172" t="s">
        <v>634</v>
      </c>
      <c r="B172" t="s">
        <v>57</v>
      </c>
      <c r="C172" s="2" t="s">
        <v>901</v>
      </c>
      <c r="E172" s="2" t="str">
        <f t="shared" si="6"/>
        <v>Johan</v>
      </c>
      <c r="F172" s="2" t="str">
        <f t="shared" si="7"/>
        <v>Venegas</v>
      </c>
      <c r="H172" s="2" t="str">
        <f t="shared" si="8"/>
        <v>J</v>
      </c>
      <c r="I172" s="2" t="s">
        <v>2521</v>
      </c>
      <c r="K172" s="2" t="s">
        <v>1299</v>
      </c>
      <c r="L172" t="s">
        <v>1300</v>
      </c>
      <c r="M172" s="2" t="s">
        <v>901</v>
      </c>
      <c r="N172" t="s">
        <v>2521</v>
      </c>
      <c r="O172" s="2" t="s">
        <v>57</v>
      </c>
    </row>
    <row r="173" spans="1:15">
      <c r="A173" t="s">
        <v>635</v>
      </c>
      <c r="B173" t="s">
        <v>57</v>
      </c>
      <c r="C173" s="2" t="s">
        <v>901</v>
      </c>
      <c r="E173" s="2" t="str">
        <f t="shared" si="6"/>
        <v>Gerson</v>
      </c>
      <c r="F173" s="2" t="str">
        <f t="shared" si="7"/>
        <v>Torres</v>
      </c>
      <c r="H173" s="2" t="str">
        <f t="shared" si="8"/>
        <v>G</v>
      </c>
      <c r="I173" s="2" t="s">
        <v>2522</v>
      </c>
      <c r="K173" s="2" t="s">
        <v>1301</v>
      </c>
      <c r="L173" t="s">
        <v>1302</v>
      </c>
      <c r="M173" s="2" t="s">
        <v>901</v>
      </c>
      <c r="N173" t="s">
        <v>2522</v>
      </c>
      <c r="O173" s="2" t="s">
        <v>57</v>
      </c>
    </row>
    <row r="174" spans="1:15">
      <c r="A174" t="s">
        <v>636</v>
      </c>
      <c r="B174" t="s">
        <v>57</v>
      </c>
      <c r="C174" s="2" t="s">
        <v>901</v>
      </c>
      <c r="E174" s="2" t="str">
        <f t="shared" si="6"/>
        <v>Youstin</v>
      </c>
      <c r="F174" s="2" t="str">
        <f t="shared" si="7"/>
        <v>Salas</v>
      </c>
      <c r="H174" s="2" t="str">
        <f t="shared" si="8"/>
        <v>Y</v>
      </c>
      <c r="I174" s="2" t="s">
        <v>2523</v>
      </c>
      <c r="K174" s="2" t="s">
        <v>1303</v>
      </c>
      <c r="L174" t="s">
        <v>1304</v>
      </c>
      <c r="M174" s="2" t="s">
        <v>901</v>
      </c>
      <c r="N174" t="s">
        <v>2523</v>
      </c>
      <c r="O174" s="2" t="s">
        <v>57</v>
      </c>
    </row>
    <row r="175" spans="1:15">
      <c r="A175" t="s">
        <v>637</v>
      </c>
      <c r="B175" t="s">
        <v>57</v>
      </c>
      <c r="C175" s="2" t="s">
        <v>901</v>
      </c>
      <c r="E175" s="2" t="str">
        <f t="shared" si="6"/>
        <v>Yeltsin</v>
      </c>
      <c r="F175" s="2" t="str">
        <f t="shared" si="7"/>
        <v>Tejeda</v>
      </c>
      <c r="H175" s="2" t="str">
        <f t="shared" si="8"/>
        <v>Y</v>
      </c>
      <c r="I175" s="2" t="s">
        <v>2524</v>
      </c>
      <c r="K175" s="2" t="s">
        <v>1305</v>
      </c>
      <c r="L175" t="s">
        <v>1306</v>
      </c>
      <c r="M175" s="2" t="s">
        <v>901</v>
      </c>
      <c r="N175" t="s">
        <v>2524</v>
      </c>
      <c r="O175" s="2" t="s">
        <v>57</v>
      </c>
    </row>
    <row r="176" spans="1:15">
      <c r="A176" t="s">
        <v>638</v>
      </c>
      <c r="B176" t="s">
        <v>57</v>
      </c>
      <c r="C176" s="2" t="s">
        <v>901</v>
      </c>
      <c r="E176" s="2" t="str">
        <f t="shared" si="6"/>
        <v>Brandon</v>
      </c>
      <c r="F176" s="2" t="str">
        <f t="shared" si="7"/>
        <v>Aguilera</v>
      </c>
      <c r="H176" s="2" t="str">
        <f t="shared" si="8"/>
        <v>B</v>
      </c>
      <c r="I176" s="2" t="s">
        <v>2525</v>
      </c>
      <c r="K176" s="2" t="s">
        <v>1307</v>
      </c>
      <c r="L176" t="s">
        <v>1308</v>
      </c>
      <c r="M176" s="2" t="s">
        <v>901</v>
      </c>
      <c r="N176" t="s">
        <v>2525</v>
      </c>
      <c r="O176" s="2" t="s">
        <v>57</v>
      </c>
    </row>
    <row r="177" spans="1:15">
      <c r="A177" t="s">
        <v>639</v>
      </c>
      <c r="B177" t="s">
        <v>57</v>
      </c>
      <c r="C177" s="2" t="s">
        <v>901</v>
      </c>
      <c r="E177" s="2" t="str">
        <f t="shared" si="6"/>
        <v>Álvaro</v>
      </c>
      <c r="F177" s="2" t="str">
        <f t="shared" si="7"/>
        <v>Zamora</v>
      </c>
      <c r="H177" s="2" t="str">
        <f t="shared" si="8"/>
        <v>Á</v>
      </c>
      <c r="I177" s="2" t="s">
        <v>2526</v>
      </c>
      <c r="K177" s="2" t="s">
        <v>1309</v>
      </c>
      <c r="L177" t="s">
        <v>1310</v>
      </c>
      <c r="M177" s="2" t="s">
        <v>901</v>
      </c>
      <c r="N177" t="s">
        <v>2526</v>
      </c>
      <c r="O177" s="2" t="s">
        <v>57</v>
      </c>
    </row>
    <row r="178" spans="1:15">
      <c r="A178" t="s">
        <v>640</v>
      </c>
      <c r="B178" t="s">
        <v>66</v>
      </c>
      <c r="C178" s="2" t="s">
        <v>901</v>
      </c>
      <c r="E178" s="2" t="str">
        <f t="shared" si="6"/>
        <v>Anthony</v>
      </c>
      <c r="F178" s="2" t="str">
        <f t="shared" si="7"/>
        <v>Contreras</v>
      </c>
      <c r="H178" s="2" t="str">
        <f t="shared" si="8"/>
        <v>A</v>
      </c>
      <c r="I178" s="2" t="s">
        <v>2527</v>
      </c>
      <c r="K178" s="2" t="s">
        <v>1311</v>
      </c>
      <c r="L178" t="s">
        <v>1312</v>
      </c>
      <c r="M178" s="2" t="s">
        <v>901</v>
      </c>
      <c r="N178" t="s">
        <v>2527</v>
      </c>
      <c r="O178" s="2" t="s">
        <v>66</v>
      </c>
    </row>
    <row r="179" spans="1:15">
      <c r="A179" t="s">
        <v>641</v>
      </c>
      <c r="B179" t="s">
        <v>66</v>
      </c>
      <c r="C179" s="2" t="s">
        <v>901</v>
      </c>
      <c r="E179" s="2" t="str">
        <f t="shared" si="6"/>
        <v>Jewison</v>
      </c>
      <c r="F179" s="2" t="str">
        <f t="shared" si="7"/>
        <v>Bennette</v>
      </c>
      <c r="H179" s="2" t="str">
        <f t="shared" si="8"/>
        <v>J</v>
      </c>
      <c r="I179" s="2" t="s">
        <v>2528</v>
      </c>
      <c r="K179" s="2" t="s">
        <v>1313</v>
      </c>
      <c r="L179" t="s">
        <v>1314</v>
      </c>
      <c r="M179" s="2" t="s">
        <v>901</v>
      </c>
      <c r="N179" t="s">
        <v>2528</v>
      </c>
      <c r="O179" s="2" t="s">
        <v>66</v>
      </c>
    </row>
    <row r="180" spans="1:15">
      <c r="A180" t="s">
        <v>642</v>
      </c>
      <c r="B180" t="s">
        <v>66</v>
      </c>
      <c r="C180" s="2" t="s">
        <v>901</v>
      </c>
      <c r="E180" s="2" t="str">
        <f t="shared" si="6"/>
        <v>Bryan</v>
      </c>
      <c r="F180" s="2" t="str">
        <f t="shared" si="7"/>
        <v>Ruiz</v>
      </c>
      <c r="H180" s="2" t="str">
        <f t="shared" si="8"/>
        <v>B</v>
      </c>
      <c r="I180" s="2" t="s">
        <v>2529</v>
      </c>
      <c r="K180" s="2" t="s">
        <v>1212</v>
      </c>
      <c r="L180" t="s">
        <v>1315</v>
      </c>
      <c r="M180" s="2" t="s">
        <v>901</v>
      </c>
      <c r="N180" t="s">
        <v>2529</v>
      </c>
      <c r="O180" s="2" t="s">
        <v>66</v>
      </c>
    </row>
    <row r="181" spans="1:15">
      <c r="A181" t="s">
        <v>643</v>
      </c>
      <c r="B181" t="s">
        <v>66</v>
      </c>
      <c r="C181" s="2" t="s">
        <v>901</v>
      </c>
      <c r="E181" s="2" t="str">
        <f t="shared" si="6"/>
        <v>Joel</v>
      </c>
      <c r="F181" s="2" t="str">
        <f t="shared" si="7"/>
        <v>Campbell</v>
      </c>
      <c r="H181" s="2" t="str">
        <f t="shared" si="8"/>
        <v>J</v>
      </c>
      <c r="I181" s="2" t="s">
        <v>2530</v>
      </c>
      <c r="K181" s="2" t="s">
        <v>1082</v>
      </c>
      <c r="L181" t="s">
        <v>1316</v>
      </c>
      <c r="M181" s="2" t="s">
        <v>901</v>
      </c>
      <c r="N181" t="s">
        <v>2530</v>
      </c>
      <c r="O181" s="2" t="s">
        <v>66</v>
      </c>
    </row>
    <row r="182" spans="1:15">
      <c r="A182" t="s">
        <v>644</v>
      </c>
      <c r="B182" t="s">
        <v>66</v>
      </c>
      <c r="C182" s="2" t="s">
        <v>901</v>
      </c>
      <c r="E182" s="2" t="str">
        <f t="shared" si="6"/>
        <v>Roan</v>
      </c>
      <c r="F182" s="2" t="str">
        <f t="shared" si="7"/>
        <v>Wilson</v>
      </c>
      <c r="H182" s="2" t="str">
        <f t="shared" si="8"/>
        <v>R</v>
      </c>
      <c r="I182" s="2" t="s">
        <v>2531</v>
      </c>
      <c r="K182" s="2" t="s">
        <v>1317</v>
      </c>
      <c r="L182" t="s">
        <v>1318</v>
      </c>
      <c r="M182" s="2" t="s">
        <v>901</v>
      </c>
      <c r="N182" t="s">
        <v>2531</v>
      </c>
      <c r="O182" s="2" t="s">
        <v>66</v>
      </c>
    </row>
    <row r="183" spans="1:15">
      <c r="A183" t="s">
        <v>645</v>
      </c>
      <c r="B183" t="s">
        <v>66</v>
      </c>
      <c r="C183" s="2" t="s">
        <v>901</v>
      </c>
      <c r="E183" s="2" t="str">
        <f t="shared" si="6"/>
        <v>Anthony</v>
      </c>
      <c r="F183" s="2" t="str">
        <f t="shared" si="7"/>
        <v>Hernández</v>
      </c>
      <c r="H183" s="2" t="str">
        <f t="shared" si="8"/>
        <v>A</v>
      </c>
      <c r="I183" s="2" t="s">
        <v>2532</v>
      </c>
      <c r="K183" s="2" t="s">
        <v>1311</v>
      </c>
      <c r="L183" t="s">
        <v>1319</v>
      </c>
      <c r="M183" s="2" t="s">
        <v>901</v>
      </c>
      <c r="N183" t="s">
        <v>2532</v>
      </c>
      <c r="O183" s="2" t="s">
        <v>66</v>
      </c>
    </row>
    <row r="184" spans="1:15">
      <c r="A184" t="s">
        <v>646</v>
      </c>
      <c r="B184" t="s">
        <v>44</v>
      </c>
      <c r="C184" s="2" t="s">
        <v>902</v>
      </c>
      <c r="E184" s="2" t="str">
        <f t="shared" si="6"/>
        <v>Dominik</v>
      </c>
      <c r="F184" s="2" t="str">
        <f t="shared" si="7"/>
        <v>Livakovic</v>
      </c>
      <c r="H184" s="2" t="str">
        <f t="shared" si="8"/>
        <v>D</v>
      </c>
      <c r="I184" s="2" t="s">
        <v>2533</v>
      </c>
      <c r="K184" s="2" t="s">
        <v>1320</v>
      </c>
      <c r="L184" t="s">
        <v>1321</v>
      </c>
      <c r="M184" s="2" t="s">
        <v>902</v>
      </c>
      <c r="N184" t="s">
        <v>2533</v>
      </c>
      <c r="O184" s="2" t="s">
        <v>44</v>
      </c>
    </row>
    <row r="185" spans="1:15">
      <c r="A185" t="s">
        <v>647</v>
      </c>
      <c r="B185" t="s">
        <v>44</v>
      </c>
      <c r="C185" s="2" t="s">
        <v>902</v>
      </c>
      <c r="E185" s="2" t="str">
        <f t="shared" si="6"/>
        <v>Ivo</v>
      </c>
      <c r="F185" s="2" t="str">
        <f t="shared" si="7"/>
        <v>Grbic</v>
      </c>
      <c r="H185" s="2" t="str">
        <f t="shared" si="8"/>
        <v>I</v>
      </c>
      <c r="I185" s="2" t="s">
        <v>2534</v>
      </c>
      <c r="K185" s="2" t="s">
        <v>1322</v>
      </c>
      <c r="L185" t="s">
        <v>1323</v>
      </c>
      <c r="M185" s="2" t="s">
        <v>902</v>
      </c>
      <c r="N185" t="s">
        <v>2534</v>
      </c>
      <c r="O185" s="2" t="s">
        <v>44</v>
      </c>
    </row>
    <row r="186" spans="1:15">
      <c r="A186" t="s">
        <v>648</v>
      </c>
      <c r="B186" t="s">
        <v>44</v>
      </c>
      <c r="C186" s="2" t="s">
        <v>902</v>
      </c>
      <c r="E186" s="2" t="str">
        <f t="shared" si="6"/>
        <v>Ivica</v>
      </c>
      <c r="F186" s="2" t="str">
        <f t="shared" si="7"/>
        <v>Ivusic</v>
      </c>
      <c r="H186" s="2" t="str">
        <f t="shared" si="8"/>
        <v>I</v>
      </c>
      <c r="I186" s="2" t="s">
        <v>2535</v>
      </c>
      <c r="K186" s="2" t="s">
        <v>1324</v>
      </c>
      <c r="L186" t="s">
        <v>1325</v>
      </c>
      <c r="M186" s="2" t="s">
        <v>902</v>
      </c>
      <c r="N186" t="s">
        <v>2535</v>
      </c>
      <c r="O186" s="2" t="s">
        <v>44</v>
      </c>
    </row>
    <row r="187" spans="1:15">
      <c r="A187" t="s">
        <v>649</v>
      </c>
      <c r="B187" t="s">
        <v>48</v>
      </c>
      <c r="C187" s="2" t="s">
        <v>902</v>
      </c>
      <c r="E187" s="2" t="str">
        <f t="shared" si="6"/>
        <v>Josip</v>
      </c>
      <c r="F187" s="2" t="str">
        <f t="shared" si="7"/>
        <v>Stanisic</v>
      </c>
      <c r="H187" s="2" t="str">
        <f t="shared" si="8"/>
        <v>J</v>
      </c>
      <c r="I187" s="2" t="s">
        <v>2536</v>
      </c>
      <c r="K187" s="2" t="s">
        <v>1326</v>
      </c>
      <c r="L187" t="s">
        <v>1327</v>
      </c>
      <c r="M187" s="2" t="s">
        <v>902</v>
      </c>
      <c r="N187" t="s">
        <v>2536</v>
      </c>
      <c r="O187" s="2" t="s">
        <v>48</v>
      </c>
    </row>
    <row r="188" spans="1:15">
      <c r="A188" t="s">
        <v>650</v>
      </c>
      <c r="B188" t="s">
        <v>48</v>
      </c>
      <c r="C188" s="2" t="s">
        <v>902</v>
      </c>
      <c r="E188" s="2" t="str">
        <f t="shared" si="6"/>
        <v>Borna</v>
      </c>
      <c r="F188" s="2" t="str">
        <f t="shared" si="7"/>
        <v>Barisic</v>
      </c>
      <c r="H188" s="2" t="str">
        <f t="shared" si="8"/>
        <v>B</v>
      </c>
      <c r="I188" s="2" t="s">
        <v>2537</v>
      </c>
      <c r="K188" s="2" t="s">
        <v>1328</v>
      </c>
      <c r="L188" t="s">
        <v>1329</v>
      </c>
      <c r="M188" s="2" t="s">
        <v>902</v>
      </c>
      <c r="N188" t="s">
        <v>2537</v>
      </c>
      <c r="O188" s="2" t="s">
        <v>48</v>
      </c>
    </row>
    <row r="189" spans="1:15">
      <c r="A189" t="s">
        <v>651</v>
      </c>
      <c r="B189" t="s">
        <v>48</v>
      </c>
      <c r="C189" s="2" t="s">
        <v>902</v>
      </c>
      <c r="E189" s="2" t="str">
        <f t="shared" si="6"/>
        <v>Martin</v>
      </c>
      <c r="F189" s="2" t="str">
        <f t="shared" si="7"/>
        <v>Erlic</v>
      </c>
      <c r="H189" s="2" t="str">
        <f t="shared" si="8"/>
        <v>M</v>
      </c>
      <c r="I189" s="2" t="s">
        <v>2538</v>
      </c>
      <c r="K189" s="2" t="s">
        <v>1100</v>
      </c>
      <c r="L189" t="s">
        <v>1330</v>
      </c>
      <c r="M189" s="2" t="s">
        <v>902</v>
      </c>
      <c r="N189" t="s">
        <v>2538</v>
      </c>
      <c r="O189" s="2" t="s">
        <v>48</v>
      </c>
    </row>
    <row r="190" spans="1:15">
      <c r="A190" t="s">
        <v>652</v>
      </c>
      <c r="B190" t="s">
        <v>48</v>
      </c>
      <c r="C190" s="2" t="s">
        <v>902</v>
      </c>
      <c r="E190" s="2" t="str">
        <f t="shared" si="6"/>
        <v>Dejan</v>
      </c>
      <c r="F190" s="2" t="str">
        <f t="shared" si="7"/>
        <v>Lovren</v>
      </c>
      <c r="H190" s="2" t="str">
        <f t="shared" si="8"/>
        <v>D</v>
      </c>
      <c r="I190" s="2" t="s">
        <v>2539</v>
      </c>
      <c r="K190" s="2" t="s">
        <v>1331</v>
      </c>
      <c r="L190" t="s">
        <v>1332</v>
      </c>
      <c r="M190" s="2" t="s">
        <v>902</v>
      </c>
      <c r="N190" t="s">
        <v>2539</v>
      </c>
      <c r="O190" s="2" t="s">
        <v>48</v>
      </c>
    </row>
    <row r="191" spans="1:15">
      <c r="A191" t="s">
        <v>653</v>
      </c>
      <c r="B191" t="s">
        <v>48</v>
      </c>
      <c r="C191" t="s">
        <v>902</v>
      </c>
      <c r="E191" s="2" t="str">
        <f t="shared" si="6"/>
        <v>Borna</v>
      </c>
      <c r="F191" s="2" t="str">
        <f t="shared" si="7"/>
        <v>Sosa</v>
      </c>
      <c r="H191" s="2" t="str">
        <f t="shared" si="8"/>
        <v>B</v>
      </c>
      <c r="I191" s="2" t="s">
        <v>2540</v>
      </c>
      <c r="K191" s="2" t="s">
        <v>1328</v>
      </c>
      <c r="L191" t="s">
        <v>1333</v>
      </c>
      <c r="M191" s="2" t="s">
        <v>902</v>
      </c>
      <c r="N191" t="s">
        <v>2540</v>
      </c>
      <c r="O191" s="2" t="s">
        <v>48</v>
      </c>
    </row>
    <row r="192" spans="1:15">
      <c r="A192" t="s">
        <v>654</v>
      </c>
      <c r="B192" t="s">
        <v>48</v>
      </c>
      <c r="C192" t="s">
        <v>902</v>
      </c>
      <c r="E192" s="2" t="str">
        <f t="shared" si="6"/>
        <v>Josko</v>
      </c>
      <c r="F192" s="2" t="str">
        <f t="shared" si="7"/>
        <v>Gvardiol</v>
      </c>
      <c r="H192" s="2" t="str">
        <f t="shared" si="8"/>
        <v>J</v>
      </c>
      <c r="I192" s="2" t="s">
        <v>2541</v>
      </c>
      <c r="K192" s="2" t="s">
        <v>1334</v>
      </c>
      <c r="L192" t="s">
        <v>1335</v>
      </c>
      <c r="M192" s="2" t="s">
        <v>902</v>
      </c>
      <c r="N192" t="s">
        <v>2541</v>
      </c>
      <c r="O192" s="2" t="s">
        <v>48</v>
      </c>
    </row>
    <row r="193" spans="1:15">
      <c r="A193" t="s">
        <v>655</v>
      </c>
      <c r="B193" t="s">
        <v>48</v>
      </c>
      <c r="C193" s="2" t="s">
        <v>902</v>
      </c>
      <c r="E193" s="2" t="str">
        <f t="shared" si="6"/>
        <v>Domagoj</v>
      </c>
      <c r="F193" s="2" t="str">
        <f t="shared" si="7"/>
        <v>Vida</v>
      </c>
      <c r="H193" s="2" t="str">
        <f t="shared" si="8"/>
        <v>D</v>
      </c>
      <c r="I193" s="2" t="s">
        <v>2542</v>
      </c>
      <c r="K193" s="2" t="s">
        <v>1336</v>
      </c>
      <c r="L193" t="s">
        <v>1337</v>
      </c>
      <c r="M193" s="2" t="s">
        <v>902</v>
      </c>
      <c r="N193" t="s">
        <v>2542</v>
      </c>
      <c r="O193" s="2" t="s">
        <v>48</v>
      </c>
    </row>
    <row r="194" spans="1:15">
      <c r="A194" t="s">
        <v>656</v>
      </c>
      <c r="B194" t="s">
        <v>48</v>
      </c>
      <c r="C194" s="2" t="s">
        <v>902</v>
      </c>
      <c r="E194" s="2" t="str">
        <f t="shared" si="6"/>
        <v>Josip</v>
      </c>
      <c r="F194" s="2" t="str">
        <f t="shared" si="7"/>
        <v>Juranovic</v>
      </c>
      <c r="H194" s="2" t="str">
        <f t="shared" si="8"/>
        <v>J</v>
      </c>
      <c r="I194" s="2" t="s">
        <v>2543</v>
      </c>
      <c r="K194" s="2" t="s">
        <v>1326</v>
      </c>
      <c r="L194" t="s">
        <v>1338</v>
      </c>
      <c r="M194" s="2" t="s">
        <v>902</v>
      </c>
      <c r="N194" t="s">
        <v>2543</v>
      </c>
      <c r="O194" s="2" t="s">
        <v>48</v>
      </c>
    </row>
    <row r="195" spans="1:15">
      <c r="A195" t="s">
        <v>657</v>
      </c>
      <c r="B195" t="s">
        <v>48</v>
      </c>
      <c r="C195" s="2" t="s">
        <v>902</v>
      </c>
      <c r="E195" s="2" t="str">
        <f t="shared" ref="E195:E258" si="9">IF(ISERROR(FIND(" ",A195)),"", LEFT(A195,FIND(" ",A195)-1))</f>
        <v>Josip</v>
      </c>
      <c r="F195" s="2" t="str">
        <f t="shared" ref="F195:F258" si="10">IF(ISERROR(FIND(" ",A195)),A195,RIGHT(A195,LEN(A195)-FIND(" ",A195)))</f>
        <v>Sutalo</v>
      </c>
      <c r="H195" s="2" t="str">
        <f t="shared" ref="H195:H258" si="11">LEFT(E195,1)</f>
        <v>J</v>
      </c>
      <c r="I195" s="2" t="s">
        <v>2544</v>
      </c>
      <c r="K195" s="2" t="s">
        <v>1326</v>
      </c>
      <c r="L195" t="s">
        <v>1339</v>
      </c>
      <c r="M195" s="2" t="s">
        <v>902</v>
      </c>
      <c r="N195" t="s">
        <v>2544</v>
      </c>
      <c r="O195" s="2" t="s">
        <v>48</v>
      </c>
    </row>
    <row r="196" spans="1:15">
      <c r="A196" t="s">
        <v>658</v>
      </c>
      <c r="B196" t="s">
        <v>57</v>
      </c>
      <c r="C196" s="2" t="s">
        <v>902</v>
      </c>
      <c r="E196" s="2" t="str">
        <f t="shared" si="9"/>
        <v>Ivan</v>
      </c>
      <c r="F196" s="2" t="str">
        <f t="shared" si="10"/>
        <v>Perisic</v>
      </c>
      <c r="H196" s="2" t="str">
        <f t="shared" si="11"/>
        <v>I</v>
      </c>
      <c r="I196" s="2" t="s">
        <v>2545</v>
      </c>
      <c r="K196" s="2" t="s">
        <v>1340</v>
      </c>
      <c r="L196" t="s">
        <v>1341</v>
      </c>
      <c r="M196" s="2" t="s">
        <v>902</v>
      </c>
      <c r="N196" t="s">
        <v>2545</v>
      </c>
      <c r="O196" s="2" t="s">
        <v>57</v>
      </c>
    </row>
    <row r="197" spans="1:15">
      <c r="A197" t="s">
        <v>659</v>
      </c>
      <c r="B197" t="s">
        <v>57</v>
      </c>
      <c r="C197" s="2" t="s">
        <v>902</v>
      </c>
      <c r="E197" s="2" t="str">
        <f t="shared" si="9"/>
        <v>Lovro</v>
      </c>
      <c r="F197" s="2" t="str">
        <f t="shared" si="10"/>
        <v>Majer</v>
      </c>
      <c r="H197" s="2" t="str">
        <f t="shared" si="11"/>
        <v>L</v>
      </c>
      <c r="I197" s="2" t="s">
        <v>2546</v>
      </c>
      <c r="K197" s="2" t="s">
        <v>1342</v>
      </c>
      <c r="L197" t="s">
        <v>1343</v>
      </c>
      <c r="M197" s="2" t="s">
        <v>902</v>
      </c>
      <c r="N197" t="s">
        <v>2546</v>
      </c>
      <c r="O197" s="2" t="s">
        <v>57</v>
      </c>
    </row>
    <row r="198" spans="1:15">
      <c r="A198" t="s">
        <v>660</v>
      </c>
      <c r="B198" t="s">
        <v>57</v>
      </c>
      <c r="C198" s="2" t="s">
        <v>902</v>
      </c>
      <c r="E198" s="2" t="str">
        <f t="shared" si="9"/>
        <v>Mateo</v>
      </c>
      <c r="F198" s="2" t="str">
        <f t="shared" si="10"/>
        <v>Kovacic</v>
      </c>
      <c r="H198" s="2" t="str">
        <f t="shared" si="11"/>
        <v>M</v>
      </c>
      <c r="I198" s="2" t="s">
        <v>2547</v>
      </c>
      <c r="K198" s="2" t="s">
        <v>1344</v>
      </c>
      <c r="L198" t="s">
        <v>1345</v>
      </c>
      <c r="M198" s="2" t="s">
        <v>902</v>
      </c>
      <c r="N198" t="s">
        <v>2547</v>
      </c>
      <c r="O198" s="2" t="s">
        <v>57</v>
      </c>
    </row>
    <row r="199" spans="1:15">
      <c r="A199" t="s">
        <v>661</v>
      </c>
      <c r="B199" t="s">
        <v>57</v>
      </c>
      <c r="C199" s="2" t="s">
        <v>902</v>
      </c>
      <c r="E199" s="2" t="str">
        <f t="shared" si="9"/>
        <v>Luka</v>
      </c>
      <c r="F199" s="2" t="str">
        <f t="shared" si="10"/>
        <v>Modric</v>
      </c>
      <c r="H199" s="2" t="str">
        <f t="shared" si="11"/>
        <v>L</v>
      </c>
      <c r="I199" s="2" t="s">
        <v>2548</v>
      </c>
      <c r="K199" s="2" t="s">
        <v>1346</v>
      </c>
      <c r="L199" t="s">
        <v>1347</v>
      </c>
      <c r="M199" s="2" t="s">
        <v>902</v>
      </c>
      <c r="N199" t="s">
        <v>2548</v>
      </c>
      <c r="O199" s="2" t="s">
        <v>57</v>
      </c>
    </row>
    <row r="200" spans="1:15">
      <c r="A200" t="s">
        <v>662</v>
      </c>
      <c r="B200" t="s">
        <v>57</v>
      </c>
      <c r="C200" s="2" t="s">
        <v>902</v>
      </c>
      <c r="E200" s="2" t="str">
        <f t="shared" si="9"/>
        <v>Marcelo</v>
      </c>
      <c r="F200" s="2" t="str">
        <f t="shared" si="10"/>
        <v>Brozovic</v>
      </c>
      <c r="H200" s="2" t="str">
        <f t="shared" si="11"/>
        <v>M</v>
      </c>
      <c r="I200" s="2" t="s">
        <v>2549</v>
      </c>
      <c r="K200" s="2" t="s">
        <v>1348</v>
      </c>
      <c r="L200" t="s">
        <v>1349</v>
      </c>
      <c r="M200" s="2" t="s">
        <v>902</v>
      </c>
      <c r="N200" t="s">
        <v>2549</v>
      </c>
      <c r="O200" s="2" t="s">
        <v>57</v>
      </c>
    </row>
    <row r="201" spans="1:15">
      <c r="A201" t="s">
        <v>663</v>
      </c>
      <c r="B201" t="s">
        <v>57</v>
      </c>
      <c r="C201" s="2" t="s">
        <v>902</v>
      </c>
      <c r="E201" s="2" t="str">
        <f t="shared" si="9"/>
        <v>Nikola</v>
      </c>
      <c r="F201" s="2" t="str">
        <f t="shared" si="10"/>
        <v>Vlasic</v>
      </c>
      <c r="H201" s="2" t="str">
        <f t="shared" si="11"/>
        <v>N</v>
      </c>
      <c r="I201" s="2" t="s">
        <v>2550</v>
      </c>
      <c r="K201" s="2" t="s">
        <v>1350</v>
      </c>
      <c r="L201" t="s">
        <v>1351</v>
      </c>
      <c r="M201" s="2" t="s">
        <v>902</v>
      </c>
      <c r="N201" t="s">
        <v>2550</v>
      </c>
      <c r="O201" s="2" t="s">
        <v>57</v>
      </c>
    </row>
    <row r="202" spans="1:15">
      <c r="A202" t="s">
        <v>664</v>
      </c>
      <c r="B202" t="s">
        <v>57</v>
      </c>
      <c r="C202" s="2" t="s">
        <v>902</v>
      </c>
      <c r="E202" s="2" t="str">
        <f t="shared" si="9"/>
        <v>Mario</v>
      </c>
      <c r="F202" s="2" t="str">
        <f t="shared" si="10"/>
        <v>Pasalic</v>
      </c>
      <c r="H202" s="2" t="str">
        <f t="shared" si="11"/>
        <v>M</v>
      </c>
      <c r="I202" s="2" t="s">
        <v>2551</v>
      </c>
      <c r="K202" s="2" t="s">
        <v>1352</v>
      </c>
      <c r="L202" t="s">
        <v>1353</v>
      </c>
      <c r="M202" s="2" t="s">
        <v>902</v>
      </c>
      <c r="N202" t="s">
        <v>2551</v>
      </c>
      <c r="O202" s="2" t="s">
        <v>57</v>
      </c>
    </row>
    <row r="203" spans="1:15">
      <c r="A203" t="s">
        <v>665</v>
      </c>
      <c r="B203" t="s">
        <v>57</v>
      </c>
      <c r="C203" s="2" t="s">
        <v>902</v>
      </c>
      <c r="E203" s="2" t="str">
        <f t="shared" si="9"/>
        <v>Luka</v>
      </c>
      <c r="F203" s="2" t="str">
        <f t="shared" si="10"/>
        <v>Sucic</v>
      </c>
      <c r="H203" s="2" t="str">
        <f t="shared" si="11"/>
        <v>L</v>
      </c>
      <c r="I203" s="2" t="s">
        <v>2552</v>
      </c>
      <c r="K203" s="2" t="s">
        <v>1346</v>
      </c>
      <c r="L203" t="s">
        <v>1354</v>
      </c>
      <c r="M203" s="2" t="s">
        <v>902</v>
      </c>
      <c r="N203" t="s">
        <v>2552</v>
      </c>
      <c r="O203" s="2" t="s">
        <v>57</v>
      </c>
    </row>
    <row r="204" spans="1:15">
      <c r="A204" t="s">
        <v>666</v>
      </c>
      <c r="B204" t="s">
        <v>57</v>
      </c>
      <c r="C204" s="2" t="s">
        <v>902</v>
      </c>
      <c r="E204" s="2" t="str">
        <f t="shared" si="9"/>
        <v>Kristijan</v>
      </c>
      <c r="F204" s="2" t="str">
        <f t="shared" si="10"/>
        <v>Jakic</v>
      </c>
      <c r="H204" s="2" t="str">
        <f t="shared" si="11"/>
        <v>K</v>
      </c>
      <c r="I204" s="2" t="s">
        <v>2553</v>
      </c>
      <c r="K204" s="2" t="s">
        <v>1355</v>
      </c>
      <c r="L204" t="s">
        <v>1356</v>
      </c>
      <c r="M204" s="2" t="s">
        <v>902</v>
      </c>
      <c r="N204" t="s">
        <v>2553</v>
      </c>
      <c r="O204" s="2" t="s">
        <v>57</v>
      </c>
    </row>
    <row r="205" spans="1:15">
      <c r="A205" t="s">
        <v>667</v>
      </c>
      <c r="B205" t="s">
        <v>66</v>
      </c>
      <c r="C205" s="2" t="s">
        <v>902</v>
      </c>
      <c r="E205" s="2" t="str">
        <f t="shared" si="9"/>
        <v>Andrej</v>
      </c>
      <c r="F205" s="2" t="str">
        <f t="shared" si="10"/>
        <v>Kramaric</v>
      </c>
      <c r="H205" s="2" t="str">
        <f t="shared" si="11"/>
        <v>A</v>
      </c>
      <c r="I205" s="2" t="s">
        <v>2554</v>
      </c>
      <c r="K205" s="2" t="s">
        <v>1357</v>
      </c>
      <c r="L205" t="s">
        <v>1358</v>
      </c>
      <c r="M205" s="2" t="s">
        <v>902</v>
      </c>
      <c r="N205" t="s">
        <v>2554</v>
      </c>
      <c r="O205" s="2" t="s">
        <v>66</v>
      </c>
    </row>
    <row r="206" spans="1:15">
      <c r="A206" t="s">
        <v>668</v>
      </c>
      <c r="B206" t="s">
        <v>66</v>
      </c>
      <c r="C206" s="2" t="s">
        <v>902</v>
      </c>
      <c r="E206" s="2" t="str">
        <f t="shared" si="9"/>
        <v>Marko</v>
      </c>
      <c r="F206" s="2" t="str">
        <f t="shared" si="10"/>
        <v>Livaja</v>
      </c>
      <c r="H206" s="2" t="str">
        <f t="shared" si="11"/>
        <v>M</v>
      </c>
      <c r="I206" s="2" t="s">
        <v>2555</v>
      </c>
      <c r="K206" s="2" t="s">
        <v>1359</v>
      </c>
      <c r="L206" t="s">
        <v>1360</v>
      </c>
      <c r="M206" s="2" t="s">
        <v>902</v>
      </c>
      <c r="N206" t="s">
        <v>2555</v>
      </c>
      <c r="O206" s="2" t="s">
        <v>66</v>
      </c>
    </row>
    <row r="207" spans="1:15">
      <c r="A207" t="s">
        <v>669</v>
      </c>
      <c r="B207" t="s">
        <v>66</v>
      </c>
      <c r="C207" s="2" t="s">
        <v>902</v>
      </c>
      <c r="E207" s="2" t="str">
        <f t="shared" si="9"/>
        <v>Bruno</v>
      </c>
      <c r="F207" s="2" t="str">
        <f t="shared" si="10"/>
        <v>Petkovic</v>
      </c>
      <c r="H207" s="2" t="str">
        <f t="shared" si="11"/>
        <v>B</v>
      </c>
      <c r="I207" s="2" t="s">
        <v>2556</v>
      </c>
      <c r="K207" s="2" t="s">
        <v>1172</v>
      </c>
      <c r="L207" t="s">
        <v>1361</v>
      </c>
      <c r="M207" s="2" t="s">
        <v>902</v>
      </c>
      <c r="N207" t="s">
        <v>2556</v>
      </c>
      <c r="O207" s="2" t="s">
        <v>66</v>
      </c>
    </row>
    <row r="208" spans="1:15">
      <c r="A208" t="s">
        <v>670</v>
      </c>
      <c r="B208" t="s">
        <v>66</v>
      </c>
      <c r="C208" s="2" t="s">
        <v>902</v>
      </c>
      <c r="E208" s="2" t="str">
        <f t="shared" si="9"/>
        <v>Ante</v>
      </c>
      <c r="F208" s="2" t="str">
        <f t="shared" si="10"/>
        <v>Budimir</v>
      </c>
      <c r="H208" s="2" t="str">
        <f t="shared" si="11"/>
        <v>A</v>
      </c>
      <c r="I208" s="2" t="s">
        <v>2557</v>
      </c>
      <c r="K208" s="2" t="s">
        <v>1362</v>
      </c>
      <c r="L208" t="s">
        <v>1363</v>
      </c>
      <c r="M208" s="2" t="s">
        <v>902</v>
      </c>
      <c r="N208" t="s">
        <v>2557</v>
      </c>
      <c r="O208" s="2" t="s">
        <v>66</v>
      </c>
    </row>
    <row r="209" spans="1:15">
      <c r="A209" t="s">
        <v>671</v>
      </c>
      <c r="B209" t="s">
        <v>66</v>
      </c>
      <c r="C209" s="2" t="s">
        <v>902</v>
      </c>
      <c r="E209" s="2" t="str">
        <f t="shared" si="9"/>
        <v>Mislav</v>
      </c>
      <c r="F209" s="2" t="str">
        <f t="shared" si="10"/>
        <v>Orsic</v>
      </c>
      <c r="H209" s="2" t="str">
        <f t="shared" si="11"/>
        <v>M</v>
      </c>
      <c r="I209" s="2" t="s">
        <v>2558</v>
      </c>
      <c r="K209" s="2" t="s">
        <v>1364</v>
      </c>
      <c r="L209" t="s">
        <v>1365</v>
      </c>
      <c r="M209" s="2" t="s">
        <v>902</v>
      </c>
      <c r="N209" t="s">
        <v>2558</v>
      </c>
      <c r="O209" s="2" t="s">
        <v>66</v>
      </c>
    </row>
    <row r="210" spans="1:15">
      <c r="A210" t="s">
        <v>672</v>
      </c>
      <c r="B210" t="s">
        <v>44</v>
      </c>
      <c r="C210" s="2" t="s">
        <v>903</v>
      </c>
      <c r="E210" s="2" t="str">
        <f t="shared" si="9"/>
        <v>Kasper</v>
      </c>
      <c r="F210" s="2" t="str">
        <f t="shared" si="10"/>
        <v>Schmeichel</v>
      </c>
      <c r="H210" s="2" t="str">
        <f t="shared" si="11"/>
        <v>K</v>
      </c>
      <c r="I210" s="2" t="s">
        <v>2559</v>
      </c>
      <c r="K210" s="2" t="s">
        <v>1366</v>
      </c>
      <c r="L210" t="s">
        <v>1367</v>
      </c>
      <c r="M210" s="2" t="s">
        <v>903</v>
      </c>
      <c r="N210" t="s">
        <v>2559</v>
      </c>
      <c r="O210" s="2" t="s">
        <v>44</v>
      </c>
    </row>
    <row r="211" spans="1:15">
      <c r="A211" t="s">
        <v>673</v>
      </c>
      <c r="B211" t="s">
        <v>44</v>
      </c>
      <c r="C211" s="2" t="s">
        <v>903</v>
      </c>
      <c r="E211" s="2" t="str">
        <f t="shared" si="9"/>
        <v>Oliver</v>
      </c>
      <c r="F211" s="2" t="str">
        <f t="shared" si="10"/>
        <v>Christensen</v>
      </c>
      <c r="H211" s="2" t="str">
        <f t="shared" si="11"/>
        <v>O</v>
      </c>
      <c r="I211" s="2" t="s">
        <v>2560</v>
      </c>
      <c r="K211" s="2" t="s">
        <v>1368</v>
      </c>
      <c r="L211" t="s">
        <v>1369</v>
      </c>
      <c r="M211" s="2" t="s">
        <v>903</v>
      </c>
      <c r="N211" t="s">
        <v>2560</v>
      </c>
      <c r="O211" s="2" t="s">
        <v>44</v>
      </c>
    </row>
    <row r="212" spans="1:15">
      <c r="A212" t="s">
        <v>674</v>
      </c>
      <c r="B212" t="s">
        <v>44</v>
      </c>
      <c r="C212" s="2" t="s">
        <v>903</v>
      </c>
      <c r="E212" s="2" t="str">
        <f t="shared" si="9"/>
        <v>Frederik</v>
      </c>
      <c r="F212" s="2" t="str">
        <f t="shared" si="10"/>
        <v>Ronnow</v>
      </c>
      <c r="H212" s="2" t="str">
        <f t="shared" si="11"/>
        <v>F</v>
      </c>
      <c r="I212" s="2" t="s">
        <v>2561</v>
      </c>
      <c r="K212" s="2" t="s">
        <v>1370</v>
      </c>
      <c r="L212" t="s">
        <v>1371</v>
      </c>
      <c r="M212" s="2" t="s">
        <v>903</v>
      </c>
      <c r="N212" t="s">
        <v>2561</v>
      </c>
      <c r="O212" s="2" t="s">
        <v>44</v>
      </c>
    </row>
    <row r="213" spans="1:15">
      <c r="A213" t="s">
        <v>675</v>
      </c>
      <c r="B213" t="s">
        <v>48</v>
      </c>
      <c r="C213" s="2" t="s">
        <v>903</v>
      </c>
      <c r="E213" s="2" t="str">
        <f t="shared" si="9"/>
        <v>Joachim</v>
      </c>
      <c r="F213" s="2" t="str">
        <f t="shared" si="10"/>
        <v>Andersen</v>
      </c>
      <c r="H213" s="2" t="str">
        <f t="shared" si="11"/>
        <v>J</v>
      </c>
      <c r="I213" s="2" t="s">
        <v>2562</v>
      </c>
      <c r="K213" s="2" t="s">
        <v>1372</v>
      </c>
      <c r="L213" t="s">
        <v>1373</v>
      </c>
      <c r="M213" s="2" t="s">
        <v>903</v>
      </c>
      <c r="N213" t="s">
        <v>2562</v>
      </c>
      <c r="O213" s="2" t="s">
        <v>48</v>
      </c>
    </row>
    <row r="214" spans="1:15">
      <c r="A214" t="s">
        <v>676</v>
      </c>
      <c r="B214" t="s">
        <v>48</v>
      </c>
      <c r="C214" s="2" t="s">
        <v>903</v>
      </c>
      <c r="E214" s="2" t="str">
        <f t="shared" si="9"/>
        <v>Victor</v>
      </c>
      <c r="F214" s="2" t="str">
        <f t="shared" si="10"/>
        <v>Nelsson</v>
      </c>
      <c r="H214" s="2" t="str">
        <f t="shared" si="11"/>
        <v>V</v>
      </c>
      <c r="I214" s="2" t="s">
        <v>2563</v>
      </c>
      <c r="K214" s="2" t="s">
        <v>1374</v>
      </c>
      <c r="L214" t="s">
        <v>1375</v>
      </c>
      <c r="M214" s="2" t="s">
        <v>903</v>
      </c>
      <c r="N214" t="s">
        <v>2563</v>
      </c>
      <c r="O214" s="2" t="s">
        <v>48</v>
      </c>
    </row>
    <row r="215" spans="1:15">
      <c r="A215" t="s">
        <v>677</v>
      </c>
      <c r="B215" t="s">
        <v>48</v>
      </c>
      <c r="C215" s="2" t="s">
        <v>903</v>
      </c>
      <c r="E215" s="2" t="str">
        <f t="shared" si="9"/>
        <v>Simon</v>
      </c>
      <c r="F215" s="2" t="str">
        <f t="shared" si="10"/>
        <v>Kjaer</v>
      </c>
      <c r="H215" s="2" t="str">
        <f t="shared" si="11"/>
        <v>S</v>
      </c>
      <c r="I215" s="2" t="s">
        <v>2564</v>
      </c>
      <c r="K215" s="2" t="s">
        <v>1113</v>
      </c>
      <c r="L215" t="s">
        <v>1376</v>
      </c>
      <c r="M215" s="2" t="s">
        <v>903</v>
      </c>
      <c r="N215" t="s">
        <v>2564</v>
      </c>
      <c r="O215" s="2" t="s">
        <v>48</v>
      </c>
    </row>
    <row r="216" spans="1:15">
      <c r="A216" t="s">
        <v>678</v>
      </c>
      <c r="B216" t="s">
        <v>48</v>
      </c>
      <c r="C216" s="2" t="s">
        <v>903</v>
      </c>
      <c r="E216" s="2" t="str">
        <f t="shared" si="9"/>
        <v>Joakim</v>
      </c>
      <c r="F216" s="2" t="str">
        <f t="shared" si="10"/>
        <v>Maehle</v>
      </c>
      <c r="H216" s="2" t="str">
        <f t="shared" si="11"/>
        <v>J</v>
      </c>
      <c r="I216" s="2" t="s">
        <v>2565</v>
      </c>
      <c r="K216" s="2" t="s">
        <v>1377</v>
      </c>
      <c r="L216" t="s">
        <v>1378</v>
      </c>
      <c r="M216" s="2" t="s">
        <v>903</v>
      </c>
      <c r="N216" t="s">
        <v>2565</v>
      </c>
      <c r="O216" s="2" t="s">
        <v>48</v>
      </c>
    </row>
    <row r="217" spans="1:15">
      <c r="A217" t="s">
        <v>679</v>
      </c>
      <c r="B217" t="s">
        <v>48</v>
      </c>
      <c r="C217" s="2" t="s">
        <v>903</v>
      </c>
      <c r="E217" s="2" t="str">
        <f t="shared" si="9"/>
        <v>Andreas</v>
      </c>
      <c r="F217" s="2" t="str">
        <f t="shared" si="10"/>
        <v>Christensen</v>
      </c>
      <c r="H217" s="2" t="str">
        <f t="shared" si="11"/>
        <v>A</v>
      </c>
      <c r="I217" s="2" t="s">
        <v>2566</v>
      </c>
      <c r="K217" s="2" t="s">
        <v>1379</v>
      </c>
      <c r="L217" t="s">
        <v>1369</v>
      </c>
      <c r="M217" s="2" t="s">
        <v>903</v>
      </c>
      <c r="N217" t="s">
        <v>2566</v>
      </c>
      <c r="O217" s="2" t="s">
        <v>48</v>
      </c>
    </row>
    <row r="218" spans="1:15">
      <c r="A218" t="s">
        <v>680</v>
      </c>
      <c r="B218" t="s">
        <v>48</v>
      </c>
      <c r="C218" t="s">
        <v>903</v>
      </c>
      <c r="E218" s="2" t="str">
        <f t="shared" si="9"/>
        <v>Rasmus</v>
      </c>
      <c r="F218" s="2" t="str">
        <f t="shared" si="10"/>
        <v>Kristensen</v>
      </c>
      <c r="H218" s="2" t="str">
        <f t="shared" si="11"/>
        <v>R</v>
      </c>
      <c r="I218" s="2" t="s">
        <v>2567</v>
      </c>
      <c r="K218" s="2" t="s">
        <v>1380</v>
      </c>
      <c r="L218" t="s">
        <v>1381</v>
      </c>
      <c r="M218" s="2" t="s">
        <v>903</v>
      </c>
      <c r="N218" t="s">
        <v>2567</v>
      </c>
      <c r="O218" s="2" t="s">
        <v>48</v>
      </c>
    </row>
    <row r="219" spans="1:15">
      <c r="A219" t="s">
        <v>681</v>
      </c>
      <c r="B219" t="s">
        <v>48</v>
      </c>
      <c r="C219" t="s">
        <v>903</v>
      </c>
      <c r="E219" s="2" t="str">
        <f t="shared" si="9"/>
        <v>Jens</v>
      </c>
      <c r="F219" s="2" t="str">
        <f t="shared" si="10"/>
        <v>Stryger Larsen</v>
      </c>
      <c r="H219" s="2" t="str">
        <f t="shared" si="11"/>
        <v>J</v>
      </c>
      <c r="I219" s="2" t="s">
        <v>2568</v>
      </c>
      <c r="K219" s="2" t="s">
        <v>1382</v>
      </c>
      <c r="L219" t="s">
        <v>1383</v>
      </c>
      <c r="M219" s="2" t="s">
        <v>903</v>
      </c>
      <c r="N219" t="s">
        <v>2568</v>
      </c>
      <c r="O219" s="2" t="s">
        <v>48</v>
      </c>
    </row>
    <row r="220" spans="1:15">
      <c r="A220" t="s">
        <v>682</v>
      </c>
      <c r="B220" t="s">
        <v>48</v>
      </c>
      <c r="C220" s="2" t="s">
        <v>903</v>
      </c>
      <c r="E220" s="2" t="str">
        <f t="shared" si="9"/>
        <v>Alexander</v>
      </c>
      <c r="F220" s="2" t="str">
        <f t="shared" si="10"/>
        <v>Bah</v>
      </c>
      <c r="H220" s="2" t="str">
        <f t="shared" si="11"/>
        <v>A</v>
      </c>
      <c r="I220" s="2" t="s">
        <v>2569</v>
      </c>
      <c r="K220" s="2" t="s">
        <v>1384</v>
      </c>
      <c r="L220" t="s">
        <v>1385</v>
      </c>
      <c r="M220" s="2" t="s">
        <v>903</v>
      </c>
      <c r="N220" t="s">
        <v>2569</v>
      </c>
      <c r="O220" s="2" t="s">
        <v>48</v>
      </c>
    </row>
    <row r="221" spans="1:15">
      <c r="A221" t="s">
        <v>683</v>
      </c>
      <c r="B221" t="s">
        <v>57</v>
      </c>
      <c r="C221" s="2" t="s">
        <v>903</v>
      </c>
      <c r="E221" s="2" t="str">
        <f t="shared" si="9"/>
        <v>Mathias</v>
      </c>
      <c r="F221" s="2" t="str">
        <f t="shared" si="10"/>
        <v>Jensen</v>
      </c>
      <c r="H221" s="2" t="str">
        <f t="shared" si="11"/>
        <v>M</v>
      </c>
      <c r="I221" s="2" t="s">
        <v>2570</v>
      </c>
      <c r="K221" s="2" t="s">
        <v>1386</v>
      </c>
      <c r="L221" t="s">
        <v>1387</v>
      </c>
      <c r="M221" s="2" t="s">
        <v>903</v>
      </c>
      <c r="N221" t="s">
        <v>2570</v>
      </c>
      <c r="O221" s="2" t="s">
        <v>57</v>
      </c>
    </row>
    <row r="222" spans="1:15">
      <c r="A222" t="s">
        <v>684</v>
      </c>
      <c r="B222" t="s">
        <v>57</v>
      </c>
      <c r="C222" s="2" t="s">
        <v>903</v>
      </c>
      <c r="E222" s="2" t="str">
        <f t="shared" si="9"/>
        <v>Thomas</v>
      </c>
      <c r="F222" s="2" t="str">
        <f t="shared" si="10"/>
        <v>Delaney</v>
      </c>
      <c r="H222" s="2" t="str">
        <f t="shared" si="11"/>
        <v>T</v>
      </c>
      <c r="I222" s="2" t="s">
        <v>2571</v>
      </c>
      <c r="K222" s="2" t="s">
        <v>1080</v>
      </c>
      <c r="L222" t="s">
        <v>1388</v>
      </c>
      <c r="M222" s="2" t="s">
        <v>903</v>
      </c>
      <c r="N222" t="s">
        <v>2571</v>
      </c>
      <c r="O222" s="2" t="s">
        <v>57</v>
      </c>
    </row>
    <row r="223" spans="1:15">
      <c r="A223" t="s">
        <v>685</v>
      </c>
      <c r="B223" t="s">
        <v>57</v>
      </c>
      <c r="C223" s="2" t="s">
        <v>903</v>
      </c>
      <c r="E223" s="2" t="str">
        <f t="shared" si="9"/>
        <v>Christian</v>
      </c>
      <c r="F223" s="2" t="str">
        <f t="shared" si="10"/>
        <v>Eriksen</v>
      </c>
      <c r="H223" s="2" t="str">
        <f t="shared" si="11"/>
        <v>C</v>
      </c>
      <c r="I223" s="2" t="s">
        <v>2572</v>
      </c>
      <c r="K223" s="2" t="s">
        <v>1219</v>
      </c>
      <c r="L223" t="s">
        <v>1389</v>
      </c>
      <c r="M223" s="2" t="s">
        <v>903</v>
      </c>
      <c r="N223" t="s">
        <v>2572</v>
      </c>
      <c r="O223" s="2" t="s">
        <v>57</v>
      </c>
    </row>
    <row r="224" spans="1:15">
      <c r="A224" t="s">
        <v>686</v>
      </c>
      <c r="B224" t="s">
        <v>57</v>
      </c>
      <c r="C224" s="2" t="s">
        <v>903</v>
      </c>
      <c r="E224" s="2" t="str">
        <f t="shared" si="9"/>
        <v>Mikkel</v>
      </c>
      <c r="F224" s="2" t="str">
        <f t="shared" si="10"/>
        <v>Damsgaard</v>
      </c>
      <c r="H224" s="2" t="str">
        <f t="shared" si="11"/>
        <v>M</v>
      </c>
      <c r="I224" s="2" t="s">
        <v>2573</v>
      </c>
      <c r="K224" s="2" t="s">
        <v>1390</v>
      </c>
      <c r="L224" t="s">
        <v>1391</v>
      </c>
      <c r="M224" s="2" t="s">
        <v>903</v>
      </c>
      <c r="N224" t="s">
        <v>2573</v>
      </c>
      <c r="O224" s="2" t="s">
        <v>57</v>
      </c>
    </row>
    <row r="225" spans="1:15">
      <c r="A225" t="s">
        <v>687</v>
      </c>
      <c r="B225" t="s">
        <v>57</v>
      </c>
      <c r="C225" s="2" t="s">
        <v>903</v>
      </c>
      <c r="E225" s="2" t="str">
        <f t="shared" si="9"/>
        <v>Christian</v>
      </c>
      <c r="F225" s="2" t="str">
        <f t="shared" si="10"/>
        <v>Norgaard</v>
      </c>
      <c r="H225" s="2" t="str">
        <f t="shared" si="11"/>
        <v>C</v>
      </c>
      <c r="I225" s="2" t="s">
        <v>2574</v>
      </c>
      <c r="K225" s="2" t="s">
        <v>1219</v>
      </c>
      <c r="L225" t="s">
        <v>1392</v>
      </c>
      <c r="M225" s="2" t="s">
        <v>903</v>
      </c>
      <c r="N225" t="s">
        <v>2574</v>
      </c>
      <c r="O225" s="2" t="s">
        <v>57</v>
      </c>
    </row>
    <row r="226" spans="1:15">
      <c r="A226" t="s">
        <v>688</v>
      </c>
      <c r="B226" t="s">
        <v>57</v>
      </c>
      <c r="C226" s="2" t="s">
        <v>903</v>
      </c>
      <c r="E226" s="2" t="str">
        <f t="shared" si="9"/>
        <v>Daniel</v>
      </c>
      <c r="F226" s="2" t="str">
        <f t="shared" si="10"/>
        <v>Wass</v>
      </c>
      <c r="H226" s="2" t="str">
        <f t="shared" si="11"/>
        <v>D</v>
      </c>
      <c r="I226" s="2" t="s">
        <v>2575</v>
      </c>
      <c r="K226" s="2" t="s">
        <v>1295</v>
      </c>
      <c r="L226" t="s">
        <v>1393</v>
      </c>
      <c r="M226" s="2" t="s">
        <v>903</v>
      </c>
      <c r="N226" t="s">
        <v>2575</v>
      </c>
      <c r="O226" s="2" t="s">
        <v>57</v>
      </c>
    </row>
    <row r="227" spans="1:15">
      <c r="A227" t="s">
        <v>689</v>
      </c>
      <c r="B227" t="s">
        <v>57</v>
      </c>
      <c r="C227" s="2" t="s">
        <v>903</v>
      </c>
      <c r="E227" s="2" t="str">
        <f t="shared" si="9"/>
        <v>Pierre-Emile</v>
      </c>
      <c r="F227" s="2" t="str">
        <f t="shared" si="10"/>
        <v>Hojbjerg</v>
      </c>
      <c r="H227" s="2" t="str">
        <f t="shared" si="11"/>
        <v>P</v>
      </c>
      <c r="I227" s="2" t="s">
        <v>2576</v>
      </c>
      <c r="K227" s="2" t="s">
        <v>1394</v>
      </c>
      <c r="L227" t="s">
        <v>1395</v>
      </c>
      <c r="M227" s="2" t="s">
        <v>903</v>
      </c>
      <c r="N227" t="s">
        <v>2576</v>
      </c>
      <c r="O227" s="2" t="s">
        <v>57</v>
      </c>
    </row>
    <row r="228" spans="1:15">
      <c r="A228" t="s">
        <v>690</v>
      </c>
      <c r="B228" t="s">
        <v>57</v>
      </c>
      <c r="C228" s="2" t="s">
        <v>903</v>
      </c>
      <c r="E228" s="2" t="str">
        <f t="shared" si="9"/>
        <v>Jesper</v>
      </c>
      <c r="F228" s="2" t="str">
        <f t="shared" si="10"/>
        <v>Lindstrom</v>
      </c>
      <c r="H228" s="2" t="str">
        <f t="shared" si="11"/>
        <v>J</v>
      </c>
      <c r="I228" s="2" t="s">
        <v>2577</v>
      </c>
      <c r="K228" s="2" t="s">
        <v>1396</v>
      </c>
      <c r="L228" t="s">
        <v>1397</v>
      </c>
      <c r="M228" s="2" t="s">
        <v>903</v>
      </c>
      <c r="N228" t="s">
        <v>2577</v>
      </c>
      <c r="O228" s="2" t="s">
        <v>57</v>
      </c>
    </row>
    <row r="229" spans="1:15">
      <c r="A229" t="s">
        <v>691</v>
      </c>
      <c r="B229" t="s">
        <v>66</v>
      </c>
      <c r="C229" s="2" t="s">
        <v>903</v>
      </c>
      <c r="E229" s="2" t="str">
        <f t="shared" si="9"/>
        <v>Martin</v>
      </c>
      <c r="F229" s="2" t="str">
        <f t="shared" si="10"/>
        <v>Braithwaite</v>
      </c>
      <c r="H229" s="2" t="str">
        <f t="shared" si="11"/>
        <v>M</v>
      </c>
      <c r="I229" s="2" t="s">
        <v>2578</v>
      </c>
      <c r="K229" s="2" t="s">
        <v>1100</v>
      </c>
      <c r="L229" t="s">
        <v>1398</v>
      </c>
      <c r="M229" s="2" t="s">
        <v>903</v>
      </c>
      <c r="N229" t="s">
        <v>2578</v>
      </c>
      <c r="O229" s="2" t="s">
        <v>66</v>
      </c>
    </row>
    <row r="230" spans="1:15">
      <c r="A230" t="s">
        <v>692</v>
      </c>
      <c r="B230" t="s">
        <v>66</v>
      </c>
      <c r="C230" s="2" t="s">
        <v>903</v>
      </c>
      <c r="E230" s="2" t="str">
        <f t="shared" si="9"/>
        <v>Andreas</v>
      </c>
      <c r="F230" s="2" t="str">
        <f t="shared" si="10"/>
        <v>Skov Olsen</v>
      </c>
      <c r="H230" s="2" t="str">
        <f t="shared" si="11"/>
        <v>A</v>
      </c>
      <c r="I230" s="2" t="s">
        <v>2579</v>
      </c>
      <c r="K230" s="2" t="s">
        <v>1379</v>
      </c>
      <c r="L230" t="s">
        <v>1399</v>
      </c>
      <c r="M230" s="2" t="s">
        <v>903</v>
      </c>
      <c r="N230" t="s">
        <v>2579</v>
      </c>
      <c r="O230" s="2" t="s">
        <v>66</v>
      </c>
    </row>
    <row r="231" spans="1:15">
      <c r="A231" t="s">
        <v>693</v>
      </c>
      <c r="B231" t="s">
        <v>66</v>
      </c>
      <c r="C231" s="2" t="s">
        <v>903</v>
      </c>
      <c r="E231" s="2" t="str">
        <f t="shared" si="9"/>
        <v>Kasper</v>
      </c>
      <c r="F231" s="2" t="str">
        <f t="shared" si="10"/>
        <v>Dolberg</v>
      </c>
      <c r="H231" s="2" t="str">
        <f t="shared" si="11"/>
        <v>K</v>
      </c>
      <c r="I231" s="2" t="s">
        <v>2580</v>
      </c>
      <c r="K231" s="2" t="s">
        <v>1366</v>
      </c>
      <c r="L231" t="s">
        <v>1400</v>
      </c>
      <c r="M231" s="2" t="s">
        <v>903</v>
      </c>
      <c r="N231" t="s">
        <v>2580</v>
      </c>
      <c r="O231" s="2" t="s">
        <v>66</v>
      </c>
    </row>
    <row r="232" spans="1:15">
      <c r="A232" t="s">
        <v>694</v>
      </c>
      <c r="B232" t="s">
        <v>66</v>
      </c>
      <c r="C232" s="2" t="s">
        <v>903</v>
      </c>
      <c r="E232" s="2" t="str">
        <f t="shared" si="9"/>
        <v>Jonas</v>
      </c>
      <c r="F232" s="2" t="str">
        <f t="shared" si="10"/>
        <v>Wind</v>
      </c>
      <c r="H232" s="2" t="str">
        <f t="shared" si="11"/>
        <v>J</v>
      </c>
      <c r="I232" s="2" t="s">
        <v>2581</v>
      </c>
      <c r="K232" s="2" t="s">
        <v>1401</v>
      </c>
      <c r="L232" t="s">
        <v>1402</v>
      </c>
      <c r="M232" s="2" t="s">
        <v>903</v>
      </c>
      <c r="N232" t="s">
        <v>2581</v>
      </c>
      <c r="O232" s="2" t="s">
        <v>66</v>
      </c>
    </row>
    <row r="233" spans="1:15">
      <c r="A233" t="s">
        <v>695</v>
      </c>
      <c r="B233" t="s">
        <v>66</v>
      </c>
      <c r="C233" s="2" t="s">
        <v>903</v>
      </c>
      <c r="E233" s="2" t="str">
        <f t="shared" si="9"/>
        <v>Yussuf</v>
      </c>
      <c r="F233" s="2" t="str">
        <f t="shared" si="10"/>
        <v>Yurary Poulsen</v>
      </c>
      <c r="H233" s="2" t="str">
        <f t="shared" si="11"/>
        <v>Y</v>
      </c>
      <c r="I233" s="2" t="s">
        <v>2582</v>
      </c>
      <c r="K233" s="2" t="s">
        <v>1403</v>
      </c>
      <c r="L233" t="s">
        <v>1404</v>
      </c>
      <c r="M233" s="2" t="s">
        <v>903</v>
      </c>
      <c r="N233" t="s">
        <v>2582</v>
      </c>
      <c r="O233" s="2" t="s">
        <v>66</v>
      </c>
    </row>
    <row r="234" spans="1:15">
      <c r="A234" t="s">
        <v>696</v>
      </c>
      <c r="B234" t="s">
        <v>66</v>
      </c>
      <c r="C234" s="2" t="s">
        <v>903</v>
      </c>
      <c r="E234" s="2" t="str">
        <f t="shared" si="9"/>
        <v>Andreas</v>
      </c>
      <c r="F234" s="2" t="str">
        <f t="shared" si="10"/>
        <v>Cornelius</v>
      </c>
      <c r="H234" s="2" t="str">
        <f t="shared" si="11"/>
        <v>A</v>
      </c>
      <c r="I234" s="2" t="s">
        <v>2583</v>
      </c>
      <c r="K234" s="2" t="s">
        <v>1379</v>
      </c>
      <c r="L234" t="s">
        <v>1244</v>
      </c>
      <c r="M234" s="2" t="s">
        <v>903</v>
      </c>
      <c r="N234" t="s">
        <v>2583</v>
      </c>
      <c r="O234" s="2" t="s">
        <v>66</v>
      </c>
    </row>
    <row r="235" spans="1:15">
      <c r="A235" t="s">
        <v>697</v>
      </c>
      <c r="B235" t="s">
        <v>66</v>
      </c>
      <c r="C235" s="2" t="s">
        <v>903</v>
      </c>
      <c r="E235" s="2" t="str">
        <f t="shared" si="9"/>
        <v>Robert</v>
      </c>
      <c r="F235" s="2" t="str">
        <f t="shared" si="10"/>
        <v>Skov</v>
      </c>
      <c r="H235" s="2" t="str">
        <f t="shared" si="11"/>
        <v>R</v>
      </c>
      <c r="I235" s="2" t="s">
        <v>2584</v>
      </c>
      <c r="K235" s="2" t="s">
        <v>1405</v>
      </c>
      <c r="L235" t="s">
        <v>1406</v>
      </c>
      <c r="M235" s="2" t="s">
        <v>903</v>
      </c>
      <c r="N235" t="s">
        <v>2584</v>
      </c>
      <c r="O235" s="2" t="s">
        <v>66</v>
      </c>
    </row>
    <row r="236" spans="1:15">
      <c r="A236" t="s">
        <v>698</v>
      </c>
      <c r="B236" t="s">
        <v>44</v>
      </c>
      <c r="C236" s="2" t="s">
        <v>904</v>
      </c>
      <c r="E236" s="2" t="str">
        <f t="shared" si="9"/>
        <v>Hernan</v>
      </c>
      <c r="F236" s="2" t="str">
        <f t="shared" si="10"/>
        <v>Galindez</v>
      </c>
      <c r="H236" s="2" t="str">
        <f t="shared" si="11"/>
        <v>H</v>
      </c>
      <c r="I236" s="2" t="s">
        <v>2585</v>
      </c>
      <c r="K236" s="2" t="s">
        <v>1407</v>
      </c>
      <c r="L236" t="s">
        <v>1408</v>
      </c>
      <c r="M236" s="2" t="s">
        <v>904</v>
      </c>
      <c r="N236" t="s">
        <v>2585</v>
      </c>
      <c r="O236" s="2" t="s">
        <v>44</v>
      </c>
    </row>
    <row r="237" spans="1:15">
      <c r="A237" t="s">
        <v>699</v>
      </c>
      <c r="B237" t="s">
        <v>44</v>
      </c>
      <c r="C237" s="2" t="s">
        <v>904</v>
      </c>
      <c r="E237" s="2" t="str">
        <f t="shared" si="9"/>
        <v>Moises</v>
      </c>
      <c r="F237" s="2" t="str">
        <f t="shared" si="10"/>
        <v>Ramírez</v>
      </c>
      <c r="H237" s="2" t="str">
        <f t="shared" si="11"/>
        <v>M</v>
      </c>
      <c r="I237" s="2" t="s">
        <v>2586</v>
      </c>
      <c r="K237" s="2" t="s">
        <v>1409</v>
      </c>
      <c r="L237" t="s">
        <v>1410</v>
      </c>
      <c r="M237" s="2" t="s">
        <v>904</v>
      </c>
      <c r="N237" t="s">
        <v>2586</v>
      </c>
      <c r="O237" s="2" t="s">
        <v>44</v>
      </c>
    </row>
    <row r="238" spans="1:15">
      <c r="A238" t="s">
        <v>700</v>
      </c>
      <c r="B238" t="s">
        <v>44</v>
      </c>
      <c r="C238" s="2" t="s">
        <v>904</v>
      </c>
      <c r="E238" s="2" t="str">
        <f t="shared" si="9"/>
        <v>Alexander</v>
      </c>
      <c r="F238" s="2" t="str">
        <f t="shared" si="10"/>
        <v>Domínguez</v>
      </c>
      <c r="H238" s="2" t="str">
        <f t="shared" si="11"/>
        <v>A</v>
      </c>
      <c r="I238" s="2" t="s">
        <v>2587</v>
      </c>
      <c r="K238" s="2" t="s">
        <v>1384</v>
      </c>
      <c r="L238" t="s">
        <v>1411</v>
      </c>
      <c r="M238" s="2" t="s">
        <v>904</v>
      </c>
      <c r="N238" t="s">
        <v>2587</v>
      </c>
      <c r="O238" s="2" t="s">
        <v>44</v>
      </c>
    </row>
    <row r="239" spans="1:15">
      <c r="A239" t="s">
        <v>701</v>
      </c>
      <c r="B239" t="s">
        <v>48</v>
      </c>
      <c r="C239" s="2" t="s">
        <v>904</v>
      </c>
      <c r="E239" s="2" t="str">
        <f t="shared" si="9"/>
        <v>Félix</v>
      </c>
      <c r="F239" s="2" t="str">
        <f t="shared" si="10"/>
        <v>Torres</v>
      </c>
      <c r="H239" s="2" t="str">
        <f t="shared" si="11"/>
        <v>F</v>
      </c>
      <c r="I239" s="2" t="s">
        <v>2588</v>
      </c>
      <c r="K239" s="2" t="s">
        <v>1412</v>
      </c>
      <c r="L239" t="s">
        <v>1302</v>
      </c>
      <c r="M239" s="2" t="s">
        <v>904</v>
      </c>
      <c r="N239" t="s">
        <v>2588</v>
      </c>
      <c r="O239" s="2" t="s">
        <v>48</v>
      </c>
    </row>
    <row r="240" spans="1:15">
      <c r="A240" t="s">
        <v>702</v>
      </c>
      <c r="B240" t="s">
        <v>48</v>
      </c>
      <c r="C240" s="2" t="s">
        <v>904</v>
      </c>
      <c r="E240" s="2" t="str">
        <f t="shared" si="9"/>
        <v>Piero</v>
      </c>
      <c r="F240" s="2" t="str">
        <f t="shared" si="10"/>
        <v>Hincapié</v>
      </c>
      <c r="H240" s="2" t="str">
        <f t="shared" si="11"/>
        <v>P</v>
      </c>
      <c r="I240" s="2" t="s">
        <v>2589</v>
      </c>
      <c r="K240" s="2" t="s">
        <v>1413</v>
      </c>
      <c r="L240" t="s">
        <v>1414</v>
      </c>
      <c r="M240" s="2" t="s">
        <v>904</v>
      </c>
      <c r="N240" t="s">
        <v>2589</v>
      </c>
      <c r="O240" s="2" t="s">
        <v>48</v>
      </c>
    </row>
    <row r="241" spans="1:15">
      <c r="A241" t="s">
        <v>703</v>
      </c>
      <c r="B241" t="s">
        <v>48</v>
      </c>
      <c r="C241" s="2" t="s">
        <v>904</v>
      </c>
      <c r="E241" s="2" t="str">
        <f t="shared" si="9"/>
        <v>Robert</v>
      </c>
      <c r="F241" s="2" t="str">
        <f t="shared" si="10"/>
        <v>Arboleda</v>
      </c>
      <c r="H241" s="2" t="str">
        <f t="shared" si="11"/>
        <v>R</v>
      </c>
      <c r="I241" s="2" t="s">
        <v>2590</v>
      </c>
      <c r="K241" s="2" t="s">
        <v>1405</v>
      </c>
      <c r="L241" t="s">
        <v>1415</v>
      </c>
      <c r="M241" s="2" t="s">
        <v>904</v>
      </c>
      <c r="N241" t="s">
        <v>2590</v>
      </c>
      <c r="O241" s="2" t="s">
        <v>48</v>
      </c>
    </row>
    <row r="242" spans="1:15">
      <c r="A242" t="s">
        <v>704</v>
      </c>
      <c r="B242" t="s">
        <v>48</v>
      </c>
      <c r="C242" s="2" t="s">
        <v>904</v>
      </c>
      <c r="E242" s="2" t="str">
        <f t="shared" si="9"/>
        <v>William</v>
      </c>
      <c r="F242" s="2" t="str">
        <f t="shared" si="10"/>
        <v>Pacho</v>
      </c>
      <c r="H242" s="2" t="str">
        <f t="shared" si="11"/>
        <v>W</v>
      </c>
      <c r="I242" s="2" t="s">
        <v>2591</v>
      </c>
      <c r="K242" s="2" t="s">
        <v>1416</v>
      </c>
      <c r="L242" t="s">
        <v>1417</v>
      </c>
      <c r="M242" s="2" t="s">
        <v>904</v>
      </c>
      <c r="N242" t="s">
        <v>2591</v>
      </c>
      <c r="O242" s="2" t="s">
        <v>48</v>
      </c>
    </row>
    <row r="243" spans="1:15">
      <c r="A243" t="s">
        <v>705</v>
      </c>
      <c r="B243" t="s">
        <v>48</v>
      </c>
      <c r="C243" s="2" t="s">
        <v>904</v>
      </c>
      <c r="E243" s="2" t="str">
        <f t="shared" si="9"/>
        <v>Pervis</v>
      </c>
      <c r="F243" s="2" t="str">
        <f t="shared" si="10"/>
        <v>Estupiñán</v>
      </c>
      <c r="H243" s="2" t="str">
        <f t="shared" si="11"/>
        <v>P</v>
      </c>
      <c r="I243" s="2" t="s">
        <v>2592</v>
      </c>
      <c r="K243" s="2" t="s">
        <v>1418</v>
      </c>
      <c r="L243" t="s">
        <v>1419</v>
      </c>
      <c r="M243" s="2" t="s">
        <v>904</v>
      </c>
      <c r="N243" t="s">
        <v>2592</v>
      </c>
      <c r="O243" s="2" t="s">
        <v>48</v>
      </c>
    </row>
    <row r="244" spans="1:15">
      <c r="A244" t="s">
        <v>706</v>
      </c>
      <c r="B244" t="s">
        <v>48</v>
      </c>
      <c r="C244" s="2" t="s">
        <v>904</v>
      </c>
      <c r="E244" s="2" t="str">
        <f t="shared" si="9"/>
        <v>Xavier</v>
      </c>
      <c r="F244" s="2" t="str">
        <f t="shared" si="10"/>
        <v>Arreaga</v>
      </c>
      <c r="H244" s="2" t="str">
        <f t="shared" si="11"/>
        <v>X</v>
      </c>
      <c r="I244" s="2" t="s">
        <v>2593</v>
      </c>
      <c r="K244" s="2" t="s">
        <v>1420</v>
      </c>
      <c r="L244" t="s">
        <v>1421</v>
      </c>
      <c r="M244" s="2" t="s">
        <v>904</v>
      </c>
      <c r="N244" t="s">
        <v>2593</v>
      </c>
      <c r="O244" s="2" t="s">
        <v>48</v>
      </c>
    </row>
    <row r="245" spans="1:15">
      <c r="A245" t="s">
        <v>707</v>
      </c>
      <c r="B245" t="s">
        <v>48</v>
      </c>
      <c r="C245" t="s">
        <v>904</v>
      </c>
      <c r="E245" s="2" t="str">
        <f t="shared" si="9"/>
        <v>Angelo</v>
      </c>
      <c r="F245" s="2" t="str">
        <f t="shared" si="10"/>
        <v>Preciado</v>
      </c>
      <c r="H245" s="2" t="str">
        <f t="shared" si="11"/>
        <v>A</v>
      </c>
      <c r="I245" s="2" t="s">
        <v>2594</v>
      </c>
      <c r="K245" s="2" t="s">
        <v>1422</v>
      </c>
      <c r="L245" t="s">
        <v>1423</v>
      </c>
      <c r="M245" s="2" t="s">
        <v>904</v>
      </c>
      <c r="N245" t="s">
        <v>2594</v>
      </c>
      <c r="O245" s="2" t="s">
        <v>48</v>
      </c>
    </row>
    <row r="246" spans="1:15">
      <c r="A246" t="s">
        <v>708</v>
      </c>
      <c r="B246" t="s">
        <v>48</v>
      </c>
      <c r="C246" t="s">
        <v>904</v>
      </c>
      <c r="E246" s="2" t="str">
        <f t="shared" si="9"/>
        <v>Diego</v>
      </c>
      <c r="F246" s="2" t="str">
        <f t="shared" si="10"/>
        <v>Palacios</v>
      </c>
      <c r="H246" s="2" t="str">
        <f t="shared" si="11"/>
        <v>D</v>
      </c>
      <c r="I246" s="2" t="s">
        <v>2595</v>
      </c>
      <c r="K246" s="2" t="s">
        <v>1424</v>
      </c>
      <c r="L246" t="s">
        <v>1041</v>
      </c>
      <c r="M246" s="2" t="s">
        <v>904</v>
      </c>
      <c r="N246" t="s">
        <v>2595</v>
      </c>
      <c r="O246" s="2" t="s">
        <v>48</v>
      </c>
    </row>
    <row r="247" spans="1:15">
      <c r="A247" t="s">
        <v>709</v>
      </c>
      <c r="B247" t="s">
        <v>48</v>
      </c>
      <c r="C247" s="2" t="s">
        <v>904</v>
      </c>
      <c r="E247" s="2" t="str">
        <f t="shared" si="9"/>
        <v>Jackson</v>
      </c>
      <c r="F247" s="2" t="str">
        <f t="shared" si="10"/>
        <v>Porozo</v>
      </c>
      <c r="H247" s="2" t="str">
        <f t="shared" si="11"/>
        <v>J</v>
      </c>
      <c r="I247" s="2" t="s">
        <v>2596</v>
      </c>
      <c r="K247" s="2" t="s">
        <v>1094</v>
      </c>
      <c r="L247" t="s">
        <v>1425</v>
      </c>
      <c r="M247" s="2" t="s">
        <v>904</v>
      </c>
      <c r="N247" t="s">
        <v>2596</v>
      </c>
      <c r="O247" s="2" t="s">
        <v>48</v>
      </c>
    </row>
    <row r="248" spans="1:15">
      <c r="A248" t="s">
        <v>710</v>
      </c>
      <c r="B248" t="s">
        <v>57</v>
      </c>
      <c r="C248" s="2" t="s">
        <v>904</v>
      </c>
      <c r="E248" s="2" t="str">
        <f t="shared" si="9"/>
        <v>José</v>
      </c>
      <c r="F248" s="2" t="str">
        <f t="shared" si="10"/>
        <v>Cifuentes</v>
      </c>
      <c r="H248" s="2" t="str">
        <f t="shared" si="11"/>
        <v>J</v>
      </c>
      <c r="I248" s="2" t="s">
        <v>2597</v>
      </c>
      <c r="K248" s="2" t="s">
        <v>1426</v>
      </c>
      <c r="L248" t="s">
        <v>1427</v>
      </c>
      <c r="M248" s="2" t="s">
        <v>904</v>
      </c>
      <c r="N248" t="s">
        <v>2597</v>
      </c>
      <c r="O248" s="2" t="s">
        <v>57</v>
      </c>
    </row>
    <row r="249" spans="1:15">
      <c r="A249" t="s">
        <v>711</v>
      </c>
      <c r="B249" t="s">
        <v>57</v>
      </c>
      <c r="C249" s="2" t="s">
        <v>904</v>
      </c>
      <c r="E249" s="2" t="str">
        <f t="shared" si="9"/>
        <v>Carlos</v>
      </c>
      <c r="F249" s="2" t="str">
        <f t="shared" si="10"/>
        <v>Gruezo</v>
      </c>
      <c r="H249" s="2" t="str">
        <f t="shared" si="11"/>
        <v>C</v>
      </c>
      <c r="I249" s="2" t="s">
        <v>2598</v>
      </c>
      <c r="K249" s="2" t="s">
        <v>1287</v>
      </c>
      <c r="L249" t="s">
        <v>1428</v>
      </c>
      <c r="M249" s="2" t="s">
        <v>904</v>
      </c>
      <c r="N249" t="s">
        <v>2598</v>
      </c>
      <c r="O249" s="2" t="s">
        <v>57</v>
      </c>
    </row>
    <row r="250" spans="1:15">
      <c r="A250" t="s">
        <v>712</v>
      </c>
      <c r="B250" t="s">
        <v>57</v>
      </c>
      <c r="C250" s="2" t="s">
        <v>904</v>
      </c>
      <c r="E250" s="2" t="str">
        <f t="shared" si="9"/>
        <v>Ayrton</v>
      </c>
      <c r="F250" s="2" t="str">
        <f t="shared" si="10"/>
        <v>Preciado</v>
      </c>
      <c r="H250" s="2" t="str">
        <f t="shared" si="11"/>
        <v>A</v>
      </c>
      <c r="I250" s="2" t="s">
        <v>2594</v>
      </c>
      <c r="K250" s="2" t="s">
        <v>1429</v>
      </c>
      <c r="L250" t="s">
        <v>1423</v>
      </c>
      <c r="M250" s="2" t="s">
        <v>904</v>
      </c>
      <c r="N250" t="s">
        <v>2594</v>
      </c>
      <c r="O250" s="2" t="s">
        <v>57</v>
      </c>
    </row>
    <row r="251" spans="1:15">
      <c r="A251" t="s">
        <v>713</v>
      </c>
      <c r="B251" t="s">
        <v>57</v>
      </c>
      <c r="C251" s="2" t="s">
        <v>904</v>
      </c>
      <c r="E251" s="2" t="str">
        <f t="shared" si="9"/>
        <v>Romario</v>
      </c>
      <c r="F251" s="2" t="str">
        <f t="shared" si="10"/>
        <v>Ibarra</v>
      </c>
      <c r="H251" s="2" t="str">
        <f t="shared" si="11"/>
        <v>R</v>
      </c>
      <c r="I251" s="2" t="s">
        <v>2599</v>
      </c>
      <c r="K251" s="2" t="s">
        <v>1430</v>
      </c>
      <c r="L251" t="s">
        <v>1431</v>
      </c>
      <c r="M251" s="2" t="s">
        <v>904</v>
      </c>
      <c r="N251" t="s">
        <v>2599</v>
      </c>
      <c r="O251" s="2" t="s">
        <v>57</v>
      </c>
    </row>
    <row r="252" spans="1:15">
      <c r="A252" t="s">
        <v>714</v>
      </c>
      <c r="B252" t="s">
        <v>57</v>
      </c>
      <c r="C252" s="2" t="s">
        <v>904</v>
      </c>
      <c r="E252" s="2" t="str">
        <f t="shared" si="9"/>
        <v>Jhegson</v>
      </c>
      <c r="F252" s="2" t="str">
        <f t="shared" si="10"/>
        <v>Méndez</v>
      </c>
      <c r="H252" s="2" t="str">
        <f t="shared" si="11"/>
        <v>J</v>
      </c>
      <c r="I252" s="2" t="s">
        <v>2600</v>
      </c>
      <c r="K252" s="2" t="s">
        <v>1432</v>
      </c>
      <c r="L252" t="s">
        <v>1433</v>
      </c>
      <c r="M252" s="2" t="s">
        <v>904</v>
      </c>
      <c r="N252" t="s">
        <v>2600</v>
      </c>
      <c r="O252" s="2" t="s">
        <v>57</v>
      </c>
    </row>
    <row r="253" spans="1:15">
      <c r="A253" t="s">
        <v>715</v>
      </c>
      <c r="B253" t="s">
        <v>57</v>
      </c>
      <c r="C253" s="2" t="s">
        <v>904</v>
      </c>
      <c r="E253" s="2" t="str">
        <f t="shared" si="9"/>
        <v>Alan</v>
      </c>
      <c r="F253" s="2" t="str">
        <f t="shared" si="10"/>
        <v>Franco</v>
      </c>
      <c r="H253" s="2" t="str">
        <f t="shared" si="11"/>
        <v>A</v>
      </c>
      <c r="I253" s="2" t="s">
        <v>2601</v>
      </c>
      <c r="K253" s="2" t="s">
        <v>1434</v>
      </c>
      <c r="L253" t="s">
        <v>1012</v>
      </c>
      <c r="M253" s="2" t="s">
        <v>904</v>
      </c>
      <c r="N253" t="s">
        <v>2601</v>
      </c>
      <c r="O253" s="2" t="s">
        <v>57</v>
      </c>
    </row>
    <row r="254" spans="1:15">
      <c r="A254" t="s">
        <v>716</v>
      </c>
      <c r="B254" t="s">
        <v>57</v>
      </c>
      <c r="C254" s="2" t="s">
        <v>904</v>
      </c>
      <c r="E254" s="2" t="str">
        <f t="shared" si="9"/>
        <v>Moises</v>
      </c>
      <c r="F254" s="2" t="str">
        <f t="shared" si="10"/>
        <v>Caicedo</v>
      </c>
      <c r="H254" s="2" t="str">
        <f t="shared" si="11"/>
        <v>M</v>
      </c>
      <c r="I254" s="2" t="s">
        <v>2602</v>
      </c>
      <c r="K254" s="2" t="s">
        <v>1409</v>
      </c>
      <c r="L254" t="s">
        <v>1435</v>
      </c>
      <c r="M254" s="2" t="s">
        <v>904</v>
      </c>
      <c r="N254" t="s">
        <v>2602</v>
      </c>
      <c r="O254" s="2" t="s">
        <v>57</v>
      </c>
    </row>
    <row r="255" spans="1:15">
      <c r="A255" t="s">
        <v>717</v>
      </c>
      <c r="B255" t="s">
        <v>57</v>
      </c>
      <c r="C255" s="2" t="s">
        <v>904</v>
      </c>
      <c r="E255" s="2" t="str">
        <f t="shared" si="9"/>
        <v>Kevin</v>
      </c>
      <c r="F255" s="2" t="str">
        <f t="shared" si="10"/>
        <v>Rodríguez</v>
      </c>
      <c r="H255" s="2" t="str">
        <f t="shared" si="11"/>
        <v>K</v>
      </c>
      <c r="I255" s="2" t="s">
        <v>2603</v>
      </c>
      <c r="K255" s="2" t="s">
        <v>1132</v>
      </c>
      <c r="L255" t="s">
        <v>1045</v>
      </c>
      <c r="M255" s="2" t="s">
        <v>904</v>
      </c>
      <c r="N255" t="s">
        <v>2603</v>
      </c>
      <c r="O255" s="2" t="s">
        <v>57</v>
      </c>
    </row>
    <row r="256" spans="1:15">
      <c r="A256" t="s">
        <v>718</v>
      </c>
      <c r="B256" t="s">
        <v>66</v>
      </c>
      <c r="C256" s="2" t="s">
        <v>904</v>
      </c>
      <c r="E256" s="2" t="str">
        <f t="shared" si="9"/>
        <v>Michael</v>
      </c>
      <c r="F256" s="2" t="str">
        <f t="shared" si="10"/>
        <v>Estrada</v>
      </c>
      <c r="H256" s="2" t="str">
        <f t="shared" si="11"/>
        <v>M</v>
      </c>
      <c r="I256" s="2" t="s">
        <v>2604</v>
      </c>
      <c r="K256" s="2" t="s">
        <v>1436</v>
      </c>
      <c r="L256" t="s">
        <v>1437</v>
      </c>
      <c r="M256" s="2" t="s">
        <v>904</v>
      </c>
      <c r="N256" t="s">
        <v>2604</v>
      </c>
      <c r="O256" s="2" t="s">
        <v>66</v>
      </c>
    </row>
    <row r="257" spans="1:15">
      <c r="A257" t="s">
        <v>719</v>
      </c>
      <c r="B257" t="s">
        <v>66</v>
      </c>
      <c r="C257" s="2" t="s">
        <v>904</v>
      </c>
      <c r="E257" s="2" t="str">
        <f t="shared" si="9"/>
        <v>Enner</v>
      </c>
      <c r="F257" s="2" t="str">
        <f t="shared" si="10"/>
        <v>Valencia</v>
      </c>
      <c r="H257" s="2" t="str">
        <f t="shared" si="11"/>
        <v>E</v>
      </c>
      <c r="I257" s="2" t="s">
        <v>916</v>
      </c>
      <c r="K257" s="2" t="s">
        <v>1438</v>
      </c>
      <c r="L257" t="s">
        <v>1439</v>
      </c>
      <c r="M257" s="2" t="s">
        <v>904</v>
      </c>
      <c r="N257" t="s">
        <v>916</v>
      </c>
      <c r="O257" s="2" t="s">
        <v>66</v>
      </c>
    </row>
    <row r="258" spans="1:15">
      <c r="A258" t="s">
        <v>720</v>
      </c>
      <c r="B258" t="s">
        <v>66</v>
      </c>
      <c r="C258" s="2" t="s">
        <v>904</v>
      </c>
      <c r="E258" s="2" t="str">
        <f t="shared" si="9"/>
        <v>Ángel</v>
      </c>
      <c r="F258" s="2" t="str">
        <f t="shared" si="10"/>
        <v>Mena</v>
      </c>
      <c r="H258" s="2" t="str">
        <f t="shared" si="11"/>
        <v>Á</v>
      </c>
      <c r="I258" s="2" t="s">
        <v>2605</v>
      </c>
      <c r="K258" s="2" t="s">
        <v>1038</v>
      </c>
      <c r="L258" t="s">
        <v>1440</v>
      </c>
      <c r="M258" s="2" t="s">
        <v>904</v>
      </c>
      <c r="N258" t="s">
        <v>2605</v>
      </c>
      <c r="O258" s="2" t="s">
        <v>66</v>
      </c>
    </row>
    <row r="259" spans="1:15">
      <c r="A259" t="s">
        <v>721</v>
      </c>
      <c r="B259" t="s">
        <v>66</v>
      </c>
      <c r="C259" s="2" t="s">
        <v>904</v>
      </c>
      <c r="E259" s="2" t="str">
        <f t="shared" ref="E259:E322" si="12">IF(ISERROR(FIND(" ",A259)),"", LEFT(A259,FIND(" ",A259)-1))</f>
        <v>Jeremy</v>
      </c>
      <c r="F259" s="2" t="str">
        <f t="shared" ref="F259:F322" si="13">IF(ISERROR(FIND(" ",A259)),A259,RIGHT(A259,LEN(A259)-FIND(" ",A259)))</f>
        <v>Sarmiento</v>
      </c>
      <c r="H259" s="2" t="str">
        <f t="shared" ref="H259:H322" si="14">LEFT(E259,1)</f>
        <v>J</v>
      </c>
      <c r="I259" s="2" t="s">
        <v>2606</v>
      </c>
      <c r="K259" s="2" t="s">
        <v>1441</v>
      </c>
      <c r="L259" t="s">
        <v>1442</v>
      </c>
      <c r="M259" s="2" t="s">
        <v>904</v>
      </c>
      <c r="N259" t="s">
        <v>2606</v>
      </c>
      <c r="O259" s="2" t="s">
        <v>66</v>
      </c>
    </row>
    <row r="260" spans="1:15">
      <c r="A260" t="s">
        <v>722</v>
      </c>
      <c r="B260" t="s">
        <v>66</v>
      </c>
      <c r="C260" s="2" t="s">
        <v>904</v>
      </c>
      <c r="E260" s="2" t="str">
        <f t="shared" si="12"/>
        <v>Gonzalo</v>
      </c>
      <c r="F260" s="2" t="str">
        <f t="shared" si="13"/>
        <v>Plata</v>
      </c>
      <c r="H260" s="2" t="str">
        <f t="shared" si="14"/>
        <v>G</v>
      </c>
      <c r="I260" s="2" t="s">
        <v>2607</v>
      </c>
      <c r="K260" s="2" t="s">
        <v>1022</v>
      </c>
      <c r="L260" t="s">
        <v>1443</v>
      </c>
      <c r="M260" s="2" t="s">
        <v>904</v>
      </c>
      <c r="N260" t="s">
        <v>2607</v>
      </c>
      <c r="O260" s="2" t="s">
        <v>66</v>
      </c>
    </row>
    <row r="261" spans="1:15">
      <c r="A261" t="s">
        <v>723</v>
      </c>
      <c r="B261" t="s">
        <v>66</v>
      </c>
      <c r="C261" s="2" t="s">
        <v>904</v>
      </c>
      <c r="E261" s="2" t="str">
        <f t="shared" si="12"/>
        <v>Djorkaeff</v>
      </c>
      <c r="F261" s="2" t="str">
        <f t="shared" si="13"/>
        <v>Reasco</v>
      </c>
      <c r="H261" s="2" t="str">
        <f t="shared" si="14"/>
        <v>D</v>
      </c>
      <c r="I261" s="2" t="s">
        <v>2608</v>
      </c>
      <c r="K261" s="2" t="s">
        <v>1444</v>
      </c>
      <c r="L261" t="s">
        <v>1445</v>
      </c>
      <c r="M261" s="2" t="s">
        <v>904</v>
      </c>
      <c r="N261" t="s">
        <v>2608</v>
      </c>
      <c r="O261" s="2" t="s">
        <v>66</v>
      </c>
    </row>
    <row r="262" spans="1:15">
      <c r="A262" t="s">
        <v>724</v>
      </c>
      <c r="B262" t="s">
        <v>44</v>
      </c>
      <c r="C262" s="2" t="s">
        <v>905</v>
      </c>
      <c r="E262" s="2" t="str">
        <f t="shared" si="12"/>
        <v>Jordan</v>
      </c>
      <c r="F262" s="2" t="str">
        <f t="shared" si="13"/>
        <v>Pickford</v>
      </c>
      <c r="H262" s="2" t="str">
        <f t="shared" si="14"/>
        <v>J</v>
      </c>
      <c r="I262" s="2" t="s">
        <v>2609</v>
      </c>
      <c r="K262" s="2" t="s">
        <v>1446</v>
      </c>
      <c r="L262" t="s">
        <v>1447</v>
      </c>
      <c r="M262" s="2" t="s">
        <v>905</v>
      </c>
      <c r="N262" t="s">
        <v>2609</v>
      </c>
      <c r="O262" s="2" t="s">
        <v>44</v>
      </c>
    </row>
    <row r="263" spans="1:15">
      <c r="A263" t="s">
        <v>725</v>
      </c>
      <c r="B263" t="s">
        <v>44</v>
      </c>
      <c r="C263" s="2" t="s">
        <v>905</v>
      </c>
      <c r="E263" s="2" t="str">
        <f t="shared" si="12"/>
        <v>Nick</v>
      </c>
      <c r="F263" s="2" t="str">
        <f t="shared" si="13"/>
        <v>Pope</v>
      </c>
      <c r="H263" s="2" t="str">
        <f t="shared" si="14"/>
        <v>N</v>
      </c>
      <c r="I263" s="2" t="s">
        <v>2610</v>
      </c>
      <c r="K263" s="2" t="s">
        <v>1448</v>
      </c>
      <c r="L263" t="s">
        <v>1449</v>
      </c>
      <c r="M263" s="2" t="s">
        <v>905</v>
      </c>
      <c r="N263" t="s">
        <v>2610</v>
      </c>
      <c r="O263" s="2" t="s">
        <v>44</v>
      </c>
    </row>
    <row r="264" spans="1:15">
      <c r="A264" t="s">
        <v>726</v>
      </c>
      <c r="B264" t="s">
        <v>44</v>
      </c>
      <c r="C264" s="2" t="s">
        <v>905</v>
      </c>
      <c r="E264" s="2" t="str">
        <f t="shared" si="12"/>
        <v>Aaron</v>
      </c>
      <c r="F264" s="2" t="str">
        <f t="shared" si="13"/>
        <v>Ramsdale</v>
      </c>
      <c r="H264" s="2" t="str">
        <f t="shared" si="14"/>
        <v>A</v>
      </c>
      <c r="I264" s="2" t="s">
        <v>2611</v>
      </c>
      <c r="K264" s="2" t="s">
        <v>1088</v>
      </c>
      <c r="L264" t="s">
        <v>1450</v>
      </c>
      <c r="M264" s="2" t="s">
        <v>905</v>
      </c>
      <c r="N264" t="s">
        <v>2611</v>
      </c>
      <c r="O264" s="2" t="s">
        <v>44</v>
      </c>
    </row>
    <row r="265" spans="1:15">
      <c r="A265" t="s">
        <v>727</v>
      </c>
      <c r="B265" t="s">
        <v>48</v>
      </c>
      <c r="C265" s="2" t="s">
        <v>905</v>
      </c>
      <c r="E265" s="2" t="str">
        <f t="shared" si="12"/>
        <v>Kyle</v>
      </c>
      <c r="F265" s="2" t="str">
        <f t="shared" si="13"/>
        <v>Walker</v>
      </c>
      <c r="H265" s="2" t="str">
        <f t="shared" si="14"/>
        <v>K</v>
      </c>
      <c r="I265" s="2" t="s">
        <v>2612</v>
      </c>
      <c r="K265" s="2" t="s">
        <v>1451</v>
      </c>
      <c r="L265" t="s">
        <v>1452</v>
      </c>
      <c r="M265" s="2" t="s">
        <v>905</v>
      </c>
      <c r="N265" t="s">
        <v>2612</v>
      </c>
      <c r="O265" s="2" t="s">
        <v>48</v>
      </c>
    </row>
    <row r="266" spans="1:15">
      <c r="A266" t="s">
        <v>728</v>
      </c>
      <c r="B266" t="s">
        <v>48</v>
      </c>
      <c r="C266" s="2" t="s">
        <v>905</v>
      </c>
      <c r="E266" s="2" t="str">
        <f t="shared" si="12"/>
        <v>Luke</v>
      </c>
      <c r="F266" s="2" t="str">
        <f t="shared" si="13"/>
        <v>Shaw</v>
      </c>
      <c r="H266" s="2" t="str">
        <f t="shared" si="14"/>
        <v>L</v>
      </c>
      <c r="I266" s="2" t="s">
        <v>2613</v>
      </c>
      <c r="K266" s="2" t="s">
        <v>1453</v>
      </c>
      <c r="L266" t="s">
        <v>1454</v>
      </c>
      <c r="M266" s="2" t="s">
        <v>905</v>
      </c>
      <c r="N266" t="s">
        <v>2613</v>
      </c>
      <c r="O266" s="2" t="s">
        <v>48</v>
      </c>
    </row>
    <row r="267" spans="1:15">
      <c r="A267" t="s">
        <v>729</v>
      </c>
      <c r="B267" t="s">
        <v>48</v>
      </c>
      <c r="C267" s="2" t="s">
        <v>905</v>
      </c>
      <c r="E267" s="2" t="str">
        <f t="shared" si="12"/>
        <v>John</v>
      </c>
      <c r="F267" s="2" t="str">
        <f t="shared" si="13"/>
        <v>Stones</v>
      </c>
      <c r="H267" s="2" t="str">
        <f t="shared" si="14"/>
        <v>J</v>
      </c>
      <c r="I267" s="2" t="s">
        <v>2614</v>
      </c>
      <c r="K267" s="2" t="s">
        <v>1455</v>
      </c>
      <c r="L267" t="s">
        <v>1456</v>
      </c>
      <c r="M267" s="2" t="s">
        <v>905</v>
      </c>
      <c r="N267" t="s">
        <v>2614</v>
      </c>
      <c r="O267" s="2" t="s">
        <v>48</v>
      </c>
    </row>
    <row r="268" spans="1:15">
      <c r="A268" t="s">
        <v>730</v>
      </c>
      <c r="B268" t="s">
        <v>48</v>
      </c>
      <c r="C268" s="2" t="s">
        <v>905</v>
      </c>
      <c r="E268" s="2" t="str">
        <f t="shared" si="12"/>
        <v>Harry</v>
      </c>
      <c r="F268" s="2" t="str">
        <f t="shared" si="13"/>
        <v>Maguire</v>
      </c>
      <c r="H268" s="2" t="str">
        <f t="shared" si="14"/>
        <v>H</v>
      </c>
      <c r="I268" s="2" t="s">
        <v>2615</v>
      </c>
      <c r="K268" s="2" t="s">
        <v>1078</v>
      </c>
      <c r="L268" t="s">
        <v>1457</v>
      </c>
      <c r="M268" s="2" t="s">
        <v>905</v>
      </c>
      <c r="N268" t="s">
        <v>2615</v>
      </c>
      <c r="O268" s="2" t="s">
        <v>48</v>
      </c>
    </row>
    <row r="269" spans="1:15">
      <c r="A269" t="s">
        <v>731</v>
      </c>
      <c r="B269" t="s">
        <v>48</v>
      </c>
      <c r="C269" s="2" t="s">
        <v>905</v>
      </c>
      <c r="E269" s="2" t="str">
        <f t="shared" si="12"/>
        <v>Kieran</v>
      </c>
      <c r="F269" s="2" t="str">
        <f t="shared" si="13"/>
        <v>Trippier</v>
      </c>
      <c r="H269" s="2" t="str">
        <f t="shared" si="14"/>
        <v>K</v>
      </c>
      <c r="I269" s="2" t="s">
        <v>2616</v>
      </c>
      <c r="K269" s="2" t="s">
        <v>1458</v>
      </c>
      <c r="L269" t="s">
        <v>1459</v>
      </c>
      <c r="M269" s="2" t="s">
        <v>905</v>
      </c>
      <c r="N269" t="s">
        <v>2616</v>
      </c>
      <c r="O269" s="2" t="s">
        <v>48</v>
      </c>
    </row>
    <row r="270" spans="1:15">
      <c r="A270" t="s">
        <v>732</v>
      </c>
      <c r="B270" t="s">
        <v>48</v>
      </c>
      <c r="C270" s="2" t="s">
        <v>905</v>
      </c>
      <c r="E270" s="2" t="str">
        <f t="shared" si="12"/>
        <v>Eric</v>
      </c>
      <c r="F270" s="2" t="str">
        <f t="shared" si="13"/>
        <v>Dier</v>
      </c>
      <c r="H270" s="2" t="str">
        <f t="shared" si="14"/>
        <v>E</v>
      </c>
      <c r="I270" s="2" t="s">
        <v>2617</v>
      </c>
      <c r="K270" s="2" t="s">
        <v>1223</v>
      </c>
      <c r="L270" t="s">
        <v>1460</v>
      </c>
      <c r="M270" s="2" t="s">
        <v>905</v>
      </c>
      <c r="N270" t="s">
        <v>2617</v>
      </c>
      <c r="O270" s="2" t="s">
        <v>48</v>
      </c>
    </row>
    <row r="271" spans="1:15">
      <c r="A271" t="s">
        <v>733</v>
      </c>
      <c r="B271" t="s">
        <v>48</v>
      </c>
      <c r="C271" s="2" t="s">
        <v>905</v>
      </c>
      <c r="E271" s="2" t="str">
        <f t="shared" si="12"/>
        <v>Conor</v>
      </c>
      <c r="F271" s="2" t="str">
        <f t="shared" si="13"/>
        <v>Coady</v>
      </c>
      <c r="H271" s="2" t="str">
        <f t="shared" si="14"/>
        <v>C</v>
      </c>
      <c r="I271" s="2" t="s">
        <v>2618</v>
      </c>
      <c r="K271" s="2" t="s">
        <v>1461</v>
      </c>
      <c r="L271" t="s">
        <v>1462</v>
      </c>
      <c r="M271" s="2" t="s">
        <v>905</v>
      </c>
      <c r="N271" t="s">
        <v>2618</v>
      </c>
      <c r="O271" s="2" t="s">
        <v>48</v>
      </c>
    </row>
    <row r="272" spans="1:15">
      <c r="A272" t="s">
        <v>734</v>
      </c>
      <c r="B272" t="s">
        <v>48</v>
      </c>
      <c r="C272" t="s">
        <v>905</v>
      </c>
      <c r="E272" s="2" t="str">
        <f t="shared" si="12"/>
        <v>Trent</v>
      </c>
      <c r="F272" s="2" t="str">
        <f t="shared" si="13"/>
        <v>Alexander-Arnold</v>
      </c>
      <c r="H272" s="2" t="str">
        <f t="shared" si="14"/>
        <v>T</v>
      </c>
      <c r="I272" s="2" t="s">
        <v>2619</v>
      </c>
      <c r="K272" s="2" t="s">
        <v>1463</v>
      </c>
      <c r="L272" t="s">
        <v>1464</v>
      </c>
      <c r="M272" s="2" t="s">
        <v>905</v>
      </c>
      <c r="N272" t="s">
        <v>2619</v>
      </c>
      <c r="O272" s="2" t="s">
        <v>48</v>
      </c>
    </row>
    <row r="273" spans="1:15">
      <c r="A273" t="s">
        <v>735</v>
      </c>
      <c r="B273" t="s">
        <v>48</v>
      </c>
      <c r="C273" t="s">
        <v>905</v>
      </c>
      <c r="E273" s="2" t="str">
        <f t="shared" si="12"/>
        <v>Ben</v>
      </c>
      <c r="F273" s="2" t="str">
        <f t="shared" si="13"/>
        <v>White</v>
      </c>
      <c r="H273" s="2" t="str">
        <f t="shared" si="14"/>
        <v>B</v>
      </c>
      <c r="I273" s="2" t="s">
        <v>2620</v>
      </c>
      <c r="K273" s="2" t="s">
        <v>1465</v>
      </c>
      <c r="L273" t="s">
        <v>1466</v>
      </c>
      <c r="M273" s="2" t="s">
        <v>905</v>
      </c>
      <c r="N273" t="s">
        <v>2620</v>
      </c>
      <c r="O273" s="2" t="s">
        <v>48</v>
      </c>
    </row>
    <row r="274" spans="1:15">
      <c r="A274" t="s">
        <v>736</v>
      </c>
      <c r="B274" t="s">
        <v>57</v>
      </c>
      <c r="C274" s="2" t="s">
        <v>905</v>
      </c>
      <c r="E274" s="2" t="str">
        <f t="shared" si="12"/>
        <v>Declan</v>
      </c>
      <c r="F274" s="2" t="str">
        <f t="shared" si="13"/>
        <v>Rice</v>
      </c>
      <c r="H274" s="2" t="str">
        <f t="shared" si="14"/>
        <v>D</v>
      </c>
      <c r="I274" s="2" t="s">
        <v>2621</v>
      </c>
      <c r="K274" s="2" t="s">
        <v>1467</v>
      </c>
      <c r="L274" t="s">
        <v>1468</v>
      </c>
      <c r="M274" s="2" t="s">
        <v>905</v>
      </c>
      <c r="N274" t="s">
        <v>2621</v>
      </c>
      <c r="O274" s="2" t="s">
        <v>57</v>
      </c>
    </row>
    <row r="275" spans="1:15">
      <c r="A275" t="s">
        <v>737</v>
      </c>
      <c r="B275" t="s">
        <v>57</v>
      </c>
      <c r="C275" s="2" t="s">
        <v>905</v>
      </c>
      <c r="E275" s="2" t="str">
        <f t="shared" si="12"/>
        <v>Jack</v>
      </c>
      <c r="F275" s="2" t="str">
        <f t="shared" si="13"/>
        <v>Grealish</v>
      </c>
      <c r="H275" s="2" t="str">
        <f t="shared" si="14"/>
        <v>J</v>
      </c>
      <c r="I275" s="2" t="s">
        <v>923</v>
      </c>
      <c r="K275" s="2" t="s">
        <v>1469</v>
      </c>
      <c r="L275" t="s">
        <v>1470</v>
      </c>
      <c r="M275" s="2" t="s">
        <v>905</v>
      </c>
      <c r="N275" t="s">
        <v>923</v>
      </c>
      <c r="O275" s="2" t="s">
        <v>57</v>
      </c>
    </row>
    <row r="276" spans="1:15">
      <c r="A276" t="s">
        <v>738</v>
      </c>
      <c r="B276" t="s">
        <v>57</v>
      </c>
      <c r="C276" s="2" t="s">
        <v>905</v>
      </c>
      <c r="E276" s="2" t="str">
        <f t="shared" si="12"/>
        <v>Jordan</v>
      </c>
      <c r="F276" s="2" t="str">
        <f t="shared" si="13"/>
        <v>Henderson</v>
      </c>
      <c r="H276" s="2" t="str">
        <f t="shared" si="14"/>
        <v>J</v>
      </c>
      <c r="I276" s="2" t="s">
        <v>2622</v>
      </c>
      <c r="K276" s="2" t="s">
        <v>1446</v>
      </c>
      <c r="L276" t="s">
        <v>1471</v>
      </c>
      <c r="M276" s="2" t="s">
        <v>905</v>
      </c>
      <c r="N276" t="s">
        <v>2622</v>
      </c>
      <c r="O276" s="2" t="s">
        <v>57</v>
      </c>
    </row>
    <row r="277" spans="1:15">
      <c r="A277" t="s">
        <v>739</v>
      </c>
      <c r="B277" t="s">
        <v>57</v>
      </c>
      <c r="C277" s="2" t="s">
        <v>905</v>
      </c>
      <c r="E277" s="2" t="str">
        <f t="shared" si="12"/>
        <v>Kalvin</v>
      </c>
      <c r="F277" s="2" t="str">
        <f t="shared" si="13"/>
        <v>Phillips</v>
      </c>
      <c r="H277" s="2" t="str">
        <f t="shared" si="14"/>
        <v>K</v>
      </c>
      <c r="I277" s="2" t="s">
        <v>2623</v>
      </c>
      <c r="K277" s="2" t="s">
        <v>1472</v>
      </c>
      <c r="L277" t="s">
        <v>1473</v>
      </c>
      <c r="M277" s="2" t="s">
        <v>905</v>
      </c>
      <c r="N277" t="s">
        <v>2623</v>
      </c>
      <c r="O277" s="2" t="s">
        <v>57</v>
      </c>
    </row>
    <row r="278" spans="1:15">
      <c r="A278" t="s">
        <v>740</v>
      </c>
      <c r="B278" t="s">
        <v>57</v>
      </c>
      <c r="C278" s="2" t="s">
        <v>905</v>
      </c>
      <c r="E278" s="2" t="str">
        <f t="shared" si="12"/>
        <v>Bukayo</v>
      </c>
      <c r="F278" s="2" t="str">
        <f t="shared" si="13"/>
        <v>Saka</v>
      </c>
      <c r="H278" s="2" t="str">
        <f t="shared" si="14"/>
        <v>B</v>
      </c>
      <c r="I278" s="2" t="s">
        <v>920</v>
      </c>
      <c r="K278" s="2" t="s">
        <v>1474</v>
      </c>
      <c r="L278" t="s">
        <v>1475</v>
      </c>
      <c r="M278" s="2" t="s">
        <v>905</v>
      </c>
      <c r="N278" t="s">
        <v>920</v>
      </c>
      <c r="O278" s="2" t="s">
        <v>57</v>
      </c>
    </row>
    <row r="279" spans="1:15">
      <c r="A279" t="s">
        <v>741</v>
      </c>
      <c r="B279" t="s">
        <v>57</v>
      </c>
      <c r="C279" s="2" t="s">
        <v>905</v>
      </c>
      <c r="E279" s="2" t="str">
        <f t="shared" si="12"/>
        <v>Mason</v>
      </c>
      <c r="F279" s="2" t="str">
        <f t="shared" si="13"/>
        <v>Mount</v>
      </c>
      <c r="H279" s="2" t="str">
        <f t="shared" si="14"/>
        <v>M</v>
      </c>
      <c r="I279" s="2" t="s">
        <v>2624</v>
      </c>
      <c r="K279" s="2" t="s">
        <v>1476</v>
      </c>
      <c r="L279" t="s">
        <v>1477</v>
      </c>
      <c r="M279" s="2" t="s">
        <v>905</v>
      </c>
      <c r="N279" t="s">
        <v>2624</v>
      </c>
      <c r="O279" s="2" t="s">
        <v>57</v>
      </c>
    </row>
    <row r="280" spans="1:15">
      <c r="A280" t="s">
        <v>742</v>
      </c>
      <c r="B280" t="s">
        <v>57</v>
      </c>
      <c r="C280" s="2" t="s">
        <v>905</v>
      </c>
      <c r="E280" s="2" t="str">
        <f t="shared" si="12"/>
        <v>Phil</v>
      </c>
      <c r="F280" s="2" t="str">
        <f t="shared" si="13"/>
        <v>Foden</v>
      </c>
      <c r="H280" s="2" t="str">
        <f t="shared" si="14"/>
        <v>P</v>
      </c>
      <c r="I280" s="2" t="s">
        <v>2625</v>
      </c>
      <c r="K280" s="2" t="s">
        <v>1478</v>
      </c>
      <c r="L280" t="s">
        <v>1479</v>
      </c>
      <c r="M280" s="2" t="s">
        <v>905</v>
      </c>
      <c r="N280" t="s">
        <v>2625</v>
      </c>
      <c r="O280" s="2" t="s">
        <v>57</v>
      </c>
    </row>
    <row r="281" spans="1:15">
      <c r="A281" t="s">
        <v>743</v>
      </c>
      <c r="B281" t="s">
        <v>57</v>
      </c>
      <c r="C281" s="2" t="s">
        <v>905</v>
      </c>
      <c r="E281" s="2" t="str">
        <f t="shared" si="12"/>
        <v>Jude</v>
      </c>
      <c r="F281" s="2" t="str">
        <f t="shared" si="13"/>
        <v>Bellingham</v>
      </c>
      <c r="H281" s="2" t="str">
        <f t="shared" si="14"/>
        <v>J</v>
      </c>
      <c r="I281" s="2" t="s">
        <v>919</v>
      </c>
      <c r="K281" s="2" t="s">
        <v>1480</v>
      </c>
      <c r="L281" t="s">
        <v>1481</v>
      </c>
      <c r="M281" s="2" t="s">
        <v>905</v>
      </c>
      <c r="N281" t="s">
        <v>919</v>
      </c>
      <c r="O281" s="2" t="s">
        <v>57</v>
      </c>
    </row>
    <row r="282" spans="1:15">
      <c r="A282" t="s">
        <v>744</v>
      </c>
      <c r="B282" t="s">
        <v>57</v>
      </c>
      <c r="C282" s="2" t="s">
        <v>905</v>
      </c>
      <c r="E282" s="2" t="str">
        <f t="shared" si="12"/>
        <v>James</v>
      </c>
      <c r="F282" s="2" t="str">
        <f t="shared" si="13"/>
        <v>Maddison</v>
      </c>
      <c r="H282" s="2" t="str">
        <f t="shared" si="14"/>
        <v>J</v>
      </c>
      <c r="I282" s="2" t="s">
        <v>2626</v>
      </c>
      <c r="K282" s="2" t="s">
        <v>1229</v>
      </c>
      <c r="L282" t="s">
        <v>1482</v>
      </c>
      <c r="M282" s="2" t="s">
        <v>905</v>
      </c>
      <c r="N282" t="s">
        <v>2626</v>
      </c>
      <c r="O282" s="2" t="s">
        <v>57</v>
      </c>
    </row>
    <row r="283" spans="1:15">
      <c r="A283" t="s">
        <v>745</v>
      </c>
      <c r="B283" t="s">
        <v>57</v>
      </c>
      <c r="C283" s="2" t="s">
        <v>905</v>
      </c>
      <c r="E283" s="2" t="str">
        <f t="shared" si="12"/>
        <v>Conor</v>
      </c>
      <c r="F283" s="2" t="str">
        <f t="shared" si="13"/>
        <v>Gallagher</v>
      </c>
      <c r="H283" s="2" t="str">
        <f t="shared" si="14"/>
        <v>C</v>
      </c>
      <c r="I283" s="2" t="s">
        <v>2627</v>
      </c>
      <c r="K283" s="2" t="s">
        <v>1461</v>
      </c>
      <c r="L283" t="s">
        <v>1483</v>
      </c>
      <c r="M283" s="2" t="s">
        <v>905</v>
      </c>
      <c r="N283" t="s">
        <v>2627</v>
      </c>
      <c r="O283" s="2" t="s">
        <v>57</v>
      </c>
    </row>
    <row r="284" spans="1:15">
      <c r="A284" t="s">
        <v>746</v>
      </c>
      <c r="B284" t="s">
        <v>66</v>
      </c>
      <c r="C284" s="2" t="s">
        <v>905</v>
      </c>
      <c r="E284" s="2" t="str">
        <f t="shared" si="12"/>
        <v>Harry</v>
      </c>
      <c r="F284" s="2" t="str">
        <f t="shared" si="13"/>
        <v>Kane</v>
      </c>
      <c r="H284" s="2" t="str">
        <f t="shared" si="14"/>
        <v>H</v>
      </c>
      <c r="I284" s="2" t="s">
        <v>2628</v>
      </c>
      <c r="K284" s="2" t="s">
        <v>1078</v>
      </c>
      <c r="L284" t="s">
        <v>1484</v>
      </c>
      <c r="M284" s="2" t="s">
        <v>905</v>
      </c>
      <c r="N284" t="s">
        <v>2628</v>
      </c>
      <c r="O284" s="2" t="s">
        <v>66</v>
      </c>
    </row>
    <row r="285" spans="1:15">
      <c r="A285" t="s">
        <v>747</v>
      </c>
      <c r="B285" t="s">
        <v>66</v>
      </c>
      <c r="C285" s="2" t="s">
        <v>905</v>
      </c>
      <c r="E285" s="2" t="str">
        <f t="shared" si="12"/>
        <v>Raheem</v>
      </c>
      <c r="F285" s="2" t="str">
        <f t="shared" si="13"/>
        <v>Sterling</v>
      </c>
      <c r="H285" s="2" t="str">
        <f t="shared" si="14"/>
        <v>R</v>
      </c>
      <c r="I285" s="2" t="s">
        <v>921</v>
      </c>
      <c r="K285" s="2" t="s">
        <v>1485</v>
      </c>
      <c r="L285" t="s">
        <v>1486</v>
      </c>
      <c r="M285" s="2" t="s">
        <v>905</v>
      </c>
      <c r="N285" t="s">
        <v>921</v>
      </c>
      <c r="O285" s="2" t="s">
        <v>66</v>
      </c>
    </row>
    <row r="286" spans="1:15">
      <c r="A286" t="s">
        <v>748</v>
      </c>
      <c r="B286" t="s">
        <v>66</v>
      </c>
      <c r="C286" s="2" t="s">
        <v>905</v>
      </c>
      <c r="E286" s="2" t="str">
        <f t="shared" si="12"/>
        <v>Marcus</v>
      </c>
      <c r="F286" s="2" t="str">
        <f t="shared" si="13"/>
        <v>Rashford</v>
      </c>
      <c r="H286" s="2" t="str">
        <f t="shared" si="14"/>
        <v>M</v>
      </c>
      <c r="I286" s="2" t="s">
        <v>922</v>
      </c>
      <c r="K286" s="2" t="s">
        <v>1487</v>
      </c>
      <c r="L286" t="s">
        <v>1488</v>
      </c>
      <c r="M286" s="2" t="s">
        <v>905</v>
      </c>
      <c r="N286" t="s">
        <v>922</v>
      </c>
      <c r="O286" s="2" t="s">
        <v>66</v>
      </c>
    </row>
    <row r="287" spans="1:15">
      <c r="A287" t="s">
        <v>749</v>
      </c>
      <c r="B287" t="s">
        <v>66</v>
      </c>
      <c r="C287" s="2" t="s">
        <v>905</v>
      </c>
      <c r="E287" s="2" t="str">
        <f t="shared" si="12"/>
        <v>Callum</v>
      </c>
      <c r="F287" s="2" t="str">
        <f t="shared" si="13"/>
        <v>Wilson</v>
      </c>
      <c r="H287" s="2" t="str">
        <f t="shared" si="14"/>
        <v>C</v>
      </c>
      <c r="I287" s="2" t="s">
        <v>2629</v>
      </c>
      <c r="K287" s="2" t="s">
        <v>1489</v>
      </c>
      <c r="L287" t="s">
        <v>1318</v>
      </c>
      <c r="M287" s="2" t="s">
        <v>905</v>
      </c>
      <c r="N287" t="s">
        <v>2629</v>
      </c>
      <c r="O287" s="2" t="s">
        <v>66</v>
      </c>
    </row>
    <row r="288" spans="1:15">
      <c r="A288" t="s">
        <v>750</v>
      </c>
      <c r="B288" t="s">
        <v>44</v>
      </c>
      <c r="C288" s="2" t="s">
        <v>906</v>
      </c>
      <c r="E288" s="2" t="str">
        <f t="shared" si="12"/>
        <v>Hugo</v>
      </c>
      <c r="F288" s="2" t="str">
        <f t="shared" si="13"/>
        <v>Lloris</v>
      </c>
      <c r="H288" s="2" t="str">
        <f t="shared" si="14"/>
        <v>H</v>
      </c>
      <c r="I288" s="2" t="s">
        <v>2630</v>
      </c>
      <c r="K288" s="2" t="s">
        <v>1490</v>
      </c>
      <c r="L288" t="s">
        <v>1491</v>
      </c>
      <c r="M288" s="2" t="s">
        <v>906</v>
      </c>
      <c r="N288" t="s">
        <v>2630</v>
      </c>
      <c r="O288" s="2" t="s">
        <v>44</v>
      </c>
    </row>
    <row r="289" spans="1:15">
      <c r="A289" t="s">
        <v>751</v>
      </c>
      <c r="B289" t="s">
        <v>44</v>
      </c>
      <c r="C289" s="2" t="s">
        <v>906</v>
      </c>
      <c r="E289" s="2" t="str">
        <f t="shared" si="12"/>
        <v>Steve</v>
      </c>
      <c r="F289" s="2" t="str">
        <f t="shared" si="13"/>
        <v>Mandanda</v>
      </c>
      <c r="H289" s="2" t="str">
        <f t="shared" si="14"/>
        <v>S</v>
      </c>
      <c r="I289" s="2" t="s">
        <v>2631</v>
      </c>
      <c r="K289" s="2" t="s">
        <v>1492</v>
      </c>
      <c r="L289" t="s">
        <v>1493</v>
      </c>
      <c r="M289" s="2" t="s">
        <v>906</v>
      </c>
      <c r="N289" t="s">
        <v>2631</v>
      </c>
      <c r="O289" s="2" t="s">
        <v>44</v>
      </c>
    </row>
    <row r="290" spans="1:15">
      <c r="A290" t="s">
        <v>752</v>
      </c>
      <c r="B290" t="s">
        <v>44</v>
      </c>
      <c r="C290" s="2" t="s">
        <v>906</v>
      </c>
      <c r="E290" s="2" t="str">
        <f t="shared" si="12"/>
        <v>Alphonse</v>
      </c>
      <c r="F290" s="2" t="str">
        <f t="shared" si="13"/>
        <v>Areola</v>
      </c>
      <c r="H290" s="2" t="str">
        <f t="shared" si="14"/>
        <v>A</v>
      </c>
      <c r="I290" s="2" t="s">
        <v>2632</v>
      </c>
      <c r="K290" s="2" t="s">
        <v>1494</v>
      </c>
      <c r="L290" t="s">
        <v>1495</v>
      </c>
      <c r="M290" s="2" t="s">
        <v>906</v>
      </c>
      <c r="N290" t="s">
        <v>2632</v>
      </c>
      <c r="O290" s="2" t="s">
        <v>44</v>
      </c>
    </row>
    <row r="291" spans="1:15">
      <c r="A291" t="s">
        <v>753</v>
      </c>
      <c r="B291" t="s">
        <v>48</v>
      </c>
      <c r="C291" s="2" t="s">
        <v>906</v>
      </c>
      <c r="E291" s="2" t="str">
        <f t="shared" si="12"/>
        <v>Benjamin</v>
      </c>
      <c r="F291" s="2" t="str">
        <f t="shared" si="13"/>
        <v>Pavard</v>
      </c>
      <c r="H291" s="2" t="str">
        <f t="shared" si="14"/>
        <v>B</v>
      </c>
      <c r="I291" s="2" t="s">
        <v>2633</v>
      </c>
      <c r="K291" s="2" t="s">
        <v>1496</v>
      </c>
      <c r="L291" t="s">
        <v>1497</v>
      </c>
      <c r="M291" s="2" t="s">
        <v>906</v>
      </c>
      <c r="N291" t="s">
        <v>2633</v>
      </c>
      <c r="O291" s="2" t="s">
        <v>48</v>
      </c>
    </row>
    <row r="292" spans="1:15">
      <c r="A292" t="s">
        <v>754</v>
      </c>
      <c r="B292" t="s">
        <v>48</v>
      </c>
      <c r="C292" s="2" t="s">
        <v>906</v>
      </c>
      <c r="E292" s="2" t="str">
        <f t="shared" si="12"/>
        <v>Axel</v>
      </c>
      <c r="F292" s="2" t="str">
        <f t="shared" si="13"/>
        <v>Disasi</v>
      </c>
      <c r="H292" s="2" t="str">
        <f t="shared" si="14"/>
        <v>A</v>
      </c>
      <c r="I292" s="2" t="s">
        <v>2634</v>
      </c>
      <c r="K292" s="2" t="s">
        <v>1130</v>
      </c>
      <c r="L292" t="s">
        <v>1498</v>
      </c>
      <c r="M292" s="2" t="s">
        <v>906</v>
      </c>
      <c r="N292" t="s">
        <v>2634</v>
      </c>
      <c r="O292" s="2" t="s">
        <v>48</v>
      </c>
    </row>
    <row r="293" spans="1:15">
      <c r="A293" t="s">
        <v>755</v>
      </c>
      <c r="B293" t="s">
        <v>48</v>
      </c>
      <c r="C293" s="2" t="s">
        <v>906</v>
      </c>
      <c r="E293" s="2" t="str">
        <f t="shared" si="12"/>
        <v>Raphaël</v>
      </c>
      <c r="F293" s="2" t="str">
        <f t="shared" si="13"/>
        <v>Varane</v>
      </c>
      <c r="H293" s="2" t="str">
        <f t="shared" si="14"/>
        <v>R</v>
      </c>
      <c r="I293" s="2" t="s">
        <v>2635</v>
      </c>
      <c r="K293" s="2" t="s">
        <v>1499</v>
      </c>
      <c r="L293" t="s">
        <v>1500</v>
      </c>
      <c r="M293" s="2" t="s">
        <v>906</v>
      </c>
      <c r="N293" t="s">
        <v>2635</v>
      </c>
      <c r="O293" s="2" t="s">
        <v>48</v>
      </c>
    </row>
    <row r="294" spans="1:15">
      <c r="A294" t="s">
        <v>756</v>
      </c>
      <c r="B294" t="s">
        <v>48</v>
      </c>
      <c r="C294" s="2" t="s">
        <v>906</v>
      </c>
      <c r="E294" s="2" t="str">
        <f t="shared" si="12"/>
        <v>Jules</v>
      </c>
      <c r="F294" s="2" t="str">
        <f t="shared" si="13"/>
        <v>Koundé</v>
      </c>
      <c r="H294" s="2" t="str">
        <f t="shared" si="14"/>
        <v>J</v>
      </c>
      <c r="I294" s="2" t="s">
        <v>2636</v>
      </c>
      <c r="K294" s="2" t="s">
        <v>1501</v>
      </c>
      <c r="L294" t="s">
        <v>1502</v>
      </c>
      <c r="M294" s="2" t="s">
        <v>906</v>
      </c>
      <c r="N294" t="s">
        <v>2636</v>
      </c>
      <c r="O294" s="2" t="s">
        <v>48</v>
      </c>
    </row>
    <row r="295" spans="1:15">
      <c r="A295" t="s">
        <v>757</v>
      </c>
      <c r="B295" t="s">
        <v>48</v>
      </c>
      <c r="C295" s="2" t="s">
        <v>906</v>
      </c>
      <c r="E295" s="2" t="str">
        <f t="shared" si="12"/>
        <v>William</v>
      </c>
      <c r="F295" s="2" t="str">
        <f t="shared" si="13"/>
        <v>Saliba</v>
      </c>
      <c r="H295" s="2" t="str">
        <f t="shared" si="14"/>
        <v>W</v>
      </c>
      <c r="I295" s="2" t="s">
        <v>2637</v>
      </c>
      <c r="K295" s="2" t="s">
        <v>1416</v>
      </c>
      <c r="L295" t="s">
        <v>1503</v>
      </c>
      <c r="M295" s="2" t="s">
        <v>906</v>
      </c>
      <c r="N295" t="s">
        <v>2637</v>
      </c>
      <c r="O295" s="2" t="s">
        <v>48</v>
      </c>
    </row>
    <row r="296" spans="1:15">
      <c r="A296" t="s">
        <v>758</v>
      </c>
      <c r="B296" t="s">
        <v>48</v>
      </c>
      <c r="C296" s="2" t="s">
        <v>906</v>
      </c>
      <c r="E296" s="2" t="str">
        <f t="shared" si="12"/>
        <v>Dayot</v>
      </c>
      <c r="F296" s="2" t="str">
        <f t="shared" si="13"/>
        <v>Upamecano</v>
      </c>
      <c r="H296" s="2" t="str">
        <f t="shared" si="14"/>
        <v>D</v>
      </c>
      <c r="I296" s="2" t="s">
        <v>2638</v>
      </c>
      <c r="K296" s="2" t="s">
        <v>1504</v>
      </c>
      <c r="L296" t="s">
        <v>1505</v>
      </c>
      <c r="M296" s="2" t="s">
        <v>906</v>
      </c>
      <c r="N296" t="s">
        <v>2638</v>
      </c>
      <c r="O296" s="2" t="s">
        <v>48</v>
      </c>
    </row>
    <row r="297" spans="1:15">
      <c r="A297" t="s">
        <v>759</v>
      </c>
      <c r="B297" t="s">
        <v>48</v>
      </c>
      <c r="C297" s="2" t="s">
        <v>906</v>
      </c>
      <c r="E297" s="2" t="str">
        <f t="shared" si="12"/>
        <v>Lucas</v>
      </c>
      <c r="F297" s="2" t="str">
        <f t="shared" si="13"/>
        <v>Hernández</v>
      </c>
      <c r="H297" s="2" t="str">
        <f t="shared" si="14"/>
        <v>L</v>
      </c>
      <c r="I297" s="2" t="s">
        <v>2639</v>
      </c>
      <c r="K297" s="2" t="s">
        <v>1170</v>
      </c>
      <c r="L297" t="s">
        <v>1319</v>
      </c>
      <c r="M297" s="2" t="s">
        <v>906</v>
      </c>
      <c r="N297" t="s">
        <v>2639</v>
      </c>
      <c r="O297" s="2" t="s">
        <v>48</v>
      </c>
    </row>
    <row r="298" spans="1:15">
      <c r="A298" t="s">
        <v>760</v>
      </c>
      <c r="B298" t="s">
        <v>48</v>
      </c>
      <c r="C298" s="2" t="s">
        <v>906</v>
      </c>
      <c r="E298" s="2" t="str">
        <f t="shared" si="12"/>
        <v>Theo</v>
      </c>
      <c r="F298" s="2" t="str">
        <f t="shared" si="13"/>
        <v>Hernández</v>
      </c>
      <c r="H298" s="2" t="str">
        <f t="shared" si="14"/>
        <v>T</v>
      </c>
      <c r="I298" s="2" t="s">
        <v>2640</v>
      </c>
      <c r="K298" s="2" t="s">
        <v>1506</v>
      </c>
      <c r="L298" t="s">
        <v>1319</v>
      </c>
      <c r="M298" s="2" t="s">
        <v>906</v>
      </c>
      <c r="N298" t="s">
        <v>2640</v>
      </c>
      <c r="O298" s="2" t="s">
        <v>48</v>
      </c>
    </row>
    <row r="299" spans="1:15">
      <c r="A299" t="s">
        <v>761</v>
      </c>
      <c r="B299" t="s">
        <v>48</v>
      </c>
      <c r="C299" t="s">
        <v>906</v>
      </c>
      <c r="E299" s="2" t="str">
        <f t="shared" si="12"/>
        <v>Ibrahima</v>
      </c>
      <c r="F299" s="2" t="str">
        <f t="shared" si="13"/>
        <v>Konaté</v>
      </c>
      <c r="H299" s="2" t="str">
        <f t="shared" si="14"/>
        <v>I</v>
      </c>
      <c r="I299" s="2" t="s">
        <v>2641</v>
      </c>
      <c r="K299" s="2" t="s">
        <v>1507</v>
      </c>
      <c r="L299" t="s">
        <v>1508</v>
      </c>
      <c r="M299" s="2" t="s">
        <v>906</v>
      </c>
      <c r="N299" t="s">
        <v>2641</v>
      </c>
      <c r="O299" s="2" t="s">
        <v>48</v>
      </c>
    </row>
    <row r="300" spans="1:15">
      <c r="A300" t="s">
        <v>762</v>
      </c>
      <c r="B300" t="s">
        <v>57</v>
      </c>
      <c r="C300" t="s">
        <v>906</v>
      </c>
      <c r="E300" s="2" t="str">
        <f t="shared" si="12"/>
        <v>Matteo</v>
      </c>
      <c r="F300" s="2" t="str">
        <f t="shared" si="13"/>
        <v>Guendouzi</v>
      </c>
      <c r="H300" s="2" t="str">
        <f t="shared" si="14"/>
        <v>M</v>
      </c>
      <c r="I300" s="2" t="s">
        <v>2642</v>
      </c>
      <c r="K300" s="2" t="s">
        <v>1509</v>
      </c>
      <c r="L300" t="s">
        <v>1510</v>
      </c>
      <c r="M300" s="2" t="s">
        <v>906</v>
      </c>
      <c r="N300" t="s">
        <v>2642</v>
      </c>
      <c r="O300" s="2" t="s">
        <v>57</v>
      </c>
    </row>
    <row r="301" spans="1:15">
      <c r="A301" t="s">
        <v>763</v>
      </c>
      <c r="B301" t="s">
        <v>57</v>
      </c>
      <c r="C301" s="2" t="s">
        <v>906</v>
      </c>
      <c r="E301" s="2" t="str">
        <f t="shared" si="12"/>
        <v>Aurélien</v>
      </c>
      <c r="F301" s="2" t="str">
        <f t="shared" si="13"/>
        <v>Tchouaméni</v>
      </c>
      <c r="H301" s="2" t="str">
        <f t="shared" si="14"/>
        <v>A</v>
      </c>
      <c r="I301" s="2" t="s">
        <v>2643</v>
      </c>
      <c r="K301" s="2" t="s">
        <v>1511</v>
      </c>
      <c r="L301" t="s">
        <v>1512</v>
      </c>
      <c r="M301" s="2" t="s">
        <v>906</v>
      </c>
      <c r="N301" t="s">
        <v>2643</v>
      </c>
      <c r="O301" s="2" t="s">
        <v>57</v>
      </c>
    </row>
    <row r="302" spans="1:15">
      <c r="A302" t="s">
        <v>764</v>
      </c>
      <c r="B302" t="s">
        <v>57</v>
      </c>
      <c r="C302" s="2" t="s">
        <v>906</v>
      </c>
      <c r="E302" s="2" t="str">
        <f t="shared" si="12"/>
        <v>Youssouf</v>
      </c>
      <c r="F302" s="2" t="str">
        <f t="shared" si="13"/>
        <v>Fofana</v>
      </c>
      <c r="H302" s="2" t="str">
        <f t="shared" si="14"/>
        <v>Y</v>
      </c>
      <c r="I302" s="2" t="s">
        <v>2644</v>
      </c>
      <c r="K302" s="2" t="s">
        <v>1513</v>
      </c>
      <c r="L302" t="s">
        <v>1514</v>
      </c>
      <c r="M302" s="2" t="s">
        <v>906</v>
      </c>
      <c r="N302" t="s">
        <v>2644</v>
      </c>
      <c r="O302" s="2" t="s">
        <v>57</v>
      </c>
    </row>
    <row r="303" spans="1:15">
      <c r="A303" t="s">
        <v>765</v>
      </c>
      <c r="B303" t="s">
        <v>57</v>
      </c>
      <c r="C303" s="2" t="s">
        <v>906</v>
      </c>
      <c r="E303" s="2" t="str">
        <f t="shared" si="12"/>
        <v>Adrien</v>
      </c>
      <c r="F303" s="2" t="str">
        <f t="shared" si="13"/>
        <v>Rabiot</v>
      </c>
      <c r="H303" s="2" t="str">
        <f t="shared" si="14"/>
        <v>A</v>
      </c>
      <c r="I303" s="2" t="s">
        <v>944</v>
      </c>
      <c r="K303" s="2" t="s">
        <v>1515</v>
      </c>
      <c r="L303" t="s">
        <v>1516</v>
      </c>
      <c r="M303" s="2" t="s">
        <v>906</v>
      </c>
      <c r="N303" t="s">
        <v>944</v>
      </c>
      <c r="O303" s="2" t="s">
        <v>57</v>
      </c>
    </row>
    <row r="304" spans="1:15">
      <c r="A304" t="s">
        <v>766</v>
      </c>
      <c r="B304" t="s">
        <v>57</v>
      </c>
      <c r="C304" s="2" t="s">
        <v>906</v>
      </c>
      <c r="E304" s="2" t="str">
        <f t="shared" si="12"/>
        <v>Jordan</v>
      </c>
      <c r="F304" s="2" t="str">
        <f t="shared" si="13"/>
        <v>Veretout</v>
      </c>
      <c r="H304" s="2" t="str">
        <f t="shared" si="14"/>
        <v>J</v>
      </c>
      <c r="I304" s="2" t="s">
        <v>2645</v>
      </c>
      <c r="K304" s="2" t="s">
        <v>1446</v>
      </c>
      <c r="L304" t="s">
        <v>1517</v>
      </c>
      <c r="M304" s="2" t="s">
        <v>906</v>
      </c>
      <c r="N304" t="s">
        <v>2645</v>
      </c>
      <c r="O304" s="2" t="s">
        <v>57</v>
      </c>
    </row>
    <row r="305" spans="1:15">
      <c r="A305" t="s">
        <v>767</v>
      </c>
      <c r="B305" t="s">
        <v>57</v>
      </c>
      <c r="C305" s="2" t="s">
        <v>906</v>
      </c>
      <c r="E305" s="2" t="str">
        <f t="shared" si="12"/>
        <v>Eduardo</v>
      </c>
      <c r="F305" s="2" t="str">
        <f t="shared" si="13"/>
        <v>Camavinga</v>
      </c>
      <c r="H305" s="2" t="str">
        <f t="shared" si="14"/>
        <v>E</v>
      </c>
      <c r="I305" s="2" t="s">
        <v>2646</v>
      </c>
      <c r="K305" s="2" t="s">
        <v>1518</v>
      </c>
      <c r="L305" t="s">
        <v>1519</v>
      </c>
      <c r="M305" s="2" t="s">
        <v>906</v>
      </c>
      <c r="N305" t="s">
        <v>2646</v>
      </c>
      <c r="O305" s="2" t="s">
        <v>57</v>
      </c>
    </row>
    <row r="306" spans="1:15">
      <c r="A306" t="s">
        <v>768</v>
      </c>
      <c r="B306" t="s">
        <v>66</v>
      </c>
      <c r="C306" s="2" t="s">
        <v>906</v>
      </c>
      <c r="E306" s="2" t="str">
        <f t="shared" si="12"/>
        <v>Antoine</v>
      </c>
      <c r="F306" s="2" t="str">
        <f t="shared" si="13"/>
        <v>Griezmann</v>
      </c>
      <c r="H306" s="2" t="str">
        <f t="shared" si="14"/>
        <v>A</v>
      </c>
      <c r="I306" s="2" t="s">
        <v>2647</v>
      </c>
      <c r="K306" s="2" t="s">
        <v>1520</v>
      </c>
      <c r="L306" t="s">
        <v>1521</v>
      </c>
      <c r="M306" s="2" t="s">
        <v>906</v>
      </c>
      <c r="N306" t="s">
        <v>2647</v>
      </c>
      <c r="O306" s="2" t="s">
        <v>66</v>
      </c>
    </row>
    <row r="307" spans="1:15">
      <c r="A307" t="s">
        <v>769</v>
      </c>
      <c r="B307" t="s">
        <v>66</v>
      </c>
      <c r="C307" s="2" t="s">
        <v>906</v>
      </c>
      <c r="E307" s="2" t="str">
        <f t="shared" si="12"/>
        <v>Olivier</v>
      </c>
      <c r="F307" s="2" t="str">
        <f t="shared" si="13"/>
        <v>Giroud</v>
      </c>
      <c r="H307" s="2" t="str">
        <f t="shared" si="14"/>
        <v>O</v>
      </c>
      <c r="I307" s="2" t="s">
        <v>945</v>
      </c>
      <c r="K307" s="2" t="s">
        <v>1189</v>
      </c>
      <c r="L307" t="s">
        <v>1522</v>
      </c>
      <c r="M307" s="2" t="s">
        <v>906</v>
      </c>
      <c r="N307" t="s">
        <v>945</v>
      </c>
      <c r="O307" s="2" t="s">
        <v>66</v>
      </c>
    </row>
    <row r="308" spans="1:15">
      <c r="A308" t="s">
        <v>770</v>
      </c>
      <c r="B308" t="s">
        <v>66</v>
      </c>
      <c r="C308" s="2" t="s">
        <v>906</v>
      </c>
      <c r="E308" s="2" t="str">
        <f t="shared" si="12"/>
        <v>Kylian</v>
      </c>
      <c r="F308" s="2" t="str">
        <f t="shared" si="13"/>
        <v>Mbappé</v>
      </c>
      <c r="H308" s="2" t="str">
        <f t="shared" si="14"/>
        <v>K</v>
      </c>
      <c r="I308" s="2" t="s">
        <v>946</v>
      </c>
      <c r="K308" s="2" t="s">
        <v>1523</v>
      </c>
      <c r="L308" t="s">
        <v>1524</v>
      </c>
      <c r="M308" s="2" t="s">
        <v>906</v>
      </c>
      <c r="N308" t="s">
        <v>946</v>
      </c>
      <c r="O308" s="2" t="s">
        <v>66</v>
      </c>
    </row>
    <row r="309" spans="1:15">
      <c r="A309" t="s">
        <v>771</v>
      </c>
      <c r="B309" t="s">
        <v>66</v>
      </c>
      <c r="C309" s="2" t="s">
        <v>906</v>
      </c>
      <c r="E309" s="2" t="str">
        <f t="shared" si="12"/>
        <v>Ousmane</v>
      </c>
      <c r="F309" s="2" t="str">
        <f t="shared" si="13"/>
        <v>Dembélé</v>
      </c>
      <c r="H309" s="2" t="str">
        <f t="shared" si="14"/>
        <v>O</v>
      </c>
      <c r="I309" s="2" t="s">
        <v>2648</v>
      </c>
      <c r="K309" s="2" t="s">
        <v>1525</v>
      </c>
      <c r="L309" t="s">
        <v>1526</v>
      </c>
      <c r="M309" s="2" t="s">
        <v>906</v>
      </c>
      <c r="N309" t="s">
        <v>2648</v>
      </c>
      <c r="O309" s="2" t="s">
        <v>66</v>
      </c>
    </row>
    <row r="310" spans="1:15">
      <c r="A310" t="s">
        <v>772</v>
      </c>
      <c r="B310" t="s">
        <v>66</v>
      </c>
      <c r="C310" s="2" t="s">
        <v>906</v>
      </c>
      <c r="E310" s="2" t="str">
        <f t="shared" si="12"/>
        <v>Randal</v>
      </c>
      <c r="F310" s="2" t="str">
        <f t="shared" si="13"/>
        <v>Kolo Muani</v>
      </c>
      <c r="H310" s="2" t="str">
        <f t="shared" si="14"/>
        <v>R</v>
      </c>
      <c r="I310" s="2" t="s">
        <v>2649</v>
      </c>
      <c r="K310" s="2" t="s">
        <v>1527</v>
      </c>
      <c r="L310" t="s">
        <v>1528</v>
      </c>
      <c r="M310" s="2" t="s">
        <v>906</v>
      </c>
      <c r="N310" t="s">
        <v>2649</v>
      </c>
      <c r="O310" s="2" t="s">
        <v>66</v>
      </c>
    </row>
    <row r="311" spans="1:15">
      <c r="A311" t="s">
        <v>773</v>
      </c>
      <c r="B311" t="s">
        <v>66</v>
      </c>
      <c r="C311" s="2" t="s">
        <v>906</v>
      </c>
      <c r="E311" s="2" t="str">
        <f t="shared" si="12"/>
        <v>Karim</v>
      </c>
      <c r="F311" s="2" t="str">
        <f t="shared" si="13"/>
        <v>Benzema</v>
      </c>
      <c r="H311" s="2" t="str">
        <f t="shared" si="14"/>
        <v>K</v>
      </c>
      <c r="I311" s="2" t="s">
        <v>2650</v>
      </c>
      <c r="K311" s="2" t="s">
        <v>1529</v>
      </c>
      <c r="L311" t="s">
        <v>1530</v>
      </c>
      <c r="M311" s="2" t="s">
        <v>906</v>
      </c>
      <c r="N311" t="s">
        <v>2650</v>
      </c>
      <c r="O311" s="2" t="s">
        <v>66</v>
      </c>
    </row>
    <row r="312" spans="1:15">
      <c r="A312" t="s">
        <v>774</v>
      </c>
      <c r="B312" t="s">
        <v>66</v>
      </c>
      <c r="C312" s="2" t="s">
        <v>906</v>
      </c>
      <c r="E312" s="2" t="str">
        <f t="shared" si="12"/>
        <v>Kingsley</v>
      </c>
      <c r="F312" s="2" t="str">
        <f t="shared" si="13"/>
        <v>Coman</v>
      </c>
      <c r="H312" s="2" t="str">
        <f t="shared" si="14"/>
        <v>K</v>
      </c>
      <c r="I312" s="2" t="s">
        <v>2651</v>
      </c>
      <c r="K312" s="2" t="s">
        <v>1531</v>
      </c>
      <c r="L312" t="s">
        <v>1532</v>
      </c>
      <c r="M312" s="2" t="s">
        <v>906</v>
      </c>
      <c r="N312" t="s">
        <v>2651</v>
      </c>
      <c r="O312" s="2" t="s">
        <v>66</v>
      </c>
    </row>
    <row r="313" spans="1:15">
      <c r="A313" t="s">
        <v>775</v>
      </c>
      <c r="B313" t="s">
        <v>66</v>
      </c>
      <c r="C313" s="2" t="s">
        <v>906</v>
      </c>
      <c r="E313" s="2" t="str">
        <f t="shared" si="12"/>
        <v>Marcus</v>
      </c>
      <c r="F313" s="2" t="str">
        <f t="shared" si="13"/>
        <v>Thuram</v>
      </c>
      <c r="H313" s="2" t="str">
        <f t="shared" si="14"/>
        <v>M</v>
      </c>
      <c r="I313" s="2" t="s">
        <v>2652</v>
      </c>
      <c r="K313" s="2" t="s">
        <v>1487</v>
      </c>
      <c r="L313" t="s">
        <v>1533</v>
      </c>
      <c r="M313" s="2" t="s">
        <v>906</v>
      </c>
      <c r="N313" t="s">
        <v>2652</v>
      </c>
      <c r="O313" s="2" t="s">
        <v>66</v>
      </c>
    </row>
    <row r="314" spans="1:15">
      <c r="A314" t="s">
        <v>776</v>
      </c>
      <c r="B314" t="s">
        <v>44</v>
      </c>
      <c r="C314" s="2" t="s">
        <v>907</v>
      </c>
      <c r="E314" s="2" t="str">
        <f t="shared" si="12"/>
        <v>Manuel</v>
      </c>
      <c r="F314" s="2" t="str">
        <f t="shared" si="13"/>
        <v>Neuer</v>
      </c>
      <c r="H314" s="2" t="str">
        <f t="shared" si="14"/>
        <v>M</v>
      </c>
      <c r="I314" s="2" t="s">
        <v>2653</v>
      </c>
      <c r="K314" s="2" t="s">
        <v>1534</v>
      </c>
      <c r="L314" t="s">
        <v>1535</v>
      </c>
      <c r="M314" s="2" t="s">
        <v>907</v>
      </c>
      <c r="N314" t="s">
        <v>2653</v>
      </c>
      <c r="O314" s="2" t="s">
        <v>44</v>
      </c>
    </row>
    <row r="315" spans="1:15">
      <c r="A315" t="s">
        <v>777</v>
      </c>
      <c r="B315" t="s">
        <v>44</v>
      </c>
      <c r="C315" s="2" t="s">
        <v>907</v>
      </c>
      <c r="E315" s="2" t="str">
        <f t="shared" si="12"/>
        <v>Kevin</v>
      </c>
      <c r="F315" s="2" t="str">
        <f t="shared" si="13"/>
        <v>Trapp</v>
      </c>
      <c r="H315" s="2" t="str">
        <f t="shared" si="14"/>
        <v>K</v>
      </c>
      <c r="I315" s="2" t="s">
        <v>2654</v>
      </c>
      <c r="K315" s="2" t="s">
        <v>1132</v>
      </c>
      <c r="L315" t="s">
        <v>1536</v>
      </c>
      <c r="M315" s="2" t="s">
        <v>907</v>
      </c>
      <c r="N315" t="s">
        <v>2654</v>
      </c>
      <c r="O315" s="2" t="s">
        <v>44</v>
      </c>
    </row>
    <row r="316" spans="1:15">
      <c r="A316" t="s">
        <v>778</v>
      </c>
      <c r="B316" t="s">
        <v>44</v>
      </c>
      <c r="C316" s="2" t="s">
        <v>907</v>
      </c>
      <c r="E316" s="2" t="str">
        <f t="shared" si="12"/>
        <v>Marc-André</v>
      </c>
      <c r="F316" s="2" t="str">
        <f t="shared" si="13"/>
        <v>ter Stegen</v>
      </c>
      <c r="H316" s="2" t="str">
        <f t="shared" si="14"/>
        <v>M</v>
      </c>
      <c r="I316" s="2" t="s">
        <v>2655</v>
      </c>
      <c r="K316" s="2" t="s">
        <v>1537</v>
      </c>
      <c r="L316" t="s">
        <v>1538</v>
      </c>
      <c r="M316" s="2" t="s">
        <v>907</v>
      </c>
      <c r="N316" t="s">
        <v>2655</v>
      </c>
      <c r="O316" s="2" t="s">
        <v>44</v>
      </c>
    </row>
    <row r="317" spans="1:15">
      <c r="A317" t="s">
        <v>779</v>
      </c>
      <c r="B317" t="s">
        <v>48</v>
      </c>
      <c r="C317" s="2" t="s">
        <v>907</v>
      </c>
      <c r="E317" s="2" t="str">
        <f t="shared" si="12"/>
        <v>Antonio</v>
      </c>
      <c r="F317" s="2" t="str">
        <f t="shared" si="13"/>
        <v>Rüdiger</v>
      </c>
      <c r="H317" s="2" t="str">
        <f t="shared" si="14"/>
        <v>A</v>
      </c>
      <c r="I317" s="2" t="s">
        <v>2656</v>
      </c>
      <c r="K317" s="2" t="s">
        <v>1539</v>
      </c>
      <c r="L317" t="s">
        <v>1540</v>
      </c>
      <c r="M317" s="2" t="s">
        <v>907</v>
      </c>
      <c r="N317" t="s">
        <v>2656</v>
      </c>
      <c r="O317" s="2" t="s">
        <v>48</v>
      </c>
    </row>
    <row r="318" spans="1:15">
      <c r="A318" t="s">
        <v>780</v>
      </c>
      <c r="B318" t="s">
        <v>48</v>
      </c>
      <c r="C318" s="2" t="s">
        <v>907</v>
      </c>
      <c r="E318" s="2" t="str">
        <f t="shared" si="12"/>
        <v>David</v>
      </c>
      <c r="F318" s="2" t="str">
        <f t="shared" si="13"/>
        <v>Raum</v>
      </c>
      <c r="H318" s="2" t="str">
        <f t="shared" si="14"/>
        <v>D</v>
      </c>
      <c r="I318" s="2" t="s">
        <v>2657</v>
      </c>
      <c r="K318" s="2" t="s">
        <v>1261</v>
      </c>
      <c r="L318" t="s">
        <v>1541</v>
      </c>
      <c r="M318" s="2" t="s">
        <v>907</v>
      </c>
      <c r="N318" t="s">
        <v>2657</v>
      </c>
      <c r="O318" s="2" t="s">
        <v>48</v>
      </c>
    </row>
    <row r="319" spans="1:15">
      <c r="A319" t="s">
        <v>781</v>
      </c>
      <c r="B319" t="s">
        <v>48</v>
      </c>
      <c r="C319" s="2" t="s">
        <v>907</v>
      </c>
      <c r="E319" s="2" t="str">
        <f t="shared" si="12"/>
        <v>Matthias</v>
      </c>
      <c r="F319" s="2" t="str">
        <f t="shared" si="13"/>
        <v>Ginter</v>
      </c>
      <c r="H319" s="2" t="str">
        <f t="shared" si="14"/>
        <v>M</v>
      </c>
      <c r="I319" s="2" t="s">
        <v>2658</v>
      </c>
      <c r="K319" s="2" t="s">
        <v>1542</v>
      </c>
      <c r="L319" t="s">
        <v>1543</v>
      </c>
      <c r="M319" s="2" t="s">
        <v>907</v>
      </c>
      <c r="N319" t="s">
        <v>2658</v>
      </c>
      <c r="O319" s="2" t="s">
        <v>48</v>
      </c>
    </row>
    <row r="320" spans="1:15">
      <c r="A320" t="s">
        <v>782</v>
      </c>
      <c r="B320" t="s">
        <v>48</v>
      </c>
      <c r="C320" s="2" t="s">
        <v>907</v>
      </c>
      <c r="E320" s="2" t="str">
        <f t="shared" si="12"/>
        <v>Thilo</v>
      </c>
      <c r="F320" s="2" t="str">
        <f t="shared" si="13"/>
        <v>Kehrer</v>
      </c>
      <c r="H320" s="2" t="str">
        <f t="shared" si="14"/>
        <v>T</v>
      </c>
      <c r="I320" s="2" t="s">
        <v>2659</v>
      </c>
      <c r="K320" s="2" t="s">
        <v>1544</v>
      </c>
      <c r="L320" t="s">
        <v>1545</v>
      </c>
      <c r="M320" s="2" t="s">
        <v>907</v>
      </c>
      <c r="N320" t="s">
        <v>2659</v>
      </c>
      <c r="O320" s="2" t="s">
        <v>48</v>
      </c>
    </row>
    <row r="321" spans="1:15">
      <c r="A321" t="s">
        <v>783</v>
      </c>
      <c r="B321" t="s">
        <v>48</v>
      </c>
      <c r="C321" s="2" t="s">
        <v>907</v>
      </c>
      <c r="E321" s="2" t="str">
        <f t="shared" si="12"/>
        <v>Niklas</v>
      </c>
      <c r="F321" s="2" t="str">
        <f t="shared" si="13"/>
        <v>Süle</v>
      </c>
      <c r="H321" s="2" t="str">
        <f t="shared" si="14"/>
        <v>N</v>
      </c>
      <c r="I321" s="2" t="s">
        <v>2660</v>
      </c>
      <c r="K321" s="2" t="s">
        <v>1546</v>
      </c>
      <c r="L321" t="s">
        <v>1547</v>
      </c>
      <c r="M321" s="2" t="s">
        <v>907</v>
      </c>
      <c r="N321" t="s">
        <v>2660</v>
      </c>
      <c r="O321" s="2" t="s">
        <v>48</v>
      </c>
    </row>
    <row r="322" spans="1:15">
      <c r="A322" t="s">
        <v>784</v>
      </c>
      <c r="B322" t="s">
        <v>48</v>
      </c>
      <c r="C322" s="2" t="s">
        <v>907</v>
      </c>
      <c r="E322" s="2" t="str">
        <f t="shared" si="12"/>
        <v>Lukas</v>
      </c>
      <c r="F322" s="2" t="str">
        <f t="shared" si="13"/>
        <v>Klostermann</v>
      </c>
      <c r="H322" s="2" t="str">
        <f t="shared" si="14"/>
        <v>L</v>
      </c>
      <c r="I322" s="2" t="s">
        <v>2661</v>
      </c>
      <c r="K322" s="2" t="s">
        <v>1548</v>
      </c>
      <c r="L322" t="s">
        <v>1549</v>
      </c>
      <c r="M322" s="2" t="s">
        <v>907</v>
      </c>
      <c r="N322" t="s">
        <v>2661</v>
      </c>
      <c r="O322" s="2" t="s">
        <v>48</v>
      </c>
    </row>
    <row r="323" spans="1:15">
      <c r="A323" t="s">
        <v>785</v>
      </c>
      <c r="B323" t="s">
        <v>48</v>
      </c>
      <c r="C323" s="2" t="s">
        <v>907</v>
      </c>
      <c r="E323" s="2" t="str">
        <f t="shared" ref="E323:E386" si="15">IF(ISERROR(FIND(" ",A323)),"", LEFT(A323,FIND(" ",A323)-1))</f>
        <v>Christian</v>
      </c>
      <c r="F323" s="2" t="str">
        <f t="shared" ref="F323:F386" si="16">IF(ISERROR(FIND(" ",A323)),A323,RIGHT(A323,LEN(A323)-FIND(" ",A323)))</f>
        <v>Günter</v>
      </c>
      <c r="H323" s="2" t="str">
        <f t="shared" ref="H323:H386" si="17">LEFT(E323,1)</f>
        <v>C</v>
      </c>
      <c r="I323" s="2" t="s">
        <v>2662</v>
      </c>
      <c r="K323" s="2" t="s">
        <v>1219</v>
      </c>
      <c r="L323" t="s">
        <v>1550</v>
      </c>
      <c r="M323" s="2" t="s">
        <v>907</v>
      </c>
      <c r="N323" t="s">
        <v>2662</v>
      </c>
      <c r="O323" s="2" t="s">
        <v>48</v>
      </c>
    </row>
    <row r="324" spans="1:15">
      <c r="A324" t="s">
        <v>786</v>
      </c>
      <c r="B324" t="s">
        <v>48</v>
      </c>
      <c r="C324" s="2" t="s">
        <v>907</v>
      </c>
      <c r="E324" s="2" t="str">
        <f t="shared" si="15"/>
        <v>Nico</v>
      </c>
      <c r="F324" s="2" t="str">
        <f t="shared" si="16"/>
        <v>Schlotterbeck</v>
      </c>
      <c r="H324" s="2" t="str">
        <f t="shared" si="17"/>
        <v>N</v>
      </c>
      <c r="I324" s="2" t="s">
        <v>2663</v>
      </c>
      <c r="K324" s="2" t="s">
        <v>1551</v>
      </c>
      <c r="L324" t="s">
        <v>1552</v>
      </c>
      <c r="M324" s="2" t="s">
        <v>907</v>
      </c>
      <c r="N324" t="s">
        <v>2663</v>
      </c>
      <c r="O324" s="2" t="s">
        <v>48</v>
      </c>
    </row>
    <row r="325" spans="1:15">
      <c r="A325" t="s">
        <v>787</v>
      </c>
      <c r="B325" t="s">
        <v>48</v>
      </c>
      <c r="C325" s="2" t="s">
        <v>907</v>
      </c>
      <c r="E325" s="2" t="str">
        <f t="shared" si="15"/>
        <v>Armel</v>
      </c>
      <c r="F325" s="2" t="str">
        <f t="shared" si="16"/>
        <v>Bella Kotchap</v>
      </c>
      <c r="H325" s="2" t="str">
        <f t="shared" si="17"/>
        <v>A</v>
      </c>
      <c r="I325" s="2" t="s">
        <v>2664</v>
      </c>
      <c r="K325" s="2" t="s">
        <v>1553</v>
      </c>
      <c r="L325" t="s">
        <v>1554</v>
      </c>
      <c r="M325" s="2" t="s">
        <v>907</v>
      </c>
      <c r="N325" t="s">
        <v>2664</v>
      </c>
      <c r="O325" s="2" t="s">
        <v>48</v>
      </c>
    </row>
    <row r="326" spans="1:15">
      <c r="A326" t="s">
        <v>788</v>
      </c>
      <c r="B326" t="s">
        <v>57</v>
      </c>
      <c r="C326" t="s">
        <v>907</v>
      </c>
      <c r="E326" s="2" t="str">
        <f t="shared" si="15"/>
        <v>Joshua</v>
      </c>
      <c r="F326" s="2" t="str">
        <f t="shared" si="16"/>
        <v>Kimmich</v>
      </c>
      <c r="H326" s="2" t="str">
        <f t="shared" si="17"/>
        <v>J</v>
      </c>
      <c r="I326" s="2" t="s">
        <v>2665</v>
      </c>
      <c r="K326" s="2" t="s">
        <v>1555</v>
      </c>
      <c r="L326" t="s">
        <v>1556</v>
      </c>
      <c r="M326" s="2" t="s">
        <v>907</v>
      </c>
      <c r="N326" t="s">
        <v>2665</v>
      </c>
      <c r="O326" s="2" t="s">
        <v>57</v>
      </c>
    </row>
    <row r="327" spans="1:15">
      <c r="A327" t="s">
        <v>789</v>
      </c>
      <c r="B327" t="s">
        <v>57</v>
      </c>
      <c r="C327" t="s">
        <v>907</v>
      </c>
      <c r="E327" s="2" t="str">
        <f t="shared" si="15"/>
        <v>Kai</v>
      </c>
      <c r="F327" s="2" t="str">
        <f t="shared" si="16"/>
        <v>Havertz</v>
      </c>
      <c r="H327" s="2" t="str">
        <f t="shared" si="17"/>
        <v>K</v>
      </c>
      <c r="I327" s="2" t="s">
        <v>2666</v>
      </c>
      <c r="K327" s="2" t="s">
        <v>1557</v>
      </c>
      <c r="L327" t="s">
        <v>1558</v>
      </c>
      <c r="M327" s="2" t="s">
        <v>907</v>
      </c>
      <c r="N327" t="s">
        <v>2666</v>
      </c>
      <c r="O327" s="2" t="s">
        <v>57</v>
      </c>
    </row>
    <row r="328" spans="1:15">
      <c r="A328" t="s">
        <v>790</v>
      </c>
      <c r="B328" t="s">
        <v>57</v>
      </c>
      <c r="C328" s="2" t="s">
        <v>907</v>
      </c>
      <c r="E328" s="2" t="str">
        <f t="shared" si="15"/>
        <v>Leon</v>
      </c>
      <c r="F328" s="2" t="str">
        <f t="shared" si="16"/>
        <v>Goretzka</v>
      </c>
      <c r="H328" s="2" t="str">
        <f t="shared" si="17"/>
        <v>L</v>
      </c>
      <c r="I328" s="2" t="s">
        <v>2667</v>
      </c>
      <c r="K328" s="2" t="s">
        <v>1559</v>
      </c>
      <c r="L328" t="s">
        <v>1560</v>
      </c>
      <c r="M328" s="2" t="s">
        <v>907</v>
      </c>
      <c r="N328" t="s">
        <v>2667</v>
      </c>
      <c r="O328" s="2" t="s">
        <v>57</v>
      </c>
    </row>
    <row r="329" spans="1:15">
      <c r="A329" t="s">
        <v>791</v>
      </c>
      <c r="B329" t="s">
        <v>57</v>
      </c>
      <c r="C329" s="2" t="s">
        <v>907</v>
      </c>
      <c r="E329" s="2" t="str">
        <f t="shared" si="15"/>
        <v>Mario</v>
      </c>
      <c r="F329" s="2" t="str">
        <f t="shared" si="16"/>
        <v>Götze</v>
      </c>
      <c r="H329" s="2" t="str">
        <f t="shared" si="17"/>
        <v>M</v>
      </c>
      <c r="I329" s="2" t="s">
        <v>2668</v>
      </c>
      <c r="K329" s="2" t="s">
        <v>1352</v>
      </c>
      <c r="L329" t="s">
        <v>1561</v>
      </c>
      <c r="M329" s="2" t="s">
        <v>907</v>
      </c>
      <c r="N329" t="s">
        <v>2668</v>
      </c>
      <c r="O329" s="2" t="s">
        <v>57</v>
      </c>
    </row>
    <row r="330" spans="1:15">
      <c r="A330" t="s">
        <v>792</v>
      </c>
      <c r="B330" t="s">
        <v>57</v>
      </c>
      <c r="C330" s="2" t="s">
        <v>907</v>
      </c>
      <c r="E330" s="2" t="str">
        <f t="shared" si="15"/>
        <v>Julian</v>
      </c>
      <c r="F330" s="2" t="str">
        <f t="shared" si="16"/>
        <v>Brandt</v>
      </c>
      <c r="H330" s="2" t="str">
        <f t="shared" si="17"/>
        <v>J</v>
      </c>
      <c r="I330" s="2" t="s">
        <v>2669</v>
      </c>
      <c r="K330" s="2" t="s">
        <v>1562</v>
      </c>
      <c r="L330" t="s">
        <v>1563</v>
      </c>
      <c r="M330" s="2" t="s">
        <v>907</v>
      </c>
      <c r="N330" t="s">
        <v>2669</v>
      </c>
      <c r="O330" s="2" t="s">
        <v>57</v>
      </c>
    </row>
    <row r="331" spans="1:15">
      <c r="A331" t="s">
        <v>793</v>
      </c>
      <c r="B331" t="s">
        <v>57</v>
      </c>
      <c r="C331" s="2" t="s">
        <v>907</v>
      </c>
      <c r="E331" s="2" t="str">
        <f t="shared" si="15"/>
        <v>Jonas</v>
      </c>
      <c r="F331" s="2" t="str">
        <f t="shared" si="16"/>
        <v>Hofmann</v>
      </c>
      <c r="H331" s="2" t="str">
        <f t="shared" si="17"/>
        <v>J</v>
      </c>
      <c r="I331" s="2" t="s">
        <v>2670</v>
      </c>
      <c r="K331" s="2" t="s">
        <v>1401</v>
      </c>
      <c r="L331" t="s">
        <v>1564</v>
      </c>
      <c r="M331" s="2" t="s">
        <v>907</v>
      </c>
      <c r="N331" t="s">
        <v>2670</v>
      </c>
      <c r="O331" s="2" t="s">
        <v>57</v>
      </c>
    </row>
    <row r="332" spans="1:15">
      <c r="A332" t="s">
        <v>794</v>
      </c>
      <c r="B332" t="s">
        <v>57</v>
      </c>
      <c r="C332" s="2" t="s">
        <v>907</v>
      </c>
      <c r="E332" s="2" t="str">
        <f t="shared" si="15"/>
        <v>Ilkay</v>
      </c>
      <c r="F332" s="2" t="str">
        <f t="shared" si="16"/>
        <v>Gündogan</v>
      </c>
      <c r="H332" s="2" t="str">
        <f t="shared" si="17"/>
        <v>I</v>
      </c>
      <c r="I332" s="2" t="s">
        <v>1008</v>
      </c>
      <c r="K332" s="2" t="s">
        <v>1565</v>
      </c>
      <c r="L332" t="s">
        <v>1566</v>
      </c>
      <c r="M332" s="2" t="s">
        <v>907</v>
      </c>
      <c r="N332" t="s">
        <v>1008</v>
      </c>
      <c r="O332" s="2" t="s">
        <v>57</v>
      </c>
    </row>
    <row r="333" spans="1:15">
      <c r="A333" t="s">
        <v>795</v>
      </c>
      <c r="B333" t="s">
        <v>66</v>
      </c>
      <c r="C333" s="2" t="s">
        <v>907</v>
      </c>
      <c r="E333" s="2" t="str">
        <f t="shared" si="15"/>
        <v>Niclas</v>
      </c>
      <c r="F333" s="2" t="str">
        <f t="shared" si="16"/>
        <v>Füllkrug</v>
      </c>
      <c r="H333" s="2" t="str">
        <f t="shared" si="17"/>
        <v>N</v>
      </c>
      <c r="I333" s="2" t="s">
        <v>2671</v>
      </c>
      <c r="K333" s="2" t="s">
        <v>1567</v>
      </c>
      <c r="L333" t="s">
        <v>1568</v>
      </c>
      <c r="M333" s="2" t="s">
        <v>907</v>
      </c>
      <c r="N333" t="s">
        <v>2671</v>
      </c>
      <c r="O333" s="2" t="s">
        <v>66</v>
      </c>
    </row>
    <row r="334" spans="1:15">
      <c r="A334" t="s">
        <v>796</v>
      </c>
      <c r="B334" t="s">
        <v>66</v>
      </c>
      <c r="C334" s="2" t="s">
        <v>907</v>
      </c>
      <c r="E334" s="2" t="str">
        <f t="shared" si="15"/>
        <v>Serge</v>
      </c>
      <c r="F334" s="2" t="str">
        <f t="shared" si="16"/>
        <v>Gnabry</v>
      </c>
      <c r="H334" s="2" t="str">
        <f t="shared" si="17"/>
        <v>S</v>
      </c>
      <c r="I334" s="2" t="s">
        <v>2672</v>
      </c>
      <c r="K334" s="2" t="s">
        <v>1569</v>
      </c>
      <c r="L334" t="s">
        <v>1570</v>
      </c>
      <c r="M334" s="2" t="s">
        <v>907</v>
      </c>
      <c r="N334" t="s">
        <v>2672</v>
      </c>
      <c r="O334" s="2" t="s">
        <v>66</v>
      </c>
    </row>
    <row r="335" spans="1:15">
      <c r="A335" t="s">
        <v>797</v>
      </c>
      <c r="B335" t="s">
        <v>66</v>
      </c>
      <c r="C335" s="2" t="s">
        <v>907</v>
      </c>
      <c r="E335" s="2" t="str">
        <f t="shared" si="15"/>
        <v>Thomas</v>
      </c>
      <c r="F335" s="2" t="str">
        <f t="shared" si="16"/>
        <v>Müller</v>
      </c>
      <c r="H335" s="2" t="str">
        <f t="shared" si="17"/>
        <v>T</v>
      </c>
      <c r="I335" s="2" t="s">
        <v>2673</v>
      </c>
      <c r="K335" s="2" t="s">
        <v>1080</v>
      </c>
      <c r="L335" t="s">
        <v>1571</v>
      </c>
      <c r="M335" s="2" t="s">
        <v>907</v>
      </c>
      <c r="N335" t="s">
        <v>2673</v>
      </c>
      <c r="O335" s="2" t="s">
        <v>66</v>
      </c>
    </row>
    <row r="336" spans="1:15">
      <c r="A336" t="s">
        <v>798</v>
      </c>
      <c r="B336" t="s">
        <v>66</v>
      </c>
      <c r="C336" s="2" t="s">
        <v>907</v>
      </c>
      <c r="E336" s="2" t="str">
        <f t="shared" si="15"/>
        <v>Jamal</v>
      </c>
      <c r="F336" s="2" t="str">
        <f t="shared" si="16"/>
        <v>Musiala</v>
      </c>
      <c r="H336" s="2" t="str">
        <f t="shared" si="17"/>
        <v>J</v>
      </c>
      <c r="I336" s="2" t="s">
        <v>2674</v>
      </c>
      <c r="K336" s="2" t="s">
        <v>1572</v>
      </c>
      <c r="L336" t="s">
        <v>1573</v>
      </c>
      <c r="M336" s="2" t="s">
        <v>907</v>
      </c>
      <c r="N336" t="s">
        <v>2674</v>
      </c>
      <c r="O336" s="2" t="s">
        <v>66</v>
      </c>
    </row>
    <row r="337" spans="1:15">
      <c r="A337" t="s">
        <v>799</v>
      </c>
      <c r="B337" t="s">
        <v>66</v>
      </c>
      <c r="C337" s="2" t="s">
        <v>907</v>
      </c>
      <c r="E337" s="2" t="str">
        <f t="shared" si="15"/>
        <v>Leroy</v>
      </c>
      <c r="F337" s="2" t="str">
        <f t="shared" si="16"/>
        <v>Sané</v>
      </c>
      <c r="H337" s="2" t="str">
        <f t="shared" si="17"/>
        <v>L</v>
      </c>
      <c r="I337" s="2" t="s">
        <v>2675</v>
      </c>
      <c r="K337" s="2" t="s">
        <v>1574</v>
      </c>
      <c r="L337" t="s">
        <v>1575</v>
      </c>
      <c r="M337" s="2" t="s">
        <v>907</v>
      </c>
      <c r="N337" t="s">
        <v>2675</v>
      </c>
      <c r="O337" s="2" t="s">
        <v>66</v>
      </c>
    </row>
    <row r="338" spans="1:15">
      <c r="A338" t="s">
        <v>800</v>
      </c>
      <c r="B338" t="s">
        <v>66</v>
      </c>
      <c r="C338" s="2" t="s">
        <v>907</v>
      </c>
      <c r="E338" s="2" t="str">
        <f t="shared" si="15"/>
        <v>Karim</v>
      </c>
      <c r="F338" s="2" t="str">
        <f t="shared" si="16"/>
        <v>Adeyemi</v>
      </c>
      <c r="H338" s="2" t="str">
        <f t="shared" si="17"/>
        <v>K</v>
      </c>
      <c r="I338" s="2" t="s">
        <v>2676</v>
      </c>
      <c r="K338" s="2" t="s">
        <v>1529</v>
      </c>
      <c r="L338" t="s">
        <v>1576</v>
      </c>
      <c r="M338" s="2" t="s">
        <v>907</v>
      </c>
      <c r="N338" t="s">
        <v>2676</v>
      </c>
      <c r="O338" s="2" t="s">
        <v>66</v>
      </c>
    </row>
    <row r="339" spans="1:15">
      <c r="A339" t="s">
        <v>801</v>
      </c>
      <c r="B339" t="s">
        <v>66</v>
      </c>
      <c r="C339" s="2" t="s">
        <v>907</v>
      </c>
      <c r="E339" s="2" t="str">
        <f t="shared" si="15"/>
        <v>Youssoufa</v>
      </c>
      <c r="F339" s="2" t="str">
        <f t="shared" si="16"/>
        <v>Moukoko</v>
      </c>
      <c r="H339" s="2" t="str">
        <f t="shared" si="17"/>
        <v>Y</v>
      </c>
      <c r="I339" s="2" t="s">
        <v>2677</v>
      </c>
      <c r="K339" s="2" t="s">
        <v>1577</v>
      </c>
      <c r="L339" t="s">
        <v>1578</v>
      </c>
      <c r="M339" s="2" t="s">
        <v>907</v>
      </c>
      <c r="N339" t="s">
        <v>2677</v>
      </c>
      <c r="O339" s="2" t="s">
        <v>66</v>
      </c>
    </row>
    <row r="340" spans="1:15">
      <c r="A340" t="s">
        <v>802</v>
      </c>
      <c r="B340" t="s">
        <v>44</v>
      </c>
      <c r="C340" s="2" t="s">
        <v>908</v>
      </c>
      <c r="E340" s="2" t="str">
        <f t="shared" si="15"/>
        <v>Lawrence</v>
      </c>
      <c r="F340" s="2" t="str">
        <f t="shared" si="16"/>
        <v>Ati Zigi</v>
      </c>
      <c r="H340" s="2" t="str">
        <f t="shared" si="17"/>
        <v>L</v>
      </c>
      <c r="I340" s="2" t="s">
        <v>2678</v>
      </c>
      <c r="K340" s="2" t="s">
        <v>1579</v>
      </c>
      <c r="L340" t="s">
        <v>1580</v>
      </c>
      <c r="M340" s="2" t="s">
        <v>908</v>
      </c>
      <c r="N340" t="s">
        <v>2678</v>
      </c>
      <c r="O340" s="2" t="s">
        <v>44</v>
      </c>
    </row>
    <row r="341" spans="1:15">
      <c r="A341" t="s">
        <v>803</v>
      </c>
      <c r="B341" t="s">
        <v>44</v>
      </c>
      <c r="C341" s="2" t="s">
        <v>908</v>
      </c>
      <c r="E341" s="2" t="str">
        <f t="shared" si="15"/>
        <v>Danlad</v>
      </c>
      <c r="F341" s="2" t="str">
        <f t="shared" si="16"/>
        <v>Ibrahim</v>
      </c>
      <c r="H341" s="2" t="str">
        <f t="shared" si="17"/>
        <v>D</v>
      </c>
      <c r="I341" s="2" t="s">
        <v>2679</v>
      </c>
      <c r="K341" s="2" t="s">
        <v>1581</v>
      </c>
      <c r="L341" t="s">
        <v>1582</v>
      </c>
      <c r="M341" s="2" t="s">
        <v>908</v>
      </c>
      <c r="N341" t="s">
        <v>2679</v>
      </c>
      <c r="O341" s="2" t="s">
        <v>44</v>
      </c>
    </row>
    <row r="342" spans="1:15">
      <c r="A342" t="s">
        <v>804</v>
      </c>
      <c r="B342" t="s">
        <v>44</v>
      </c>
      <c r="C342" s="2" t="s">
        <v>908</v>
      </c>
      <c r="E342" s="2" t="str">
        <f t="shared" si="15"/>
        <v>Abdul</v>
      </c>
      <c r="F342" s="2" t="str">
        <f t="shared" si="16"/>
        <v>Manaf Nurudeen</v>
      </c>
      <c r="H342" s="2" t="str">
        <f t="shared" si="17"/>
        <v>A</v>
      </c>
      <c r="I342" s="2" t="s">
        <v>2680</v>
      </c>
      <c r="K342" s="2" t="s">
        <v>1583</v>
      </c>
      <c r="L342" t="s">
        <v>1584</v>
      </c>
      <c r="M342" s="2" t="s">
        <v>908</v>
      </c>
      <c r="N342" t="s">
        <v>2680</v>
      </c>
      <c r="O342" s="2" t="s">
        <v>44</v>
      </c>
    </row>
    <row r="343" spans="1:15">
      <c r="A343" t="s">
        <v>805</v>
      </c>
      <c r="B343" t="s">
        <v>48</v>
      </c>
      <c r="C343" s="2" t="s">
        <v>908</v>
      </c>
      <c r="E343" s="2" t="str">
        <f t="shared" si="15"/>
        <v>Tariq</v>
      </c>
      <c r="F343" s="2" t="str">
        <f t="shared" si="16"/>
        <v>Lamptey</v>
      </c>
      <c r="H343" s="2" t="str">
        <f t="shared" si="17"/>
        <v>T</v>
      </c>
      <c r="I343" s="2" t="s">
        <v>2681</v>
      </c>
      <c r="K343" s="2" t="s">
        <v>1585</v>
      </c>
      <c r="L343" t="s">
        <v>1586</v>
      </c>
      <c r="M343" s="2" t="s">
        <v>908</v>
      </c>
      <c r="N343" t="s">
        <v>2681</v>
      </c>
      <c r="O343" s="2" t="s">
        <v>48</v>
      </c>
    </row>
    <row r="344" spans="1:15">
      <c r="A344" t="s">
        <v>806</v>
      </c>
      <c r="B344" t="s">
        <v>48</v>
      </c>
      <c r="C344" s="2" t="s">
        <v>908</v>
      </c>
      <c r="E344" s="2" t="str">
        <f t="shared" si="15"/>
        <v>Denis</v>
      </c>
      <c r="F344" s="2" t="str">
        <f t="shared" si="16"/>
        <v>Odoi</v>
      </c>
      <c r="H344" s="2" t="str">
        <f t="shared" si="17"/>
        <v>D</v>
      </c>
      <c r="I344" s="2" t="s">
        <v>2682</v>
      </c>
      <c r="K344" s="2" t="s">
        <v>1587</v>
      </c>
      <c r="L344" t="s">
        <v>1588</v>
      </c>
      <c r="M344" s="2" t="s">
        <v>908</v>
      </c>
      <c r="N344" t="s">
        <v>2682</v>
      </c>
      <c r="O344" s="2" t="s">
        <v>48</v>
      </c>
    </row>
    <row r="345" spans="1:15">
      <c r="A345" t="s">
        <v>807</v>
      </c>
      <c r="B345" t="s">
        <v>48</v>
      </c>
      <c r="C345" s="2" t="s">
        <v>908</v>
      </c>
      <c r="E345" s="2" t="str">
        <f t="shared" si="15"/>
        <v>Mohammed</v>
      </c>
      <c r="F345" s="2" t="str">
        <f t="shared" si="16"/>
        <v>Salisu</v>
      </c>
      <c r="H345" s="2" t="str">
        <f t="shared" si="17"/>
        <v>M</v>
      </c>
      <c r="I345" s="2" t="s">
        <v>2683</v>
      </c>
      <c r="K345" s="2" t="s">
        <v>1589</v>
      </c>
      <c r="L345" t="s">
        <v>1590</v>
      </c>
      <c r="M345" s="2" t="s">
        <v>908</v>
      </c>
      <c r="N345" t="s">
        <v>2683</v>
      </c>
      <c r="O345" s="2" t="s">
        <v>48</v>
      </c>
    </row>
    <row r="346" spans="1:15">
      <c r="A346" t="s">
        <v>808</v>
      </c>
      <c r="B346" t="s">
        <v>48</v>
      </c>
      <c r="C346" s="2" t="s">
        <v>908</v>
      </c>
      <c r="E346" s="2" t="str">
        <f t="shared" si="15"/>
        <v>Gideon</v>
      </c>
      <c r="F346" s="2" t="str">
        <f t="shared" si="16"/>
        <v>Mensah</v>
      </c>
      <c r="H346" s="2" t="str">
        <f t="shared" si="17"/>
        <v>G</v>
      </c>
      <c r="I346" s="2" t="s">
        <v>2684</v>
      </c>
      <c r="K346" s="2" t="s">
        <v>1591</v>
      </c>
      <c r="L346" t="s">
        <v>1592</v>
      </c>
      <c r="M346" s="2" t="s">
        <v>908</v>
      </c>
      <c r="N346" t="s">
        <v>2684</v>
      </c>
      <c r="O346" s="2" t="s">
        <v>48</v>
      </c>
    </row>
    <row r="347" spans="1:15">
      <c r="A347" t="s">
        <v>809</v>
      </c>
      <c r="B347" t="s">
        <v>48</v>
      </c>
      <c r="C347" s="2" t="s">
        <v>908</v>
      </c>
      <c r="E347" s="2" t="str">
        <f t="shared" si="15"/>
        <v>Joseph</v>
      </c>
      <c r="F347" s="2" t="str">
        <f t="shared" si="16"/>
        <v>Aidoo</v>
      </c>
      <c r="H347" s="2" t="str">
        <f t="shared" si="17"/>
        <v>J</v>
      </c>
      <c r="I347" s="2" t="s">
        <v>2685</v>
      </c>
      <c r="K347" s="2" t="s">
        <v>1593</v>
      </c>
      <c r="L347" t="s">
        <v>1594</v>
      </c>
      <c r="M347" s="2" t="s">
        <v>908</v>
      </c>
      <c r="N347" t="s">
        <v>2685</v>
      </c>
      <c r="O347" s="2" t="s">
        <v>48</v>
      </c>
    </row>
    <row r="348" spans="1:15">
      <c r="A348" t="s">
        <v>810</v>
      </c>
      <c r="B348" t="s">
        <v>48</v>
      </c>
      <c r="C348" s="2" t="s">
        <v>908</v>
      </c>
      <c r="E348" s="2" t="str">
        <f t="shared" si="15"/>
        <v>Abdul</v>
      </c>
      <c r="F348" s="2" t="str">
        <f t="shared" si="16"/>
        <v>Rahman Baba</v>
      </c>
      <c r="H348" s="2" t="str">
        <f t="shared" si="17"/>
        <v>A</v>
      </c>
      <c r="I348" s="2" t="s">
        <v>2686</v>
      </c>
      <c r="K348" s="2" t="s">
        <v>1583</v>
      </c>
      <c r="L348" t="s">
        <v>1595</v>
      </c>
      <c r="M348" s="2" t="s">
        <v>908</v>
      </c>
      <c r="N348" t="s">
        <v>2686</v>
      </c>
      <c r="O348" s="2" t="s">
        <v>48</v>
      </c>
    </row>
    <row r="349" spans="1:15">
      <c r="A349" t="s">
        <v>811</v>
      </c>
      <c r="B349" t="s">
        <v>48</v>
      </c>
      <c r="C349" s="2" t="s">
        <v>908</v>
      </c>
      <c r="E349" s="2" t="str">
        <f t="shared" si="15"/>
        <v>Daniel</v>
      </c>
      <c r="F349" s="2" t="str">
        <f t="shared" si="16"/>
        <v>Amartey</v>
      </c>
      <c r="H349" s="2" t="str">
        <f t="shared" si="17"/>
        <v>D</v>
      </c>
      <c r="I349" s="2" t="s">
        <v>2687</v>
      </c>
      <c r="K349" s="2" t="s">
        <v>1295</v>
      </c>
      <c r="L349" t="s">
        <v>1596</v>
      </c>
      <c r="M349" s="2" t="s">
        <v>908</v>
      </c>
      <c r="N349" t="s">
        <v>2687</v>
      </c>
      <c r="O349" s="2" t="s">
        <v>48</v>
      </c>
    </row>
    <row r="350" spans="1:15">
      <c r="A350" t="s">
        <v>812</v>
      </c>
      <c r="B350" t="s">
        <v>48</v>
      </c>
      <c r="C350" s="2" t="s">
        <v>908</v>
      </c>
      <c r="E350" s="2" t="str">
        <f t="shared" si="15"/>
        <v>Alexander</v>
      </c>
      <c r="F350" s="2" t="str">
        <f t="shared" si="16"/>
        <v>Djiku</v>
      </c>
      <c r="H350" s="2" t="str">
        <f t="shared" si="17"/>
        <v>A</v>
      </c>
      <c r="I350" s="2" t="s">
        <v>2688</v>
      </c>
      <c r="K350" s="2" t="s">
        <v>1384</v>
      </c>
      <c r="L350" t="s">
        <v>1597</v>
      </c>
      <c r="M350" s="2" t="s">
        <v>908</v>
      </c>
      <c r="N350" t="s">
        <v>2688</v>
      </c>
      <c r="O350" s="2" t="s">
        <v>48</v>
      </c>
    </row>
    <row r="351" spans="1:15">
      <c r="A351" t="s">
        <v>813</v>
      </c>
      <c r="B351" t="s">
        <v>48</v>
      </c>
      <c r="C351" s="2" t="s">
        <v>908</v>
      </c>
      <c r="E351" s="2" t="str">
        <f t="shared" si="15"/>
        <v>Seidu</v>
      </c>
      <c r="F351" s="2" t="str">
        <f t="shared" si="16"/>
        <v>Alidu</v>
      </c>
      <c r="H351" s="2" t="str">
        <f t="shared" si="17"/>
        <v>S</v>
      </c>
      <c r="I351" s="2" t="s">
        <v>2689</v>
      </c>
      <c r="K351" s="2" t="s">
        <v>1598</v>
      </c>
      <c r="L351" t="s">
        <v>1599</v>
      </c>
      <c r="M351" s="2" t="s">
        <v>908</v>
      </c>
      <c r="N351" t="s">
        <v>2689</v>
      </c>
      <c r="O351" s="2" t="s">
        <v>48</v>
      </c>
    </row>
    <row r="352" spans="1:15">
      <c r="A352" t="s">
        <v>814</v>
      </c>
      <c r="B352" t="s">
        <v>57</v>
      </c>
      <c r="C352" s="2" t="s">
        <v>908</v>
      </c>
      <c r="E352" s="2" t="str">
        <f t="shared" si="15"/>
        <v>Thomas</v>
      </c>
      <c r="F352" s="2" t="str">
        <f t="shared" si="16"/>
        <v>Partey</v>
      </c>
      <c r="H352" s="2" t="str">
        <f t="shared" si="17"/>
        <v>T</v>
      </c>
      <c r="I352" s="2" t="s">
        <v>2690</v>
      </c>
      <c r="K352" s="2" t="s">
        <v>1080</v>
      </c>
      <c r="L352" t="s">
        <v>1600</v>
      </c>
      <c r="M352" s="2" t="s">
        <v>908</v>
      </c>
      <c r="N352" t="s">
        <v>2690</v>
      </c>
      <c r="O352" s="2" t="s">
        <v>57</v>
      </c>
    </row>
    <row r="353" spans="1:15">
      <c r="A353" t="s">
        <v>815</v>
      </c>
      <c r="B353" t="s">
        <v>57</v>
      </c>
      <c r="C353" t="s">
        <v>908</v>
      </c>
      <c r="E353" s="2" t="str">
        <f t="shared" si="15"/>
        <v>Elisha</v>
      </c>
      <c r="F353" s="2" t="str">
        <f t="shared" si="16"/>
        <v>Owusu</v>
      </c>
      <c r="H353" s="2" t="str">
        <f t="shared" si="17"/>
        <v>E</v>
      </c>
      <c r="I353" s="2" t="s">
        <v>2691</v>
      </c>
      <c r="K353" s="2" t="s">
        <v>1601</v>
      </c>
      <c r="L353" t="s">
        <v>1602</v>
      </c>
      <c r="M353" s="2" t="s">
        <v>908</v>
      </c>
      <c r="N353" t="s">
        <v>2691</v>
      </c>
      <c r="O353" s="2" t="s">
        <v>57</v>
      </c>
    </row>
    <row r="354" spans="1:15">
      <c r="A354" t="s">
        <v>816</v>
      </c>
      <c r="B354" t="s">
        <v>57</v>
      </c>
      <c r="C354" t="s">
        <v>908</v>
      </c>
      <c r="E354" s="2" t="str">
        <f t="shared" si="15"/>
        <v>Fatawu</v>
      </c>
      <c r="F354" s="2" t="str">
        <f t="shared" si="16"/>
        <v>Issahaku</v>
      </c>
      <c r="H354" s="2" t="str">
        <f t="shared" si="17"/>
        <v>F</v>
      </c>
      <c r="I354" s="2" t="s">
        <v>2692</v>
      </c>
      <c r="K354" s="2" t="s">
        <v>1603</v>
      </c>
      <c r="L354" t="s">
        <v>1604</v>
      </c>
      <c r="M354" s="2" t="s">
        <v>908</v>
      </c>
      <c r="N354" t="s">
        <v>2692</v>
      </c>
      <c r="O354" s="2" t="s">
        <v>57</v>
      </c>
    </row>
    <row r="355" spans="1:15">
      <c r="A355" t="s">
        <v>817</v>
      </c>
      <c r="B355" t="s">
        <v>57</v>
      </c>
      <c r="C355" s="2" t="s">
        <v>908</v>
      </c>
      <c r="E355" s="2" t="str">
        <f t="shared" si="15"/>
        <v>Daniel-Kofi</v>
      </c>
      <c r="F355" s="2" t="str">
        <f t="shared" si="16"/>
        <v>Kyereh</v>
      </c>
      <c r="H355" s="2" t="str">
        <f t="shared" si="17"/>
        <v>D</v>
      </c>
      <c r="I355" s="2" t="s">
        <v>2693</v>
      </c>
      <c r="K355" s="2" t="s">
        <v>1605</v>
      </c>
      <c r="L355" t="s">
        <v>1606</v>
      </c>
      <c r="M355" s="2" t="s">
        <v>908</v>
      </c>
      <c r="N355" t="s">
        <v>2693</v>
      </c>
      <c r="O355" s="2" t="s">
        <v>57</v>
      </c>
    </row>
    <row r="356" spans="1:15">
      <c r="A356" t="s">
        <v>818</v>
      </c>
      <c r="B356" t="s">
        <v>57</v>
      </c>
      <c r="C356" s="2" t="s">
        <v>908</v>
      </c>
      <c r="E356" s="2" t="str">
        <f t="shared" si="15"/>
        <v>Mohammed</v>
      </c>
      <c r="F356" s="2" t="str">
        <f t="shared" si="16"/>
        <v>Kudus</v>
      </c>
      <c r="H356" s="2" t="str">
        <f t="shared" si="17"/>
        <v>M</v>
      </c>
      <c r="I356" s="2" t="s">
        <v>2694</v>
      </c>
      <c r="K356" s="2" t="s">
        <v>1589</v>
      </c>
      <c r="L356" t="s">
        <v>1607</v>
      </c>
      <c r="M356" s="2" t="s">
        <v>908</v>
      </c>
      <c r="N356" t="s">
        <v>2694</v>
      </c>
      <c r="O356" s="2" t="s">
        <v>57</v>
      </c>
    </row>
    <row r="357" spans="1:15">
      <c r="A357" t="s">
        <v>819</v>
      </c>
      <c r="B357" t="s">
        <v>57</v>
      </c>
      <c r="C357" s="2" t="s">
        <v>908</v>
      </c>
      <c r="E357" s="2" t="str">
        <f t="shared" si="15"/>
        <v>Salis</v>
      </c>
      <c r="F357" s="2" t="str">
        <f t="shared" si="16"/>
        <v>Abdul Samed</v>
      </c>
      <c r="H357" s="2" t="str">
        <f t="shared" si="17"/>
        <v>S</v>
      </c>
      <c r="I357" s="2" t="s">
        <v>2695</v>
      </c>
      <c r="K357" s="2" t="s">
        <v>1608</v>
      </c>
      <c r="L357" t="s">
        <v>1609</v>
      </c>
      <c r="M357" s="2" t="s">
        <v>908</v>
      </c>
      <c r="N357" t="s">
        <v>2695</v>
      </c>
      <c r="O357" s="2" t="s">
        <v>57</v>
      </c>
    </row>
    <row r="358" spans="1:15">
      <c r="A358" t="s">
        <v>820</v>
      </c>
      <c r="B358" t="s">
        <v>57</v>
      </c>
      <c r="C358" s="2" t="s">
        <v>908</v>
      </c>
      <c r="E358" s="2" t="str">
        <f t="shared" si="15"/>
        <v>Kamaldeen</v>
      </c>
      <c r="F358" s="2" t="str">
        <f t="shared" si="16"/>
        <v>Sulemana</v>
      </c>
      <c r="H358" s="2" t="str">
        <f t="shared" si="17"/>
        <v>K</v>
      </c>
      <c r="I358" s="2" t="s">
        <v>2696</v>
      </c>
      <c r="K358" s="2" t="s">
        <v>1610</v>
      </c>
      <c r="L358" t="s">
        <v>1611</v>
      </c>
      <c r="M358" s="2" t="s">
        <v>908</v>
      </c>
      <c r="N358" t="s">
        <v>2696</v>
      </c>
      <c r="O358" s="2" t="s">
        <v>57</v>
      </c>
    </row>
    <row r="359" spans="1:15">
      <c r="A359" t="s">
        <v>821</v>
      </c>
      <c r="B359" t="s">
        <v>66</v>
      </c>
      <c r="C359" s="2" t="s">
        <v>908</v>
      </c>
      <c r="E359" s="2" t="str">
        <f t="shared" si="15"/>
        <v>Jordan</v>
      </c>
      <c r="F359" s="2" t="str">
        <f t="shared" si="16"/>
        <v>Ayew</v>
      </c>
      <c r="H359" s="2" t="str">
        <f t="shared" si="17"/>
        <v>J</v>
      </c>
      <c r="I359" s="2" t="s">
        <v>2697</v>
      </c>
      <c r="K359" s="2" t="s">
        <v>1446</v>
      </c>
      <c r="L359" t="s">
        <v>1612</v>
      </c>
      <c r="M359" s="2" t="s">
        <v>908</v>
      </c>
      <c r="N359" t="s">
        <v>2697</v>
      </c>
      <c r="O359" s="2" t="s">
        <v>66</v>
      </c>
    </row>
    <row r="360" spans="1:15">
      <c r="A360" t="s">
        <v>822</v>
      </c>
      <c r="B360" t="s">
        <v>66</v>
      </c>
      <c r="C360" s="2" t="s">
        <v>908</v>
      </c>
      <c r="E360" s="2" t="str">
        <f t="shared" si="15"/>
        <v>André</v>
      </c>
      <c r="F360" s="2" t="str">
        <f t="shared" si="16"/>
        <v>Ayew</v>
      </c>
      <c r="H360" s="2" t="str">
        <f t="shared" si="17"/>
        <v>A</v>
      </c>
      <c r="I360" s="2" t="s">
        <v>2698</v>
      </c>
      <c r="K360" s="2" t="s">
        <v>1613</v>
      </c>
      <c r="L360" t="s">
        <v>1612</v>
      </c>
      <c r="M360" s="2" t="s">
        <v>908</v>
      </c>
      <c r="N360" t="s">
        <v>2698</v>
      </c>
      <c r="O360" s="2" t="s">
        <v>66</v>
      </c>
    </row>
    <row r="361" spans="1:15">
      <c r="A361" t="s">
        <v>823</v>
      </c>
      <c r="B361" t="s">
        <v>66</v>
      </c>
      <c r="C361" s="2" t="s">
        <v>908</v>
      </c>
      <c r="E361" s="2" t="str">
        <f t="shared" si="15"/>
        <v>Osman</v>
      </c>
      <c r="F361" s="2" t="str">
        <f t="shared" si="16"/>
        <v>Bukari</v>
      </c>
      <c r="H361" s="2" t="str">
        <f t="shared" si="17"/>
        <v>O</v>
      </c>
      <c r="I361" s="2" t="s">
        <v>2699</v>
      </c>
      <c r="K361" s="2" t="s">
        <v>1614</v>
      </c>
      <c r="L361" t="s">
        <v>1615</v>
      </c>
      <c r="M361" s="2" t="s">
        <v>908</v>
      </c>
      <c r="N361" t="s">
        <v>2699</v>
      </c>
      <c r="O361" s="2" t="s">
        <v>66</v>
      </c>
    </row>
    <row r="362" spans="1:15">
      <c r="A362" t="s">
        <v>824</v>
      </c>
      <c r="B362" t="s">
        <v>66</v>
      </c>
      <c r="C362" s="2" t="s">
        <v>908</v>
      </c>
      <c r="E362" s="2" t="str">
        <f t="shared" si="15"/>
        <v>Daniel</v>
      </c>
      <c r="F362" s="2" t="str">
        <f t="shared" si="16"/>
        <v>Afriyie</v>
      </c>
      <c r="H362" s="2" t="str">
        <f t="shared" si="17"/>
        <v>D</v>
      </c>
      <c r="I362" s="2" t="s">
        <v>2700</v>
      </c>
      <c r="K362" s="2" t="s">
        <v>1295</v>
      </c>
      <c r="L362" t="s">
        <v>1616</v>
      </c>
      <c r="M362" s="2" t="s">
        <v>908</v>
      </c>
      <c r="N362" t="s">
        <v>2700</v>
      </c>
      <c r="O362" s="2" t="s">
        <v>66</v>
      </c>
    </row>
    <row r="363" spans="1:15">
      <c r="A363" t="s">
        <v>825</v>
      </c>
      <c r="B363" t="s">
        <v>66</v>
      </c>
      <c r="C363" s="2" t="s">
        <v>908</v>
      </c>
      <c r="E363" s="2" t="str">
        <f t="shared" si="15"/>
        <v>Iñaki</v>
      </c>
      <c r="F363" s="2" t="str">
        <f t="shared" si="16"/>
        <v>Williams</v>
      </c>
      <c r="H363" s="2" t="str">
        <f t="shared" si="17"/>
        <v>I</v>
      </c>
      <c r="I363" s="2" t="s">
        <v>2701</v>
      </c>
      <c r="K363" s="2" t="s">
        <v>1617</v>
      </c>
      <c r="L363" t="s">
        <v>1618</v>
      </c>
      <c r="M363" s="2" t="s">
        <v>908</v>
      </c>
      <c r="N363" t="s">
        <v>2701</v>
      </c>
      <c r="O363" s="2" t="s">
        <v>66</v>
      </c>
    </row>
    <row r="364" spans="1:15">
      <c r="A364" t="s">
        <v>826</v>
      </c>
      <c r="B364" t="s">
        <v>66</v>
      </c>
      <c r="C364" s="2" t="s">
        <v>908</v>
      </c>
      <c r="E364" s="2" t="str">
        <f t="shared" si="15"/>
        <v>Kamal</v>
      </c>
      <c r="F364" s="2" t="str">
        <f t="shared" si="16"/>
        <v>Sowah</v>
      </c>
      <c r="H364" s="2" t="str">
        <f t="shared" si="17"/>
        <v>K</v>
      </c>
      <c r="I364" s="2" t="s">
        <v>2702</v>
      </c>
      <c r="K364" s="2" t="s">
        <v>1237</v>
      </c>
      <c r="L364" t="s">
        <v>1619</v>
      </c>
      <c r="M364" s="2" t="s">
        <v>908</v>
      </c>
      <c r="N364" t="s">
        <v>2702</v>
      </c>
      <c r="O364" s="2" t="s">
        <v>66</v>
      </c>
    </row>
    <row r="365" spans="1:15">
      <c r="A365" t="s">
        <v>827</v>
      </c>
      <c r="B365" t="s">
        <v>66</v>
      </c>
      <c r="C365" s="2" t="s">
        <v>908</v>
      </c>
      <c r="E365" s="2" t="str">
        <f t="shared" si="15"/>
        <v>Antoine</v>
      </c>
      <c r="F365" s="2" t="str">
        <f t="shared" si="16"/>
        <v>Semenyo</v>
      </c>
      <c r="H365" s="2" t="str">
        <f t="shared" si="17"/>
        <v>A</v>
      </c>
      <c r="I365" s="2" t="s">
        <v>2703</v>
      </c>
      <c r="K365" s="2" t="s">
        <v>1520</v>
      </c>
      <c r="L365" t="s">
        <v>1620</v>
      </c>
      <c r="M365" s="2" t="s">
        <v>908</v>
      </c>
      <c r="N365" t="s">
        <v>2703</v>
      </c>
      <c r="O365" s="2" t="s">
        <v>66</v>
      </c>
    </row>
    <row r="366" spans="1:15">
      <c r="A366" t="s">
        <v>828</v>
      </c>
      <c r="B366" t="s">
        <v>44</v>
      </c>
      <c r="C366" s="2" t="s">
        <v>909</v>
      </c>
      <c r="E366" s="2" t="str">
        <f t="shared" si="15"/>
        <v>Alireza</v>
      </c>
      <c r="F366" s="2" t="str">
        <f t="shared" si="16"/>
        <v>Beiranvand</v>
      </c>
      <c r="H366" s="2" t="str">
        <f t="shared" si="17"/>
        <v>A</v>
      </c>
      <c r="I366" s="2" t="s">
        <v>2704</v>
      </c>
      <c r="K366" s="2" t="s">
        <v>1621</v>
      </c>
      <c r="L366" t="s">
        <v>1622</v>
      </c>
      <c r="M366" s="2" t="s">
        <v>909</v>
      </c>
      <c r="N366" t="s">
        <v>2704</v>
      </c>
      <c r="O366" s="2" t="s">
        <v>44</v>
      </c>
    </row>
    <row r="367" spans="1:15">
      <c r="A367" t="s">
        <v>829</v>
      </c>
      <c r="B367" t="s">
        <v>44</v>
      </c>
      <c r="C367" s="2" t="s">
        <v>909</v>
      </c>
      <c r="E367" s="2" t="str">
        <f t="shared" si="15"/>
        <v>Payam</v>
      </c>
      <c r="F367" s="2" t="str">
        <f t="shared" si="16"/>
        <v>Niazmand</v>
      </c>
      <c r="H367" s="2" t="str">
        <f t="shared" si="17"/>
        <v>P</v>
      </c>
      <c r="I367" s="2" t="s">
        <v>2705</v>
      </c>
      <c r="K367" s="2" t="s">
        <v>1623</v>
      </c>
      <c r="L367" t="s">
        <v>1624</v>
      </c>
      <c r="M367" s="2" t="s">
        <v>909</v>
      </c>
      <c r="N367" t="s">
        <v>2705</v>
      </c>
      <c r="O367" s="2" t="s">
        <v>44</v>
      </c>
    </row>
    <row r="368" spans="1:15">
      <c r="A368" t="s">
        <v>830</v>
      </c>
      <c r="B368" t="s">
        <v>44</v>
      </c>
      <c r="C368" s="2" t="s">
        <v>909</v>
      </c>
      <c r="E368" s="2" t="str">
        <f t="shared" si="15"/>
        <v>Amir</v>
      </c>
      <c r="F368" s="2" t="str">
        <f t="shared" si="16"/>
        <v>Abedzadeh</v>
      </c>
      <c r="H368" s="2" t="str">
        <f t="shared" si="17"/>
        <v>A</v>
      </c>
      <c r="I368" s="2" t="s">
        <v>2706</v>
      </c>
      <c r="K368" s="2" t="s">
        <v>1625</v>
      </c>
      <c r="L368" t="s">
        <v>1626</v>
      </c>
      <c r="M368" s="2" t="s">
        <v>909</v>
      </c>
      <c r="N368" t="s">
        <v>2706</v>
      </c>
      <c r="O368" s="2" t="s">
        <v>44</v>
      </c>
    </row>
    <row r="369" spans="1:15">
      <c r="A369" t="s">
        <v>831</v>
      </c>
      <c r="B369" t="s">
        <v>44</v>
      </c>
      <c r="C369" s="2" t="s">
        <v>909</v>
      </c>
      <c r="E369" s="2" t="str">
        <f t="shared" si="15"/>
        <v>Hossein</v>
      </c>
      <c r="F369" s="2" t="str">
        <f t="shared" si="16"/>
        <v>Hosseini</v>
      </c>
      <c r="H369" s="2" t="str">
        <f t="shared" si="17"/>
        <v>H</v>
      </c>
      <c r="I369" s="2" t="s">
        <v>2707</v>
      </c>
      <c r="K369" s="2" t="s">
        <v>1627</v>
      </c>
      <c r="L369" t="s">
        <v>1628</v>
      </c>
      <c r="M369" s="2" t="s">
        <v>909</v>
      </c>
      <c r="N369" t="s">
        <v>2707</v>
      </c>
      <c r="O369" s="2" t="s">
        <v>44</v>
      </c>
    </row>
    <row r="370" spans="1:15">
      <c r="A370" t="s">
        <v>832</v>
      </c>
      <c r="B370" t="s">
        <v>48</v>
      </c>
      <c r="C370" s="2" t="s">
        <v>909</v>
      </c>
      <c r="E370" s="2" t="str">
        <f t="shared" si="15"/>
        <v>Sadegh</v>
      </c>
      <c r="F370" s="2" t="str">
        <f t="shared" si="16"/>
        <v>Moharrami</v>
      </c>
      <c r="H370" s="2" t="str">
        <f t="shared" si="17"/>
        <v>S</v>
      </c>
      <c r="I370" s="2" t="s">
        <v>2708</v>
      </c>
      <c r="K370" s="2" t="s">
        <v>1629</v>
      </c>
      <c r="L370" t="s">
        <v>1630</v>
      </c>
      <c r="M370" s="2" t="s">
        <v>909</v>
      </c>
      <c r="N370" t="s">
        <v>2708</v>
      </c>
      <c r="O370" s="2" t="s">
        <v>48</v>
      </c>
    </row>
    <row r="371" spans="1:15">
      <c r="A371" t="s">
        <v>833</v>
      </c>
      <c r="B371" t="s">
        <v>48</v>
      </c>
      <c r="C371" s="2" t="s">
        <v>909</v>
      </c>
      <c r="E371" s="2" t="str">
        <f t="shared" si="15"/>
        <v>Shoja</v>
      </c>
      <c r="F371" s="2" t="str">
        <f t="shared" si="16"/>
        <v>Khalilzadeh</v>
      </c>
      <c r="H371" s="2" t="str">
        <f t="shared" si="17"/>
        <v>S</v>
      </c>
      <c r="I371" s="2" t="s">
        <v>2709</v>
      </c>
      <c r="K371" s="2" t="s">
        <v>1631</v>
      </c>
      <c r="L371" t="s">
        <v>1632</v>
      </c>
      <c r="M371" s="2" t="s">
        <v>909</v>
      </c>
      <c r="N371" t="s">
        <v>2709</v>
      </c>
      <c r="O371" s="2" t="s">
        <v>48</v>
      </c>
    </row>
    <row r="372" spans="1:15">
      <c r="A372" t="s">
        <v>834</v>
      </c>
      <c r="B372" t="s">
        <v>48</v>
      </c>
      <c r="C372" s="2" t="s">
        <v>909</v>
      </c>
      <c r="E372" s="2" t="str">
        <f t="shared" si="15"/>
        <v>Milad</v>
      </c>
      <c r="F372" s="2" t="str">
        <f t="shared" si="16"/>
        <v>Mohammadi</v>
      </c>
      <c r="H372" s="2" t="str">
        <f t="shared" si="17"/>
        <v>M</v>
      </c>
      <c r="I372" s="2" t="s">
        <v>2710</v>
      </c>
      <c r="K372" s="2" t="s">
        <v>1633</v>
      </c>
      <c r="L372" t="s">
        <v>1634</v>
      </c>
      <c r="M372" s="2" t="s">
        <v>909</v>
      </c>
      <c r="N372" t="s">
        <v>2710</v>
      </c>
      <c r="O372" s="2" t="s">
        <v>48</v>
      </c>
    </row>
    <row r="373" spans="1:15">
      <c r="A373" t="s">
        <v>835</v>
      </c>
      <c r="B373" t="s">
        <v>48</v>
      </c>
      <c r="C373" s="2" t="s">
        <v>909</v>
      </c>
      <c r="E373" s="2" t="str">
        <f t="shared" si="15"/>
        <v>Morteza</v>
      </c>
      <c r="F373" s="2" t="str">
        <f t="shared" si="16"/>
        <v>Pouraliganji</v>
      </c>
      <c r="H373" s="2" t="str">
        <f t="shared" si="17"/>
        <v>M</v>
      </c>
      <c r="I373" s="2" t="s">
        <v>2711</v>
      </c>
      <c r="K373" s="2" t="s">
        <v>1635</v>
      </c>
      <c r="L373" t="s">
        <v>1636</v>
      </c>
      <c r="M373" s="2" t="s">
        <v>909</v>
      </c>
      <c r="N373" t="s">
        <v>2711</v>
      </c>
      <c r="O373" s="2" t="s">
        <v>48</v>
      </c>
    </row>
    <row r="374" spans="1:15">
      <c r="A374" t="s">
        <v>836</v>
      </c>
      <c r="B374" t="s">
        <v>48</v>
      </c>
      <c r="C374" s="2" t="s">
        <v>909</v>
      </c>
      <c r="E374" s="2" t="str">
        <f t="shared" si="15"/>
        <v>Hossein</v>
      </c>
      <c r="F374" s="2" t="str">
        <f t="shared" si="16"/>
        <v>Kanani</v>
      </c>
      <c r="H374" s="2" t="str">
        <f t="shared" si="17"/>
        <v>H</v>
      </c>
      <c r="I374" s="2" t="s">
        <v>2712</v>
      </c>
      <c r="K374" s="2" t="s">
        <v>1627</v>
      </c>
      <c r="L374" t="s">
        <v>1637</v>
      </c>
      <c r="M374" s="2" t="s">
        <v>909</v>
      </c>
      <c r="N374" t="s">
        <v>2712</v>
      </c>
      <c r="O374" s="2" t="s">
        <v>48</v>
      </c>
    </row>
    <row r="375" spans="1:15">
      <c r="A375" t="s">
        <v>837</v>
      </c>
      <c r="B375" t="s">
        <v>48</v>
      </c>
      <c r="C375" s="2" t="s">
        <v>909</v>
      </c>
      <c r="E375" s="2" t="str">
        <f t="shared" si="15"/>
        <v>Roozbeh</v>
      </c>
      <c r="F375" s="2" t="str">
        <f t="shared" si="16"/>
        <v>Cheshmi</v>
      </c>
      <c r="H375" s="2" t="str">
        <f t="shared" si="17"/>
        <v>R</v>
      </c>
      <c r="I375" s="2" t="s">
        <v>2713</v>
      </c>
      <c r="K375" s="2" t="s">
        <v>1638</v>
      </c>
      <c r="L375" t="s">
        <v>1639</v>
      </c>
      <c r="M375" s="2" t="s">
        <v>909</v>
      </c>
      <c r="N375" t="s">
        <v>2713</v>
      </c>
      <c r="O375" s="2" t="s">
        <v>48</v>
      </c>
    </row>
    <row r="376" spans="1:15">
      <c r="A376" t="s">
        <v>838</v>
      </c>
      <c r="B376" t="s">
        <v>48</v>
      </c>
      <c r="C376" s="2" t="s">
        <v>909</v>
      </c>
      <c r="E376" s="2" t="str">
        <f t="shared" si="15"/>
        <v>Majid</v>
      </c>
      <c r="F376" s="2" t="str">
        <f t="shared" si="16"/>
        <v>Hosseini</v>
      </c>
      <c r="H376" s="2" t="str">
        <f t="shared" si="17"/>
        <v>M</v>
      </c>
      <c r="I376" s="2" t="s">
        <v>2714</v>
      </c>
      <c r="K376" s="2" t="s">
        <v>1640</v>
      </c>
      <c r="L376" t="s">
        <v>1628</v>
      </c>
      <c r="M376" s="2" t="s">
        <v>909</v>
      </c>
      <c r="N376" t="s">
        <v>2714</v>
      </c>
      <c r="O376" s="2" t="s">
        <v>48</v>
      </c>
    </row>
    <row r="377" spans="1:15">
      <c r="A377" t="s">
        <v>839</v>
      </c>
      <c r="B377" t="s">
        <v>48</v>
      </c>
      <c r="C377" s="2" t="s">
        <v>909</v>
      </c>
      <c r="E377" s="2" t="str">
        <f t="shared" si="15"/>
        <v>Ramin</v>
      </c>
      <c r="F377" s="2" t="str">
        <f t="shared" si="16"/>
        <v>Rezaeian</v>
      </c>
      <c r="H377" s="2" t="str">
        <f t="shared" si="17"/>
        <v>R</v>
      </c>
      <c r="I377" s="2" t="s">
        <v>2715</v>
      </c>
      <c r="K377" s="2" t="s">
        <v>1641</v>
      </c>
      <c r="L377" t="s">
        <v>1642</v>
      </c>
      <c r="M377" s="2" t="s">
        <v>909</v>
      </c>
      <c r="N377" t="s">
        <v>2715</v>
      </c>
      <c r="O377" s="2" t="s">
        <v>48</v>
      </c>
    </row>
    <row r="378" spans="1:15">
      <c r="A378" t="s">
        <v>840</v>
      </c>
      <c r="B378" t="s">
        <v>48</v>
      </c>
      <c r="C378" s="2" t="s">
        <v>909</v>
      </c>
      <c r="E378" s="2" t="str">
        <f t="shared" si="15"/>
        <v>Abolfazl</v>
      </c>
      <c r="F378" s="2" t="str">
        <f t="shared" si="16"/>
        <v>Jalali</v>
      </c>
      <c r="H378" s="2" t="str">
        <f t="shared" si="17"/>
        <v>A</v>
      </c>
      <c r="I378" s="2" t="s">
        <v>2716</v>
      </c>
      <c r="K378" s="2" t="s">
        <v>1643</v>
      </c>
      <c r="L378" t="s">
        <v>1644</v>
      </c>
      <c r="M378" s="2" t="s">
        <v>909</v>
      </c>
      <c r="N378" t="s">
        <v>2716</v>
      </c>
      <c r="O378" s="2" t="s">
        <v>48</v>
      </c>
    </row>
    <row r="379" spans="1:15">
      <c r="A379" t="s">
        <v>841</v>
      </c>
      <c r="B379" t="s">
        <v>57</v>
      </c>
      <c r="C379" s="2" t="s">
        <v>909</v>
      </c>
      <c r="E379" s="2" t="str">
        <f t="shared" si="15"/>
        <v>Ehsan</v>
      </c>
      <c r="F379" s="2" t="str">
        <f t="shared" si="16"/>
        <v>Hajsafi</v>
      </c>
      <c r="H379" s="2" t="str">
        <f t="shared" si="17"/>
        <v>E</v>
      </c>
      <c r="I379" s="2" t="s">
        <v>2717</v>
      </c>
      <c r="K379" s="2" t="s">
        <v>1645</v>
      </c>
      <c r="L379" t="s">
        <v>1646</v>
      </c>
      <c r="M379" s="2" t="s">
        <v>909</v>
      </c>
      <c r="N379" t="s">
        <v>2717</v>
      </c>
      <c r="O379" s="2" t="s">
        <v>57</v>
      </c>
    </row>
    <row r="380" spans="1:15">
      <c r="A380" t="s">
        <v>842</v>
      </c>
      <c r="B380" t="s">
        <v>57</v>
      </c>
      <c r="C380" t="s">
        <v>909</v>
      </c>
      <c r="E380" s="2" t="str">
        <f t="shared" si="15"/>
        <v>Saeid</v>
      </c>
      <c r="F380" s="2" t="str">
        <f t="shared" si="16"/>
        <v>Ezatolahi</v>
      </c>
      <c r="H380" s="2" t="str">
        <f t="shared" si="17"/>
        <v>S</v>
      </c>
      <c r="I380" s="2" t="s">
        <v>2718</v>
      </c>
      <c r="K380" s="2" t="s">
        <v>1647</v>
      </c>
      <c r="L380" t="s">
        <v>1648</v>
      </c>
      <c r="M380" s="2" t="s">
        <v>909</v>
      </c>
      <c r="N380" t="s">
        <v>2718</v>
      </c>
      <c r="O380" s="2" t="s">
        <v>57</v>
      </c>
    </row>
    <row r="381" spans="1:15">
      <c r="A381" t="s">
        <v>843</v>
      </c>
      <c r="B381" t="s">
        <v>57</v>
      </c>
      <c r="C381" t="s">
        <v>909</v>
      </c>
      <c r="E381" s="2" t="str">
        <f t="shared" si="15"/>
        <v>Alireza</v>
      </c>
      <c r="F381" s="2" t="str">
        <f t="shared" si="16"/>
        <v>Jahanbakhsh</v>
      </c>
      <c r="H381" s="2" t="str">
        <f t="shared" si="17"/>
        <v>A</v>
      </c>
      <c r="I381" s="2" t="s">
        <v>2719</v>
      </c>
      <c r="K381" s="2" t="s">
        <v>1621</v>
      </c>
      <c r="L381" t="s">
        <v>1649</v>
      </c>
      <c r="M381" s="2" t="s">
        <v>909</v>
      </c>
      <c r="N381" t="s">
        <v>2719</v>
      </c>
      <c r="O381" s="2" t="s">
        <v>57</v>
      </c>
    </row>
    <row r="382" spans="1:15">
      <c r="A382" t="s">
        <v>844</v>
      </c>
      <c r="B382" t="s">
        <v>57</v>
      </c>
      <c r="C382" s="2" t="s">
        <v>909</v>
      </c>
      <c r="E382" s="2" t="str">
        <f t="shared" si="15"/>
        <v>Vahid</v>
      </c>
      <c r="F382" s="2" t="str">
        <f t="shared" si="16"/>
        <v>Amiri</v>
      </c>
      <c r="H382" s="2" t="str">
        <f t="shared" si="17"/>
        <v>V</v>
      </c>
      <c r="I382" s="2" t="s">
        <v>2720</v>
      </c>
      <c r="K382" s="2" t="s">
        <v>1650</v>
      </c>
      <c r="L382" t="s">
        <v>1651</v>
      </c>
      <c r="M382" s="2" t="s">
        <v>909</v>
      </c>
      <c r="N382" t="s">
        <v>2720</v>
      </c>
      <c r="O382" s="2" t="s">
        <v>57</v>
      </c>
    </row>
    <row r="383" spans="1:15">
      <c r="A383" t="s">
        <v>845</v>
      </c>
      <c r="B383" t="s">
        <v>57</v>
      </c>
      <c r="C383" s="2" t="s">
        <v>909</v>
      </c>
      <c r="E383" s="2" t="str">
        <f t="shared" si="15"/>
        <v>Mehdi</v>
      </c>
      <c r="F383" s="2" t="str">
        <f t="shared" si="16"/>
        <v>Torabi</v>
      </c>
      <c r="H383" s="2" t="str">
        <f t="shared" si="17"/>
        <v>M</v>
      </c>
      <c r="I383" s="2" t="s">
        <v>2721</v>
      </c>
      <c r="K383" s="2" t="s">
        <v>1652</v>
      </c>
      <c r="L383" t="s">
        <v>1653</v>
      </c>
      <c r="M383" s="2" t="s">
        <v>909</v>
      </c>
      <c r="N383" t="s">
        <v>2721</v>
      </c>
      <c r="O383" s="2" t="s">
        <v>57</v>
      </c>
    </row>
    <row r="384" spans="1:15">
      <c r="A384" t="s">
        <v>846</v>
      </c>
      <c r="B384" t="s">
        <v>57</v>
      </c>
      <c r="C384" s="2" t="s">
        <v>909</v>
      </c>
      <c r="E384" s="2" t="str">
        <f t="shared" si="15"/>
        <v>Ali</v>
      </c>
      <c r="F384" s="2" t="str">
        <f t="shared" si="16"/>
        <v>Gholizadeh</v>
      </c>
      <c r="H384" s="2" t="str">
        <f t="shared" si="17"/>
        <v>A</v>
      </c>
      <c r="I384" s="2" t="s">
        <v>2722</v>
      </c>
      <c r="K384" s="2" t="s">
        <v>1654</v>
      </c>
      <c r="L384" t="s">
        <v>1655</v>
      </c>
      <c r="M384" s="2" t="s">
        <v>909</v>
      </c>
      <c r="N384" t="s">
        <v>2722</v>
      </c>
      <c r="O384" s="2" t="s">
        <v>57</v>
      </c>
    </row>
    <row r="385" spans="1:15">
      <c r="A385" t="s">
        <v>847</v>
      </c>
      <c r="B385" t="s">
        <v>57</v>
      </c>
      <c r="C385" s="2" t="s">
        <v>909</v>
      </c>
      <c r="E385" s="2" t="str">
        <f t="shared" si="15"/>
        <v>Ali</v>
      </c>
      <c r="F385" s="2" t="str">
        <f t="shared" si="16"/>
        <v>Karimi</v>
      </c>
      <c r="H385" s="2" t="str">
        <f t="shared" si="17"/>
        <v>A</v>
      </c>
      <c r="I385" s="2" t="s">
        <v>2723</v>
      </c>
      <c r="K385" s="2" t="s">
        <v>1654</v>
      </c>
      <c r="L385" t="s">
        <v>1656</v>
      </c>
      <c r="M385" s="2" t="s">
        <v>909</v>
      </c>
      <c r="N385" t="s">
        <v>2723</v>
      </c>
      <c r="O385" s="2" t="s">
        <v>57</v>
      </c>
    </row>
    <row r="386" spans="1:15">
      <c r="A386" t="s">
        <v>848</v>
      </c>
      <c r="B386" t="s">
        <v>57</v>
      </c>
      <c r="C386" s="2" t="s">
        <v>909</v>
      </c>
      <c r="E386" s="2" t="str">
        <f t="shared" si="15"/>
        <v>Ahmad</v>
      </c>
      <c r="F386" s="2" t="str">
        <f t="shared" si="16"/>
        <v>Noorollahi</v>
      </c>
      <c r="H386" s="2" t="str">
        <f t="shared" si="17"/>
        <v>A</v>
      </c>
      <c r="I386" s="2" t="s">
        <v>2724</v>
      </c>
      <c r="K386" s="2" t="s">
        <v>1657</v>
      </c>
      <c r="L386" t="s">
        <v>1658</v>
      </c>
      <c r="M386" s="2" t="s">
        <v>909</v>
      </c>
      <c r="N386" t="s">
        <v>2724</v>
      </c>
      <c r="O386" s="2" t="s">
        <v>57</v>
      </c>
    </row>
    <row r="387" spans="1:15">
      <c r="A387" t="s">
        <v>849</v>
      </c>
      <c r="B387" t="s">
        <v>66</v>
      </c>
      <c r="C387" s="2" t="s">
        <v>909</v>
      </c>
      <c r="E387" s="2" t="str">
        <f t="shared" ref="E387:E451" si="18">IF(ISERROR(FIND(" ",A387)),"", LEFT(A387,FIND(" ",A387)-1))</f>
        <v>Mehdi</v>
      </c>
      <c r="F387" s="2" t="str">
        <f t="shared" ref="F387:F451" si="19">IF(ISERROR(FIND(" ",A387)),A387,RIGHT(A387,LEN(A387)-FIND(" ",A387)))</f>
        <v>Taremi</v>
      </c>
      <c r="H387" s="2" t="str">
        <f t="shared" ref="H387:H450" si="20">LEFT(E387,1)</f>
        <v>M</v>
      </c>
      <c r="I387" s="2" t="s">
        <v>924</v>
      </c>
      <c r="K387" s="2" t="s">
        <v>1652</v>
      </c>
      <c r="L387" t="s">
        <v>1659</v>
      </c>
      <c r="M387" s="2" t="s">
        <v>909</v>
      </c>
      <c r="N387" t="s">
        <v>924</v>
      </c>
      <c r="O387" s="2" t="s">
        <v>66</v>
      </c>
    </row>
    <row r="388" spans="1:15">
      <c r="A388" t="s">
        <v>850</v>
      </c>
      <c r="B388" t="s">
        <v>66</v>
      </c>
      <c r="C388" s="2" t="s">
        <v>909</v>
      </c>
      <c r="E388" s="2" t="str">
        <f t="shared" si="18"/>
        <v>Karim</v>
      </c>
      <c r="F388" s="2" t="str">
        <f t="shared" si="19"/>
        <v>Ansarifard</v>
      </c>
      <c r="H388" s="2" t="str">
        <f t="shared" si="20"/>
        <v>K</v>
      </c>
      <c r="I388" s="2" t="s">
        <v>2725</v>
      </c>
      <c r="K388" s="2" t="s">
        <v>1529</v>
      </c>
      <c r="L388" t="s">
        <v>1660</v>
      </c>
      <c r="M388" s="2" t="s">
        <v>909</v>
      </c>
      <c r="N388" t="s">
        <v>2725</v>
      </c>
      <c r="O388" s="2" t="s">
        <v>66</v>
      </c>
    </row>
    <row r="389" spans="1:15">
      <c r="A389" t="s">
        <v>851</v>
      </c>
      <c r="B389" t="s">
        <v>66</v>
      </c>
      <c r="C389" s="2" t="s">
        <v>909</v>
      </c>
      <c r="E389" s="2" t="str">
        <f t="shared" si="18"/>
        <v>Saman</v>
      </c>
      <c r="F389" s="2" t="str">
        <f t="shared" si="19"/>
        <v>Ghoddos</v>
      </c>
      <c r="H389" s="2" t="str">
        <f t="shared" si="20"/>
        <v>S</v>
      </c>
      <c r="I389" s="2" t="s">
        <v>2726</v>
      </c>
      <c r="K389" s="2" t="s">
        <v>1661</v>
      </c>
      <c r="L389" t="s">
        <v>1662</v>
      </c>
      <c r="M389" s="2" t="s">
        <v>909</v>
      </c>
      <c r="N389" t="s">
        <v>2726</v>
      </c>
      <c r="O389" s="2" t="s">
        <v>66</v>
      </c>
    </row>
    <row r="390" spans="1:15">
      <c r="A390" t="s">
        <v>852</v>
      </c>
      <c r="B390" t="s">
        <v>66</v>
      </c>
      <c r="C390" s="2" t="s">
        <v>909</v>
      </c>
      <c r="E390" s="2" t="str">
        <f t="shared" si="18"/>
        <v>Sardar</v>
      </c>
      <c r="F390" s="2" t="str">
        <f t="shared" si="19"/>
        <v>Azmoun</v>
      </c>
      <c r="H390" s="2" t="str">
        <f t="shared" si="20"/>
        <v>S</v>
      </c>
      <c r="I390" s="2" t="s">
        <v>2727</v>
      </c>
      <c r="K390" s="2" t="s">
        <v>1663</v>
      </c>
      <c r="L390" t="s">
        <v>1664</v>
      </c>
      <c r="M390" s="2" t="s">
        <v>909</v>
      </c>
      <c r="N390" t="s">
        <v>2727</v>
      </c>
      <c r="O390" s="2" t="s">
        <v>66</v>
      </c>
    </row>
    <row r="391" spans="1:15">
      <c r="A391" t="s">
        <v>853</v>
      </c>
      <c r="B391" t="s">
        <v>44</v>
      </c>
      <c r="C391" s="2" t="s">
        <v>910</v>
      </c>
      <c r="E391" s="2" t="str">
        <f t="shared" si="18"/>
        <v>Eiji</v>
      </c>
      <c r="F391" s="2" t="str">
        <f t="shared" si="19"/>
        <v>Kawashima</v>
      </c>
      <c r="H391" s="2" t="str">
        <f t="shared" si="20"/>
        <v>E</v>
      </c>
      <c r="I391" s="2" t="s">
        <v>2728</v>
      </c>
      <c r="K391" s="2" t="s">
        <v>1665</v>
      </c>
      <c r="L391" t="s">
        <v>1666</v>
      </c>
      <c r="M391" s="2" t="s">
        <v>910</v>
      </c>
      <c r="N391" t="s">
        <v>2728</v>
      </c>
      <c r="O391" s="2" t="s">
        <v>44</v>
      </c>
    </row>
    <row r="392" spans="1:15">
      <c r="A392" t="s">
        <v>854</v>
      </c>
      <c r="B392" t="s">
        <v>44</v>
      </c>
      <c r="C392" s="2" t="s">
        <v>910</v>
      </c>
      <c r="E392" s="2" t="str">
        <f t="shared" si="18"/>
        <v>Shuichi</v>
      </c>
      <c r="F392" s="2" t="str">
        <f t="shared" si="19"/>
        <v>Gonda</v>
      </c>
      <c r="H392" s="2" t="str">
        <f t="shared" si="20"/>
        <v>S</v>
      </c>
      <c r="I392" s="2" t="s">
        <v>2729</v>
      </c>
      <c r="K392" s="2" t="s">
        <v>1667</v>
      </c>
      <c r="L392" t="s">
        <v>1668</v>
      </c>
      <c r="M392" s="2" t="s">
        <v>910</v>
      </c>
      <c r="N392" t="s">
        <v>2729</v>
      </c>
      <c r="O392" s="2" t="s">
        <v>44</v>
      </c>
    </row>
    <row r="393" spans="1:15">
      <c r="A393" t="s">
        <v>855</v>
      </c>
      <c r="B393" t="s">
        <v>44</v>
      </c>
      <c r="C393" s="2" t="s">
        <v>910</v>
      </c>
      <c r="E393" s="2" t="str">
        <f t="shared" si="18"/>
        <v>Daniel</v>
      </c>
      <c r="F393" s="2" t="str">
        <f t="shared" si="19"/>
        <v>Schmidt</v>
      </c>
      <c r="H393" s="2" t="str">
        <f t="shared" si="20"/>
        <v>D</v>
      </c>
      <c r="I393" s="2" t="s">
        <v>2730</v>
      </c>
      <c r="K393" s="2" t="s">
        <v>1295</v>
      </c>
      <c r="L393" t="s">
        <v>1669</v>
      </c>
      <c r="M393" s="2" t="s">
        <v>910</v>
      </c>
      <c r="N393" t="s">
        <v>2730</v>
      </c>
      <c r="O393" s="2" t="s">
        <v>44</v>
      </c>
    </row>
    <row r="394" spans="1:15">
      <c r="A394" t="s">
        <v>856</v>
      </c>
      <c r="B394" t="s">
        <v>48</v>
      </c>
      <c r="C394" s="2" t="s">
        <v>910</v>
      </c>
      <c r="E394" s="2" t="str">
        <f t="shared" si="18"/>
        <v>Miki</v>
      </c>
      <c r="F394" s="2" t="str">
        <f t="shared" si="19"/>
        <v>Yamane</v>
      </c>
      <c r="H394" s="2" t="str">
        <f t="shared" si="20"/>
        <v>M</v>
      </c>
      <c r="I394" s="2" t="s">
        <v>2731</v>
      </c>
      <c r="K394" s="2" t="s">
        <v>1670</v>
      </c>
      <c r="L394" t="s">
        <v>1671</v>
      </c>
      <c r="M394" s="2" t="s">
        <v>910</v>
      </c>
      <c r="N394" t="s">
        <v>2731</v>
      </c>
      <c r="O394" s="2" t="s">
        <v>48</v>
      </c>
    </row>
    <row r="395" spans="1:15">
      <c r="A395" t="s">
        <v>857</v>
      </c>
      <c r="B395" t="s">
        <v>48</v>
      </c>
      <c r="C395" s="2" t="s">
        <v>910</v>
      </c>
      <c r="E395" s="2" t="str">
        <f t="shared" si="18"/>
        <v>Shogo</v>
      </c>
      <c r="F395" s="2" t="str">
        <f t="shared" si="19"/>
        <v>Taniguchi</v>
      </c>
      <c r="H395" s="2" t="str">
        <f t="shared" si="20"/>
        <v>S</v>
      </c>
      <c r="I395" s="2" t="s">
        <v>2732</v>
      </c>
      <c r="K395" s="2" t="s">
        <v>1672</v>
      </c>
      <c r="L395" t="s">
        <v>1673</v>
      </c>
      <c r="M395" s="2" t="s">
        <v>910</v>
      </c>
      <c r="N395" t="s">
        <v>2732</v>
      </c>
      <c r="O395" s="2" t="s">
        <v>48</v>
      </c>
    </row>
    <row r="396" spans="1:15">
      <c r="A396" t="s">
        <v>858</v>
      </c>
      <c r="B396" t="s">
        <v>48</v>
      </c>
      <c r="C396" s="2" t="s">
        <v>910</v>
      </c>
      <c r="E396" s="2" t="str">
        <f t="shared" si="18"/>
        <v>Kou</v>
      </c>
      <c r="F396" s="2" t="str">
        <f t="shared" si="19"/>
        <v>Itakura</v>
      </c>
      <c r="H396" s="2" t="str">
        <f t="shared" si="20"/>
        <v>K</v>
      </c>
      <c r="I396" s="2" t="s">
        <v>2733</v>
      </c>
      <c r="K396" s="2" t="s">
        <v>1674</v>
      </c>
      <c r="L396" t="s">
        <v>1675</v>
      </c>
      <c r="M396" s="2" t="s">
        <v>910</v>
      </c>
      <c r="N396" t="s">
        <v>2733</v>
      </c>
      <c r="O396" s="2" t="s">
        <v>48</v>
      </c>
    </row>
    <row r="397" spans="1:15">
      <c r="A397" t="s">
        <v>859</v>
      </c>
      <c r="B397" t="s">
        <v>48</v>
      </c>
      <c r="C397" s="2" t="s">
        <v>910</v>
      </c>
      <c r="E397" s="2" t="str">
        <f t="shared" si="18"/>
        <v>Yuto</v>
      </c>
      <c r="F397" s="2" t="str">
        <f t="shared" si="19"/>
        <v>Nagatomo</v>
      </c>
      <c r="H397" s="2" t="str">
        <f t="shared" si="20"/>
        <v>Y</v>
      </c>
      <c r="I397" s="2" t="s">
        <v>2734</v>
      </c>
      <c r="K397" s="2" t="s">
        <v>1676</v>
      </c>
      <c r="L397" t="s">
        <v>1677</v>
      </c>
      <c r="M397" s="2" t="s">
        <v>910</v>
      </c>
      <c r="N397" t="s">
        <v>2734</v>
      </c>
      <c r="O397" s="2" t="s">
        <v>48</v>
      </c>
    </row>
    <row r="398" spans="1:15">
      <c r="A398" t="s">
        <v>860</v>
      </c>
      <c r="B398" t="s">
        <v>48</v>
      </c>
      <c r="C398" s="2" t="s">
        <v>910</v>
      </c>
      <c r="E398" s="2" t="str">
        <f t="shared" si="18"/>
        <v>Takehiro</v>
      </c>
      <c r="F398" s="2" t="str">
        <f t="shared" si="19"/>
        <v>Tomiyasu</v>
      </c>
      <c r="H398" s="2" t="str">
        <f t="shared" si="20"/>
        <v>T</v>
      </c>
      <c r="I398" s="2" t="s">
        <v>2735</v>
      </c>
      <c r="K398" s="2" t="s">
        <v>1678</v>
      </c>
      <c r="L398" t="s">
        <v>1679</v>
      </c>
      <c r="M398" s="2" t="s">
        <v>910</v>
      </c>
      <c r="N398" t="s">
        <v>2735</v>
      </c>
      <c r="O398" s="2" t="s">
        <v>48</v>
      </c>
    </row>
    <row r="399" spans="1:15">
      <c r="A399" t="s">
        <v>861</v>
      </c>
      <c r="B399" t="s">
        <v>48</v>
      </c>
      <c r="C399" s="2" t="s">
        <v>910</v>
      </c>
      <c r="E399" s="2" t="str">
        <f t="shared" si="18"/>
        <v>Hiroki</v>
      </c>
      <c r="F399" s="2" t="str">
        <f t="shared" si="19"/>
        <v>Sakai</v>
      </c>
      <c r="H399" s="2" t="str">
        <f t="shared" si="20"/>
        <v>H</v>
      </c>
      <c r="I399" s="2" t="s">
        <v>2736</v>
      </c>
      <c r="K399" s="2" t="s">
        <v>1680</v>
      </c>
      <c r="L399" t="s">
        <v>1681</v>
      </c>
      <c r="M399" s="2" t="s">
        <v>910</v>
      </c>
      <c r="N399" t="s">
        <v>2736</v>
      </c>
      <c r="O399" s="2" t="s">
        <v>48</v>
      </c>
    </row>
    <row r="400" spans="1:15">
      <c r="A400" t="s">
        <v>862</v>
      </c>
      <c r="B400" t="s">
        <v>48</v>
      </c>
      <c r="C400" s="2" t="s">
        <v>910</v>
      </c>
      <c r="E400" s="2" t="str">
        <f t="shared" si="18"/>
        <v>Maya</v>
      </c>
      <c r="F400" s="2" t="str">
        <f t="shared" si="19"/>
        <v>Yoshida</v>
      </c>
      <c r="H400" s="2" t="str">
        <f t="shared" si="20"/>
        <v>M</v>
      </c>
      <c r="I400" s="2" t="s">
        <v>2737</v>
      </c>
      <c r="K400" s="2" t="s">
        <v>1682</v>
      </c>
      <c r="L400" t="s">
        <v>1683</v>
      </c>
      <c r="M400" s="2" t="s">
        <v>910</v>
      </c>
      <c r="N400" t="s">
        <v>2737</v>
      </c>
      <c r="O400" s="2" t="s">
        <v>48</v>
      </c>
    </row>
    <row r="401" spans="1:15">
      <c r="A401" t="s">
        <v>863</v>
      </c>
      <c r="B401" t="s">
        <v>48</v>
      </c>
      <c r="C401" s="2" t="s">
        <v>910</v>
      </c>
      <c r="E401" s="2" t="str">
        <f t="shared" si="18"/>
        <v>Hiroki</v>
      </c>
      <c r="F401" s="2" t="str">
        <f t="shared" si="19"/>
        <v>Ito</v>
      </c>
      <c r="H401" s="2" t="str">
        <f t="shared" si="20"/>
        <v>H</v>
      </c>
      <c r="I401" s="2" t="s">
        <v>2738</v>
      </c>
      <c r="K401" s="2" t="s">
        <v>1680</v>
      </c>
      <c r="L401" t="s">
        <v>1684</v>
      </c>
      <c r="M401" s="2" t="s">
        <v>910</v>
      </c>
      <c r="N401" t="s">
        <v>2738</v>
      </c>
      <c r="O401" s="2" t="s">
        <v>48</v>
      </c>
    </row>
    <row r="402" spans="1:15">
      <c r="A402" t="s">
        <v>864</v>
      </c>
      <c r="B402" t="s">
        <v>57</v>
      </c>
      <c r="C402" s="2" t="s">
        <v>910</v>
      </c>
      <c r="E402" s="2" t="str">
        <f t="shared" si="18"/>
        <v>Wataru</v>
      </c>
      <c r="F402" s="2" t="str">
        <f t="shared" si="19"/>
        <v>Endo</v>
      </c>
      <c r="H402" s="2" t="str">
        <f t="shared" si="20"/>
        <v>W</v>
      </c>
      <c r="I402" s="2" t="s">
        <v>2739</v>
      </c>
      <c r="K402" s="2" t="s">
        <v>1685</v>
      </c>
      <c r="L402" t="s">
        <v>1686</v>
      </c>
      <c r="M402" s="2" t="s">
        <v>910</v>
      </c>
      <c r="N402" t="s">
        <v>2739</v>
      </c>
      <c r="O402" s="2" t="s">
        <v>57</v>
      </c>
    </row>
    <row r="403" spans="1:15">
      <c r="A403" t="s">
        <v>865</v>
      </c>
      <c r="B403" t="s">
        <v>57</v>
      </c>
      <c r="C403" s="2" t="s">
        <v>910</v>
      </c>
      <c r="E403" s="2" t="str">
        <f t="shared" si="18"/>
        <v>Gaku</v>
      </c>
      <c r="F403" s="2" t="str">
        <f t="shared" si="19"/>
        <v>Shibasaki</v>
      </c>
      <c r="H403" s="2" t="str">
        <f t="shared" si="20"/>
        <v>G</v>
      </c>
      <c r="I403" s="2" t="s">
        <v>2740</v>
      </c>
      <c r="K403" s="2" t="s">
        <v>1687</v>
      </c>
      <c r="L403" t="s">
        <v>1688</v>
      </c>
      <c r="M403" s="2" t="s">
        <v>910</v>
      </c>
      <c r="N403" t="s">
        <v>2740</v>
      </c>
      <c r="O403" s="2" t="s">
        <v>57</v>
      </c>
    </row>
    <row r="404" spans="1:15">
      <c r="A404" t="s">
        <v>866</v>
      </c>
      <c r="B404" t="s">
        <v>57</v>
      </c>
      <c r="C404" s="2" t="s">
        <v>910</v>
      </c>
      <c r="E404" s="2" t="str">
        <f t="shared" si="18"/>
        <v>Kaoru</v>
      </c>
      <c r="F404" s="2" t="str">
        <f t="shared" si="19"/>
        <v>Mitoma</v>
      </c>
      <c r="H404" s="2" t="str">
        <f t="shared" si="20"/>
        <v>K</v>
      </c>
      <c r="I404" s="2" t="s">
        <v>2741</v>
      </c>
      <c r="K404" s="2" t="s">
        <v>1689</v>
      </c>
      <c r="L404" t="s">
        <v>1690</v>
      </c>
      <c r="M404" s="2" t="s">
        <v>910</v>
      </c>
      <c r="N404" t="s">
        <v>2741</v>
      </c>
      <c r="O404" s="2" t="s">
        <v>57</v>
      </c>
    </row>
    <row r="405" spans="1:15">
      <c r="A405" t="s">
        <v>867</v>
      </c>
      <c r="B405" t="s">
        <v>57</v>
      </c>
      <c r="C405" s="2" t="s">
        <v>910</v>
      </c>
      <c r="E405" s="2" t="str">
        <f t="shared" si="18"/>
        <v>Takumi</v>
      </c>
      <c r="F405" s="2" t="str">
        <f t="shared" si="19"/>
        <v>Minamino</v>
      </c>
      <c r="H405" s="2" t="str">
        <f t="shared" si="20"/>
        <v>T</v>
      </c>
      <c r="I405" s="2" t="s">
        <v>2742</v>
      </c>
      <c r="K405" s="2" t="s">
        <v>1691</v>
      </c>
      <c r="L405" t="s">
        <v>1692</v>
      </c>
      <c r="M405" s="2" t="s">
        <v>910</v>
      </c>
      <c r="N405" t="s">
        <v>2742</v>
      </c>
      <c r="O405" s="2" t="s">
        <v>57</v>
      </c>
    </row>
    <row r="406" spans="1:15">
      <c r="A406" t="s">
        <v>868</v>
      </c>
      <c r="B406" t="s">
        <v>57</v>
      </c>
      <c r="C406" s="2" t="s">
        <v>910</v>
      </c>
      <c r="E406" s="2" t="str">
        <f t="shared" si="18"/>
        <v>Takefusa</v>
      </c>
      <c r="F406" s="2" t="str">
        <f t="shared" si="19"/>
        <v>Kubo</v>
      </c>
      <c r="H406" s="2" t="str">
        <f t="shared" si="20"/>
        <v>T</v>
      </c>
      <c r="I406" s="2" t="s">
        <v>2743</v>
      </c>
      <c r="K406" s="2" t="s">
        <v>1693</v>
      </c>
      <c r="L406" t="s">
        <v>1694</v>
      </c>
      <c r="M406" s="2" t="s">
        <v>910</v>
      </c>
      <c r="N406" t="s">
        <v>2743</v>
      </c>
      <c r="O406" s="2" t="s">
        <v>57</v>
      </c>
    </row>
    <row r="407" spans="1:15">
      <c r="A407" t="s">
        <v>869</v>
      </c>
      <c r="B407" t="s">
        <v>57</v>
      </c>
      <c r="C407" t="s">
        <v>910</v>
      </c>
      <c r="E407" s="2" t="str">
        <f t="shared" si="18"/>
        <v>Hidemasa</v>
      </c>
      <c r="F407" s="2" t="str">
        <f t="shared" si="19"/>
        <v>Morita</v>
      </c>
      <c r="H407" s="2" t="str">
        <f t="shared" si="20"/>
        <v>H</v>
      </c>
      <c r="I407" s="2" t="s">
        <v>2744</v>
      </c>
      <c r="K407" s="2" t="s">
        <v>1695</v>
      </c>
      <c r="L407" t="s">
        <v>1696</v>
      </c>
      <c r="M407" s="2" t="s">
        <v>910</v>
      </c>
      <c r="N407" t="s">
        <v>2744</v>
      </c>
      <c r="O407" s="2" t="s">
        <v>57</v>
      </c>
    </row>
    <row r="408" spans="1:15">
      <c r="A408" t="s">
        <v>870</v>
      </c>
      <c r="B408" t="s">
        <v>57</v>
      </c>
      <c r="C408" t="s">
        <v>910</v>
      </c>
      <c r="E408" s="2" t="str">
        <f t="shared" si="18"/>
        <v>Daichi</v>
      </c>
      <c r="F408" s="2" t="str">
        <f t="shared" si="19"/>
        <v>Kamada</v>
      </c>
      <c r="H408" s="2" t="str">
        <f t="shared" si="20"/>
        <v>D</v>
      </c>
      <c r="I408" s="2" t="s">
        <v>2745</v>
      </c>
      <c r="K408" s="2" t="s">
        <v>1697</v>
      </c>
      <c r="L408" t="s">
        <v>1698</v>
      </c>
      <c r="M408" s="2" t="s">
        <v>910</v>
      </c>
      <c r="N408" t="s">
        <v>2745</v>
      </c>
      <c r="O408" s="2" t="s">
        <v>57</v>
      </c>
    </row>
    <row r="409" spans="1:15">
      <c r="A409" t="s">
        <v>871</v>
      </c>
      <c r="B409" t="s">
        <v>57</v>
      </c>
      <c r="C409" s="2" t="s">
        <v>910</v>
      </c>
      <c r="E409" s="2" t="str">
        <f t="shared" si="18"/>
        <v>Ao</v>
      </c>
      <c r="F409" s="2" t="str">
        <f t="shared" si="19"/>
        <v>Tanaka</v>
      </c>
      <c r="H409" s="2" t="str">
        <f t="shared" si="20"/>
        <v>A</v>
      </c>
      <c r="I409" s="2" t="s">
        <v>2746</v>
      </c>
      <c r="K409" s="2" t="s">
        <v>1699</v>
      </c>
      <c r="L409" t="s">
        <v>1700</v>
      </c>
      <c r="M409" s="2" t="s">
        <v>910</v>
      </c>
      <c r="N409" t="s">
        <v>2746</v>
      </c>
      <c r="O409" s="2" t="s">
        <v>57</v>
      </c>
    </row>
    <row r="410" spans="1:15">
      <c r="A410" t="s">
        <v>872</v>
      </c>
      <c r="B410" t="s">
        <v>66</v>
      </c>
      <c r="C410" s="2" t="s">
        <v>910</v>
      </c>
      <c r="E410" s="2" t="str">
        <f t="shared" si="18"/>
        <v>Ritsu</v>
      </c>
      <c r="F410" s="2" t="str">
        <f t="shared" si="19"/>
        <v>Doan</v>
      </c>
      <c r="H410" s="2" t="str">
        <f t="shared" si="20"/>
        <v>R</v>
      </c>
      <c r="I410" s="2" t="s">
        <v>2747</v>
      </c>
      <c r="K410" s="2" t="s">
        <v>1701</v>
      </c>
      <c r="L410" t="s">
        <v>1702</v>
      </c>
      <c r="M410" s="2" t="s">
        <v>910</v>
      </c>
      <c r="N410" t="s">
        <v>2747</v>
      </c>
      <c r="O410" s="2" t="s">
        <v>66</v>
      </c>
    </row>
    <row r="411" spans="1:15">
      <c r="A411" t="s">
        <v>873</v>
      </c>
      <c r="B411" t="s">
        <v>66</v>
      </c>
      <c r="C411" s="2" t="s">
        <v>910</v>
      </c>
      <c r="E411" s="2" t="str">
        <f t="shared" si="18"/>
        <v>Junya</v>
      </c>
      <c r="F411" s="2" t="str">
        <f t="shared" si="19"/>
        <v>Ito</v>
      </c>
      <c r="H411" s="2" t="str">
        <f t="shared" si="20"/>
        <v>J</v>
      </c>
      <c r="I411" s="2" t="s">
        <v>2748</v>
      </c>
      <c r="K411" s="2" t="s">
        <v>1703</v>
      </c>
      <c r="L411" t="s">
        <v>1684</v>
      </c>
      <c r="M411" s="2" t="s">
        <v>910</v>
      </c>
      <c r="N411" t="s">
        <v>2748</v>
      </c>
      <c r="O411" s="2" t="s">
        <v>66</v>
      </c>
    </row>
    <row r="412" spans="1:15">
      <c r="A412" t="s">
        <v>874</v>
      </c>
      <c r="B412" t="s">
        <v>66</v>
      </c>
      <c r="C412" s="2" t="s">
        <v>910</v>
      </c>
      <c r="E412" s="2" t="str">
        <f t="shared" si="18"/>
        <v>Takuma</v>
      </c>
      <c r="F412" s="2" t="str">
        <f t="shared" si="19"/>
        <v>Asano</v>
      </c>
      <c r="H412" s="2" t="str">
        <f t="shared" si="20"/>
        <v>T</v>
      </c>
      <c r="I412" s="2" t="s">
        <v>2749</v>
      </c>
      <c r="K412" s="2" t="s">
        <v>1704</v>
      </c>
      <c r="L412" t="s">
        <v>1705</v>
      </c>
      <c r="M412" s="2" t="s">
        <v>910</v>
      </c>
      <c r="N412" t="s">
        <v>2749</v>
      </c>
      <c r="O412" s="2" t="s">
        <v>66</v>
      </c>
    </row>
    <row r="413" spans="1:15">
      <c r="A413" t="s">
        <v>875</v>
      </c>
      <c r="B413" t="s">
        <v>66</v>
      </c>
      <c r="C413" s="2" t="s">
        <v>910</v>
      </c>
      <c r="E413" s="2" t="str">
        <f t="shared" si="18"/>
        <v>Shuto</v>
      </c>
      <c r="F413" s="2" t="str">
        <f t="shared" si="19"/>
        <v>Machino</v>
      </c>
      <c r="H413" s="2" t="str">
        <f t="shared" si="20"/>
        <v>S</v>
      </c>
      <c r="I413" s="2" t="s">
        <v>2750</v>
      </c>
      <c r="K413" s="2" t="s">
        <v>1706</v>
      </c>
      <c r="L413" t="s">
        <v>1707</v>
      </c>
      <c r="M413" s="2" t="s">
        <v>910</v>
      </c>
      <c r="N413" t="s">
        <v>2750</v>
      </c>
      <c r="O413" s="2" t="s">
        <v>66</v>
      </c>
    </row>
    <row r="414" spans="1:15">
      <c r="A414" t="s">
        <v>876</v>
      </c>
      <c r="B414" t="s">
        <v>66</v>
      </c>
      <c r="C414" s="2" t="s">
        <v>910</v>
      </c>
      <c r="E414" s="2" t="str">
        <f t="shared" si="18"/>
        <v>Ayase</v>
      </c>
      <c r="F414" s="2" t="str">
        <f t="shared" si="19"/>
        <v>Ueda</v>
      </c>
      <c r="H414" s="2" t="str">
        <f t="shared" si="20"/>
        <v>A</v>
      </c>
      <c r="I414" s="2" t="s">
        <v>2751</v>
      </c>
      <c r="K414" s="2" t="s">
        <v>1708</v>
      </c>
      <c r="L414" t="s">
        <v>1709</v>
      </c>
      <c r="M414" s="2" t="s">
        <v>910</v>
      </c>
      <c r="N414" t="s">
        <v>2751</v>
      </c>
      <c r="O414" s="2" t="s">
        <v>66</v>
      </c>
    </row>
    <row r="415" spans="1:15">
      <c r="A415" t="s">
        <v>877</v>
      </c>
      <c r="B415" t="s">
        <v>66</v>
      </c>
      <c r="C415" s="2" t="s">
        <v>910</v>
      </c>
      <c r="E415" s="2" t="str">
        <f t="shared" si="18"/>
        <v>Yuki</v>
      </c>
      <c r="F415" s="2" t="str">
        <f t="shared" si="19"/>
        <v>Soma</v>
      </c>
      <c r="H415" s="2" t="str">
        <f t="shared" si="20"/>
        <v>Y</v>
      </c>
      <c r="I415" s="2" t="s">
        <v>2752</v>
      </c>
      <c r="K415" s="2" t="s">
        <v>1710</v>
      </c>
      <c r="L415" t="s">
        <v>1711</v>
      </c>
      <c r="M415" s="2" t="s">
        <v>910</v>
      </c>
      <c r="N415" t="s">
        <v>2752</v>
      </c>
      <c r="O415" s="2" t="s">
        <v>66</v>
      </c>
    </row>
    <row r="416" spans="1:15">
      <c r="A416" t="s">
        <v>878</v>
      </c>
      <c r="B416" t="s">
        <v>66</v>
      </c>
      <c r="C416" s="2" t="s">
        <v>910</v>
      </c>
      <c r="E416" s="2" t="str">
        <f t="shared" si="18"/>
        <v>Daizen</v>
      </c>
      <c r="F416" s="2" t="str">
        <f t="shared" si="19"/>
        <v>Maeda</v>
      </c>
      <c r="H416" s="2" t="str">
        <f t="shared" si="20"/>
        <v>D</v>
      </c>
      <c r="I416" s="2" t="s">
        <v>2753</v>
      </c>
      <c r="K416" s="2" t="s">
        <v>1712</v>
      </c>
      <c r="L416" t="s">
        <v>1713</v>
      </c>
      <c r="M416" s="2" t="s">
        <v>910</v>
      </c>
      <c r="N416" t="s">
        <v>2753</v>
      </c>
      <c r="O416" s="2" t="s">
        <v>66</v>
      </c>
    </row>
    <row r="417" spans="1:15">
      <c r="A417" t="s">
        <v>43</v>
      </c>
      <c r="B417" t="s">
        <v>44</v>
      </c>
      <c r="C417" s="2" t="s">
        <v>879</v>
      </c>
      <c r="E417" s="2" t="str">
        <f t="shared" si="18"/>
        <v>Alfredo</v>
      </c>
      <c r="F417" s="2" t="str">
        <f t="shared" si="19"/>
        <v>Talavera</v>
      </c>
      <c r="H417" s="2" t="str">
        <f t="shared" si="20"/>
        <v>A</v>
      </c>
      <c r="I417" s="2" t="s">
        <v>2754</v>
      </c>
      <c r="K417" s="2" t="s">
        <v>1714</v>
      </c>
      <c r="L417" t="s">
        <v>1715</v>
      </c>
      <c r="M417" s="2" t="s">
        <v>879</v>
      </c>
      <c r="N417" t="s">
        <v>2754</v>
      </c>
      <c r="O417" s="2" t="s">
        <v>44</v>
      </c>
    </row>
    <row r="418" spans="1:15">
      <c r="A418" t="s">
        <v>45</v>
      </c>
      <c r="B418" t="s">
        <v>44</v>
      </c>
      <c r="C418" s="2" t="s">
        <v>879</v>
      </c>
      <c r="E418" s="2" t="str">
        <f t="shared" si="18"/>
        <v>Rodolfo</v>
      </c>
      <c r="F418" s="2" t="str">
        <f t="shared" si="19"/>
        <v>Cota</v>
      </c>
      <c r="H418" s="2" t="str">
        <f t="shared" si="20"/>
        <v>R</v>
      </c>
      <c r="I418" s="2" t="s">
        <v>2755</v>
      </c>
      <c r="K418" s="2" t="s">
        <v>1716</v>
      </c>
      <c r="L418" t="s">
        <v>1717</v>
      </c>
      <c r="M418" s="2" t="s">
        <v>879</v>
      </c>
      <c r="N418" t="s">
        <v>2755</v>
      </c>
      <c r="O418" s="2" t="s">
        <v>44</v>
      </c>
    </row>
    <row r="419" spans="1:15">
      <c r="A419" t="s">
        <v>46</v>
      </c>
      <c r="B419" t="s">
        <v>44</v>
      </c>
      <c r="C419" s="2" t="s">
        <v>879</v>
      </c>
      <c r="E419" s="2" t="str">
        <f t="shared" si="18"/>
        <v>Guillermo</v>
      </c>
      <c r="F419" s="2" t="str">
        <f t="shared" si="19"/>
        <v>Ochoa</v>
      </c>
      <c r="H419" s="2" t="str">
        <f t="shared" si="20"/>
        <v>G</v>
      </c>
      <c r="I419" s="2" t="s">
        <v>2756</v>
      </c>
      <c r="K419" s="2" t="s">
        <v>1718</v>
      </c>
      <c r="L419" t="s">
        <v>1719</v>
      </c>
      <c r="M419" s="2" t="s">
        <v>879</v>
      </c>
      <c r="N419" t="s">
        <v>2756</v>
      </c>
      <c r="O419" s="2" t="s">
        <v>44</v>
      </c>
    </row>
    <row r="420" spans="1:15">
      <c r="A420" t="s">
        <v>47</v>
      </c>
      <c r="B420" t="s">
        <v>48</v>
      </c>
      <c r="C420" s="2" t="s">
        <v>879</v>
      </c>
      <c r="E420" s="2" t="str">
        <f t="shared" si="18"/>
        <v>Néstor</v>
      </c>
      <c r="F420" s="2" t="str">
        <f t="shared" si="19"/>
        <v>Araujo</v>
      </c>
      <c r="H420" s="2" t="str">
        <f t="shared" si="20"/>
        <v>N</v>
      </c>
      <c r="I420" s="2" t="s">
        <v>2757</v>
      </c>
      <c r="K420" s="2" t="s">
        <v>1720</v>
      </c>
      <c r="L420" t="s">
        <v>1721</v>
      </c>
      <c r="M420" s="2" t="s">
        <v>879</v>
      </c>
      <c r="N420" t="s">
        <v>2757</v>
      </c>
      <c r="O420" s="2" t="s">
        <v>48</v>
      </c>
    </row>
    <row r="421" spans="1:15">
      <c r="A421" t="s">
        <v>49</v>
      </c>
      <c r="B421" t="s">
        <v>48</v>
      </c>
      <c r="C421" s="2" t="s">
        <v>879</v>
      </c>
      <c r="E421" s="2" t="str">
        <f t="shared" si="18"/>
        <v>César</v>
      </c>
      <c r="F421" s="2" t="str">
        <f t="shared" si="19"/>
        <v>Montes</v>
      </c>
      <c r="H421" s="2" t="str">
        <f t="shared" si="20"/>
        <v>C</v>
      </c>
      <c r="I421" s="2" t="s">
        <v>2758</v>
      </c>
      <c r="K421" s="2" t="s">
        <v>1722</v>
      </c>
      <c r="L421" t="s">
        <v>1723</v>
      </c>
      <c r="M421" s="2" t="s">
        <v>879</v>
      </c>
      <c r="N421" t="s">
        <v>2758</v>
      </c>
      <c r="O421" s="2" t="s">
        <v>48</v>
      </c>
    </row>
    <row r="422" spans="1:15">
      <c r="A422" t="s">
        <v>50</v>
      </c>
      <c r="B422" t="s">
        <v>48</v>
      </c>
      <c r="C422" s="2" t="s">
        <v>879</v>
      </c>
      <c r="E422" s="2" t="str">
        <f t="shared" si="18"/>
        <v>Johan</v>
      </c>
      <c r="F422" s="2" t="str">
        <f t="shared" si="19"/>
        <v>Vásquez</v>
      </c>
      <c r="H422" s="2" t="str">
        <f t="shared" si="20"/>
        <v>J</v>
      </c>
      <c r="I422" s="2" t="s">
        <v>2759</v>
      </c>
      <c r="K422" s="2" t="s">
        <v>1299</v>
      </c>
      <c r="L422" t="s">
        <v>1724</v>
      </c>
      <c r="M422" s="2" t="s">
        <v>879</v>
      </c>
      <c r="N422" t="s">
        <v>2759</v>
      </c>
      <c r="O422" s="2" t="s">
        <v>48</v>
      </c>
    </row>
    <row r="423" spans="1:15">
      <c r="A423" t="s">
        <v>51</v>
      </c>
      <c r="B423" t="s">
        <v>48</v>
      </c>
      <c r="C423" s="2" t="s">
        <v>879</v>
      </c>
      <c r="E423" s="2" t="str">
        <f t="shared" si="18"/>
        <v>Gerardo</v>
      </c>
      <c r="F423" s="2" t="str">
        <f t="shared" si="19"/>
        <v>Arteaga</v>
      </c>
      <c r="H423" s="2" t="str">
        <f t="shared" si="20"/>
        <v>G</v>
      </c>
      <c r="I423" s="2" t="s">
        <v>2760</v>
      </c>
      <c r="K423" s="2" t="s">
        <v>1725</v>
      </c>
      <c r="L423" t="s">
        <v>1726</v>
      </c>
      <c r="M423" s="2" t="s">
        <v>879</v>
      </c>
      <c r="N423" t="s">
        <v>2760</v>
      </c>
      <c r="O423" s="2" t="s">
        <v>48</v>
      </c>
    </row>
    <row r="424" spans="1:15">
      <c r="A424" t="s">
        <v>52</v>
      </c>
      <c r="B424" t="s">
        <v>48</v>
      </c>
      <c r="C424" s="2" t="s">
        <v>879</v>
      </c>
      <c r="E424" s="2" t="str">
        <f t="shared" si="18"/>
        <v>Héctor</v>
      </c>
      <c r="F424" s="2" t="str">
        <f t="shared" si="19"/>
        <v>Moreno</v>
      </c>
      <c r="H424" s="2" t="str">
        <f t="shared" si="20"/>
        <v>H</v>
      </c>
      <c r="I424" s="2" t="s">
        <v>2761</v>
      </c>
      <c r="K424" s="2" t="s">
        <v>1727</v>
      </c>
      <c r="L424" t="s">
        <v>1728</v>
      </c>
      <c r="M424" s="2" t="s">
        <v>879</v>
      </c>
      <c r="N424" t="s">
        <v>2761</v>
      </c>
      <c r="O424" s="2" t="s">
        <v>48</v>
      </c>
    </row>
    <row r="425" spans="1:15">
      <c r="A425" t="s">
        <v>53</v>
      </c>
      <c r="B425" t="s">
        <v>48</v>
      </c>
      <c r="C425" s="2" t="s">
        <v>879</v>
      </c>
      <c r="E425" s="2" t="str">
        <f t="shared" si="18"/>
        <v>Jorge</v>
      </c>
      <c r="F425" s="2" t="str">
        <f t="shared" si="19"/>
        <v>Sánchez</v>
      </c>
      <c r="H425" s="2" t="str">
        <f t="shared" si="20"/>
        <v>J</v>
      </c>
      <c r="I425" s="2" t="s">
        <v>2762</v>
      </c>
      <c r="K425" s="2" t="s">
        <v>1729</v>
      </c>
      <c r="L425" t="s">
        <v>1730</v>
      </c>
      <c r="M425" s="2" t="s">
        <v>879</v>
      </c>
      <c r="N425" t="s">
        <v>2762</v>
      </c>
      <c r="O425" s="2" t="s">
        <v>48</v>
      </c>
    </row>
    <row r="426" spans="1:15">
      <c r="A426" t="s">
        <v>54</v>
      </c>
      <c r="B426" t="s">
        <v>48</v>
      </c>
      <c r="C426" s="2" t="s">
        <v>879</v>
      </c>
      <c r="E426" s="2" t="str">
        <f t="shared" si="18"/>
        <v>Jesús</v>
      </c>
      <c r="F426" s="2" t="str">
        <f t="shared" si="19"/>
        <v>Gallardo</v>
      </c>
      <c r="H426" s="2" t="str">
        <f t="shared" si="20"/>
        <v>J</v>
      </c>
      <c r="I426" s="2" t="s">
        <v>2763</v>
      </c>
      <c r="K426" s="2" t="s">
        <v>1731</v>
      </c>
      <c r="L426" t="s">
        <v>1732</v>
      </c>
      <c r="M426" s="2" t="s">
        <v>879</v>
      </c>
      <c r="N426" t="s">
        <v>2763</v>
      </c>
      <c r="O426" s="2" t="s">
        <v>48</v>
      </c>
    </row>
    <row r="427" spans="1:15">
      <c r="A427" t="s">
        <v>55</v>
      </c>
      <c r="B427" t="s">
        <v>48</v>
      </c>
      <c r="C427" s="2" t="s">
        <v>879</v>
      </c>
      <c r="E427" s="2" t="str">
        <f t="shared" si="18"/>
        <v>Kevin</v>
      </c>
      <c r="F427" s="2" t="str">
        <f t="shared" si="19"/>
        <v>Álvarez</v>
      </c>
      <c r="H427" s="2" t="str">
        <f t="shared" si="20"/>
        <v>K</v>
      </c>
      <c r="I427" s="2" t="s">
        <v>2764</v>
      </c>
      <c r="K427" s="2" t="s">
        <v>1132</v>
      </c>
      <c r="L427" t="s">
        <v>1051</v>
      </c>
      <c r="M427" s="2" t="s">
        <v>879</v>
      </c>
      <c r="N427" t="s">
        <v>2764</v>
      </c>
      <c r="O427" s="2" t="s">
        <v>48</v>
      </c>
    </row>
    <row r="428" spans="1:15">
      <c r="A428" t="s">
        <v>56</v>
      </c>
      <c r="B428" t="s">
        <v>57</v>
      </c>
      <c r="C428" s="2" t="s">
        <v>879</v>
      </c>
      <c r="E428" s="2" t="str">
        <f t="shared" si="18"/>
        <v>Edson</v>
      </c>
      <c r="F428" s="2" t="str">
        <f t="shared" si="19"/>
        <v>Álvarez</v>
      </c>
      <c r="H428" s="2" t="str">
        <f t="shared" si="20"/>
        <v>E</v>
      </c>
      <c r="I428" s="2" t="s">
        <v>2765</v>
      </c>
      <c r="K428" s="2" t="s">
        <v>1733</v>
      </c>
      <c r="L428" t="s">
        <v>1051</v>
      </c>
      <c r="M428" s="2" t="s">
        <v>879</v>
      </c>
      <c r="N428" t="s">
        <v>2765</v>
      </c>
      <c r="O428" s="2" t="s">
        <v>57</v>
      </c>
    </row>
    <row r="429" spans="1:15">
      <c r="A429" t="s">
        <v>58</v>
      </c>
      <c r="B429" t="s">
        <v>57</v>
      </c>
      <c r="C429" s="2" t="s">
        <v>879</v>
      </c>
      <c r="E429" s="2" t="str">
        <f t="shared" si="18"/>
        <v>Luis</v>
      </c>
      <c r="F429" s="2" t="str">
        <f t="shared" si="19"/>
        <v>Romo</v>
      </c>
      <c r="H429" s="2" t="str">
        <f t="shared" si="20"/>
        <v>L</v>
      </c>
      <c r="I429" s="2" t="s">
        <v>2766</v>
      </c>
      <c r="K429" s="2" t="s">
        <v>1734</v>
      </c>
      <c r="L429" t="s">
        <v>1735</v>
      </c>
      <c r="M429" s="2" t="s">
        <v>879</v>
      </c>
      <c r="N429" t="s">
        <v>2766</v>
      </c>
      <c r="O429" s="2" t="s">
        <v>57</v>
      </c>
    </row>
    <row r="430" spans="1:15">
      <c r="A430" t="s">
        <v>59</v>
      </c>
      <c r="B430" t="s">
        <v>57</v>
      </c>
      <c r="C430" s="2" t="s">
        <v>879</v>
      </c>
      <c r="E430" s="2" t="str">
        <f t="shared" si="18"/>
        <v>Carlos</v>
      </c>
      <c r="F430" s="2" t="str">
        <f t="shared" si="19"/>
        <v>Rodríguez</v>
      </c>
      <c r="H430" s="2" t="str">
        <f t="shared" si="20"/>
        <v>C</v>
      </c>
      <c r="I430" s="2" t="s">
        <v>2767</v>
      </c>
      <c r="K430" s="2" t="s">
        <v>1287</v>
      </c>
      <c r="L430" t="s">
        <v>1045</v>
      </c>
      <c r="M430" s="2" t="s">
        <v>879</v>
      </c>
      <c r="N430" t="s">
        <v>2767</v>
      </c>
      <c r="O430" s="2" t="s">
        <v>57</v>
      </c>
    </row>
    <row r="431" spans="1:15">
      <c r="A431" t="s">
        <v>60</v>
      </c>
      <c r="B431" t="s">
        <v>57</v>
      </c>
      <c r="C431" s="2" t="s">
        <v>879</v>
      </c>
      <c r="E431" s="2" t="str">
        <f t="shared" si="18"/>
        <v>Érick</v>
      </c>
      <c r="F431" s="2" t="str">
        <f t="shared" si="19"/>
        <v>Gutiérrez</v>
      </c>
      <c r="H431" s="2" t="str">
        <f t="shared" si="20"/>
        <v>É</v>
      </c>
      <c r="I431" s="2" t="s">
        <v>2768</v>
      </c>
      <c r="K431" s="2" t="s">
        <v>1736</v>
      </c>
      <c r="L431" t="s">
        <v>1737</v>
      </c>
      <c r="M431" s="2" t="s">
        <v>879</v>
      </c>
      <c r="N431" t="s">
        <v>2768</v>
      </c>
      <c r="O431" s="2" t="s">
        <v>57</v>
      </c>
    </row>
    <row r="432" spans="1:15">
      <c r="A432" t="s">
        <v>61</v>
      </c>
      <c r="B432" t="s">
        <v>57</v>
      </c>
      <c r="C432" s="2" t="s">
        <v>879</v>
      </c>
      <c r="E432" s="2" t="str">
        <f t="shared" si="18"/>
        <v>Héctor</v>
      </c>
      <c r="F432" s="2" t="str">
        <f t="shared" si="19"/>
        <v>Herrera</v>
      </c>
      <c r="H432" s="2" t="str">
        <f t="shared" si="20"/>
        <v>H</v>
      </c>
      <c r="I432" s="2" t="s">
        <v>2769</v>
      </c>
      <c r="K432" s="2" t="s">
        <v>1727</v>
      </c>
      <c r="L432" t="s">
        <v>1738</v>
      </c>
      <c r="M432" s="2" t="s">
        <v>879</v>
      </c>
      <c r="N432" t="s">
        <v>2769</v>
      </c>
      <c r="O432" s="2" t="s">
        <v>57</v>
      </c>
    </row>
    <row r="433" spans="1:15">
      <c r="A433" t="s">
        <v>62</v>
      </c>
      <c r="B433" t="s">
        <v>57</v>
      </c>
      <c r="C433" s="2" t="s">
        <v>879</v>
      </c>
      <c r="E433" s="2" t="str">
        <f t="shared" si="18"/>
        <v>Orbelín</v>
      </c>
      <c r="F433" s="2" t="str">
        <f t="shared" si="19"/>
        <v>Pineda</v>
      </c>
      <c r="H433" s="2" t="str">
        <f t="shared" si="20"/>
        <v>O</v>
      </c>
      <c r="I433" s="2" t="s">
        <v>2770</v>
      </c>
      <c r="K433" s="2" t="s">
        <v>1739</v>
      </c>
      <c r="L433" t="s">
        <v>1740</v>
      </c>
      <c r="M433" s="2" t="s">
        <v>879</v>
      </c>
      <c r="N433" t="s">
        <v>2770</v>
      </c>
      <c r="O433" s="2" t="s">
        <v>57</v>
      </c>
    </row>
    <row r="434" spans="1:15">
      <c r="A434" t="s">
        <v>63</v>
      </c>
      <c r="B434" t="s">
        <v>57</v>
      </c>
      <c r="C434" t="s">
        <v>879</v>
      </c>
      <c r="E434" s="2" t="str">
        <f t="shared" si="18"/>
        <v>Andrés</v>
      </c>
      <c r="F434" s="2" t="str">
        <f t="shared" si="19"/>
        <v>Guardado</v>
      </c>
      <c r="H434" s="2" t="str">
        <f t="shared" si="20"/>
        <v>A</v>
      </c>
      <c r="I434" s="2" t="s">
        <v>2771</v>
      </c>
      <c r="K434" s="2" t="s">
        <v>1741</v>
      </c>
      <c r="L434" t="s">
        <v>1742</v>
      </c>
      <c r="M434" s="2" t="s">
        <v>879</v>
      </c>
      <c r="N434" t="s">
        <v>2771</v>
      </c>
      <c r="O434" s="2" t="s">
        <v>57</v>
      </c>
    </row>
    <row r="435" spans="1:15">
      <c r="A435" t="s">
        <v>64</v>
      </c>
      <c r="B435" t="s">
        <v>57</v>
      </c>
      <c r="C435" t="s">
        <v>879</v>
      </c>
      <c r="E435" s="2" t="str">
        <f t="shared" si="18"/>
        <v>Luis</v>
      </c>
      <c r="F435" s="2" t="str">
        <f t="shared" si="19"/>
        <v>Chávez</v>
      </c>
      <c r="H435" s="2" t="str">
        <f t="shared" si="20"/>
        <v>L</v>
      </c>
      <c r="I435" s="2" t="s">
        <v>2772</v>
      </c>
      <c r="K435" s="2" t="s">
        <v>1734</v>
      </c>
      <c r="L435" t="s">
        <v>1743</v>
      </c>
      <c r="M435" s="2" t="s">
        <v>879</v>
      </c>
      <c r="N435" t="s">
        <v>2772</v>
      </c>
      <c r="O435" s="2" t="s">
        <v>57</v>
      </c>
    </row>
    <row r="436" spans="1:15">
      <c r="A436" t="s">
        <v>65</v>
      </c>
      <c r="B436" t="s">
        <v>66</v>
      </c>
      <c r="C436" s="2" t="s">
        <v>879</v>
      </c>
      <c r="E436" s="2" t="str">
        <f t="shared" si="18"/>
        <v>Raúl</v>
      </c>
      <c r="F436" s="2" t="str">
        <f t="shared" si="19"/>
        <v>Jiménez</v>
      </c>
      <c r="H436" s="2" t="str">
        <f t="shared" si="20"/>
        <v>R</v>
      </c>
      <c r="I436" s="2" t="s">
        <v>2773</v>
      </c>
      <c r="K436" s="2" t="s">
        <v>1744</v>
      </c>
      <c r="L436" t="s">
        <v>1745</v>
      </c>
      <c r="M436" s="2" t="s">
        <v>879</v>
      </c>
      <c r="N436" t="s">
        <v>2773</v>
      </c>
      <c r="O436" s="2" t="s">
        <v>66</v>
      </c>
    </row>
    <row r="437" spans="1:15">
      <c r="A437" t="s">
        <v>67</v>
      </c>
      <c r="B437" t="s">
        <v>66</v>
      </c>
      <c r="C437" s="2" t="s">
        <v>879</v>
      </c>
      <c r="E437" s="2" t="str">
        <f t="shared" si="18"/>
        <v>Alexis</v>
      </c>
      <c r="F437" s="2" t="str">
        <f t="shared" si="19"/>
        <v>Vega</v>
      </c>
      <c r="H437" s="2" t="str">
        <f t="shared" si="20"/>
        <v>A</v>
      </c>
      <c r="I437" s="2" t="s">
        <v>2774</v>
      </c>
      <c r="K437" s="2" t="s">
        <v>1046</v>
      </c>
      <c r="L437" t="s">
        <v>1746</v>
      </c>
      <c r="M437" s="2" t="s">
        <v>879</v>
      </c>
      <c r="N437" t="s">
        <v>2774</v>
      </c>
      <c r="O437" s="2" t="s">
        <v>66</v>
      </c>
    </row>
    <row r="438" spans="1:15">
      <c r="A438" t="s">
        <v>68</v>
      </c>
      <c r="B438" t="s">
        <v>66</v>
      </c>
      <c r="C438" s="2" t="s">
        <v>879</v>
      </c>
      <c r="E438" s="2" t="str">
        <f t="shared" si="18"/>
        <v>Rogelio</v>
      </c>
      <c r="F438" s="2" t="str">
        <f t="shared" si="19"/>
        <v>Funes Mori</v>
      </c>
      <c r="H438" s="2" t="str">
        <f t="shared" si="20"/>
        <v>R</v>
      </c>
      <c r="I438" s="2" t="s">
        <v>2775</v>
      </c>
      <c r="K438" s="2" t="s">
        <v>1747</v>
      </c>
      <c r="L438" t="s">
        <v>1748</v>
      </c>
      <c r="M438" s="2" t="s">
        <v>879</v>
      </c>
      <c r="N438" t="s">
        <v>2775</v>
      </c>
      <c r="O438" s="2" t="s">
        <v>66</v>
      </c>
    </row>
    <row r="439" spans="1:15">
      <c r="A439" t="s">
        <v>69</v>
      </c>
      <c r="B439" t="s">
        <v>66</v>
      </c>
      <c r="C439" s="2" t="s">
        <v>879</v>
      </c>
      <c r="E439" s="2" t="str">
        <f t="shared" si="18"/>
        <v>Henry</v>
      </c>
      <c r="F439" s="2" t="str">
        <f t="shared" si="19"/>
        <v>Martín</v>
      </c>
      <c r="H439" s="2" t="str">
        <f t="shared" si="20"/>
        <v>H</v>
      </c>
      <c r="I439" s="2" t="s">
        <v>2776</v>
      </c>
      <c r="K439" s="2" t="s">
        <v>1749</v>
      </c>
      <c r="L439" t="s">
        <v>1750</v>
      </c>
      <c r="M439" s="2" t="s">
        <v>879</v>
      </c>
      <c r="N439" t="s">
        <v>2776</v>
      </c>
      <c r="O439" s="2" t="s">
        <v>66</v>
      </c>
    </row>
    <row r="440" spans="1:15">
      <c r="A440" t="s">
        <v>70</v>
      </c>
      <c r="B440" t="s">
        <v>66</v>
      </c>
      <c r="C440" s="2" t="s">
        <v>879</v>
      </c>
      <c r="E440" s="2" t="str">
        <f t="shared" si="18"/>
        <v>Uriel</v>
      </c>
      <c r="F440" s="2" t="str">
        <f t="shared" si="19"/>
        <v>Antuna</v>
      </c>
      <c r="H440" s="2" t="str">
        <f t="shared" si="20"/>
        <v>U</v>
      </c>
      <c r="I440" s="2" t="s">
        <v>2777</v>
      </c>
      <c r="K440" s="2" t="s">
        <v>1751</v>
      </c>
      <c r="L440" t="s">
        <v>1752</v>
      </c>
      <c r="M440" s="2" t="s">
        <v>879</v>
      </c>
      <c r="N440" t="s">
        <v>2777</v>
      </c>
      <c r="O440" s="2" t="s">
        <v>66</v>
      </c>
    </row>
    <row r="441" spans="1:15">
      <c r="A441" t="s">
        <v>71</v>
      </c>
      <c r="B441" t="s">
        <v>66</v>
      </c>
      <c r="C441" s="2" t="s">
        <v>879</v>
      </c>
      <c r="E441" s="2" t="str">
        <f t="shared" si="18"/>
        <v>Hirving</v>
      </c>
      <c r="F441" s="2" t="str">
        <f t="shared" si="19"/>
        <v>Lozano</v>
      </c>
      <c r="H441" s="2" t="str">
        <f t="shared" si="20"/>
        <v>H</v>
      </c>
      <c r="I441" s="2" t="s">
        <v>2778</v>
      </c>
      <c r="K441" s="2" t="s">
        <v>1753</v>
      </c>
      <c r="L441" t="s">
        <v>1754</v>
      </c>
      <c r="M441" s="2" t="s">
        <v>879</v>
      </c>
      <c r="N441" t="s">
        <v>2778</v>
      </c>
      <c r="O441" s="2" t="s">
        <v>66</v>
      </c>
    </row>
    <row r="442" spans="1:15">
      <c r="A442" t="s">
        <v>72</v>
      </c>
      <c r="B442" t="s">
        <v>66</v>
      </c>
      <c r="C442" s="2" t="s">
        <v>879</v>
      </c>
      <c r="E442" s="2" t="str">
        <f t="shared" si="18"/>
        <v>Roberto</v>
      </c>
      <c r="F442" s="2" t="str">
        <f t="shared" si="19"/>
        <v>Alvarado</v>
      </c>
      <c r="H442" s="2" t="str">
        <f t="shared" si="20"/>
        <v>R</v>
      </c>
      <c r="I442" s="2" t="s">
        <v>2779</v>
      </c>
      <c r="K442" s="2" t="s">
        <v>1755</v>
      </c>
      <c r="L442" t="s">
        <v>1276</v>
      </c>
      <c r="M442" s="2" t="s">
        <v>879</v>
      </c>
      <c r="N442" t="s">
        <v>2779</v>
      </c>
      <c r="O442" s="2" t="s">
        <v>66</v>
      </c>
    </row>
    <row r="443" spans="1:15">
      <c r="A443" t="s">
        <v>74</v>
      </c>
      <c r="B443" t="s">
        <v>44</v>
      </c>
      <c r="C443" s="2" t="s">
        <v>880</v>
      </c>
      <c r="E443" s="2" t="str">
        <f t="shared" si="18"/>
        <v>Munir</v>
      </c>
      <c r="F443" s="2" t="str">
        <f t="shared" si="19"/>
        <v>El Kajoui</v>
      </c>
      <c r="H443" s="2" t="str">
        <f t="shared" si="20"/>
        <v>M</v>
      </c>
      <c r="I443" s="2" t="s">
        <v>2780</v>
      </c>
      <c r="K443" s="2" t="s">
        <v>1756</v>
      </c>
      <c r="L443" t="s">
        <v>1757</v>
      </c>
      <c r="M443" s="2" t="s">
        <v>880</v>
      </c>
      <c r="N443" t="s">
        <v>2780</v>
      </c>
      <c r="O443" s="2" t="s">
        <v>44</v>
      </c>
    </row>
    <row r="444" spans="1:15">
      <c r="A444" t="s">
        <v>75</v>
      </c>
      <c r="B444" t="s">
        <v>44</v>
      </c>
      <c r="C444" s="2" t="s">
        <v>880</v>
      </c>
      <c r="E444" s="2" t="str">
        <f t="shared" si="18"/>
        <v>Reda</v>
      </c>
      <c r="F444" s="2" t="str">
        <f t="shared" si="19"/>
        <v>Tagnaouti</v>
      </c>
      <c r="H444" s="2" t="str">
        <f t="shared" si="20"/>
        <v>R</v>
      </c>
      <c r="I444" s="2" t="s">
        <v>2781</v>
      </c>
      <c r="K444" s="2" t="s">
        <v>1758</v>
      </c>
      <c r="L444" t="s">
        <v>1759</v>
      </c>
      <c r="M444" s="2" t="s">
        <v>880</v>
      </c>
      <c r="N444" t="s">
        <v>2781</v>
      </c>
      <c r="O444" s="2" t="s">
        <v>44</v>
      </c>
    </row>
    <row r="445" spans="1:15" s="2" customFormat="1">
      <c r="A445" s="2" t="s">
        <v>73</v>
      </c>
      <c r="B445" s="2" t="s">
        <v>44</v>
      </c>
      <c r="C445" s="2" t="s">
        <v>880</v>
      </c>
      <c r="E445" s="2" t="str">
        <f>IF(ISERROR(FIND(" ",A445)),"", LEFT(A445,FIND(" ",A445)-1))</f>
        <v>Yassine</v>
      </c>
      <c r="F445" s="2" t="str">
        <f>IF(ISERROR(FIND(" ",A445)),A445,RIGHT(A445,LEN(A445)-FIND(" ",A445)))</f>
        <v>Bounou</v>
      </c>
      <c r="H445" s="2" t="str">
        <f t="shared" si="20"/>
        <v>Y</v>
      </c>
      <c r="I445" s="2" t="s">
        <v>2782</v>
      </c>
      <c r="K445" s="2" t="s">
        <v>1760</v>
      </c>
      <c r="L445" s="2" t="s">
        <v>1761</v>
      </c>
      <c r="M445" s="2" t="s">
        <v>880</v>
      </c>
      <c r="N445" s="2" t="s">
        <v>2782</v>
      </c>
      <c r="O445" s="2" t="s">
        <v>44</v>
      </c>
    </row>
    <row r="446" spans="1:15">
      <c r="A446" t="s">
        <v>76</v>
      </c>
      <c r="B446" t="s">
        <v>48</v>
      </c>
      <c r="C446" s="2" t="s">
        <v>880</v>
      </c>
      <c r="E446" s="2" t="str">
        <f t="shared" si="18"/>
        <v>Achraf</v>
      </c>
      <c r="F446" s="2" t="str">
        <f t="shared" si="19"/>
        <v>Hakimi</v>
      </c>
      <c r="H446" s="2" t="str">
        <f t="shared" si="20"/>
        <v>A</v>
      </c>
      <c r="I446" s="2" t="s">
        <v>2783</v>
      </c>
      <c r="K446" s="2" t="s">
        <v>1762</v>
      </c>
      <c r="L446" t="s">
        <v>1763</v>
      </c>
      <c r="M446" s="2" t="s">
        <v>880</v>
      </c>
      <c r="N446" t="s">
        <v>2783</v>
      </c>
      <c r="O446" s="2" t="s">
        <v>48</v>
      </c>
    </row>
    <row r="447" spans="1:15">
      <c r="A447" t="s">
        <v>77</v>
      </c>
      <c r="B447" t="s">
        <v>48</v>
      </c>
      <c r="C447" s="2" t="s">
        <v>880</v>
      </c>
      <c r="E447" s="2" t="str">
        <f t="shared" si="18"/>
        <v>Noussair</v>
      </c>
      <c r="F447" s="2" t="str">
        <f t="shared" si="19"/>
        <v>Mazraoui</v>
      </c>
      <c r="H447" s="2" t="str">
        <f t="shared" si="20"/>
        <v>N</v>
      </c>
      <c r="I447" s="2" t="s">
        <v>2784</v>
      </c>
      <c r="K447" s="2" t="s">
        <v>1764</v>
      </c>
      <c r="L447" t="s">
        <v>1765</v>
      </c>
      <c r="M447" s="2" t="s">
        <v>880</v>
      </c>
      <c r="N447" t="s">
        <v>2784</v>
      </c>
      <c r="O447" s="2" t="s">
        <v>48</v>
      </c>
    </row>
    <row r="448" spans="1:15">
      <c r="A448" t="s">
        <v>78</v>
      </c>
      <c r="B448" t="s">
        <v>48</v>
      </c>
      <c r="C448" s="2" t="s">
        <v>880</v>
      </c>
      <c r="E448" s="2" t="str">
        <f t="shared" si="18"/>
        <v>Nayef</v>
      </c>
      <c r="F448" s="2" t="str">
        <f t="shared" si="19"/>
        <v>Aguerd</v>
      </c>
      <c r="H448" s="2" t="str">
        <f t="shared" si="20"/>
        <v>N</v>
      </c>
      <c r="I448" s="2" t="s">
        <v>2785</v>
      </c>
      <c r="K448" s="2" t="s">
        <v>1766</v>
      </c>
      <c r="L448" t="s">
        <v>1767</v>
      </c>
      <c r="M448" s="2" t="s">
        <v>880</v>
      </c>
      <c r="N448" t="s">
        <v>2785</v>
      </c>
      <c r="O448" s="2" t="s">
        <v>48</v>
      </c>
    </row>
    <row r="449" spans="1:15">
      <c r="A449" t="s">
        <v>79</v>
      </c>
      <c r="B449" t="s">
        <v>48</v>
      </c>
      <c r="C449" s="2" t="s">
        <v>880</v>
      </c>
      <c r="E449" s="2" t="str">
        <f t="shared" si="18"/>
        <v>Romain</v>
      </c>
      <c r="F449" s="2" t="str">
        <f t="shared" si="19"/>
        <v>Saïss</v>
      </c>
      <c r="H449" s="2" t="str">
        <f t="shared" si="20"/>
        <v>R</v>
      </c>
      <c r="I449" s="2" t="s">
        <v>2786</v>
      </c>
      <c r="K449" s="2" t="s">
        <v>1768</v>
      </c>
      <c r="L449" t="s">
        <v>1769</v>
      </c>
      <c r="M449" s="2" t="s">
        <v>880</v>
      </c>
      <c r="N449" t="s">
        <v>2786</v>
      </c>
      <c r="O449" s="2" t="s">
        <v>48</v>
      </c>
    </row>
    <row r="450" spans="1:15">
      <c r="A450" t="s">
        <v>80</v>
      </c>
      <c r="B450" t="s">
        <v>48</v>
      </c>
      <c r="C450" s="2" t="s">
        <v>880</v>
      </c>
      <c r="E450" s="2" t="str">
        <f t="shared" si="18"/>
        <v>Jawad</v>
      </c>
      <c r="F450" s="2" t="str">
        <f t="shared" si="19"/>
        <v>El Yamiq</v>
      </c>
      <c r="H450" s="2" t="str">
        <f t="shared" si="20"/>
        <v>J</v>
      </c>
      <c r="I450" s="2" t="s">
        <v>2787</v>
      </c>
      <c r="K450" s="2" t="s">
        <v>1770</v>
      </c>
      <c r="L450" t="s">
        <v>1771</v>
      </c>
      <c r="M450" s="2" t="s">
        <v>880</v>
      </c>
      <c r="N450" t="s">
        <v>2787</v>
      </c>
      <c r="O450" s="2" t="s">
        <v>48</v>
      </c>
    </row>
    <row r="451" spans="1:15">
      <c r="A451" t="s">
        <v>81</v>
      </c>
      <c r="B451" t="s">
        <v>48</v>
      </c>
      <c r="C451" s="2" t="s">
        <v>880</v>
      </c>
      <c r="E451" s="2" t="str">
        <f t="shared" si="18"/>
        <v>Achraf</v>
      </c>
      <c r="F451" s="2" t="str">
        <f t="shared" si="19"/>
        <v>Dari</v>
      </c>
      <c r="H451" s="2" t="str">
        <f t="shared" ref="H451:H514" si="21">LEFT(E451,1)</f>
        <v>A</v>
      </c>
      <c r="I451" s="2" t="s">
        <v>2788</v>
      </c>
      <c r="K451" s="2" t="s">
        <v>1762</v>
      </c>
      <c r="L451" t="s">
        <v>1772</v>
      </c>
      <c r="M451" s="2" t="s">
        <v>880</v>
      </c>
      <c r="N451" t="s">
        <v>2788</v>
      </c>
      <c r="O451" s="2" t="s">
        <v>48</v>
      </c>
    </row>
    <row r="452" spans="1:15">
      <c r="A452" t="s">
        <v>82</v>
      </c>
      <c r="B452" t="s">
        <v>48</v>
      </c>
      <c r="C452" s="2" t="s">
        <v>880</v>
      </c>
      <c r="E452" s="2" t="str">
        <f t="shared" ref="E452:E515" si="22">IF(ISERROR(FIND(" ",A452)),"", LEFT(A452,FIND(" ",A452)-1))</f>
        <v>Badr</v>
      </c>
      <c r="F452" s="2" t="str">
        <f t="shared" ref="F452:F515" si="23">IF(ISERROR(FIND(" ",A452)),A452,RIGHT(A452,LEN(A452)-FIND(" ",A452)))</f>
        <v>Benoun</v>
      </c>
      <c r="H452" s="2" t="str">
        <f t="shared" si="21"/>
        <v>B</v>
      </c>
      <c r="I452" s="2" t="s">
        <v>2789</v>
      </c>
      <c r="K452" s="2" t="s">
        <v>1773</v>
      </c>
      <c r="L452" t="s">
        <v>1774</v>
      </c>
      <c r="M452" s="2" t="s">
        <v>880</v>
      </c>
      <c r="N452" t="s">
        <v>2789</v>
      </c>
      <c r="O452" s="2" t="s">
        <v>48</v>
      </c>
    </row>
    <row r="453" spans="1:15">
      <c r="A453" t="s">
        <v>83</v>
      </c>
      <c r="B453" t="s">
        <v>48</v>
      </c>
      <c r="C453" s="2" t="s">
        <v>880</v>
      </c>
      <c r="E453" s="2" t="str">
        <f t="shared" si="22"/>
        <v>Yahya</v>
      </c>
      <c r="F453" s="2" t="str">
        <f t="shared" si="23"/>
        <v>Attiyat-Allah</v>
      </c>
      <c r="H453" s="2" t="str">
        <f t="shared" si="21"/>
        <v>Y</v>
      </c>
      <c r="I453" s="2" t="s">
        <v>2790</v>
      </c>
      <c r="K453" s="2" t="s">
        <v>1775</v>
      </c>
      <c r="L453" t="s">
        <v>1776</v>
      </c>
      <c r="M453" s="2" t="s">
        <v>880</v>
      </c>
      <c r="N453" t="s">
        <v>2790</v>
      </c>
      <c r="O453" s="2" t="s">
        <v>48</v>
      </c>
    </row>
    <row r="454" spans="1:15">
      <c r="A454" t="s">
        <v>84</v>
      </c>
      <c r="B454" t="s">
        <v>57</v>
      </c>
      <c r="C454" s="2" t="s">
        <v>880</v>
      </c>
      <c r="E454" s="2" t="str">
        <f t="shared" si="22"/>
        <v>Sofyan</v>
      </c>
      <c r="F454" s="2" t="str">
        <f t="shared" si="23"/>
        <v>Amrabat</v>
      </c>
      <c r="H454" s="2" t="str">
        <f t="shared" si="21"/>
        <v>S</v>
      </c>
      <c r="I454" s="2" t="s">
        <v>2791</v>
      </c>
      <c r="K454" s="2" t="s">
        <v>1777</v>
      </c>
      <c r="L454" t="s">
        <v>1778</v>
      </c>
      <c r="M454" s="2" t="s">
        <v>880</v>
      </c>
      <c r="N454" t="s">
        <v>2791</v>
      </c>
      <c r="O454" s="2" t="s">
        <v>57</v>
      </c>
    </row>
    <row r="455" spans="1:15">
      <c r="A455" t="s">
        <v>85</v>
      </c>
      <c r="B455" t="s">
        <v>57</v>
      </c>
      <c r="C455" s="2" t="s">
        <v>880</v>
      </c>
      <c r="E455" s="2" t="str">
        <f t="shared" si="22"/>
        <v>Hakim</v>
      </c>
      <c r="F455" s="2" t="str">
        <f t="shared" si="23"/>
        <v>Ziyech</v>
      </c>
      <c r="H455" s="2" t="str">
        <f t="shared" si="21"/>
        <v>H</v>
      </c>
      <c r="I455" s="2" t="s">
        <v>2792</v>
      </c>
      <c r="K455" s="2" t="s">
        <v>1779</v>
      </c>
      <c r="L455" t="s">
        <v>1780</v>
      </c>
      <c r="M455" s="2" t="s">
        <v>880</v>
      </c>
      <c r="N455" t="s">
        <v>2792</v>
      </c>
      <c r="O455" s="2" t="s">
        <v>57</v>
      </c>
    </row>
    <row r="456" spans="1:15">
      <c r="A456" t="s">
        <v>86</v>
      </c>
      <c r="B456" t="s">
        <v>57</v>
      </c>
      <c r="C456" s="2" t="s">
        <v>880</v>
      </c>
      <c r="E456" s="2" t="str">
        <f t="shared" si="22"/>
        <v>Azzedine</v>
      </c>
      <c r="F456" s="2" t="str">
        <f t="shared" si="23"/>
        <v>Ounahi</v>
      </c>
      <c r="H456" s="2" t="str">
        <f t="shared" si="21"/>
        <v>A</v>
      </c>
      <c r="I456" s="2" t="s">
        <v>2793</v>
      </c>
      <c r="K456" s="2" t="s">
        <v>1781</v>
      </c>
      <c r="L456" t="s">
        <v>1782</v>
      </c>
      <c r="M456" s="2" t="s">
        <v>880</v>
      </c>
      <c r="N456" t="s">
        <v>2793</v>
      </c>
      <c r="O456" s="2" t="s">
        <v>57</v>
      </c>
    </row>
    <row r="457" spans="1:15">
      <c r="A457" t="s">
        <v>87</v>
      </c>
      <c r="B457" t="s">
        <v>57</v>
      </c>
      <c r="C457" s="2" t="s">
        <v>880</v>
      </c>
      <c r="E457" s="2" t="str">
        <f t="shared" si="22"/>
        <v>Amine</v>
      </c>
      <c r="F457" s="2" t="str">
        <f t="shared" si="23"/>
        <v>Harit</v>
      </c>
      <c r="H457" s="2" t="str">
        <f t="shared" si="21"/>
        <v>A</v>
      </c>
      <c r="I457" s="2" t="s">
        <v>2794</v>
      </c>
      <c r="K457" s="2" t="s">
        <v>1783</v>
      </c>
      <c r="L457" t="s">
        <v>1784</v>
      </c>
      <c r="M457" s="2" t="s">
        <v>880</v>
      </c>
      <c r="N457" t="s">
        <v>2794</v>
      </c>
      <c r="O457" s="2" t="s">
        <v>57</v>
      </c>
    </row>
    <row r="458" spans="1:15">
      <c r="A458" t="s">
        <v>88</v>
      </c>
      <c r="B458" t="s">
        <v>57</v>
      </c>
      <c r="C458" s="2" t="s">
        <v>880</v>
      </c>
      <c r="E458" s="2" t="str">
        <f t="shared" si="22"/>
        <v>Abdelhamid</v>
      </c>
      <c r="F458" s="2" t="str">
        <f t="shared" si="23"/>
        <v>Sabiri</v>
      </c>
      <c r="H458" s="2" t="str">
        <f t="shared" si="21"/>
        <v>A</v>
      </c>
      <c r="I458" s="2" t="s">
        <v>2795</v>
      </c>
      <c r="K458" s="2" t="s">
        <v>1785</v>
      </c>
      <c r="L458" t="s">
        <v>1786</v>
      </c>
      <c r="M458" s="2" t="s">
        <v>880</v>
      </c>
      <c r="N458" t="s">
        <v>2795</v>
      </c>
      <c r="O458" s="2" t="s">
        <v>57</v>
      </c>
    </row>
    <row r="459" spans="1:15">
      <c r="A459" t="s">
        <v>89</v>
      </c>
      <c r="B459" t="s">
        <v>57</v>
      </c>
      <c r="C459" s="2" t="s">
        <v>880</v>
      </c>
      <c r="E459" s="2" t="str">
        <f t="shared" si="22"/>
        <v>Ilias</v>
      </c>
      <c r="F459" s="2" t="str">
        <f t="shared" si="23"/>
        <v>Chair</v>
      </c>
      <c r="H459" s="2" t="str">
        <f t="shared" si="21"/>
        <v>I</v>
      </c>
      <c r="I459" s="2" t="s">
        <v>2796</v>
      </c>
      <c r="K459" s="2" t="s">
        <v>1787</v>
      </c>
      <c r="L459" t="s">
        <v>1788</v>
      </c>
      <c r="M459" s="2" t="s">
        <v>880</v>
      </c>
      <c r="N459" t="s">
        <v>2796</v>
      </c>
      <c r="O459" s="2" t="s">
        <v>57</v>
      </c>
    </row>
    <row r="460" spans="1:15">
      <c r="A460" t="s">
        <v>90</v>
      </c>
      <c r="B460" t="s">
        <v>57</v>
      </c>
      <c r="C460" s="2" t="s">
        <v>880</v>
      </c>
      <c r="E460" s="2" t="str">
        <f t="shared" si="22"/>
        <v>Selim</v>
      </c>
      <c r="F460" s="2" t="str">
        <f t="shared" si="23"/>
        <v>Amallah</v>
      </c>
      <c r="H460" s="2" t="str">
        <f t="shared" si="21"/>
        <v>S</v>
      </c>
      <c r="I460" s="2" t="s">
        <v>2797</v>
      </c>
      <c r="K460" s="2" t="s">
        <v>1789</v>
      </c>
      <c r="L460" t="s">
        <v>1790</v>
      </c>
      <c r="M460" s="2" t="s">
        <v>880</v>
      </c>
      <c r="N460" t="s">
        <v>2797</v>
      </c>
      <c r="O460" s="2" t="s">
        <v>57</v>
      </c>
    </row>
    <row r="461" spans="1:15">
      <c r="A461" t="s">
        <v>91</v>
      </c>
      <c r="B461" t="s">
        <v>57</v>
      </c>
      <c r="C461" s="2" t="s">
        <v>880</v>
      </c>
      <c r="E461" s="2" t="str">
        <f t="shared" si="22"/>
        <v>Bilal</v>
      </c>
      <c r="F461" s="2" t="str">
        <f t="shared" si="23"/>
        <v>El Khannouss</v>
      </c>
      <c r="H461" s="2" t="str">
        <f t="shared" si="21"/>
        <v>B</v>
      </c>
      <c r="I461" s="2" t="s">
        <v>2798</v>
      </c>
      <c r="K461" s="2" t="s">
        <v>1791</v>
      </c>
      <c r="L461" t="s">
        <v>1792</v>
      </c>
      <c r="M461" s="2" t="s">
        <v>880</v>
      </c>
      <c r="N461" t="s">
        <v>2798</v>
      </c>
      <c r="O461" s="2" t="s">
        <v>57</v>
      </c>
    </row>
    <row r="462" spans="1:15">
      <c r="A462" t="s">
        <v>92</v>
      </c>
      <c r="B462" t="s">
        <v>57</v>
      </c>
      <c r="C462" t="s">
        <v>880</v>
      </c>
      <c r="E462" s="2" t="str">
        <f t="shared" si="22"/>
        <v>Yahya</v>
      </c>
      <c r="F462" s="2" t="str">
        <f t="shared" si="23"/>
        <v>Jabrane</v>
      </c>
      <c r="H462" s="2" t="str">
        <f t="shared" si="21"/>
        <v>Y</v>
      </c>
      <c r="I462" s="2" t="s">
        <v>2799</v>
      </c>
      <c r="K462" s="2" t="s">
        <v>1775</v>
      </c>
      <c r="L462" t="s">
        <v>1793</v>
      </c>
      <c r="M462" s="2" t="s">
        <v>880</v>
      </c>
      <c r="N462" t="s">
        <v>2799</v>
      </c>
      <c r="O462" s="2" t="s">
        <v>57</v>
      </c>
    </row>
    <row r="463" spans="1:15">
      <c r="A463" t="s">
        <v>93</v>
      </c>
      <c r="B463" t="s">
        <v>66</v>
      </c>
      <c r="C463" t="s">
        <v>880</v>
      </c>
      <c r="E463" s="2" t="str">
        <f t="shared" si="22"/>
        <v>Abderrazak</v>
      </c>
      <c r="F463" s="2" t="str">
        <f t="shared" si="23"/>
        <v>Hamdallah</v>
      </c>
      <c r="H463" s="2" t="str">
        <f t="shared" si="21"/>
        <v>A</v>
      </c>
      <c r="I463" s="2" t="s">
        <v>2800</v>
      </c>
      <c r="K463" s="2" t="s">
        <v>1794</v>
      </c>
      <c r="L463" t="s">
        <v>1795</v>
      </c>
      <c r="M463" s="2" t="s">
        <v>880</v>
      </c>
      <c r="N463" t="s">
        <v>2800</v>
      </c>
      <c r="O463" s="2" t="s">
        <v>66</v>
      </c>
    </row>
    <row r="464" spans="1:15">
      <c r="A464" t="s">
        <v>94</v>
      </c>
      <c r="B464" t="s">
        <v>66</v>
      </c>
      <c r="C464" s="2" t="s">
        <v>880</v>
      </c>
      <c r="E464" s="2" t="str">
        <f t="shared" si="22"/>
        <v>Anass</v>
      </c>
      <c r="F464" s="2" t="str">
        <f t="shared" si="23"/>
        <v>Zaroury</v>
      </c>
      <c r="H464" s="2" t="str">
        <f t="shared" si="21"/>
        <v>A</v>
      </c>
      <c r="I464" s="2" t="s">
        <v>2801</v>
      </c>
      <c r="K464" s="2" t="s">
        <v>1796</v>
      </c>
      <c r="L464" t="s">
        <v>1797</v>
      </c>
      <c r="M464" s="2" t="s">
        <v>880</v>
      </c>
      <c r="N464" t="s">
        <v>2801</v>
      </c>
      <c r="O464" s="2" t="s">
        <v>66</v>
      </c>
    </row>
    <row r="465" spans="1:15">
      <c r="A465" t="s">
        <v>95</v>
      </c>
      <c r="B465" t="s">
        <v>66</v>
      </c>
      <c r="C465" s="2" t="s">
        <v>880</v>
      </c>
      <c r="E465" s="2" t="str">
        <f t="shared" si="22"/>
        <v>Zakaria</v>
      </c>
      <c r="F465" s="2" t="str">
        <f t="shared" si="23"/>
        <v>Aboukhlal</v>
      </c>
      <c r="H465" s="2" t="str">
        <f t="shared" si="21"/>
        <v>Z</v>
      </c>
      <c r="I465" s="2" t="s">
        <v>2802</v>
      </c>
      <c r="K465" s="2" t="s">
        <v>1798</v>
      </c>
      <c r="L465" t="s">
        <v>1799</v>
      </c>
      <c r="M465" s="2" t="s">
        <v>880</v>
      </c>
      <c r="N465" t="s">
        <v>2802</v>
      </c>
      <c r="O465" s="2" t="s">
        <v>66</v>
      </c>
    </row>
    <row r="466" spans="1:15">
      <c r="A466" t="s">
        <v>96</v>
      </c>
      <c r="B466" t="s">
        <v>66</v>
      </c>
      <c r="C466" s="2" t="s">
        <v>880</v>
      </c>
      <c r="E466" s="2" t="str">
        <f t="shared" si="22"/>
        <v>Abde</v>
      </c>
      <c r="F466" s="2" t="str">
        <f t="shared" si="23"/>
        <v>Ez</v>
      </c>
      <c r="H466" s="2" t="str">
        <f t="shared" si="21"/>
        <v>A</v>
      </c>
      <c r="I466" s="2" t="s">
        <v>2803</v>
      </c>
      <c r="K466" s="2" t="s">
        <v>1800</v>
      </c>
      <c r="L466" t="s">
        <v>1801</v>
      </c>
      <c r="M466" s="2" t="s">
        <v>880</v>
      </c>
      <c r="N466" t="s">
        <v>2803</v>
      </c>
      <c r="O466" s="2" t="s">
        <v>66</v>
      </c>
    </row>
    <row r="467" spans="1:15">
      <c r="A467" t="s">
        <v>97</v>
      </c>
      <c r="B467" t="s">
        <v>66</v>
      </c>
      <c r="C467" s="2" t="s">
        <v>880</v>
      </c>
      <c r="E467" s="2" t="str">
        <f t="shared" si="22"/>
        <v>Sofiane</v>
      </c>
      <c r="F467" s="2" t="str">
        <f t="shared" si="23"/>
        <v>Boufal</v>
      </c>
      <c r="H467" s="2" t="str">
        <f t="shared" si="21"/>
        <v>S</v>
      </c>
      <c r="I467" s="2" t="s">
        <v>2804</v>
      </c>
      <c r="K467" s="2" t="s">
        <v>1802</v>
      </c>
      <c r="L467" t="s">
        <v>1803</v>
      </c>
      <c r="M467" s="2" t="s">
        <v>880</v>
      </c>
      <c r="N467" t="s">
        <v>2804</v>
      </c>
      <c r="O467" s="2" t="s">
        <v>66</v>
      </c>
    </row>
    <row r="468" spans="1:15">
      <c r="A468" t="s">
        <v>98</v>
      </c>
      <c r="B468" t="s">
        <v>66</v>
      </c>
      <c r="C468" s="2" t="s">
        <v>880</v>
      </c>
      <c r="E468" s="2" t="str">
        <f t="shared" si="22"/>
        <v>Youssef</v>
      </c>
      <c r="F468" s="2" t="str">
        <f t="shared" si="23"/>
        <v>En-Nesyri</v>
      </c>
      <c r="H468" s="2" t="str">
        <f t="shared" si="21"/>
        <v>Y</v>
      </c>
      <c r="I468" s="2" t="s">
        <v>2805</v>
      </c>
      <c r="K468" s="2" t="s">
        <v>1804</v>
      </c>
      <c r="L468" t="s">
        <v>1805</v>
      </c>
      <c r="M468" s="2" t="s">
        <v>880</v>
      </c>
      <c r="N468" t="s">
        <v>2805</v>
      </c>
      <c r="O468" s="2" t="s">
        <v>66</v>
      </c>
    </row>
    <row r="469" spans="1:15">
      <c r="A469" t="s">
        <v>99</v>
      </c>
      <c r="B469" t="s">
        <v>66</v>
      </c>
      <c r="C469" s="2" t="s">
        <v>880</v>
      </c>
      <c r="E469" s="2" t="str">
        <f t="shared" si="22"/>
        <v>Walid</v>
      </c>
      <c r="F469" s="2" t="str">
        <f t="shared" si="23"/>
        <v>Cheddira</v>
      </c>
      <c r="H469" s="2" t="str">
        <f t="shared" si="21"/>
        <v>W</v>
      </c>
      <c r="I469" s="2" t="s">
        <v>2806</v>
      </c>
      <c r="K469" s="2" t="s">
        <v>1806</v>
      </c>
      <c r="L469" t="s">
        <v>1807</v>
      </c>
      <c r="M469" s="2" t="s">
        <v>880</v>
      </c>
      <c r="N469" t="s">
        <v>2806</v>
      </c>
      <c r="O469" s="2" t="s">
        <v>66</v>
      </c>
    </row>
    <row r="470" spans="1:15">
      <c r="A470" t="s">
        <v>100</v>
      </c>
      <c r="B470" t="s">
        <v>44</v>
      </c>
      <c r="C470" s="2" t="s">
        <v>881</v>
      </c>
      <c r="E470" s="2" t="str">
        <f t="shared" si="22"/>
        <v>Remko</v>
      </c>
      <c r="F470" s="2" t="str">
        <f t="shared" si="23"/>
        <v>Pasveer</v>
      </c>
      <c r="H470" s="2" t="str">
        <f t="shared" si="21"/>
        <v>R</v>
      </c>
      <c r="I470" s="2" t="s">
        <v>2807</v>
      </c>
      <c r="K470" s="2" t="s">
        <v>1808</v>
      </c>
      <c r="L470" t="s">
        <v>1809</v>
      </c>
      <c r="M470" s="2" t="s">
        <v>881</v>
      </c>
      <c r="N470" t="s">
        <v>2807</v>
      </c>
      <c r="O470" s="2" t="s">
        <v>44</v>
      </c>
    </row>
    <row r="471" spans="1:15">
      <c r="A471" t="s">
        <v>101</v>
      </c>
      <c r="B471" t="s">
        <v>44</v>
      </c>
      <c r="C471" s="2" t="s">
        <v>881</v>
      </c>
      <c r="E471" s="2" t="str">
        <f t="shared" si="22"/>
        <v>Justin</v>
      </c>
      <c r="F471" s="2" t="str">
        <f t="shared" si="23"/>
        <v>Bijlow</v>
      </c>
      <c r="H471" s="2" t="str">
        <f t="shared" si="21"/>
        <v>J</v>
      </c>
      <c r="I471" s="2" t="s">
        <v>2808</v>
      </c>
      <c r="K471" s="2" t="s">
        <v>1810</v>
      </c>
      <c r="L471" t="s">
        <v>1811</v>
      </c>
      <c r="M471" s="2" t="s">
        <v>881</v>
      </c>
      <c r="N471" t="s">
        <v>2808</v>
      </c>
      <c r="O471" s="2" t="s">
        <v>44</v>
      </c>
    </row>
    <row r="472" spans="1:15">
      <c r="A472" t="s">
        <v>102</v>
      </c>
      <c r="B472" t="s">
        <v>44</v>
      </c>
      <c r="C472" s="2" t="s">
        <v>881</v>
      </c>
      <c r="E472" s="2" t="str">
        <f t="shared" si="22"/>
        <v>Andries</v>
      </c>
      <c r="F472" s="2" t="str">
        <f t="shared" si="23"/>
        <v>Noppert</v>
      </c>
      <c r="H472" s="2" t="str">
        <f t="shared" si="21"/>
        <v>A</v>
      </c>
      <c r="I472" s="2" t="s">
        <v>2809</v>
      </c>
      <c r="K472" s="2" t="s">
        <v>1812</v>
      </c>
      <c r="L472" t="s">
        <v>1813</v>
      </c>
      <c r="M472" s="2" t="s">
        <v>881</v>
      </c>
      <c r="N472" t="s">
        <v>2809</v>
      </c>
      <c r="O472" s="2" t="s">
        <v>44</v>
      </c>
    </row>
    <row r="473" spans="1:15">
      <c r="A473" t="s">
        <v>103</v>
      </c>
      <c r="B473" t="s">
        <v>48</v>
      </c>
      <c r="C473" s="2" t="s">
        <v>881</v>
      </c>
      <c r="E473" s="2" t="str">
        <f t="shared" si="22"/>
        <v>Jurriën</v>
      </c>
      <c r="F473" s="2" t="str">
        <f t="shared" si="23"/>
        <v>Timber</v>
      </c>
      <c r="H473" s="2" t="str">
        <f t="shared" si="21"/>
        <v>J</v>
      </c>
      <c r="I473" s="2" t="s">
        <v>2810</v>
      </c>
      <c r="K473" s="2" t="s">
        <v>1814</v>
      </c>
      <c r="L473" t="s">
        <v>1815</v>
      </c>
      <c r="M473" s="2" t="s">
        <v>881</v>
      </c>
      <c r="N473" t="s">
        <v>2810</v>
      </c>
      <c r="O473" s="2" t="s">
        <v>48</v>
      </c>
    </row>
    <row r="474" spans="1:15">
      <c r="A474" t="s">
        <v>104</v>
      </c>
      <c r="B474" t="s">
        <v>48</v>
      </c>
      <c r="C474" s="2" t="s">
        <v>881</v>
      </c>
      <c r="E474" s="2" t="str">
        <f t="shared" si="22"/>
        <v>Matthijs</v>
      </c>
      <c r="F474" s="2" t="str">
        <f t="shared" si="23"/>
        <v>de Ligt</v>
      </c>
      <c r="H474" s="2" t="str">
        <f t="shared" si="21"/>
        <v>M</v>
      </c>
      <c r="I474" s="2" t="s">
        <v>2811</v>
      </c>
      <c r="K474" s="2" t="s">
        <v>1816</v>
      </c>
      <c r="L474" t="s">
        <v>1817</v>
      </c>
      <c r="M474" s="2" t="s">
        <v>881</v>
      </c>
      <c r="N474" t="s">
        <v>2811</v>
      </c>
      <c r="O474" s="2" t="s">
        <v>48</v>
      </c>
    </row>
    <row r="475" spans="1:15">
      <c r="A475" t="s">
        <v>105</v>
      </c>
      <c r="B475" t="s">
        <v>48</v>
      </c>
      <c r="C475" s="2" t="s">
        <v>881</v>
      </c>
      <c r="E475" s="2" t="str">
        <f t="shared" si="22"/>
        <v>Virgil</v>
      </c>
      <c r="F475" s="2" t="str">
        <f t="shared" si="23"/>
        <v>van Dijk</v>
      </c>
      <c r="H475" s="2" t="str">
        <f t="shared" si="21"/>
        <v>V</v>
      </c>
      <c r="I475" s="2" t="s">
        <v>2812</v>
      </c>
      <c r="K475" s="2" t="s">
        <v>1818</v>
      </c>
      <c r="L475" t="s">
        <v>1819</v>
      </c>
      <c r="M475" s="2" t="s">
        <v>881</v>
      </c>
      <c r="N475" t="s">
        <v>2812</v>
      </c>
      <c r="O475" s="2" t="s">
        <v>48</v>
      </c>
    </row>
    <row r="476" spans="1:15">
      <c r="A476" t="s">
        <v>106</v>
      </c>
      <c r="B476" t="s">
        <v>48</v>
      </c>
      <c r="C476" s="2" t="s">
        <v>881</v>
      </c>
      <c r="E476" s="2" t="str">
        <f t="shared" si="22"/>
        <v>Nathan</v>
      </c>
      <c r="F476" s="2" t="str">
        <f t="shared" si="23"/>
        <v>Aké</v>
      </c>
      <c r="H476" s="2" t="str">
        <f t="shared" si="21"/>
        <v>N</v>
      </c>
      <c r="I476" s="2" t="s">
        <v>2813</v>
      </c>
      <c r="K476" s="2" t="s">
        <v>1820</v>
      </c>
      <c r="L476" t="s">
        <v>1821</v>
      </c>
      <c r="M476" s="2" t="s">
        <v>881</v>
      </c>
      <c r="N476" t="s">
        <v>2813</v>
      </c>
      <c r="O476" s="2" t="s">
        <v>48</v>
      </c>
    </row>
    <row r="477" spans="1:15">
      <c r="A477" t="s">
        <v>107</v>
      </c>
      <c r="B477" t="s">
        <v>48</v>
      </c>
      <c r="C477" s="2" t="s">
        <v>881</v>
      </c>
      <c r="E477" s="2" t="str">
        <f t="shared" si="22"/>
        <v>Stefan</v>
      </c>
      <c r="F477" s="2" t="str">
        <f t="shared" si="23"/>
        <v>de Vrij</v>
      </c>
      <c r="H477" s="2" t="str">
        <f t="shared" si="21"/>
        <v>S</v>
      </c>
      <c r="I477" s="2" t="s">
        <v>2814</v>
      </c>
      <c r="K477" s="2" t="s">
        <v>1822</v>
      </c>
      <c r="L477" t="s">
        <v>1823</v>
      </c>
      <c r="M477" s="2" t="s">
        <v>881</v>
      </c>
      <c r="N477" t="s">
        <v>2814</v>
      </c>
      <c r="O477" s="2" t="s">
        <v>48</v>
      </c>
    </row>
    <row r="478" spans="1:15">
      <c r="A478" t="s">
        <v>108</v>
      </c>
      <c r="B478" t="s">
        <v>48</v>
      </c>
      <c r="C478" s="2" t="s">
        <v>881</v>
      </c>
      <c r="E478" s="2" t="str">
        <f t="shared" si="22"/>
        <v>Tyrell</v>
      </c>
      <c r="F478" s="2" t="str">
        <f t="shared" si="23"/>
        <v>Malacia</v>
      </c>
      <c r="H478" s="2" t="str">
        <f t="shared" si="21"/>
        <v>T</v>
      </c>
      <c r="I478" s="2" t="s">
        <v>2815</v>
      </c>
      <c r="K478" s="2" t="s">
        <v>1824</v>
      </c>
      <c r="L478" t="s">
        <v>1825</v>
      </c>
      <c r="M478" s="2" t="s">
        <v>881</v>
      </c>
      <c r="N478" t="s">
        <v>2815</v>
      </c>
      <c r="O478" s="2" t="s">
        <v>48</v>
      </c>
    </row>
    <row r="479" spans="1:15">
      <c r="A479" t="s">
        <v>109</v>
      </c>
      <c r="B479" t="s">
        <v>48</v>
      </c>
      <c r="C479" s="2" t="s">
        <v>881</v>
      </c>
      <c r="E479" s="2" t="str">
        <f t="shared" si="22"/>
        <v>Daley</v>
      </c>
      <c r="F479" s="2" t="str">
        <f t="shared" si="23"/>
        <v>Blind</v>
      </c>
      <c r="H479" s="2" t="str">
        <f t="shared" si="21"/>
        <v>D</v>
      </c>
      <c r="I479" s="2" t="s">
        <v>2816</v>
      </c>
      <c r="K479" s="2" t="s">
        <v>1826</v>
      </c>
      <c r="L479" t="s">
        <v>1827</v>
      </c>
      <c r="M479" s="2" t="s">
        <v>881</v>
      </c>
      <c r="N479" t="s">
        <v>2816</v>
      </c>
      <c r="O479" s="2" t="s">
        <v>48</v>
      </c>
    </row>
    <row r="480" spans="1:15">
      <c r="A480" t="s">
        <v>110</v>
      </c>
      <c r="B480" t="s">
        <v>48</v>
      </c>
      <c r="C480" s="2" t="s">
        <v>881</v>
      </c>
      <c r="E480" s="2" t="str">
        <f t="shared" si="22"/>
        <v>Denzel</v>
      </c>
      <c r="F480" s="2" t="str">
        <f t="shared" si="23"/>
        <v>Dumfries</v>
      </c>
      <c r="H480" s="2" t="str">
        <f t="shared" si="21"/>
        <v>D</v>
      </c>
      <c r="I480" s="2" t="s">
        <v>2817</v>
      </c>
      <c r="K480" s="2" t="s">
        <v>1828</v>
      </c>
      <c r="L480" t="s">
        <v>1829</v>
      </c>
      <c r="M480" s="2" t="s">
        <v>881</v>
      </c>
      <c r="N480" t="s">
        <v>2817</v>
      </c>
      <c r="O480" s="2" t="s">
        <v>48</v>
      </c>
    </row>
    <row r="481" spans="1:15">
      <c r="A481" t="s">
        <v>111</v>
      </c>
      <c r="B481" t="s">
        <v>48</v>
      </c>
      <c r="C481" s="2" t="s">
        <v>881</v>
      </c>
      <c r="E481" s="2" t="str">
        <f t="shared" si="22"/>
        <v>Jeremie</v>
      </c>
      <c r="F481" s="2" t="str">
        <f t="shared" si="23"/>
        <v>Frimpong</v>
      </c>
      <c r="H481" s="2" t="str">
        <f t="shared" si="21"/>
        <v>J</v>
      </c>
      <c r="I481" s="2" t="s">
        <v>2818</v>
      </c>
      <c r="K481" s="2" t="s">
        <v>1830</v>
      </c>
      <c r="L481" t="s">
        <v>1831</v>
      </c>
      <c r="M481" s="2" t="s">
        <v>881</v>
      </c>
      <c r="N481" t="s">
        <v>2818</v>
      </c>
      <c r="O481" s="2" t="s">
        <v>48</v>
      </c>
    </row>
    <row r="482" spans="1:15">
      <c r="A482" t="s">
        <v>112</v>
      </c>
      <c r="B482" t="s">
        <v>57</v>
      </c>
      <c r="C482" s="2" t="s">
        <v>881</v>
      </c>
      <c r="E482" s="2" t="str">
        <f t="shared" si="22"/>
        <v>Noa</v>
      </c>
      <c r="F482" s="2" t="str">
        <f t="shared" si="23"/>
        <v>Lang</v>
      </c>
      <c r="H482" s="2" t="str">
        <f t="shared" si="21"/>
        <v>N</v>
      </c>
      <c r="I482" s="2" t="s">
        <v>2819</v>
      </c>
      <c r="K482" s="2" t="s">
        <v>1832</v>
      </c>
      <c r="L482" t="s">
        <v>1833</v>
      </c>
      <c r="M482" s="2" t="s">
        <v>881</v>
      </c>
      <c r="N482" t="s">
        <v>2819</v>
      </c>
      <c r="O482" s="2" t="s">
        <v>57</v>
      </c>
    </row>
    <row r="483" spans="1:15">
      <c r="A483" t="s">
        <v>113</v>
      </c>
      <c r="B483" t="s">
        <v>57</v>
      </c>
      <c r="C483" s="2" t="s">
        <v>881</v>
      </c>
      <c r="E483" s="2" t="str">
        <f t="shared" si="22"/>
        <v>Davy</v>
      </c>
      <c r="F483" s="2" t="str">
        <f t="shared" si="23"/>
        <v>Klaassen</v>
      </c>
      <c r="H483" s="2" t="str">
        <f t="shared" si="21"/>
        <v>D</v>
      </c>
      <c r="I483" s="2" t="s">
        <v>928</v>
      </c>
      <c r="K483" s="2" t="s">
        <v>1834</v>
      </c>
      <c r="L483" t="s">
        <v>1835</v>
      </c>
      <c r="M483" s="2" t="s">
        <v>881</v>
      </c>
      <c r="N483" t="s">
        <v>928</v>
      </c>
      <c r="O483" s="2" t="s">
        <v>57</v>
      </c>
    </row>
    <row r="484" spans="1:15">
      <c r="A484" t="s">
        <v>114</v>
      </c>
      <c r="B484" t="s">
        <v>57</v>
      </c>
      <c r="C484" s="2" t="s">
        <v>881</v>
      </c>
      <c r="E484" s="2" t="str">
        <f t="shared" si="22"/>
        <v>Marten</v>
      </c>
      <c r="F484" s="2" t="str">
        <f t="shared" si="23"/>
        <v>de Roon</v>
      </c>
      <c r="H484" s="2" t="str">
        <f t="shared" si="21"/>
        <v>M</v>
      </c>
      <c r="I484" s="2" t="s">
        <v>2820</v>
      </c>
      <c r="K484" s="2" t="s">
        <v>1836</v>
      </c>
      <c r="L484" t="s">
        <v>1837</v>
      </c>
      <c r="M484" s="2" t="s">
        <v>881</v>
      </c>
      <c r="N484" t="s">
        <v>2820</v>
      </c>
      <c r="O484" s="2" t="s">
        <v>57</v>
      </c>
    </row>
    <row r="485" spans="1:15">
      <c r="A485" t="s">
        <v>115</v>
      </c>
      <c r="B485" t="s">
        <v>57</v>
      </c>
      <c r="C485" s="2" t="s">
        <v>881</v>
      </c>
      <c r="E485" s="2" t="str">
        <f t="shared" si="22"/>
        <v>Teun</v>
      </c>
      <c r="F485" s="2" t="str">
        <f t="shared" si="23"/>
        <v>Koopmeiners</v>
      </c>
      <c r="H485" s="2" t="str">
        <f t="shared" si="21"/>
        <v>T</v>
      </c>
      <c r="I485" s="2" t="s">
        <v>2821</v>
      </c>
      <c r="K485" s="2" t="s">
        <v>1838</v>
      </c>
      <c r="L485" t="s">
        <v>1839</v>
      </c>
      <c r="M485" s="2" t="s">
        <v>881</v>
      </c>
      <c r="N485" t="s">
        <v>2821</v>
      </c>
      <c r="O485" s="2" t="s">
        <v>57</v>
      </c>
    </row>
    <row r="486" spans="1:15">
      <c r="A486" t="s">
        <v>116</v>
      </c>
      <c r="B486" t="s">
        <v>57</v>
      </c>
      <c r="C486" s="2" t="s">
        <v>881</v>
      </c>
      <c r="E486" s="2" t="str">
        <f t="shared" si="22"/>
        <v>Frenkie</v>
      </c>
      <c r="F486" s="2" t="str">
        <f t="shared" si="23"/>
        <v>de Jong</v>
      </c>
      <c r="H486" s="2" t="str">
        <f t="shared" si="21"/>
        <v>F</v>
      </c>
      <c r="I486" s="2" t="s">
        <v>2822</v>
      </c>
      <c r="K486" s="2" t="s">
        <v>1840</v>
      </c>
      <c r="L486" t="s">
        <v>1841</v>
      </c>
      <c r="M486" s="2" t="s">
        <v>881</v>
      </c>
      <c r="N486" t="s">
        <v>2822</v>
      </c>
      <c r="O486" s="2" t="s">
        <v>57</v>
      </c>
    </row>
    <row r="487" spans="1:15">
      <c r="A487" t="s">
        <v>117</v>
      </c>
      <c r="B487" t="s">
        <v>57</v>
      </c>
      <c r="C487" s="2" t="s">
        <v>881</v>
      </c>
      <c r="E487" s="2" t="str">
        <f t="shared" si="22"/>
        <v>Kenneth</v>
      </c>
      <c r="F487" s="2" t="str">
        <f t="shared" si="23"/>
        <v>Taylor</v>
      </c>
      <c r="H487" s="2" t="str">
        <f t="shared" si="21"/>
        <v>K</v>
      </c>
      <c r="I487" s="2" t="s">
        <v>2823</v>
      </c>
      <c r="K487" s="2" t="s">
        <v>1842</v>
      </c>
      <c r="L487" t="s">
        <v>1843</v>
      </c>
      <c r="M487" s="2" t="s">
        <v>881</v>
      </c>
      <c r="N487" t="s">
        <v>2823</v>
      </c>
      <c r="O487" s="2" t="s">
        <v>57</v>
      </c>
    </row>
    <row r="488" spans="1:15">
      <c r="A488" t="s">
        <v>118</v>
      </c>
      <c r="B488" t="s">
        <v>57</v>
      </c>
      <c r="C488" s="2" t="s">
        <v>881</v>
      </c>
      <c r="E488" s="2" t="str">
        <f t="shared" si="22"/>
        <v>Xavi</v>
      </c>
      <c r="F488" s="2" t="str">
        <f t="shared" si="23"/>
        <v>Simons</v>
      </c>
      <c r="H488" s="2" t="str">
        <f t="shared" si="21"/>
        <v>X</v>
      </c>
      <c r="I488" s="2" t="s">
        <v>2824</v>
      </c>
      <c r="K488" s="2" t="s">
        <v>1844</v>
      </c>
      <c r="L488" t="s">
        <v>1845</v>
      </c>
      <c r="M488" s="2" t="s">
        <v>881</v>
      </c>
      <c r="N488" t="s">
        <v>2824</v>
      </c>
      <c r="O488" s="2" t="s">
        <v>57</v>
      </c>
    </row>
    <row r="489" spans="1:15">
      <c r="A489" t="s">
        <v>119</v>
      </c>
      <c r="B489" t="s">
        <v>66</v>
      </c>
      <c r="C489" t="s">
        <v>881</v>
      </c>
      <c r="E489" s="2" t="str">
        <f t="shared" si="22"/>
        <v>Steven</v>
      </c>
      <c r="F489" s="2" t="str">
        <f t="shared" si="23"/>
        <v>Bergwijn</v>
      </c>
      <c r="H489" s="2" t="str">
        <f t="shared" si="21"/>
        <v>S</v>
      </c>
      <c r="I489" s="2" t="s">
        <v>2825</v>
      </c>
      <c r="K489" s="2" t="s">
        <v>1239</v>
      </c>
      <c r="L489" t="s">
        <v>1846</v>
      </c>
      <c r="M489" s="2" t="s">
        <v>881</v>
      </c>
      <c r="N489" t="s">
        <v>2825</v>
      </c>
      <c r="O489" s="2" t="s">
        <v>66</v>
      </c>
    </row>
    <row r="490" spans="1:15">
      <c r="A490" t="s">
        <v>120</v>
      </c>
      <c r="B490" t="s">
        <v>66</v>
      </c>
      <c r="C490" t="s">
        <v>881</v>
      </c>
      <c r="E490" s="2" t="str">
        <f t="shared" si="22"/>
        <v>Cody</v>
      </c>
      <c r="F490" s="2" t="str">
        <f t="shared" si="23"/>
        <v>Gakpo</v>
      </c>
      <c r="H490" s="2" t="str">
        <f t="shared" si="21"/>
        <v>C</v>
      </c>
      <c r="I490" s="2" t="s">
        <v>927</v>
      </c>
      <c r="K490" s="2" t="s">
        <v>1847</v>
      </c>
      <c r="L490" t="s">
        <v>1848</v>
      </c>
      <c r="M490" s="2" t="s">
        <v>881</v>
      </c>
      <c r="N490" t="s">
        <v>927</v>
      </c>
      <c r="O490" s="2" t="s">
        <v>66</v>
      </c>
    </row>
    <row r="491" spans="1:15">
      <c r="A491" t="s">
        <v>121</v>
      </c>
      <c r="B491" t="s">
        <v>66</v>
      </c>
      <c r="C491" s="2" t="s">
        <v>881</v>
      </c>
      <c r="E491" s="2" t="str">
        <f t="shared" si="22"/>
        <v>Luuk</v>
      </c>
      <c r="F491" s="2" t="str">
        <f t="shared" si="23"/>
        <v>de Jong</v>
      </c>
      <c r="H491" s="2" t="str">
        <f t="shared" si="21"/>
        <v>L</v>
      </c>
      <c r="I491" s="2" t="s">
        <v>2826</v>
      </c>
      <c r="K491" s="2" t="s">
        <v>1849</v>
      </c>
      <c r="L491" t="s">
        <v>1841</v>
      </c>
      <c r="M491" s="2" t="s">
        <v>881</v>
      </c>
      <c r="N491" t="s">
        <v>2826</v>
      </c>
      <c r="O491" s="2" t="s">
        <v>66</v>
      </c>
    </row>
    <row r="492" spans="1:15">
      <c r="A492" t="s">
        <v>122</v>
      </c>
      <c r="B492" t="s">
        <v>66</v>
      </c>
      <c r="C492" s="2" t="s">
        <v>881</v>
      </c>
      <c r="E492" s="2" t="str">
        <f t="shared" si="22"/>
        <v>Memphis</v>
      </c>
      <c r="F492" s="2" t="str">
        <f t="shared" si="23"/>
        <v>Depay</v>
      </c>
      <c r="H492" s="2" t="str">
        <f t="shared" si="21"/>
        <v>M</v>
      </c>
      <c r="I492" s="2" t="s">
        <v>2827</v>
      </c>
      <c r="K492" s="2" t="s">
        <v>1850</v>
      </c>
      <c r="L492" t="s">
        <v>1851</v>
      </c>
      <c r="M492" s="2" t="s">
        <v>881</v>
      </c>
      <c r="N492" t="s">
        <v>2827</v>
      </c>
      <c r="O492" s="2" t="s">
        <v>66</v>
      </c>
    </row>
    <row r="493" spans="1:15">
      <c r="A493" t="s">
        <v>123</v>
      </c>
      <c r="B493" t="s">
        <v>66</v>
      </c>
      <c r="C493" s="2" t="s">
        <v>881</v>
      </c>
      <c r="E493" s="2" t="str">
        <f t="shared" si="22"/>
        <v>Steven</v>
      </c>
      <c r="F493" s="2" t="str">
        <f t="shared" si="23"/>
        <v>Berghuis</v>
      </c>
      <c r="H493" s="2" t="str">
        <f t="shared" si="21"/>
        <v>S</v>
      </c>
      <c r="I493" s="2" t="s">
        <v>2828</v>
      </c>
      <c r="K493" s="2" t="s">
        <v>1239</v>
      </c>
      <c r="L493" t="s">
        <v>1852</v>
      </c>
      <c r="M493" s="2" t="s">
        <v>881</v>
      </c>
      <c r="N493" t="s">
        <v>2828</v>
      </c>
      <c r="O493" s="2" t="s">
        <v>66</v>
      </c>
    </row>
    <row r="494" spans="1:15">
      <c r="A494" t="s">
        <v>124</v>
      </c>
      <c r="B494" t="s">
        <v>66</v>
      </c>
      <c r="C494" s="2" t="s">
        <v>881</v>
      </c>
      <c r="E494" s="2" t="str">
        <f t="shared" si="22"/>
        <v>Vincent</v>
      </c>
      <c r="F494" s="2" t="str">
        <f t="shared" si="23"/>
        <v>Janssen</v>
      </c>
      <c r="H494" s="2" t="str">
        <f t="shared" si="21"/>
        <v>V</v>
      </c>
      <c r="I494" s="2" t="s">
        <v>2829</v>
      </c>
      <c r="K494" s="2" t="s">
        <v>1217</v>
      </c>
      <c r="L494" t="s">
        <v>1853</v>
      </c>
      <c r="M494" s="2" t="s">
        <v>881</v>
      </c>
      <c r="N494" t="s">
        <v>2829</v>
      </c>
      <c r="O494" s="2" t="s">
        <v>66</v>
      </c>
    </row>
    <row r="495" spans="1:15">
      <c r="A495" t="s">
        <v>125</v>
      </c>
      <c r="B495" t="s">
        <v>66</v>
      </c>
      <c r="C495" s="2" t="s">
        <v>881</v>
      </c>
      <c r="E495" s="2" t="str">
        <f t="shared" si="22"/>
        <v>Wout</v>
      </c>
      <c r="F495" s="2" t="str">
        <f t="shared" si="23"/>
        <v>Weghorst</v>
      </c>
      <c r="H495" s="2" t="str">
        <f t="shared" si="21"/>
        <v>W</v>
      </c>
      <c r="I495" s="2" t="s">
        <v>2830</v>
      </c>
      <c r="K495" s="2" t="s">
        <v>1121</v>
      </c>
      <c r="L495" t="s">
        <v>1854</v>
      </c>
      <c r="M495" s="2" t="s">
        <v>881</v>
      </c>
      <c r="N495" t="s">
        <v>2830</v>
      </c>
      <c r="O495" s="2" t="s">
        <v>66</v>
      </c>
    </row>
    <row r="496" spans="1:15">
      <c r="A496" t="s">
        <v>126</v>
      </c>
      <c r="B496" t="s">
        <v>44</v>
      </c>
      <c r="C496" s="2" t="s">
        <v>882</v>
      </c>
      <c r="E496" s="2" t="str">
        <f t="shared" si="22"/>
        <v>Wojciech</v>
      </c>
      <c r="F496" s="2" t="str">
        <f t="shared" si="23"/>
        <v>Szczesny</v>
      </c>
      <c r="H496" s="2" t="str">
        <f t="shared" si="21"/>
        <v>W</v>
      </c>
      <c r="I496" s="2" t="s">
        <v>2831</v>
      </c>
      <c r="K496" s="2" t="s">
        <v>1855</v>
      </c>
      <c r="L496" t="s">
        <v>1856</v>
      </c>
      <c r="M496" s="2" t="s">
        <v>882</v>
      </c>
      <c r="N496" t="s">
        <v>2831</v>
      </c>
      <c r="O496" s="2" t="s">
        <v>44</v>
      </c>
    </row>
    <row r="497" spans="1:15">
      <c r="A497" t="s">
        <v>127</v>
      </c>
      <c r="B497" t="s">
        <v>44</v>
      </c>
      <c r="C497" s="2" t="s">
        <v>882</v>
      </c>
      <c r="E497" s="2" t="str">
        <f t="shared" si="22"/>
        <v>Lukasz</v>
      </c>
      <c r="F497" s="2" t="str">
        <f t="shared" si="23"/>
        <v>Skorupski</v>
      </c>
      <c r="H497" s="2" t="str">
        <f t="shared" si="21"/>
        <v>L</v>
      </c>
      <c r="I497" s="2" t="s">
        <v>2832</v>
      </c>
      <c r="K497" s="2" t="s">
        <v>1857</v>
      </c>
      <c r="L497" t="s">
        <v>1858</v>
      </c>
      <c r="M497" s="2" t="s">
        <v>882</v>
      </c>
      <c r="N497" t="s">
        <v>2832</v>
      </c>
      <c r="O497" s="2" t="s">
        <v>44</v>
      </c>
    </row>
    <row r="498" spans="1:15">
      <c r="A498" t="s">
        <v>128</v>
      </c>
      <c r="B498" t="s">
        <v>44</v>
      </c>
      <c r="C498" s="2" t="s">
        <v>882</v>
      </c>
      <c r="E498" s="2" t="str">
        <f t="shared" si="22"/>
        <v>Kamil</v>
      </c>
      <c r="F498" s="2" t="str">
        <f t="shared" si="23"/>
        <v>Grabara</v>
      </c>
      <c r="H498" s="2" t="str">
        <f t="shared" si="21"/>
        <v>K</v>
      </c>
      <c r="I498" s="2" t="s">
        <v>2833</v>
      </c>
      <c r="K498" s="2" t="s">
        <v>1859</v>
      </c>
      <c r="L498" t="s">
        <v>1860</v>
      </c>
      <c r="M498" s="2" t="s">
        <v>882</v>
      </c>
      <c r="N498" t="s">
        <v>2833</v>
      </c>
      <c r="O498" s="2" t="s">
        <v>44</v>
      </c>
    </row>
    <row r="499" spans="1:15">
      <c r="A499" t="s">
        <v>129</v>
      </c>
      <c r="B499" t="s">
        <v>48</v>
      </c>
      <c r="C499" s="2" t="s">
        <v>882</v>
      </c>
      <c r="E499" s="2" t="str">
        <f t="shared" si="22"/>
        <v>Matty</v>
      </c>
      <c r="F499" s="2" t="str">
        <f t="shared" si="23"/>
        <v>Cash</v>
      </c>
      <c r="H499" s="2" t="str">
        <f t="shared" si="21"/>
        <v>M</v>
      </c>
      <c r="I499" s="2" t="s">
        <v>2834</v>
      </c>
      <c r="K499" s="2" t="s">
        <v>1861</v>
      </c>
      <c r="L499" t="s">
        <v>1862</v>
      </c>
      <c r="M499" s="2" t="s">
        <v>882</v>
      </c>
      <c r="N499" t="s">
        <v>2834</v>
      </c>
      <c r="O499" s="2" t="s">
        <v>48</v>
      </c>
    </row>
    <row r="500" spans="1:15">
      <c r="A500" t="s">
        <v>130</v>
      </c>
      <c r="B500" t="s">
        <v>48</v>
      </c>
      <c r="C500" s="2" t="s">
        <v>882</v>
      </c>
      <c r="E500" s="2" t="str">
        <f t="shared" si="22"/>
        <v>Artur</v>
      </c>
      <c r="F500" s="2" t="str">
        <f t="shared" si="23"/>
        <v>Jedrzejczyk</v>
      </c>
      <c r="H500" s="2" t="str">
        <f t="shared" si="21"/>
        <v>A</v>
      </c>
      <c r="I500" s="2" t="s">
        <v>2835</v>
      </c>
      <c r="K500" s="2" t="s">
        <v>1863</v>
      </c>
      <c r="L500" t="s">
        <v>1864</v>
      </c>
      <c r="M500" s="2" t="s">
        <v>882</v>
      </c>
      <c r="N500" t="s">
        <v>2835</v>
      </c>
      <c r="O500" s="2" t="s">
        <v>48</v>
      </c>
    </row>
    <row r="501" spans="1:15">
      <c r="A501" t="s">
        <v>131</v>
      </c>
      <c r="B501" t="s">
        <v>48</v>
      </c>
      <c r="C501" s="2" t="s">
        <v>882</v>
      </c>
      <c r="E501" s="2" t="str">
        <f t="shared" si="22"/>
        <v>Mateusz</v>
      </c>
      <c r="F501" s="2" t="str">
        <f t="shared" si="23"/>
        <v>Wieteska</v>
      </c>
      <c r="H501" s="2" t="str">
        <f t="shared" si="21"/>
        <v>M</v>
      </c>
      <c r="I501" s="2" t="s">
        <v>2836</v>
      </c>
      <c r="K501" s="2" t="s">
        <v>1865</v>
      </c>
      <c r="L501" t="s">
        <v>1866</v>
      </c>
      <c r="M501" s="2" t="s">
        <v>882</v>
      </c>
      <c r="N501" t="s">
        <v>2836</v>
      </c>
      <c r="O501" s="2" t="s">
        <v>48</v>
      </c>
    </row>
    <row r="502" spans="1:15">
      <c r="A502" t="s">
        <v>132</v>
      </c>
      <c r="B502" t="s">
        <v>48</v>
      </c>
      <c r="C502" s="2" t="s">
        <v>882</v>
      </c>
      <c r="E502" s="2" t="str">
        <f t="shared" si="22"/>
        <v>Jan</v>
      </c>
      <c r="F502" s="2" t="str">
        <f t="shared" si="23"/>
        <v>Bednarek</v>
      </c>
      <c r="H502" s="2" t="str">
        <f t="shared" si="21"/>
        <v>J</v>
      </c>
      <c r="I502" s="2" t="s">
        <v>2837</v>
      </c>
      <c r="K502" s="2" t="s">
        <v>1123</v>
      </c>
      <c r="L502" t="s">
        <v>1867</v>
      </c>
      <c r="M502" s="2" t="s">
        <v>882</v>
      </c>
      <c r="N502" t="s">
        <v>2837</v>
      </c>
      <c r="O502" s="2" t="s">
        <v>48</v>
      </c>
    </row>
    <row r="503" spans="1:15">
      <c r="A503" t="s">
        <v>133</v>
      </c>
      <c r="B503" t="s">
        <v>48</v>
      </c>
      <c r="C503" s="2" t="s">
        <v>882</v>
      </c>
      <c r="E503" s="2" t="str">
        <f t="shared" si="22"/>
        <v>Jakub</v>
      </c>
      <c r="F503" s="2" t="str">
        <f t="shared" si="23"/>
        <v>Kiwior</v>
      </c>
      <c r="H503" s="2" t="str">
        <f t="shared" si="21"/>
        <v>J</v>
      </c>
      <c r="I503" s="2" t="s">
        <v>2838</v>
      </c>
      <c r="K503" s="2" t="s">
        <v>1868</v>
      </c>
      <c r="L503" t="s">
        <v>1869</v>
      </c>
      <c r="M503" s="2" t="s">
        <v>882</v>
      </c>
      <c r="N503" t="s">
        <v>2838</v>
      </c>
      <c r="O503" s="2" t="s">
        <v>48</v>
      </c>
    </row>
    <row r="504" spans="1:15">
      <c r="A504" t="s">
        <v>134</v>
      </c>
      <c r="B504" t="s">
        <v>48</v>
      </c>
      <c r="C504" s="2" t="s">
        <v>882</v>
      </c>
      <c r="E504" s="2" t="str">
        <f t="shared" si="22"/>
        <v>Kamil</v>
      </c>
      <c r="F504" s="2" t="str">
        <f t="shared" si="23"/>
        <v>Glik</v>
      </c>
      <c r="H504" s="2" t="str">
        <f t="shared" si="21"/>
        <v>K</v>
      </c>
      <c r="I504" s="2" t="s">
        <v>2839</v>
      </c>
      <c r="K504" s="2" t="s">
        <v>1859</v>
      </c>
      <c r="L504" t="s">
        <v>1870</v>
      </c>
      <c r="M504" s="2" t="s">
        <v>882</v>
      </c>
      <c r="N504" t="s">
        <v>2839</v>
      </c>
      <c r="O504" s="2" t="s">
        <v>48</v>
      </c>
    </row>
    <row r="505" spans="1:15">
      <c r="A505" t="s">
        <v>135</v>
      </c>
      <c r="B505" t="s">
        <v>48</v>
      </c>
      <c r="C505" s="2" t="s">
        <v>882</v>
      </c>
      <c r="E505" s="2" t="str">
        <f t="shared" si="22"/>
        <v>Bartosz</v>
      </c>
      <c r="F505" s="2" t="str">
        <f t="shared" si="23"/>
        <v>Bereszynski</v>
      </c>
      <c r="H505" s="2" t="str">
        <f t="shared" si="21"/>
        <v>B</v>
      </c>
      <c r="I505" s="2" t="s">
        <v>2840</v>
      </c>
      <c r="K505" s="2" t="s">
        <v>1871</v>
      </c>
      <c r="L505" t="s">
        <v>1872</v>
      </c>
      <c r="M505" s="2" t="s">
        <v>882</v>
      </c>
      <c r="N505" t="s">
        <v>2840</v>
      </c>
      <c r="O505" s="2" t="s">
        <v>48</v>
      </c>
    </row>
    <row r="506" spans="1:15">
      <c r="A506" t="s">
        <v>136</v>
      </c>
      <c r="B506" t="s">
        <v>48</v>
      </c>
      <c r="C506" s="2" t="s">
        <v>882</v>
      </c>
      <c r="E506" s="2" t="str">
        <f t="shared" si="22"/>
        <v>Robert</v>
      </c>
      <c r="F506" s="2" t="str">
        <f t="shared" si="23"/>
        <v>Gumny</v>
      </c>
      <c r="H506" s="2" t="str">
        <f t="shared" si="21"/>
        <v>R</v>
      </c>
      <c r="I506" s="2" t="s">
        <v>2841</v>
      </c>
      <c r="K506" s="2" t="s">
        <v>1405</v>
      </c>
      <c r="L506" t="s">
        <v>1873</v>
      </c>
      <c r="M506" s="2" t="s">
        <v>882</v>
      </c>
      <c r="N506" t="s">
        <v>2841</v>
      </c>
      <c r="O506" s="2" t="s">
        <v>48</v>
      </c>
    </row>
    <row r="507" spans="1:15">
      <c r="A507" t="s">
        <v>137</v>
      </c>
      <c r="B507" t="s">
        <v>57</v>
      </c>
      <c r="C507" s="2" t="s">
        <v>882</v>
      </c>
      <c r="E507" s="2" t="str">
        <f t="shared" si="22"/>
        <v>Krystian</v>
      </c>
      <c r="F507" s="2" t="str">
        <f t="shared" si="23"/>
        <v>Bielik</v>
      </c>
      <c r="H507" s="2" t="str">
        <f t="shared" si="21"/>
        <v>K</v>
      </c>
      <c r="I507" s="2" t="s">
        <v>2842</v>
      </c>
      <c r="K507" s="2" t="s">
        <v>1874</v>
      </c>
      <c r="L507" t="s">
        <v>1875</v>
      </c>
      <c r="M507" s="2" t="s">
        <v>882</v>
      </c>
      <c r="N507" t="s">
        <v>2842</v>
      </c>
      <c r="O507" s="2" t="s">
        <v>57</v>
      </c>
    </row>
    <row r="508" spans="1:15">
      <c r="A508" t="s">
        <v>138</v>
      </c>
      <c r="B508" t="s">
        <v>57</v>
      </c>
      <c r="C508" s="2" t="s">
        <v>882</v>
      </c>
      <c r="E508" s="2" t="str">
        <f t="shared" si="22"/>
        <v>Damian</v>
      </c>
      <c r="F508" s="2" t="str">
        <f t="shared" si="23"/>
        <v>Szymanski</v>
      </c>
      <c r="H508" s="2" t="str">
        <f t="shared" si="21"/>
        <v>D</v>
      </c>
      <c r="I508" s="2" t="s">
        <v>2843</v>
      </c>
      <c r="K508" s="2" t="s">
        <v>1876</v>
      </c>
      <c r="L508" t="s">
        <v>1877</v>
      </c>
      <c r="M508" s="2" t="s">
        <v>882</v>
      </c>
      <c r="N508" t="s">
        <v>2843</v>
      </c>
      <c r="O508" s="2" t="s">
        <v>57</v>
      </c>
    </row>
    <row r="509" spans="1:15">
      <c r="A509" t="s">
        <v>139</v>
      </c>
      <c r="B509" t="s">
        <v>57</v>
      </c>
      <c r="C509" s="2" t="s">
        <v>882</v>
      </c>
      <c r="E509" s="2" t="str">
        <f t="shared" si="22"/>
        <v>Grzegorz</v>
      </c>
      <c r="F509" s="2" t="str">
        <f t="shared" si="23"/>
        <v>Krychowiak</v>
      </c>
      <c r="H509" s="2" t="str">
        <f t="shared" si="21"/>
        <v>G</v>
      </c>
      <c r="I509" s="2" t="s">
        <v>2844</v>
      </c>
      <c r="K509" s="2" t="s">
        <v>1878</v>
      </c>
      <c r="L509" t="s">
        <v>1879</v>
      </c>
      <c r="M509" s="2" t="s">
        <v>882</v>
      </c>
      <c r="N509" t="s">
        <v>2844</v>
      </c>
      <c r="O509" s="2" t="s">
        <v>57</v>
      </c>
    </row>
    <row r="510" spans="1:15">
      <c r="A510" t="s">
        <v>140</v>
      </c>
      <c r="B510" t="s">
        <v>57</v>
      </c>
      <c r="C510" s="2" t="s">
        <v>882</v>
      </c>
      <c r="E510" s="2" t="str">
        <f t="shared" si="22"/>
        <v>Kamil</v>
      </c>
      <c r="F510" s="2" t="str">
        <f t="shared" si="23"/>
        <v>Grosicki</v>
      </c>
      <c r="H510" s="2" t="str">
        <f t="shared" si="21"/>
        <v>K</v>
      </c>
      <c r="I510" s="2" t="s">
        <v>2845</v>
      </c>
      <c r="K510" s="2" t="s">
        <v>1859</v>
      </c>
      <c r="L510" t="s">
        <v>1880</v>
      </c>
      <c r="M510" s="2" t="s">
        <v>882</v>
      </c>
      <c r="N510" t="s">
        <v>2845</v>
      </c>
      <c r="O510" s="2" t="s">
        <v>57</v>
      </c>
    </row>
    <row r="511" spans="1:15">
      <c r="A511" t="s">
        <v>141</v>
      </c>
      <c r="B511" t="s">
        <v>57</v>
      </c>
      <c r="C511" s="2" t="s">
        <v>882</v>
      </c>
      <c r="E511" s="2" t="str">
        <f t="shared" si="22"/>
        <v>Jakub</v>
      </c>
      <c r="F511" s="2" t="str">
        <f t="shared" si="23"/>
        <v>Kaminski</v>
      </c>
      <c r="H511" s="2" t="str">
        <f t="shared" si="21"/>
        <v>J</v>
      </c>
      <c r="I511" s="2" t="s">
        <v>2846</v>
      </c>
      <c r="K511" s="2" t="s">
        <v>1868</v>
      </c>
      <c r="L511" t="s">
        <v>1881</v>
      </c>
      <c r="M511" s="2" t="s">
        <v>882</v>
      </c>
      <c r="N511" t="s">
        <v>2846</v>
      </c>
      <c r="O511" s="2" t="s">
        <v>57</v>
      </c>
    </row>
    <row r="512" spans="1:15">
      <c r="A512" t="s">
        <v>142</v>
      </c>
      <c r="B512" t="s">
        <v>57</v>
      </c>
      <c r="C512" s="2" t="s">
        <v>882</v>
      </c>
      <c r="E512" s="2" t="str">
        <f t="shared" si="22"/>
        <v>Szymon</v>
      </c>
      <c r="F512" s="2" t="str">
        <f t="shared" si="23"/>
        <v>Zurkowski</v>
      </c>
      <c r="H512" s="2" t="str">
        <f t="shared" si="21"/>
        <v>S</v>
      </c>
      <c r="I512" s="2" t="s">
        <v>2847</v>
      </c>
      <c r="K512" s="2" t="s">
        <v>1882</v>
      </c>
      <c r="L512" t="s">
        <v>1883</v>
      </c>
      <c r="M512" s="2" t="s">
        <v>882</v>
      </c>
      <c r="N512" t="s">
        <v>2847</v>
      </c>
      <c r="O512" s="2" t="s">
        <v>57</v>
      </c>
    </row>
    <row r="513" spans="1:15">
      <c r="A513" t="s">
        <v>143</v>
      </c>
      <c r="B513" t="s">
        <v>57</v>
      </c>
      <c r="C513" s="2" t="s">
        <v>882</v>
      </c>
      <c r="E513" s="2" t="str">
        <f t="shared" si="22"/>
        <v>Sebastian</v>
      </c>
      <c r="F513" s="2" t="str">
        <f t="shared" si="23"/>
        <v>Szymanski</v>
      </c>
      <c r="H513" s="2" t="str">
        <f t="shared" si="21"/>
        <v>S</v>
      </c>
      <c r="I513" s="2" t="s">
        <v>2848</v>
      </c>
      <c r="K513" s="2" t="s">
        <v>1884</v>
      </c>
      <c r="L513" t="s">
        <v>1877</v>
      </c>
      <c r="M513" s="2" t="s">
        <v>882</v>
      </c>
      <c r="N513" t="s">
        <v>2848</v>
      </c>
      <c r="O513" s="2" t="s">
        <v>57</v>
      </c>
    </row>
    <row r="514" spans="1:15">
      <c r="A514" t="s">
        <v>144</v>
      </c>
      <c r="B514" t="s">
        <v>57</v>
      </c>
      <c r="C514" s="2" t="s">
        <v>882</v>
      </c>
      <c r="E514" s="2" t="str">
        <f t="shared" si="22"/>
        <v>Piotr</v>
      </c>
      <c r="F514" s="2" t="str">
        <f t="shared" si="23"/>
        <v>Zielinski</v>
      </c>
      <c r="H514" s="2" t="str">
        <f t="shared" si="21"/>
        <v>P</v>
      </c>
      <c r="I514" s="2" t="s">
        <v>2849</v>
      </c>
      <c r="K514" s="2" t="s">
        <v>1885</v>
      </c>
      <c r="L514" t="s">
        <v>1886</v>
      </c>
      <c r="M514" s="2" t="s">
        <v>882</v>
      </c>
      <c r="N514" t="s">
        <v>2849</v>
      </c>
      <c r="O514" s="2" t="s">
        <v>57</v>
      </c>
    </row>
    <row r="515" spans="1:15">
      <c r="A515" t="s">
        <v>145</v>
      </c>
      <c r="B515" t="s">
        <v>57</v>
      </c>
      <c r="C515" s="2" t="s">
        <v>882</v>
      </c>
      <c r="E515" s="2" t="str">
        <f t="shared" si="22"/>
        <v>Przemyslaw</v>
      </c>
      <c r="F515" s="2" t="str">
        <f t="shared" si="23"/>
        <v>Frankowski</v>
      </c>
      <c r="H515" s="2" t="str">
        <f t="shared" ref="H515:H578" si="24">LEFT(E515,1)</f>
        <v>P</v>
      </c>
      <c r="I515" s="2" t="s">
        <v>2850</v>
      </c>
      <c r="K515" s="2" t="s">
        <v>1887</v>
      </c>
      <c r="L515" t="s">
        <v>1888</v>
      </c>
      <c r="M515" s="2" t="s">
        <v>882</v>
      </c>
      <c r="N515" t="s">
        <v>2850</v>
      </c>
      <c r="O515" s="2" t="s">
        <v>57</v>
      </c>
    </row>
    <row r="516" spans="1:15">
      <c r="A516" t="s">
        <v>146</v>
      </c>
      <c r="B516" t="s">
        <v>57</v>
      </c>
      <c r="C516" t="s">
        <v>882</v>
      </c>
      <c r="E516" s="2" t="str">
        <f t="shared" ref="E516:E579" si="25">IF(ISERROR(FIND(" ",A516)),"", LEFT(A516,FIND(" ",A516)-1))</f>
        <v>Michal</v>
      </c>
      <c r="F516" s="2" t="str">
        <f t="shared" ref="F516:F579" si="26">IF(ISERROR(FIND(" ",A516)),A516,RIGHT(A516,LEN(A516)-FIND(" ",A516)))</f>
        <v>Skoras</v>
      </c>
      <c r="H516" s="2" t="str">
        <f t="shared" si="24"/>
        <v>M</v>
      </c>
      <c r="I516" s="2" t="s">
        <v>2851</v>
      </c>
      <c r="K516" s="2" t="s">
        <v>1889</v>
      </c>
      <c r="L516" t="s">
        <v>1890</v>
      </c>
      <c r="M516" s="2" t="s">
        <v>882</v>
      </c>
      <c r="N516" t="s">
        <v>2851</v>
      </c>
      <c r="O516" s="2" t="s">
        <v>57</v>
      </c>
    </row>
    <row r="517" spans="1:15">
      <c r="A517" t="s">
        <v>147</v>
      </c>
      <c r="B517" t="s">
        <v>66</v>
      </c>
      <c r="C517" t="s">
        <v>882</v>
      </c>
      <c r="E517" s="2" t="str">
        <f t="shared" si="25"/>
        <v>Arkadiusz</v>
      </c>
      <c r="F517" s="2" t="str">
        <f t="shared" si="26"/>
        <v>Milik</v>
      </c>
      <c r="H517" s="2" t="str">
        <f t="shared" si="24"/>
        <v>A</v>
      </c>
      <c r="I517" s="2" t="s">
        <v>2852</v>
      </c>
      <c r="K517" s="2" t="s">
        <v>1891</v>
      </c>
      <c r="L517" t="s">
        <v>1892</v>
      </c>
      <c r="M517" s="2" t="s">
        <v>882</v>
      </c>
      <c r="N517" t="s">
        <v>2852</v>
      </c>
      <c r="O517" s="2" t="s">
        <v>66</v>
      </c>
    </row>
    <row r="518" spans="1:15">
      <c r="A518" t="s">
        <v>148</v>
      </c>
      <c r="B518" t="s">
        <v>66</v>
      </c>
      <c r="C518" s="2" t="s">
        <v>882</v>
      </c>
      <c r="E518" s="2" t="str">
        <f t="shared" si="25"/>
        <v>Robert</v>
      </c>
      <c r="F518" s="2" t="str">
        <f t="shared" si="26"/>
        <v>Lewandowski</v>
      </c>
      <c r="H518" s="2" t="str">
        <f t="shared" si="24"/>
        <v>R</v>
      </c>
      <c r="I518" s="2" t="s">
        <v>2853</v>
      </c>
      <c r="K518" s="2" t="s">
        <v>1405</v>
      </c>
      <c r="L518" t="s">
        <v>1893</v>
      </c>
      <c r="M518" s="2" t="s">
        <v>882</v>
      </c>
      <c r="N518" t="s">
        <v>2853</v>
      </c>
      <c r="O518" s="2" t="s">
        <v>66</v>
      </c>
    </row>
    <row r="519" spans="1:15">
      <c r="A519" t="s">
        <v>149</v>
      </c>
      <c r="B519" t="s">
        <v>66</v>
      </c>
      <c r="C519" s="2" t="s">
        <v>882</v>
      </c>
      <c r="E519" s="2" t="str">
        <f t="shared" si="25"/>
        <v>Karol</v>
      </c>
      <c r="F519" s="2" t="str">
        <f t="shared" si="26"/>
        <v>Swiderski</v>
      </c>
      <c r="H519" s="2" t="str">
        <f t="shared" si="24"/>
        <v>K</v>
      </c>
      <c r="I519" s="2" t="s">
        <v>2854</v>
      </c>
      <c r="K519" s="2" t="s">
        <v>1894</v>
      </c>
      <c r="L519" t="s">
        <v>1895</v>
      </c>
      <c r="M519" s="2" t="s">
        <v>882</v>
      </c>
      <c r="N519" t="s">
        <v>2854</v>
      </c>
      <c r="O519" s="2" t="s">
        <v>66</v>
      </c>
    </row>
    <row r="520" spans="1:15">
      <c r="A520" t="s">
        <v>150</v>
      </c>
      <c r="B520" t="s">
        <v>66</v>
      </c>
      <c r="C520" s="2" t="s">
        <v>882</v>
      </c>
      <c r="E520" s="2" t="str">
        <f t="shared" si="25"/>
        <v>Nicola</v>
      </c>
      <c r="F520" s="2" t="str">
        <f t="shared" si="26"/>
        <v>Zalewski</v>
      </c>
      <c r="H520" s="2" t="str">
        <f t="shared" si="24"/>
        <v>N</v>
      </c>
      <c r="I520" s="2" t="s">
        <v>2855</v>
      </c>
      <c r="K520" s="2" t="s">
        <v>1896</v>
      </c>
      <c r="L520" t="s">
        <v>1897</v>
      </c>
      <c r="M520" s="2" t="s">
        <v>882</v>
      </c>
      <c r="N520" t="s">
        <v>2855</v>
      </c>
      <c r="O520" s="2" t="s">
        <v>66</v>
      </c>
    </row>
    <row r="521" spans="1:15">
      <c r="A521" t="s">
        <v>151</v>
      </c>
      <c r="B521" t="s">
        <v>66</v>
      </c>
      <c r="C521" s="2" t="s">
        <v>882</v>
      </c>
      <c r="E521" s="2" t="str">
        <f t="shared" si="25"/>
        <v>Krzysztof</v>
      </c>
      <c r="F521" s="2" t="str">
        <f t="shared" si="26"/>
        <v>Piatek</v>
      </c>
      <c r="H521" s="2" t="str">
        <f t="shared" si="24"/>
        <v>K</v>
      </c>
      <c r="I521" s="2" t="s">
        <v>2856</v>
      </c>
      <c r="K521" s="2" t="s">
        <v>1898</v>
      </c>
      <c r="L521" t="s">
        <v>1899</v>
      </c>
      <c r="M521" s="2" t="s">
        <v>882</v>
      </c>
      <c r="N521" t="s">
        <v>2856</v>
      </c>
      <c r="O521" s="2" t="s">
        <v>66</v>
      </c>
    </row>
    <row r="522" spans="1:15">
      <c r="A522" t="s">
        <v>152</v>
      </c>
      <c r="B522" t="s">
        <v>44</v>
      </c>
      <c r="C522" s="2" t="s">
        <v>883</v>
      </c>
      <c r="E522" s="2" t="str">
        <f t="shared" si="25"/>
        <v>Rui</v>
      </c>
      <c r="F522" s="2" t="str">
        <f t="shared" si="26"/>
        <v>Patrício</v>
      </c>
      <c r="H522" s="2" t="str">
        <f t="shared" si="24"/>
        <v>R</v>
      </c>
      <c r="I522" s="2" t="s">
        <v>2857</v>
      </c>
      <c r="K522" s="2" t="s">
        <v>1900</v>
      </c>
      <c r="L522" t="s">
        <v>1901</v>
      </c>
      <c r="M522" s="2" t="s">
        <v>883</v>
      </c>
      <c r="N522" t="s">
        <v>2857</v>
      </c>
      <c r="O522" s="2" t="s">
        <v>44</v>
      </c>
    </row>
    <row r="523" spans="1:15">
      <c r="A523" t="s">
        <v>153</v>
      </c>
      <c r="B523" t="s">
        <v>44</v>
      </c>
      <c r="C523" s="2" t="s">
        <v>883</v>
      </c>
      <c r="E523" s="2" t="str">
        <f t="shared" si="25"/>
        <v>José</v>
      </c>
      <c r="F523" s="2" t="str">
        <f t="shared" si="26"/>
        <v>Sá</v>
      </c>
      <c r="H523" s="2" t="str">
        <f t="shared" si="24"/>
        <v>J</v>
      </c>
      <c r="I523" s="2" t="s">
        <v>2858</v>
      </c>
      <c r="K523" s="2" t="s">
        <v>1426</v>
      </c>
      <c r="L523" t="s">
        <v>1902</v>
      </c>
      <c r="M523" s="2" t="s">
        <v>883</v>
      </c>
      <c r="N523" t="s">
        <v>2858</v>
      </c>
      <c r="O523" s="2" t="s">
        <v>44</v>
      </c>
    </row>
    <row r="524" spans="1:15">
      <c r="A524" t="s">
        <v>154</v>
      </c>
      <c r="B524" t="s">
        <v>44</v>
      </c>
      <c r="C524" s="2" t="s">
        <v>883</v>
      </c>
      <c r="E524" s="2" t="str">
        <f t="shared" si="25"/>
        <v>Diogo</v>
      </c>
      <c r="F524" s="2" t="str">
        <f t="shared" si="26"/>
        <v>Costa</v>
      </c>
      <c r="H524" s="2" t="str">
        <f t="shared" si="24"/>
        <v>D</v>
      </c>
      <c r="I524" s="2" t="s">
        <v>2859</v>
      </c>
      <c r="K524" s="2" t="s">
        <v>1903</v>
      </c>
      <c r="L524" t="s">
        <v>1904</v>
      </c>
      <c r="M524" s="2" t="s">
        <v>883</v>
      </c>
      <c r="N524" t="s">
        <v>2859</v>
      </c>
      <c r="O524" s="2" t="s">
        <v>44</v>
      </c>
    </row>
    <row r="525" spans="1:15">
      <c r="A525" t="s">
        <v>155</v>
      </c>
      <c r="B525" t="s">
        <v>48</v>
      </c>
      <c r="C525" s="2" t="s">
        <v>883</v>
      </c>
      <c r="E525" s="2" t="str">
        <f t="shared" si="25"/>
        <v>Diogo</v>
      </c>
      <c r="F525" s="2" t="str">
        <f t="shared" si="26"/>
        <v>Dalot</v>
      </c>
      <c r="H525" s="2" t="str">
        <f t="shared" si="24"/>
        <v>D</v>
      </c>
      <c r="I525" s="2" t="s">
        <v>2860</v>
      </c>
      <c r="K525" s="2" t="s">
        <v>1903</v>
      </c>
      <c r="L525" t="s">
        <v>1905</v>
      </c>
      <c r="M525" s="2" t="s">
        <v>883</v>
      </c>
      <c r="N525" t="s">
        <v>2860</v>
      </c>
      <c r="O525" s="2" t="s">
        <v>48</v>
      </c>
    </row>
    <row r="526" spans="1:15">
      <c r="A526" t="s">
        <v>156</v>
      </c>
      <c r="B526" t="s">
        <v>48</v>
      </c>
      <c r="C526" s="2" t="s">
        <v>883</v>
      </c>
      <c r="E526" s="2" t="str">
        <f t="shared" si="25"/>
        <v/>
      </c>
      <c r="F526" s="2" t="str">
        <f t="shared" si="26"/>
        <v>Pepe</v>
      </c>
      <c r="H526" s="2" t="str">
        <f t="shared" si="24"/>
        <v/>
      </c>
      <c r="I526" s="2" t="s">
        <v>2861</v>
      </c>
      <c r="K526" s="2" t="s">
        <v>1160</v>
      </c>
      <c r="L526" t="s">
        <v>156</v>
      </c>
      <c r="M526" s="2" t="s">
        <v>883</v>
      </c>
      <c r="N526" t="s">
        <v>2861</v>
      </c>
      <c r="O526" s="2" t="s">
        <v>48</v>
      </c>
    </row>
    <row r="527" spans="1:15">
      <c r="A527" t="s">
        <v>157</v>
      </c>
      <c r="B527" t="s">
        <v>48</v>
      </c>
      <c r="C527" s="2" t="s">
        <v>883</v>
      </c>
      <c r="E527" s="2" t="str">
        <f t="shared" si="25"/>
        <v>Rúben</v>
      </c>
      <c r="F527" s="2" t="str">
        <f t="shared" si="26"/>
        <v>Dias</v>
      </c>
      <c r="H527" s="2" t="str">
        <f t="shared" si="24"/>
        <v>R</v>
      </c>
      <c r="I527" s="2" t="s">
        <v>2862</v>
      </c>
      <c r="K527" s="2" t="s">
        <v>1906</v>
      </c>
      <c r="L527" t="s">
        <v>1907</v>
      </c>
      <c r="M527" s="2" t="s">
        <v>883</v>
      </c>
      <c r="N527" t="s">
        <v>2862</v>
      </c>
      <c r="O527" s="2" t="s">
        <v>48</v>
      </c>
    </row>
    <row r="528" spans="1:15">
      <c r="A528" t="s">
        <v>158</v>
      </c>
      <c r="B528" t="s">
        <v>48</v>
      </c>
      <c r="C528" s="2" t="s">
        <v>883</v>
      </c>
      <c r="E528" s="2" t="str">
        <f t="shared" si="25"/>
        <v>Raphaël</v>
      </c>
      <c r="F528" s="2" t="str">
        <f t="shared" si="26"/>
        <v>Guerreiro</v>
      </c>
      <c r="H528" s="2" t="str">
        <f t="shared" si="24"/>
        <v>R</v>
      </c>
      <c r="I528" s="2" t="s">
        <v>2863</v>
      </c>
      <c r="K528" s="2" t="s">
        <v>1499</v>
      </c>
      <c r="L528" t="s">
        <v>1908</v>
      </c>
      <c r="M528" s="2" t="s">
        <v>883</v>
      </c>
      <c r="N528" t="s">
        <v>2863</v>
      </c>
      <c r="O528" s="2" t="s">
        <v>48</v>
      </c>
    </row>
    <row r="529" spans="1:15">
      <c r="A529" t="s">
        <v>159</v>
      </c>
      <c r="B529" t="s">
        <v>48</v>
      </c>
      <c r="C529" s="2" t="s">
        <v>883</v>
      </c>
      <c r="E529" s="2" t="str">
        <f t="shared" si="25"/>
        <v>Nuno</v>
      </c>
      <c r="F529" s="2" t="str">
        <f t="shared" si="26"/>
        <v>Mendes</v>
      </c>
      <c r="H529" s="2" t="str">
        <f t="shared" si="24"/>
        <v>N</v>
      </c>
      <c r="I529" s="2" t="s">
        <v>2864</v>
      </c>
      <c r="K529" s="2" t="s">
        <v>1909</v>
      </c>
      <c r="L529" t="s">
        <v>1910</v>
      </c>
      <c r="M529" s="2" t="s">
        <v>883</v>
      </c>
      <c r="N529" t="s">
        <v>2864</v>
      </c>
      <c r="O529" s="2" t="s">
        <v>48</v>
      </c>
    </row>
    <row r="530" spans="1:15">
      <c r="A530" t="s">
        <v>160</v>
      </c>
      <c r="B530" t="s">
        <v>48</v>
      </c>
      <c r="C530" s="2" t="s">
        <v>883</v>
      </c>
      <c r="E530" s="2" t="str">
        <f t="shared" si="25"/>
        <v>João</v>
      </c>
      <c r="F530" s="2" t="str">
        <f t="shared" si="26"/>
        <v>Cancelo</v>
      </c>
      <c r="H530" s="2" t="str">
        <f t="shared" si="24"/>
        <v>J</v>
      </c>
      <c r="I530" s="2" t="s">
        <v>2865</v>
      </c>
      <c r="K530" s="2" t="s">
        <v>1911</v>
      </c>
      <c r="L530" t="s">
        <v>1912</v>
      </c>
      <c r="M530" s="2" t="s">
        <v>883</v>
      </c>
      <c r="N530" t="s">
        <v>2865</v>
      </c>
      <c r="O530" s="2" t="s">
        <v>48</v>
      </c>
    </row>
    <row r="531" spans="1:15">
      <c r="A531" t="s">
        <v>161</v>
      </c>
      <c r="B531" t="s">
        <v>48</v>
      </c>
      <c r="C531" s="2" t="s">
        <v>883</v>
      </c>
      <c r="E531" s="2" t="str">
        <f t="shared" si="25"/>
        <v>António</v>
      </c>
      <c r="F531" s="2" t="str">
        <f t="shared" si="26"/>
        <v>Silva</v>
      </c>
      <c r="H531" s="2" t="str">
        <f t="shared" si="24"/>
        <v>A</v>
      </c>
      <c r="I531" s="2" t="s">
        <v>2866</v>
      </c>
      <c r="K531" s="2" t="s">
        <v>1913</v>
      </c>
      <c r="L531" t="s">
        <v>1162</v>
      </c>
      <c r="M531" s="2" t="s">
        <v>883</v>
      </c>
      <c r="N531" t="s">
        <v>2866</v>
      </c>
      <c r="O531" s="2" t="s">
        <v>48</v>
      </c>
    </row>
    <row r="532" spans="1:15">
      <c r="A532" t="s">
        <v>162</v>
      </c>
      <c r="B532" t="s">
        <v>57</v>
      </c>
      <c r="C532" s="2" t="s">
        <v>883</v>
      </c>
      <c r="E532" s="2" t="str">
        <f t="shared" si="25"/>
        <v>João</v>
      </c>
      <c r="F532" s="2" t="str">
        <f t="shared" si="26"/>
        <v>Palhinha</v>
      </c>
      <c r="H532" s="2" t="str">
        <f t="shared" si="24"/>
        <v>J</v>
      </c>
      <c r="I532" s="2" t="s">
        <v>2867</v>
      </c>
      <c r="K532" s="2" t="s">
        <v>1911</v>
      </c>
      <c r="L532" t="s">
        <v>1914</v>
      </c>
      <c r="M532" s="2" t="s">
        <v>883</v>
      </c>
      <c r="N532" t="s">
        <v>2867</v>
      </c>
      <c r="O532" s="2" t="s">
        <v>57</v>
      </c>
    </row>
    <row r="533" spans="1:15">
      <c r="A533" t="s">
        <v>163</v>
      </c>
      <c r="B533" t="s">
        <v>57</v>
      </c>
      <c r="C533" s="2" t="s">
        <v>883</v>
      </c>
      <c r="E533" s="2" t="str">
        <f t="shared" si="25"/>
        <v>Bruno</v>
      </c>
      <c r="F533" s="2" t="str">
        <f t="shared" si="26"/>
        <v>Fernandes</v>
      </c>
      <c r="H533" s="2" t="str">
        <f t="shared" si="24"/>
        <v>B</v>
      </c>
      <c r="I533" s="2" t="s">
        <v>2868</v>
      </c>
      <c r="K533" s="2" t="s">
        <v>1172</v>
      </c>
      <c r="L533" t="s">
        <v>1915</v>
      </c>
      <c r="M533" s="2" t="s">
        <v>883</v>
      </c>
      <c r="N533" t="s">
        <v>2868</v>
      </c>
      <c r="O533" s="2" t="s">
        <v>57</v>
      </c>
    </row>
    <row r="534" spans="1:15">
      <c r="A534" t="s">
        <v>164</v>
      </c>
      <c r="B534" t="s">
        <v>57</v>
      </c>
      <c r="C534" s="2" t="s">
        <v>883</v>
      </c>
      <c r="E534" s="2" t="str">
        <f t="shared" si="25"/>
        <v>Bernardo</v>
      </c>
      <c r="F534" s="2" t="str">
        <f t="shared" si="26"/>
        <v>Silva</v>
      </c>
      <c r="H534" s="2" t="str">
        <f t="shared" si="24"/>
        <v>B</v>
      </c>
      <c r="I534" s="2" t="s">
        <v>2869</v>
      </c>
      <c r="K534" s="2" t="s">
        <v>1916</v>
      </c>
      <c r="L534" t="s">
        <v>1162</v>
      </c>
      <c r="M534" s="2" t="s">
        <v>883</v>
      </c>
      <c r="N534" t="s">
        <v>2869</v>
      </c>
      <c r="O534" s="2" t="s">
        <v>57</v>
      </c>
    </row>
    <row r="535" spans="1:15">
      <c r="A535" t="s">
        <v>165</v>
      </c>
      <c r="B535" t="s">
        <v>57</v>
      </c>
      <c r="C535" s="2" t="s">
        <v>883</v>
      </c>
      <c r="E535" s="2" t="str">
        <f t="shared" si="25"/>
        <v>Danilo</v>
      </c>
      <c r="F535" s="2" t="str">
        <f t="shared" si="26"/>
        <v>Pereira</v>
      </c>
      <c r="H535" s="2" t="str">
        <f t="shared" si="24"/>
        <v>D</v>
      </c>
      <c r="I535" s="2" t="s">
        <v>2870</v>
      </c>
      <c r="K535" s="2" t="s">
        <v>545</v>
      </c>
      <c r="L535" t="s">
        <v>1917</v>
      </c>
      <c r="M535" s="2" t="s">
        <v>883</v>
      </c>
      <c r="N535" t="s">
        <v>2870</v>
      </c>
      <c r="O535" s="2" t="s">
        <v>57</v>
      </c>
    </row>
    <row r="536" spans="1:15">
      <c r="A536" t="s">
        <v>166</v>
      </c>
      <c r="B536" t="s">
        <v>57</v>
      </c>
      <c r="C536" s="2" t="s">
        <v>883</v>
      </c>
      <c r="E536" s="2" t="str">
        <f t="shared" si="25"/>
        <v>William</v>
      </c>
      <c r="F536" s="2" t="str">
        <f t="shared" si="26"/>
        <v>Carvalho</v>
      </c>
      <c r="H536" s="2" t="str">
        <f t="shared" si="24"/>
        <v>W</v>
      </c>
      <c r="I536" s="2" t="s">
        <v>2871</v>
      </c>
      <c r="K536" s="2" t="s">
        <v>1416</v>
      </c>
      <c r="L536" t="s">
        <v>1918</v>
      </c>
      <c r="M536" s="2" t="s">
        <v>883</v>
      </c>
      <c r="N536" t="s">
        <v>2871</v>
      </c>
      <c r="O536" s="2" t="s">
        <v>57</v>
      </c>
    </row>
    <row r="537" spans="1:15">
      <c r="A537" t="s">
        <v>167</v>
      </c>
      <c r="B537" t="s">
        <v>57</v>
      </c>
      <c r="C537" s="2" t="s">
        <v>883</v>
      </c>
      <c r="E537" s="2" t="str">
        <f t="shared" si="25"/>
        <v/>
      </c>
      <c r="F537" s="2" t="str">
        <f t="shared" si="26"/>
        <v>Vitinha</v>
      </c>
      <c r="H537" s="2" t="str">
        <f t="shared" si="24"/>
        <v/>
      </c>
      <c r="I537" s="2" t="s">
        <v>2872</v>
      </c>
      <c r="K537" s="2" t="s">
        <v>1160</v>
      </c>
      <c r="L537" t="s">
        <v>167</v>
      </c>
      <c r="M537" s="2" t="s">
        <v>883</v>
      </c>
      <c r="N537" t="s">
        <v>2872</v>
      </c>
      <c r="O537" s="2" t="s">
        <v>57</v>
      </c>
    </row>
    <row r="538" spans="1:15">
      <c r="A538" t="s">
        <v>168</v>
      </c>
      <c r="B538" t="s">
        <v>57</v>
      </c>
      <c r="C538" s="2" t="s">
        <v>883</v>
      </c>
      <c r="E538" s="2" t="str">
        <f t="shared" si="25"/>
        <v>João</v>
      </c>
      <c r="F538" s="2" t="str">
        <f t="shared" si="26"/>
        <v>Mário</v>
      </c>
      <c r="H538" s="2" t="str">
        <f t="shared" si="24"/>
        <v>J</v>
      </c>
      <c r="I538" s="2" t="s">
        <v>2873</v>
      </c>
      <c r="K538" s="2" t="s">
        <v>1911</v>
      </c>
      <c r="L538" t="s">
        <v>1919</v>
      </c>
      <c r="M538" s="2" t="s">
        <v>883</v>
      </c>
      <c r="N538" t="s">
        <v>2873</v>
      </c>
      <c r="O538" s="2" t="s">
        <v>57</v>
      </c>
    </row>
    <row r="539" spans="1:15">
      <c r="A539" t="s">
        <v>169</v>
      </c>
      <c r="B539" t="s">
        <v>57</v>
      </c>
      <c r="C539" s="2" t="s">
        <v>883</v>
      </c>
      <c r="E539" s="2" t="str">
        <f t="shared" si="25"/>
        <v>Rúben</v>
      </c>
      <c r="F539" s="2" t="str">
        <f t="shared" si="26"/>
        <v>Neves</v>
      </c>
      <c r="H539" s="2" t="str">
        <f t="shared" si="24"/>
        <v>R</v>
      </c>
      <c r="I539" s="2" t="s">
        <v>2874</v>
      </c>
      <c r="K539" s="2" t="s">
        <v>1906</v>
      </c>
      <c r="L539" t="s">
        <v>1920</v>
      </c>
      <c r="M539" s="2" t="s">
        <v>883</v>
      </c>
      <c r="N539" t="s">
        <v>2874</v>
      </c>
      <c r="O539" s="2" t="s">
        <v>57</v>
      </c>
    </row>
    <row r="540" spans="1:15">
      <c r="A540" t="s">
        <v>170</v>
      </c>
      <c r="B540" t="s">
        <v>57</v>
      </c>
      <c r="C540" s="2" t="s">
        <v>883</v>
      </c>
      <c r="E540" s="2" t="str">
        <f t="shared" si="25"/>
        <v>Matheus</v>
      </c>
      <c r="F540" s="2" t="str">
        <f t="shared" si="26"/>
        <v>Nunes</v>
      </c>
      <c r="H540" s="2" t="str">
        <f t="shared" si="24"/>
        <v>M</v>
      </c>
      <c r="I540" s="2" t="s">
        <v>2875</v>
      </c>
      <c r="K540" s="2" t="s">
        <v>1921</v>
      </c>
      <c r="L540" t="s">
        <v>1922</v>
      </c>
      <c r="M540" s="2" t="s">
        <v>883</v>
      </c>
      <c r="N540" t="s">
        <v>2875</v>
      </c>
      <c r="O540" s="2" t="s">
        <v>57</v>
      </c>
    </row>
    <row r="541" spans="1:15">
      <c r="A541" t="s">
        <v>171</v>
      </c>
      <c r="B541" t="s">
        <v>57</v>
      </c>
      <c r="C541" s="2" t="s">
        <v>883</v>
      </c>
      <c r="E541" s="2" t="str">
        <f t="shared" si="25"/>
        <v/>
      </c>
      <c r="F541" s="2" t="str">
        <f t="shared" si="26"/>
        <v>Otávio</v>
      </c>
      <c r="H541" s="2" t="str">
        <f t="shared" si="24"/>
        <v/>
      </c>
      <c r="I541" s="2" t="s">
        <v>2876</v>
      </c>
      <c r="K541" s="2" t="s">
        <v>1160</v>
      </c>
      <c r="L541" t="s">
        <v>171</v>
      </c>
      <c r="M541" s="2" t="s">
        <v>883</v>
      </c>
      <c r="N541" t="s">
        <v>2876</v>
      </c>
      <c r="O541" s="2" t="s">
        <v>57</v>
      </c>
    </row>
    <row r="542" spans="1:15">
      <c r="A542" t="s">
        <v>172</v>
      </c>
      <c r="B542" t="s">
        <v>66</v>
      </c>
      <c r="C542" s="2" t="s">
        <v>883</v>
      </c>
      <c r="E542" s="2" t="str">
        <f t="shared" si="25"/>
        <v>Cristiano</v>
      </c>
      <c r="F542" s="2" t="str">
        <f t="shared" si="26"/>
        <v>Ronaldo</v>
      </c>
      <c r="H542" s="2" t="str">
        <f t="shared" si="24"/>
        <v>C</v>
      </c>
      <c r="I542" s="2" t="s">
        <v>2877</v>
      </c>
      <c r="K542" s="2" t="s">
        <v>1923</v>
      </c>
      <c r="L542" t="s">
        <v>1924</v>
      </c>
      <c r="M542" s="2" t="s">
        <v>883</v>
      </c>
      <c r="N542" t="s">
        <v>2877</v>
      </c>
      <c r="O542" s="2" t="s">
        <v>66</v>
      </c>
    </row>
    <row r="543" spans="1:15">
      <c r="A543" t="s">
        <v>173</v>
      </c>
      <c r="B543" t="s">
        <v>66</v>
      </c>
      <c r="C543" t="s">
        <v>883</v>
      </c>
      <c r="E543" s="2" t="str">
        <f t="shared" si="25"/>
        <v>André</v>
      </c>
      <c r="F543" s="2" t="str">
        <f t="shared" si="26"/>
        <v>Silva</v>
      </c>
      <c r="H543" s="2" t="str">
        <f t="shared" si="24"/>
        <v>A</v>
      </c>
      <c r="I543" s="2" t="s">
        <v>2866</v>
      </c>
      <c r="K543" s="2" t="s">
        <v>1613</v>
      </c>
      <c r="L543" t="s">
        <v>1162</v>
      </c>
      <c r="M543" s="2" t="s">
        <v>883</v>
      </c>
      <c r="N543" t="s">
        <v>2866</v>
      </c>
      <c r="O543" s="2" t="s">
        <v>66</v>
      </c>
    </row>
    <row r="544" spans="1:15">
      <c r="A544" t="s">
        <v>174</v>
      </c>
      <c r="B544" t="s">
        <v>66</v>
      </c>
      <c r="C544" t="s">
        <v>883</v>
      </c>
      <c r="E544" s="2" t="str">
        <f t="shared" si="25"/>
        <v>João</v>
      </c>
      <c r="F544" s="2" t="str">
        <f t="shared" si="26"/>
        <v>Félix</v>
      </c>
      <c r="H544" s="2" t="str">
        <f t="shared" si="24"/>
        <v>J</v>
      </c>
      <c r="I544" s="2" t="s">
        <v>2878</v>
      </c>
      <c r="K544" s="2" t="s">
        <v>1911</v>
      </c>
      <c r="L544" t="s">
        <v>1412</v>
      </c>
      <c r="M544" s="2" t="s">
        <v>883</v>
      </c>
      <c r="N544" t="s">
        <v>2878</v>
      </c>
      <c r="O544" s="2" t="s">
        <v>66</v>
      </c>
    </row>
    <row r="545" spans="1:15">
      <c r="A545" t="s">
        <v>175</v>
      </c>
      <c r="B545" t="s">
        <v>66</v>
      </c>
      <c r="C545" s="2" t="s">
        <v>883</v>
      </c>
      <c r="E545" s="2" t="str">
        <f t="shared" si="25"/>
        <v>Rafael</v>
      </c>
      <c r="F545" s="2" t="str">
        <f t="shared" si="26"/>
        <v>Leão</v>
      </c>
      <c r="H545" s="2" t="str">
        <f t="shared" si="24"/>
        <v>R</v>
      </c>
      <c r="I545" s="2" t="s">
        <v>2879</v>
      </c>
      <c r="K545" s="2" t="s">
        <v>1925</v>
      </c>
      <c r="L545" t="s">
        <v>1926</v>
      </c>
      <c r="M545" s="2" t="s">
        <v>883</v>
      </c>
      <c r="N545" t="s">
        <v>2879</v>
      </c>
      <c r="O545" s="2" t="s">
        <v>66</v>
      </c>
    </row>
    <row r="546" spans="1:15">
      <c r="A546" t="s">
        <v>176</v>
      </c>
      <c r="B546" t="s">
        <v>66</v>
      </c>
      <c r="C546" s="2" t="s">
        <v>883</v>
      </c>
      <c r="E546" s="2" t="str">
        <f t="shared" si="25"/>
        <v>Ricardo</v>
      </c>
      <c r="F546" s="2" t="str">
        <f t="shared" si="26"/>
        <v>Horta</v>
      </c>
      <c r="H546" s="2" t="str">
        <f t="shared" si="24"/>
        <v>R</v>
      </c>
      <c r="I546" s="2" t="s">
        <v>2880</v>
      </c>
      <c r="K546" s="2" t="s">
        <v>1927</v>
      </c>
      <c r="L546" t="s">
        <v>1928</v>
      </c>
      <c r="M546" s="2" t="s">
        <v>883</v>
      </c>
      <c r="N546" t="s">
        <v>2880</v>
      </c>
      <c r="O546" s="2" t="s">
        <v>66</v>
      </c>
    </row>
    <row r="547" spans="1:15">
      <c r="A547" t="s">
        <v>177</v>
      </c>
      <c r="B547" t="s">
        <v>66</v>
      </c>
      <c r="C547" s="2" t="s">
        <v>883</v>
      </c>
      <c r="E547" s="2" t="str">
        <f t="shared" si="25"/>
        <v>Goncalo</v>
      </c>
      <c r="F547" s="2" t="str">
        <f t="shared" si="26"/>
        <v>Ramos</v>
      </c>
      <c r="H547" s="2" t="str">
        <f t="shared" si="24"/>
        <v>G</v>
      </c>
      <c r="I547" s="2" t="s">
        <v>2881</v>
      </c>
      <c r="K547" s="2" t="s">
        <v>1929</v>
      </c>
      <c r="L547" t="s">
        <v>1930</v>
      </c>
      <c r="M547" s="2" t="s">
        <v>883</v>
      </c>
      <c r="N547" t="s">
        <v>2881</v>
      </c>
      <c r="O547" s="2" t="s">
        <v>66</v>
      </c>
    </row>
    <row r="548" spans="1:15">
      <c r="A548" t="s">
        <v>178</v>
      </c>
      <c r="B548" t="s">
        <v>44</v>
      </c>
      <c r="C548" s="2" t="s">
        <v>884</v>
      </c>
      <c r="E548" s="2" t="str">
        <f t="shared" si="25"/>
        <v>Saad</v>
      </c>
      <c r="F548" s="2" t="str">
        <f t="shared" si="26"/>
        <v>Al-Sheeb</v>
      </c>
      <c r="H548" s="2" t="str">
        <f t="shared" si="24"/>
        <v>S</v>
      </c>
      <c r="I548" s="2" t="s">
        <v>2882</v>
      </c>
      <c r="K548" s="2" t="s">
        <v>1931</v>
      </c>
      <c r="L548" t="s">
        <v>1932</v>
      </c>
      <c r="M548" s="2" t="s">
        <v>884</v>
      </c>
      <c r="N548" t="s">
        <v>2882</v>
      </c>
      <c r="O548" s="2" t="s">
        <v>44</v>
      </c>
    </row>
    <row r="549" spans="1:15">
      <c r="A549" t="s">
        <v>179</v>
      </c>
      <c r="B549" t="s">
        <v>44</v>
      </c>
      <c r="C549" s="2" t="s">
        <v>884</v>
      </c>
      <c r="E549" s="2" t="str">
        <f t="shared" si="25"/>
        <v>Yousof</v>
      </c>
      <c r="F549" s="2" t="str">
        <f t="shared" si="26"/>
        <v>Hassan</v>
      </c>
      <c r="H549" s="2" t="str">
        <f t="shared" si="24"/>
        <v>Y</v>
      </c>
      <c r="I549" s="2" t="s">
        <v>2883</v>
      </c>
      <c r="K549" s="2" t="s">
        <v>1933</v>
      </c>
      <c r="L549" t="s">
        <v>1934</v>
      </c>
      <c r="M549" s="2" t="s">
        <v>884</v>
      </c>
      <c r="N549" t="s">
        <v>2883</v>
      </c>
      <c r="O549" s="2" t="s">
        <v>44</v>
      </c>
    </row>
    <row r="550" spans="1:15">
      <c r="A550" t="s">
        <v>180</v>
      </c>
      <c r="B550" t="s">
        <v>44</v>
      </c>
      <c r="C550" s="2" t="s">
        <v>884</v>
      </c>
      <c r="E550" s="2" t="str">
        <f t="shared" si="25"/>
        <v>Meshaal</v>
      </c>
      <c r="F550" s="2" t="str">
        <f t="shared" si="26"/>
        <v>Barsham</v>
      </c>
      <c r="H550" s="2" t="str">
        <f t="shared" si="24"/>
        <v>M</v>
      </c>
      <c r="I550" s="2" t="s">
        <v>2884</v>
      </c>
      <c r="K550" s="2" t="s">
        <v>1935</v>
      </c>
      <c r="L550" t="s">
        <v>1936</v>
      </c>
      <c r="M550" s="2" t="s">
        <v>884</v>
      </c>
      <c r="N550" t="s">
        <v>2884</v>
      </c>
      <c r="O550" s="2" t="s">
        <v>44</v>
      </c>
    </row>
    <row r="551" spans="1:15">
      <c r="A551" t="s">
        <v>181</v>
      </c>
      <c r="B551" t="s">
        <v>48</v>
      </c>
      <c r="C551" s="2" t="s">
        <v>884</v>
      </c>
      <c r="E551" s="2" t="str">
        <f t="shared" si="25"/>
        <v>Pedro</v>
      </c>
      <c r="F551" s="2" t="str">
        <f t="shared" si="26"/>
        <v>Miguel</v>
      </c>
      <c r="H551" s="2" t="str">
        <f t="shared" si="24"/>
        <v>P</v>
      </c>
      <c r="I551" s="2" t="s">
        <v>2885</v>
      </c>
      <c r="K551" s="2" t="s">
        <v>566</v>
      </c>
      <c r="L551" t="s">
        <v>1937</v>
      </c>
      <c r="M551" s="2" t="s">
        <v>884</v>
      </c>
      <c r="N551" t="s">
        <v>2885</v>
      </c>
      <c r="O551" s="2" t="s">
        <v>48</v>
      </c>
    </row>
    <row r="552" spans="1:15">
      <c r="A552" t="s">
        <v>182</v>
      </c>
      <c r="B552" t="s">
        <v>48</v>
      </c>
      <c r="C552" s="2" t="s">
        <v>884</v>
      </c>
      <c r="E552" s="2" t="str">
        <f t="shared" si="25"/>
        <v>Abdelkarim</v>
      </c>
      <c r="F552" s="2" t="str">
        <f t="shared" si="26"/>
        <v>Hassan</v>
      </c>
      <c r="H552" s="2" t="str">
        <f t="shared" si="24"/>
        <v>A</v>
      </c>
      <c r="I552" s="2" t="s">
        <v>2886</v>
      </c>
      <c r="K552" s="2" t="s">
        <v>1938</v>
      </c>
      <c r="L552" t="s">
        <v>1934</v>
      </c>
      <c r="M552" s="2" t="s">
        <v>884</v>
      </c>
      <c r="N552" t="s">
        <v>2886</v>
      </c>
      <c r="O552" s="2" t="s">
        <v>48</v>
      </c>
    </row>
    <row r="553" spans="1:15">
      <c r="A553" t="s">
        <v>183</v>
      </c>
      <c r="B553" t="s">
        <v>48</v>
      </c>
      <c r="C553" s="2" t="s">
        <v>884</v>
      </c>
      <c r="E553" s="2" t="str">
        <f t="shared" si="25"/>
        <v>Tarek</v>
      </c>
      <c r="F553" s="2" t="str">
        <f t="shared" si="26"/>
        <v>Salman</v>
      </c>
      <c r="H553" s="2" t="str">
        <f t="shared" si="24"/>
        <v>T</v>
      </c>
      <c r="I553" s="2" t="s">
        <v>2887</v>
      </c>
      <c r="K553" s="2" t="s">
        <v>1939</v>
      </c>
      <c r="L553" t="s">
        <v>1940</v>
      </c>
      <c r="M553" s="2" t="s">
        <v>884</v>
      </c>
      <c r="N553" t="s">
        <v>2887</v>
      </c>
      <c r="O553" s="2" t="s">
        <v>48</v>
      </c>
    </row>
    <row r="554" spans="1:15">
      <c r="A554" t="s">
        <v>184</v>
      </c>
      <c r="B554" t="s">
        <v>48</v>
      </c>
      <c r="C554" s="2" t="s">
        <v>884</v>
      </c>
      <c r="E554" s="2" t="str">
        <f t="shared" si="25"/>
        <v>Musaab</v>
      </c>
      <c r="F554" s="2" t="str">
        <f t="shared" si="26"/>
        <v>Khidir</v>
      </c>
      <c r="H554" s="2" t="str">
        <f t="shared" si="24"/>
        <v>M</v>
      </c>
      <c r="I554" s="2" t="s">
        <v>2888</v>
      </c>
      <c r="K554" s="2" t="s">
        <v>1941</v>
      </c>
      <c r="L554" t="s">
        <v>1942</v>
      </c>
      <c r="M554" s="2" t="s">
        <v>884</v>
      </c>
      <c r="N554" t="s">
        <v>2888</v>
      </c>
      <c r="O554" s="2" t="s">
        <v>48</v>
      </c>
    </row>
    <row r="555" spans="1:15">
      <c r="A555" t="s">
        <v>185</v>
      </c>
      <c r="B555" t="s">
        <v>48</v>
      </c>
      <c r="C555" s="2" t="s">
        <v>884</v>
      </c>
      <c r="E555" s="2" t="str">
        <f t="shared" si="25"/>
        <v>Homam</v>
      </c>
      <c r="F555" s="2" t="str">
        <f t="shared" si="26"/>
        <v>Ahmed</v>
      </c>
      <c r="H555" s="2" t="str">
        <f t="shared" si="24"/>
        <v>H</v>
      </c>
      <c r="I555" s="2" t="s">
        <v>2889</v>
      </c>
      <c r="K555" s="2" t="s">
        <v>1943</v>
      </c>
      <c r="L555" t="s">
        <v>1944</v>
      </c>
      <c r="M555" s="2" t="s">
        <v>884</v>
      </c>
      <c r="N555" t="s">
        <v>2889</v>
      </c>
      <c r="O555" s="2" t="s">
        <v>48</v>
      </c>
    </row>
    <row r="556" spans="1:15">
      <c r="A556" t="s">
        <v>186</v>
      </c>
      <c r="B556" t="s">
        <v>48</v>
      </c>
      <c r="C556" s="2" t="s">
        <v>884</v>
      </c>
      <c r="E556" s="2" t="str">
        <f t="shared" si="25"/>
        <v>Bassam</v>
      </c>
      <c r="F556" s="2" t="str">
        <f t="shared" si="26"/>
        <v>Al-Rawi</v>
      </c>
      <c r="H556" s="2" t="str">
        <f t="shared" si="24"/>
        <v>B</v>
      </c>
      <c r="I556" s="2" t="s">
        <v>2890</v>
      </c>
      <c r="K556" s="2" t="s">
        <v>1945</v>
      </c>
      <c r="L556" t="s">
        <v>1946</v>
      </c>
      <c r="M556" s="2" t="s">
        <v>884</v>
      </c>
      <c r="N556" t="s">
        <v>2890</v>
      </c>
      <c r="O556" s="2" t="s">
        <v>48</v>
      </c>
    </row>
    <row r="557" spans="1:15">
      <c r="A557" t="s">
        <v>187</v>
      </c>
      <c r="B557" t="s">
        <v>48</v>
      </c>
      <c r="C557" s="2" t="s">
        <v>884</v>
      </c>
      <c r="E557" s="2" t="str">
        <f t="shared" si="25"/>
        <v>Boualem</v>
      </c>
      <c r="F557" s="2" t="str">
        <f t="shared" si="26"/>
        <v>Khoukhi</v>
      </c>
      <c r="H557" s="2" t="str">
        <f t="shared" si="24"/>
        <v>B</v>
      </c>
      <c r="I557" s="2" t="s">
        <v>2891</v>
      </c>
      <c r="K557" s="2" t="s">
        <v>1947</v>
      </c>
      <c r="L557" t="s">
        <v>1948</v>
      </c>
      <c r="M557" s="2" t="s">
        <v>884</v>
      </c>
      <c r="N557" t="s">
        <v>2891</v>
      </c>
      <c r="O557" s="2" t="s">
        <v>48</v>
      </c>
    </row>
    <row r="558" spans="1:15">
      <c r="A558" t="s">
        <v>188</v>
      </c>
      <c r="B558" t="s">
        <v>48</v>
      </c>
      <c r="C558" s="2" t="s">
        <v>884</v>
      </c>
      <c r="E558" s="2" t="str">
        <f t="shared" si="25"/>
        <v>Salem</v>
      </c>
      <c r="F558" s="2" t="str">
        <f t="shared" si="26"/>
        <v>Al-Hajri</v>
      </c>
      <c r="H558" s="2" t="str">
        <f t="shared" si="24"/>
        <v>S</v>
      </c>
      <c r="I558" s="2" t="s">
        <v>2892</v>
      </c>
      <c r="K558" s="2" t="s">
        <v>1949</v>
      </c>
      <c r="L558" t="s">
        <v>1950</v>
      </c>
      <c r="M558" s="2" t="s">
        <v>884</v>
      </c>
      <c r="N558" t="s">
        <v>2892</v>
      </c>
      <c r="O558" s="2" t="s">
        <v>48</v>
      </c>
    </row>
    <row r="559" spans="1:15">
      <c r="A559" t="s">
        <v>189</v>
      </c>
      <c r="B559" t="s">
        <v>48</v>
      </c>
      <c r="C559" s="2" t="s">
        <v>884</v>
      </c>
      <c r="E559" s="2" t="str">
        <f t="shared" si="25"/>
        <v>Jassem</v>
      </c>
      <c r="F559" s="2" t="str">
        <f t="shared" si="26"/>
        <v>Gaber</v>
      </c>
      <c r="H559" s="2" t="str">
        <f t="shared" si="24"/>
        <v>J</v>
      </c>
      <c r="I559" s="2" t="s">
        <v>2893</v>
      </c>
      <c r="K559" s="2" t="s">
        <v>1951</v>
      </c>
      <c r="L559" t="s">
        <v>1952</v>
      </c>
      <c r="M559" s="2" t="s">
        <v>884</v>
      </c>
      <c r="N559" t="s">
        <v>2893</v>
      </c>
      <c r="O559" s="2" t="s">
        <v>48</v>
      </c>
    </row>
    <row r="560" spans="1:15">
      <c r="A560" t="s">
        <v>190</v>
      </c>
      <c r="B560" t="s">
        <v>57</v>
      </c>
      <c r="C560" s="2" t="s">
        <v>884</v>
      </c>
      <c r="E560" s="2" t="str">
        <f t="shared" si="25"/>
        <v>Mohammed</v>
      </c>
      <c r="F560" s="2" t="str">
        <f t="shared" si="26"/>
        <v>Waad</v>
      </c>
      <c r="H560" s="2" t="str">
        <f t="shared" si="24"/>
        <v>M</v>
      </c>
      <c r="I560" s="2" t="s">
        <v>2894</v>
      </c>
      <c r="K560" s="2" t="s">
        <v>1589</v>
      </c>
      <c r="L560" t="s">
        <v>1953</v>
      </c>
      <c r="M560" s="2" t="s">
        <v>884</v>
      </c>
      <c r="N560" t="s">
        <v>2894</v>
      </c>
      <c r="O560" s="2" t="s">
        <v>57</v>
      </c>
    </row>
    <row r="561" spans="1:15">
      <c r="A561" t="s">
        <v>191</v>
      </c>
      <c r="B561" t="s">
        <v>57</v>
      </c>
      <c r="C561" s="2" t="s">
        <v>884</v>
      </c>
      <c r="E561" s="2" t="str">
        <f t="shared" si="25"/>
        <v>Abdulaziz</v>
      </c>
      <c r="F561" s="2" t="str">
        <f t="shared" si="26"/>
        <v>Hatem</v>
      </c>
      <c r="H561" s="2" t="str">
        <f t="shared" si="24"/>
        <v>A</v>
      </c>
      <c r="I561" s="2" t="s">
        <v>2895</v>
      </c>
      <c r="K561" s="2" t="s">
        <v>1954</v>
      </c>
      <c r="L561" t="s">
        <v>1955</v>
      </c>
      <c r="M561" s="2" t="s">
        <v>884</v>
      </c>
      <c r="N561" t="s">
        <v>2895</v>
      </c>
      <c r="O561" s="2" t="s">
        <v>57</v>
      </c>
    </row>
    <row r="562" spans="1:15">
      <c r="A562" t="s">
        <v>192</v>
      </c>
      <c r="B562" t="s">
        <v>57</v>
      </c>
      <c r="C562" s="2" t="s">
        <v>884</v>
      </c>
      <c r="E562" s="2" t="str">
        <f t="shared" si="25"/>
        <v>Ali</v>
      </c>
      <c r="F562" s="2" t="str">
        <f t="shared" si="26"/>
        <v>Asad</v>
      </c>
      <c r="H562" s="2" t="str">
        <f t="shared" si="24"/>
        <v>A</v>
      </c>
      <c r="I562" s="2" t="s">
        <v>2896</v>
      </c>
      <c r="K562" s="2" t="s">
        <v>1654</v>
      </c>
      <c r="L562" t="s">
        <v>1956</v>
      </c>
      <c r="M562" s="2" t="s">
        <v>884</v>
      </c>
      <c r="N562" t="s">
        <v>2896</v>
      </c>
      <c r="O562" s="2" t="s">
        <v>57</v>
      </c>
    </row>
    <row r="563" spans="1:15">
      <c r="A563" t="s">
        <v>193</v>
      </c>
      <c r="B563" t="s">
        <v>57</v>
      </c>
      <c r="C563" s="2" t="s">
        <v>884</v>
      </c>
      <c r="E563" s="2" t="str">
        <f t="shared" si="25"/>
        <v>Karim</v>
      </c>
      <c r="F563" s="2" t="str">
        <f t="shared" si="26"/>
        <v>Boudiaf</v>
      </c>
      <c r="H563" s="2" t="str">
        <f t="shared" si="24"/>
        <v>K</v>
      </c>
      <c r="I563" s="2" t="s">
        <v>2897</v>
      </c>
      <c r="K563" s="2" t="s">
        <v>1529</v>
      </c>
      <c r="L563" t="s">
        <v>1957</v>
      </c>
      <c r="M563" s="2" t="s">
        <v>884</v>
      </c>
      <c r="N563" t="s">
        <v>2897</v>
      </c>
      <c r="O563" s="2" t="s">
        <v>57</v>
      </c>
    </row>
    <row r="564" spans="1:15">
      <c r="A564" t="s">
        <v>194</v>
      </c>
      <c r="B564" t="s">
        <v>57</v>
      </c>
      <c r="C564" s="2" t="s">
        <v>884</v>
      </c>
      <c r="E564" s="2" t="str">
        <f t="shared" si="25"/>
        <v>Ismail</v>
      </c>
      <c r="F564" s="2" t="str">
        <f t="shared" si="26"/>
        <v>Mohamad</v>
      </c>
      <c r="H564" s="2" t="str">
        <f t="shared" si="24"/>
        <v>I</v>
      </c>
      <c r="I564" s="2" t="s">
        <v>2898</v>
      </c>
      <c r="K564" s="2" t="s">
        <v>1958</v>
      </c>
      <c r="L564" t="s">
        <v>1959</v>
      </c>
      <c r="M564" s="2" t="s">
        <v>884</v>
      </c>
      <c r="N564" t="s">
        <v>2898</v>
      </c>
      <c r="O564" s="2" t="s">
        <v>57</v>
      </c>
    </row>
    <row r="565" spans="1:15">
      <c r="A565" t="s">
        <v>195</v>
      </c>
      <c r="B565" t="s">
        <v>57</v>
      </c>
      <c r="C565" s="2" t="s">
        <v>884</v>
      </c>
      <c r="E565" s="2" t="str">
        <f t="shared" si="25"/>
        <v>Assim</v>
      </c>
      <c r="F565" s="2" t="str">
        <f t="shared" si="26"/>
        <v>Madibo</v>
      </c>
      <c r="H565" s="2" t="str">
        <f t="shared" si="24"/>
        <v>A</v>
      </c>
      <c r="I565" s="2" t="s">
        <v>2899</v>
      </c>
      <c r="K565" s="2" t="s">
        <v>1960</v>
      </c>
      <c r="L565" t="s">
        <v>1961</v>
      </c>
      <c r="M565" s="2" t="s">
        <v>884</v>
      </c>
      <c r="N565" t="s">
        <v>2899</v>
      </c>
      <c r="O565" s="2" t="s">
        <v>57</v>
      </c>
    </row>
    <row r="566" spans="1:15">
      <c r="A566" t="s">
        <v>196</v>
      </c>
      <c r="B566" t="s">
        <v>57</v>
      </c>
      <c r="C566" s="2" t="s">
        <v>884</v>
      </c>
      <c r="E566" s="2" t="str">
        <f t="shared" si="25"/>
        <v>Naif</v>
      </c>
      <c r="F566" s="2" t="str">
        <f t="shared" si="26"/>
        <v>Al-Hadhrami</v>
      </c>
      <c r="H566" s="2" t="str">
        <f t="shared" si="24"/>
        <v>N</v>
      </c>
      <c r="I566" s="2" t="s">
        <v>2900</v>
      </c>
      <c r="K566" s="2" t="s">
        <v>1962</v>
      </c>
      <c r="L566" t="s">
        <v>1963</v>
      </c>
      <c r="M566" s="2" t="s">
        <v>884</v>
      </c>
      <c r="N566" t="s">
        <v>2900</v>
      </c>
      <c r="O566" s="2" t="s">
        <v>57</v>
      </c>
    </row>
    <row r="567" spans="1:15">
      <c r="A567" t="s">
        <v>197</v>
      </c>
      <c r="B567" t="s">
        <v>57</v>
      </c>
      <c r="C567" s="2" t="s">
        <v>884</v>
      </c>
      <c r="E567" s="2" t="str">
        <f t="shared" si="25"/>
        <v>Moustafa</v>
      </c>
      <c r="F567" s="2" t="str">
        <f t="shared" si="26"/>
        <v>Tarek</v>
      </c>
      <c r="H567" s="2" t="str">
        <f t="shared" si="24"/>
        <v>M</v>
      </c>
      <c r="I567" s="2" t="s">
        <v>2901</v>
      </c>
      <c r="K567" s="2" t="s">
        <v>1964</v>
      </c>
      <c r="L567" t="s">
        <v>1939</v>
      </c>
      <c r="M567" s="2" t="s">
        <v>884</v>
      </c>
      <c r="N567" t="s">
        <v>2901</v>
      </c>
      <c r="O567" s="2" t="s">
        <v>57</v>
      </c>
    </row>
    <row r="568" spans="1:15">
      <c r="A568" t="s">
        <v>198</v>
      </c>
      <c r="B568" t="s">
        <v>66</v>
      </c>
      <c r="C568" s="2" t="s">
        <v>884</v>
      </c>
      <c r="E568" s="2" t="str">
        <f t="shared" si="25"/>
        <v>Ahmed</v>
      </c>
      <c r="F568" s="2" t="str">
        <f t="shared" si="26"/>
        <v>Alaaeldin</v>
      </c>
      <c r="H568" s="2" t="str">
        <f t="shared" si="24"/>
        <v>A</v>
      </c>
      <c r="I568" s="2" t="s">
        <v>2902</v>
      </c>
      <c r="K568" s="2" t="s">
        <v>1944</v>
      </c>
      <c r="L568" t="s">
        <v>1965</v>
      </c>
      <c r="M568" s="2" t="s">
        <v>884</v>
      </c>
      <c r="N568" t="s">
        <v>2902</v>
      </c>
      <c r="O568" s="2" t="s">
        <v>66</v>
      </c>
    </row>
    <row r="569" spans="1:15">
      <c r="A569" t="s">
        <v>199</v>
      </c>
      <c r="B569" t="s">
        <v>66</v>
      </c>
      <c r="C569" s="2" t="s">
        <v>884</v>
      </c>
      <c r="E569" s="2" t="str">
        <f t="shared" si="25"/>
        <v>Mohammed</v>
      </c>
      <c r="F569" s="2" t="str">
        <f t="shared" si="26"/>
        <v>Muntari</v>
      </c>
      <c r="H569" s="2" t="str">
        <f t="shared" si="24"/>
        <v>M</v>
      </c>
      <c r="I569" s="2" t="s">
        <v>2903</v>
      </c>
      <c r="K569" s="2" t="s">
        <v>1589</v>
      </c>
      <c r="L569" t="s">
        <v>1966</v>
      </c>
      <c r="M569" s="2" t="s">
        <v>884</v>
      </c>
      <c r="N569" t="s">
        <v>2903</v>
      </c>
      <c r="O569" s="2" t="s">
        <v>66</v>
      </c>
    </row>
    <row r="570" spans="1:15">
      <c r="A570" t="s">
        <v>200</v>
      </c>
      <c r="B570" t="s">
        <v>66</v>
      </c>
      <c r="C570" t="s">
        <v>884</v>
      </c>
      <c r="E570" s="2" t="str">
        <f t="shared" si="25"/>
        <v>Hassan</v>
      </c>
      <c r="F570" s="2" t="str">
        <f t="shared" si="26"/>
        <v>Al-Haydos</v>
      </c>
      <c r="H570" s="2" t="str">
        <f t="shared" si="24"/>
        <v>H</v>
      </c>
      <c r="I570" s="2" t="s">
        <v>2904</v>
      </c>
      <c r="K570" s="2" t="s">
        <v>1934</v>
      </c>
      <c r="L570" t="s">
        <v>1967</v>
      </c>
      <c r="M570" s="2" t="s">
        <v>884</v>
      </c>
      <c r="N570" t="s">
        <v>2904</v>
      </c>
      <c r="O570" s="2" t="s">
        <v>66</v>
      </c>
    </row>
    <row r="571" spans="1:15">
      <c r="A571" t="s">
        <v>201</v>
      </c>
      <c r="B571" t="s">
        <v>66</v>
      </c>
      <c r="C571" t="s">
        <v>884</v>
      </c>
      <c r="E571" s="2" t="str">
        <f t="shared" si="25"/>
        <v>Akram</v>
      </c>
      <c r="F571" s="2" t="str">
        <f t="shared" si="26"/>
        <v>Afif</v>
      </c>
      <c r="H571" s="2" t="str">
        <f t="shared" si="24"/>
        <v>A</v>
      </c>
      <c r="I571" s="2" t="s">
        <v>2905</v>
      </c>
      <c r="K571" s="2" t="s">
        <v>1968</v>
      </c>
      <c r="L571" t="s">
        <v>1969</v>
      </c>
      <c r="M571" s="2" t="s">
        <v>884</v>
      </c>
      <c r="N571" t="s">
        <v>2905</v>
      </c>
      <c r="O571" s="2" t="s">
        <v>66</v>
      </c>
    </row>
    <row r="572" spans="1:15">
      <c r="A572" t="s">
        <v>202</v>
      </c>
      <c r="B572" t="s">
        <v>66</v>
      </c>
      <c r="C572" s="2" t="s">
        <v>884</v>
      </c>
      <c r="E572" s="2" t="str">
        <f t="shared" si="25"/>
        <v>Khalid</v>
      </c>
      <c r="F572" s="2" t="str">
        <f t="shared" si="26"/>
        <v>Muneer</v>
      </c>
      <c r="H572" s="2" t="str">
        <f t="shared" si="24"/>
        <v>K</v>
      </c>
      <c r="I572" s="2" t="s">
        <v>2906</v>
      </c>
      <c r="K572" s="2" t="s">
        <v>1970</v>
      </c>
      <c r="L572" t="s">
        <v>1971</v>
      </c>
      <c r="M572" s="2" t="s">
        <v>884</v>
      </c>
      <c r="N572" t="s">
        <v>2906</v>
      </c>
      <c r="O572" s="2" t="s">
        <v>66</v>
      </c>
    </row>
    <row r="573" spans="1:15">
      <c r="A573" t="s">
        <v>203</v>
      </c>
      <c r="B573" t="s">
        <v>66</v>
      </c>
      <c r="C573" s="2" t="s">
        <v>884</v>
      </c>
      <c r="E573" s="2" t="str">
        <f t="shared" si="25"/>
        <v>Almoez</v>
      </c>
      <c r="F573" s="2" t="str">
        <f t="shared" si="26"/>
        <v>Ali</v>
      </c>
      <c r="H573" s="2" t="str">
        <f t="shared" si="24"/>
        <v>A</v>
      </c>
      <c r="I573" s="2" t="s">
        <v>2907</v>
      </c>
      <c r="K573" s="2" t="s">
        <v>1972</v>
      </c>
      <c r="L573" t="s">
        <v>1654</v>
      </c>
      <c r="M573" s="2" t="s">
        <v>884</v>
      </c>
      <c r="N573" t="s">
        <v>2907</v>
      </c>
      <c r="O573" s="2" t="s">
        <v>66</v>
      </c>
    </row>
    <row r="574" spans="1:15">
      <c r="A574" t="s">
        <v>204</v>
      </c>
      <c r="B574" t="s">
        <v>44</v>
      </c>
      <c r="C574" s="2" t="s">
        <v>885</v>
      </c>
      <c r="E574" s="2" t="str">
        <f t="shared" si="25"/>
        <v>Mohammed</v>
      </c>
      <c r="F574" s="2" t="str">
        <f t="shared" si="26"/>
        <v>Al-Yami</v>
      </c>
      <c r="H574" s="2" t="str">
        <f t="shared" si="24"/>
        <v>M</v>
      </c>
      <c r="I574" s="2" t="s">
        <v>2908</v>
      </c>
      <c r="K574" s="2" t="s">
        <v>1589</v>
      </c>
      <c r="L574" t="s">
        <v>1973</v>
      </c>
      <c r="M574" s="2" t="s">
        <v>885</v>
      </c>
      <c r="N574" t="s">
        <v>2908</v>
      </c>
      <c r="O574" s="2" t="s">
        <v>44</v>
      </c>
    </row>
    <row r="575" spans="1:15">
      <c r="A575" t="s">
        <v>205</v>
      </c>
      <c r="B575" t="s">
        <v>44</v>
      </c>
      <c r="C575" s="2" t="s">
        <v>885</v>
      </c>
      <c r="E575" s="2" t="str">
        <f t="shared" si="25"/>
        <v>Mohammed</v>
      </c>
      <c r="F575" s="2" t="str">
        <f t="shared" si="26"/>
        <v>Al-Owais</v>
      </c>
      <c r="H575" s="2" t="str">
        <f t="shared" si="24"/>
        <v>M</v>
      </c>
      <c r="I575" s="2" t="s">
        <v>2909</v>
      </c>
      <c r="K575" s="2" t="s">
        <v>1589</v>
      </c>
      <c r="L575" t="s">
        <v>1974</v>
      </c>
      <c r="M575" s="2" t="s">
        <v>885</v>
      </c>
      <c r="N575" t="s">
        <v>2909</v>
      </c>
      <c r="O575" s="2" t="s">
        <v>44</v>
      </c>
    </row>
    <row r="576" spans="1:15">
      <c r="A576" t="s">
        <v>206</v>
      </c>
      <c r="B576" t="s">
        <v>44</v>
      </c>
      <c r="C576" s="2" t="s">
        <v>885</v>
      </c>
      <c r="E576" s="2" t="str">
        <f t="shared" si="25"/>
        <v>Nawaf</v>
      </c>
      <c r="F576" s="2" t="str">
        <f t="shared" si="26"/>
        <v>Al-Aqidi</v>
      </c>
      <c r="H576" s="2" t="str">
        <f t="shared" si="24"/>
        <v>N</v>
      </c>
      <c r="I576" s="2" t="s">
        <v>2910</v>
      </c>
      <c r="K576" s="2" t="s">
        <v>1975</v>
      </c>
      <c r="L576" t="s">
        <v>1976</v>
      </c>
      <c r="M576" s="2" t="s">
        <v>885</v>
      </c>
      <c r="N576" t="s">
        <v>2910</v>
      </c>
      <c r="O576" s="2" t="s">
        <v>44</v>
      </c>
    </row>
    <row r="577" spans="1:15">
      <c r="A577" t="s">
        <v>207</v>
      </c>
      <c r="B577" t="s">
        <v>48</v>
      </c>
      <c r="C577" s="2" t="s">
        <v>885</v>
      </c>
      <c r="E577" s="2" t="str">
        <f t="shared" si="25"/>
        <v>Sultan</v>
      </c>
      <c r="F577" s="2" t="str">
        <f t="shared" si="26"/>
        <v>Al-Ghannam</v>
      </c>
      <c r="H577" s="2" t="str">
        <f t="shared" si="24"/>
        <v>S</v>
      </c>
      <c r="I577" s="2" t="s">
        <v>2911</v>
      </c>
      <c r="K577" s="2" t="s">
        <v>1977</v>
      </c>
      <c r="L577" t="s">
        <v>1978</v>
      </c>
      <c r="M577" s="2" t="s">
        <v>885</v>
      </c>
      <c r="N577" t="s">
        <v>2911</v>
      </c>
      <c r="O577" s="2" t="s">
        <v>48</v>
      </c>
    </row>
    <row r="578" spans="1:15">
      <c r="A578" t="s">
        <v>208</v>
      </c>
      <c r="B578" t="s">
        <v>48</v>
      </c>
      <c r="C578" s="2" t="s">
        <v>885</v>
      </c>
      <c r="E578" s="2" t="str">
        <f t="shared" si="25"/>
        <v>Abdullah</v>
      </c>
      <c r="F578" s="2" t="str">
        <f t="shared" si="26"/>
        <v>Madu</v>
      </c>
      <c r="H578" s="2" t="str">
        <f t="shared" si="24"/>
        <v>A</v>
      </c>
      <c r="I578" s="2" t="s">
        <v>2912</v>
      </c>
      <c r="K578" s="2" t="s">
        <v>1979</v>
      </c>
      <c r="L578" t="s">
        <v>1980</v>
      </c>
      <c r="M578" s="2" t="s">
        <v>885</v>
      </c>
      <c r="N578" t="s">
        <v>2912</v>
      </c>
      <c r="O578" s="2" t="s">
        <v>48</v>
      </c>
    </row>
    <row r="579" spans="1:15">
      <c r="A579" t="s">
        <v>209</v>
      </c>
      <c r="B579" t="s">
        <v>48</v>
      </c>
      <c r="C579" s="2" t="s">
        <v>885</v>
      </c>
      <c r="E579" s="2" t="str">
        <f t="shared" si="25"/>
        <v>Abdulelah</v>
      </c>
      <c r="F579" s="2" t="str">
        <f t="shared" si="26"/>
        <v>Al-Amri</v>
      </c>
      <c r="H579" s="2" t="str">
        <f t="shared" ref="H579:H642" si="27">LEFT(E579,1)</f>
        <v>A</v>
      </c>
      <c r="I579" s="2" t="s">
        <v>2913</v>
      </c>
      <c r="K579" s="2" t="s">
        <v>1981</v>
      </c>
      <c r="L579" t="s">
        <v>1982</v>
      </c>
      <c r="M579" s="2" t="s">
        <v>885</v>
      </c>
      <c r="N579" t="s">
        <v>2913</v>
      </c>
      <c r="O579" s="2" t="s">
        <v>48</v>
      </c>
    </row>
    <row r="580" spans="1:15">
      <c r="A580" t="s">
        <v>210</v>
      </c>
      <c r="B580" t="s">
        <v>48</v>
      </c>
      <c r="C580" s="2" t="s">
        <v>885</v>
      </c>
      <c r="E580" s="2" t="str">
        <f t="shared" ref="E580:E643" si="28">IF(ISERROR(FIND(" ",A580)),"", LEFT(A580,FIND(" ",A580)-1))</f>
        <v>Ali</v>
      </c>
      <c r="F580" s="2" t="str">
        <f t="shared" ref="F580:F643" si="29">IF(ISERROR(FIND(" ",A580)),A580,RIGHT(A580,LEN(A580)-FIND(" ",A580)))</f>
        <v>Al-Bulayhi</v>
      </c>
      <c r="H580" s="2" t="str">
        <f t="shared" si="27"/>
        <v>A</v>
      </c>
      <c r="I580" s="2" t="s">
        <v>2914</v>
      </c>
      <c r="K580" s="2" t="s">
        <v>1654</v>
      </c>
      <c r="L580" t="s">
        <v>1983</v>
      </c>
      <c r="M580" s="2" t="s">
        <v>885</v>
      </c>
      <c r="N580" t="s">
        <v>2914</v>
      </c>
      <c r="O580" s="2" t="s">
        <v>48</v>
      </c>
    </row>
    <row r="581" spans="1:15">
      <c r="A581" t="s">
        <v>211</v>
      </c>
      <c r="B581" t="s">
        <v>48</v>
      </c>
      <c r="C581" s="2" t="s">
        <v>885</v>
      </c>
      <c r="E581" s="2" t="str">
        <f t="shared" si="28"/>
        <v>Mohammed</v>
      </c>
      <c r="F581" s="2" t="str">
        <f t="shared" si="29"/>
        <v>Al-Burayk</v>
      </c>
      <c r="H581" s="2" t="str">
        <f t="shared" si="27"/>
        <v>M</v>
      </c>
      <c r="I581" s="2" t="s">
        <v>2915</v>
      </c>
      <c r="K581" s="2" t="s">
        <v>1589</v>
      </c>
      <c r="L581" t="s">
        <v>1984</v>
      </c>
      <c r="M581" s="2" t="s">
        <v>885</v>
      </c>
      <c r="N581" t="s">
        <v>2915</v>
      </c>
      <c r="O581" s="2" t="s">
        <v>48</v>
      </c>
    </row>
    <row r="582" spans="1:15">
      <c r="A582" t="s">
        <v>212</v>
      </c>
      <c r="B582" t="s">
        <v>48</v>
      </c>
      <c r="C582" s="2" t="s">
        <v>885</v>
      </c>
      <c r="E582" s="2" t="str">
        <f t="shared" si="28"/>
        <v>Saud</v>
      </c>
      <c r="F582" s="2" t="str">
        <f t="shared" si="29"/>
        <v>Abdulhamid</v>
      </c>
      <c r="H582" s="2" t="str">
        <f t="shared" si="27"/>
        <v>S</v>
      </c>
      <c r="I582" s="2" t="s">
        <v>2916</v>
      </c>
      <c r="K582" s="2" t="s">
        <v>1985</v>
      </c>
      <c r="L582" t="s">
        <v>1986</v>
      </c>
      <c r="M582" s="2" t="s">
        <v>885</v>
      </c>
      <c r="N582" t="s">
        <v>2916</v>
      </c>
      <c r="O582" s="2" t="s">
        <v>48</v>
      </c>
    </row>
    <row r="583" spans="1:15">
      <c r="A583" t="s">
        <v>213</v>
      </c>
      <c r="B583" t="s">
        <v>48</v>
      </c>
      <c r="C583" s="2" t="s">
        <v>885</v>
      </c>
      <c r="E583" s="2" t="str">
        <f t="shared" si="28"/>
        <v>Yasser</v>
      </c>
      <c r="F583" s="2" t="str">
        <f t="shared" si="29"/>
        <v>Al-Shahrani</v>
      </c>
      <c r="H583" s="2" t="str">
        <f t="shared" si="27"/>
        <v>Y</v>
      </c>
      <c r="I583" s="2" t="s">
        <v>2917</v>
      </c>
      <c r="K583" s="2" t="s">
        <v>1987</v>
      </c>
      <c r="L583" t="s">
        <v>1988</v>
      </c>
      <c r="M583" s="2" t="s">
        <v>885</v>
      </c>
      <c r="N583" t="s">
        <v>2917</v>
      </c>
      <c r="O583" s="2" t="s">
        <v>48</v>
      </c>
    </row>
    <row r="584" spans="1:15">
      <c r="A584" t="s">
        <v>214</v>
      </c>
      <c r="B584" t="s">
        <v>48</v>
      </c>
      <c r="C584" s="2" t="s">
        <v>885</v>
      </c>
      <c r="E584" s="2" t="str">
        <f t="shared" si="28"/>
        <v>Hassan</v>
      </c>
      <c r="F584" s="2" t="str">
        <f t="shared" si="29"/>
        <v>Altambakti</v>
      </c>
      <c r="H584" s="2" t="str">
        <f t="shared" si="27"/>
        <v>H</v>
      </c>
      <c r="I584" s="2" t="s">
        <v>2918</v>
      </c>
      <c r="K584" s="2" t="s">
        <v>1934</v>
      </c>
      <c r="L584" t="s">
        <v>1989</v>
      </c>
      <c r="M584" s="2" t="s">
        <v>885</v>
      </c>
      <c r="N584" t="s">
        <v>2918</v>
      </c>
      <c r="O584" s="2" t="s">
        <v>48</v>
      </c>
    </row>
    <row r="585" spans="1:15">
      <c r="A585" t="s">
        <v>215</v>
      </c>
      <c r="B585" t="s">
        <v>57</v>
      </c>
      <c r="C585" s="2" t="s">
        <v>885</v>
      </c>
      <c r="E585" s="2" t="str">
        <f t="shared" si="28"/>
        <v>Salman</v>
      </c>
      <c r="F585" s="2" t="str">
        <f t="shared" si="29"/>
        <v>Al-Faraj</v>
      </c>
      <c r="H585" s="2" t="str">
        <f t="shared" si="27"/>
        <v>S</v>
      </c>
      <c r="I585" s="2" t="s">
        <v>2919</v>
      </c>
      <c r="K585" s="2" t="s">
        <v>1940</v>
      </c>
      <c r="L585" t="s">
        <v>1990</v>
      </c>
      <c r="M585" s="2" t="s">
        <v>885</v>
      </c>
      <c r="N585" t="s">
        <v>2919</v>
      </c>
      <c r="O585" s="2" t="s">
        <v>57</v>
      </c>
    </row>
    <row r="586" spans="1:15">
      <c r="A586" t="s">
        <v>216</v>
      </c>
      <c r="B586" t="s">
        <v>57</v>
      </c>
      <c r="C586" s="2" t="s">
        <v>885</v>
      </c>
      <c r="E586" s="2" t="str">
        <f t="shared" si="28"/>
        <v>Abdulelah</v>
      </c>
      <c r="F586" s="2" t="str">
        <f t="shared" si="29"/>
        <v>Al-Malki</v>
      </c>
      <c r="H586" s="2" t="str">
        <f t="shared" si="27"/>
        <v>A</v>
      </c>
      <c r="I586" s="2" t="s">
        <v>2920</v>
      </c>
      <c r="K586" s="2" t="s">
        <v>1981</v>
      </c>
      <c r="L586" t="s">
        <v>1991</v>
      </c>
      <c r="M586" s="2" t="s">
        <v>885</v>
      </c>
      <c r="N586" t="s">
        <v>2920</v>
      </c>
      <c r="O586" s="2" t="s">
        <v>57</v>
      </c>
    </row>
    <row r="587" spans="1:15">
      <c r="A587" t="s">
        <v>217</v>
      </c>
      <c r="B587" t="s">
        <v>57</v>
      </c>
      <c r="C587" s="2" t="s">
        <v>885</v>
      </c>
      <c r="E587" s="2" t="str">
        <f t="shared" si="28"/>
        <v>Salem</v>
      </c>
      <c r="F587" s="2" t="str">
        <f t="shared" si="29"/>
        <v>Al-Dawsari</v>
      </c>
      <c r="H587" s="2" t="str">
        <f t="shared" si="27"/>
        <v>S</v>
      </c>
      <c r="I587" s="2" t="s">
        <v>937</v>
      </c>
      <c r="K587" s="2" t="s">
        <v>1949</v>
      </c>
      <c r="L587" t="s">
        <v>1992</v>
      </c>
      <c r="M587" s="2" t="s">
        <v>885</v>
      </c>
      <c r="N587" t="s">
        <v>937</v>
      </c>
      <c r="O587" s="2" t="s">
        <v>57</v>
      </c>
    </row>
    <row r="588" spans="1:15">
      <c r="A588" t="s">
        <v>218</v>
      </c>
      <c r="B588" t="s">
        <v>57</v>
      </c>
      <c r="C588" s="2" t="s">
        <v>885</v>
      </c>
      <c r="E588" s="2" t="str">
        <f t="shared" si="28"/>
        <v>Abdullah</v>
      </c>
      <c r="F588" s="2" t="str">
        <f t="shared" si="29"/>
        <v>Otayf</v>
      </c>
      <c r="H588" s="2" t="str">
        <f t="shared" si="27"/>
        <v>A</v>
      </c>
      <c r="I588" s="2" t="s">
        <v>2921</v>
      </c>
      <c r="K588" s="2" t="s">
        <v>1979</v>
      </c>
      <c r="L588" t="s">
        <v>1993</v>
      </c>
      <c r="M588" s="2" t="s">
        <v>885</v>
      </c>
      <c r="N588" t="s">
        <v>2921</v>
      </c>
      <c r="O588" s="2" t="s">
        <v>57</v>
      </c>
    </row>
    <row r="589" spans="1:15">
      <c r="A589" t="s">
        <v>219</v>
      </c>
      <c r="B589" t="s">
        <v>57</v>
      </c>
      <c r="C589" s="2" t="s">
        <v>885</v>
      </c>
      <c r="E589" s="2" t="str">
        <f t="shared" si="28"/>
        <v>Ali</v>
      </c>
      <c r="F589" s="2" t="str">
        <f t="shared" si="29"/>
        <v>Al-Hassan</v>
      </c>
      <c r="H589" s="2" t="str">
        <f t="shared" si="27"/>
        <v>A</v>
      </c>
      <c r="I589" s="2" t="s">
        <v>2922</v>
      </c>
      <c r="K589" s="2" t="s">
        <v>1654</v>
      </c>
      <c r="L589" t="s">
        <v>1994</v>
      </c>
      <c r="M589" s="2" t="s">
        <v>885</v>
      </c>
      <c r="N589" t="s">
        <v>2922</v>
      </c>
      <c r="O589" s="2" t="s">
        <v>57</v>
      </c>
    </row>
    <row r="590" spans="1:15">
      <c r="A590" t="s">
        <v>220</v>
      </c>
      <c r="B590" t="s">
        <v>57</v>
      </c>
      <c r="C590" s="2" t="s">
        <v>885</v>
      </c>
      <c r="E590" s="2" t="str">
        <f t="shared" si="28"/>
        <v>Sami</v>
      </c>
      <c r="F590" s="2" t="str">
        <f t="shared" si="29"/>
        <v>Al-Naji</v>
      </c>
      <c r="H590" s="2" t="str">
        <f t="shared" si="27"/>
        <v>S</v>
      </c>
      <c r="I590" s="2" t="s">
        <v>2923</v>
      </c>
      <c r="K590" s="2" t="s">
        <v>1995</v>
      </c>
      <c r="L590" t="s">
        <v>1996</v>
      </c>
      <c r="M590" s="2" t="s">
        <v>885</v>
      </c>
      <c r="N590" t="s">
        <v>2923</v>
      </c>
      <c r="O590" s="2" t="s">
        <v>57</v>
      </c>
    </row>
    <row r="591" spans="1:15">
      <c r="A591" t="s">
        <v>221</v>
      </c>
      <c r="B591" t="s">
        <v>57</v>
      </c>
      <c r="C591" s="2" t="s">
        <v>885</v>
      </c>
      <c r="E591" s="2" t="str">
        <f t="shared" si="28"/>
        <v>Nawaf</v>
      </c>
      <c r="F591" s="2" t="str">
        <f t="shared" si="29"/>
        <v>Al-Abid</v>
      </c>
      <c r="H591" s="2" t="str">
        <f t="shared" si="27"/>
        <v>N</v>
      </c>
      <c r="I591" s="2" t="s">
        <v>2924</v>
      </c>
      <c r="K591" s="2" t="s">
        <v>1975</v>
      </c>
      <c r="L591" t="s">
        <v>1997</v>
      </c>
      <c r="M591" s="2" t="s">
        <v>885</v>
      </c>
      <c r="N591" t="s">
        <v>2924</v>
      </c>
      <c r="O591" s="2" t="s">
        <v>57</v>
      </c>
    </row>
    <row r="592" spans="1:15">
      <c r="A592" t="s">
        <v>222</v>
      </c>
      <c r="B592" t="s">
        <v>57</v>
      </c>
      <c r="C592" s="2" t="s">
        <v>885</v>
      </c>
      <c r="E592" s="2" t="str">
        <f t="shared" si="28"/>
        <v>Hatan</v>
      </c>
      <c r="F592" s="2" t="str">
        <f t="shared" si="29"/>
        <v>Bahbri</v>
      </c>
      <c r="H592" s="2" t="str">
        <f t="shared" si="27"/>
        <v>H</v>
      </c>
      <c r="I592" s="2" t="s">
        <v>2925</v>
      </c>
      <c r="K592" s="2" t="s">
        <v>1998</v>
      </c>
      <c r="L592" t="s">
        <v>1999</v>
      </c>
      <c r="M592" s="2" t="s">
        <v>885</v>
      </c>
      <c r="N592" t="s">
        <v>2925</v>
      </c>
      <c r="O592" s="2" t="s">
        <v>57</v>
      </c>
    </row>
    <row r="593" spans="1:15">
      <c r="A593" t="s">
        <v>223</v>
      </c>
      <c r="B593" t="s">
        <v>57</v>
      </c>
      <c r="C593" s="2" t="s">
        <v>885</v>
      </c>
      <c r="E593" s="2" t="str">
        <f t="shared" si="28"/>
        <v>Mohamed</v>
      </c>
      <c r="F593" s="2" t="str">
        <f t="shared" si="29"/>
        <v>Kanno</v>
      </c>
      <c r="H593" s="2" t="str">
        <f t="shared" si="27"/>
        <v>M</v>
      </c>
      <c r="I593" s="2" t="s">
        <v>2926</v>
      </c>
      <c r="K593" s="2" t="s">
        <v>2000</v>
      </c>
      <c r="L593" t="s">
        <v>2001</v>
      </c>
      <c r="M593" s="2" t="s">
        <v>885</v>
      </c>
      <c r="N593" t="s">
        <v>2926</v>
      </c>
      <c r="O593" s="2" t="s">
        <v>57</v>
      </c>
    </row>
    <row r="594" spans="1:15">
      <c r="A594" t="s">
        <v>224</v>
      </c>
      <c r="B594" t="s">
        <v>57</v>
      </c>
      <c r="C594" s="2" t="s">
        <v>885</v>
      </c>
      <c r="E594" s="2" t="str">
        <f t="shared" si="28"/>
        <v>Nasser</v>
      </c>
      <c r="F594" s="2" t="str">
        <f t="shared" si="29"/>
        <v>Al-Dawsari</v>
      </c>
      <c r="H594" s="2" t="str">
        <f t="shared" si="27"/>
        <v>N</v>
      </c>
      <c r="I594" s="2" t="s">
        <v>2927</v>
      </c>
      <c r="K594" s="2" t="s">
        <v>2002</v>
      </c>
      <c r="L594" t="s">
        <v>1992</v>
      </c>
      <c r="M594" s="2" t="s">
        <v>885</v>
      </c>
      <c r="N594" t="s">
        <v>2927</v>
      </c>
      <c r="O594" s="2" t="s">
        <v>57</v>
      </c>
    </row>
    <row r="595" spans="1:15">
      <c r="A595" t="s">
        <v>225</v>
      </c>
      <c r="B595" t="s">
        <v>57</v>
      </c>
      <c r="C595" s="2" t="s">
        <v>885</v>
      </c>
      <c r="E595" s="2" t="str">
        <f t="shared" si="28"/>
        <v>Riyadh</v>
      </c>
      <c r="F595" s="2" t="str">
        <f t="shared" si="29"/>
        <v>Sharahili</v>
      </c>
      <c r="H595" s="2" t="str">
        <f t="shared" si="27"/>
        <v>R</v>
      </c>
      <c r="I595" s="2" t="s">
        <v>2928</v>
      </c>
      <c r="K595" s="2" t="s">
        <v>2003</v>
      </c>
      <c r="L595" t="s">
        <v>2004</v>
      </c>
      <c r="M595" s="2" t="s">
        <v>885</v>
      </c>
      <c r="N595" t="s">
        <v>2928</v>
      </c>
      <c r="O595" s="2" t="s">
        <v>57</v>
      </c>
    </row>
    <row r="596" spans="1:15">
      <c r="A596" t="s">
        <v>226</v>
      </c>
      <c r="B596" t="s">
        <v>66</v>
      </c>
      <c r="C596" s="2" t="s">
        <v>885</v>
      </c>
      <c r="E596" s="2" t="str">
        <f t="shared" si="28"/>
        <v>Feras</v>
      </c>
      <c r="F596" s="2" t="str">
        <f t="shared" si="29"/>
        <v>Al-Brikan</v>
      </c>
      <c r="H596" s="2" t="str">
        <f t="shared" si="27"/>
        <v>F</v>
      </c>
      <c r="I596" s="2" t="s">
        <v>2929</v>
      </c>
      <c r="K596" s="2" t="s">
        <v>2005</v>
      </c>
      <c r="L596" t="s">
        <v>2006</v>
      </c>
      <c r="M596" s="2" t="s">
        <v>885</v>
      </c>
      <c r="N596" t="s">
        <v>2929</v>
      </c>
      <c r="O596" s="2" t="s">
        <v>66</v>
      </c>
    </row>
    <row r="597" spans="1:15">
      <c r="A597" t="s">
        <v>227</v>
      </c>
      <c r="B597" t="s">
        <v>66</v>
      </c>
      <c r="C597" t="s">
        <v>885</v>
      </c>
      <c r="E597" s="2" t="str">
        <f t="shared" si="28"/>
        <v>Saleh</v>
      </c>
      <c r="F597" s="2" t="str">
        <f t="shared" si="29"/>
        <v>Al-Shehri</v>
      </c>
      <c r="H597" s="2" t="str">
        <f t="shared" si="27"/>
        <v>S</v>
      </c>
      <c r="I597" s="2" t="s">
        <v>936</v>
      </c>
      <c r="K597" s="2" t="s">
        <v>2007</v>
      </c>
      <c r="L597" t="s">
        <v>2008</v>
      </c>
      <c r="M597" s="2" t="s">
        <v>885</v>
      </c>
      <c r="N597" t="s">
        <v>936</v>
      </c>
      <c r="O597" s="2" t="s">
        <v>66</v>
      </c>
    </row>
    <row r="598" spans="1:15">
      <c r="A598" t="s">
        <v>228</v>
      </c>
      <c r="B598" t="s">
        <v>66</v>
      </c>
      <c r="C598" t="s">
        <v>885</v>
      </c>
      <c r="E598" s="2" t="str">
        <f t="shared" si="28"/>
        <v>Abdulrahman</v>
      </c>
      <c r="F598" s="2" t="str">
        <f t="shared" si="29"/>
        <v>Al-Obud</v>
      </c>
      <c r="H598" s="2" t="str">
        <f t="shared" si="27"/>
        <v>A</v>
      </c>
      <c r="I598" s="2" t="s">
        <v>2930</v>
      </c>
      <c r="K598" s="2" t="s">
        <v>2009</v>
      </c>
      <c r="L598" t="s">
        <v>2010</v>
      </c>
      <c r="M598" s="2" t="s">
        <v>885</v>
      </c>
      <c r="N598" t="s">
        <v>2930</v>
      </c>
      <c r="O598" s="2" t="s">
        <v>66</v>
      </c>
    </row>
    <row r="599" spans="1:15">
      <c r="A599" t="s">
        <v>229</v>
      </c>
      <c r="B599" t="s">
        <v>66</v>
      </c>
      <c r="C599" s="2" t="s">
        <v>885</v>
      </c>
      <c r="E599" s="2" t="str">
        <f t="shared" si="28"/>
        <v>Haitham</v>
      </c>
      <c r="F599" s="2" t="str">
        <f t="shared" si="29"/>
        <v>Asiri</v>
      </c>
      <c r="H599" s="2" t="str">
        <f t="shared" si="27"/>
        <v>H</v>
      </c>
      <c r="I599" s="2" t="s">
        <v>2931</v>
      </c>
      <c r="K599" s="2" t="s">
        <v>2011</v>
      </c>
      <c r="L599" t="s">
        <v>2012</v>
      </c>
      <c r="M599" s="2" t="s">
        <v>885</v>
      </c>
      <c r="N599" t="s">
        <v>2931</v>
      </c>
      <c r="O599" s="2" t="s">
        <v>66</v>
      </c>
    </row>
    <row r="600" spans="1:15">
      <c r="A600" t="s">
        <v>230</v>
      </c>
      <c r="B600" t="s">
        <v>44</v>
      </c>
      <c r="C600" s="2" t="s">
        <v>886</v>
      </c>
      <c r="E600" s="2" t="str">
        <f t="shared" si="28"/>
        <v>Édouard</v>
      </c>
      <c r="F600" s="2" t="str">
        <f t="shared" si="29"/>
        <v>Mendy</v>
      </c>
      <c r="H600" s="2" t="str">
        <f t="shared" si="27"/>
        <v>É</v>
      </c>
      <c r="I600" s="2" t="s">
        <v>2932</v>
      </c>
      <c r="K600" s="2" t="s">
        <v>2013</v>
      </c>
      <c r="L600" t="s">
        <v>2014</v>
      </c>
      <c r="M600" s="2" t="s">
        <v>886</v>
      </c>
      <c r="N600" t="s">
        <v>2932</v>
      </c>
      <c r="O600" s="2" t="s">
        <v>44</v>
      </c>
    </row>
    <row r="601" spans="1:15">
      <c r="A601" t="s">
        <v>231</v>
      </c>
      <c r="B601" t="s">
        <v>44</v>
      </c>
      <c r="C601" s="2" t="s">
        <v>886</v>
      </c>
      <c r="E601" s="2" t="str">
        <f t="shared" si="28"/>
        <v>Seny</v>
      </c>
      <c r="F601" s="2" t="str">
        <f t="shared" si="29"/>
        <v>Dieng</v>
      </c>
      <c r="H601" s="2" t="str">
        <f t="shared" si="27"/>
        <v>S</v>
      </c>
      <c r="I601" s="2" t="s">
        <v>2933</v>
      </c>
      <c r="K601" s="2" t="s">
        <v>2015</v>
      </c>
      <c r="L601" t="s">
        <v>2016</v>
      </c>
      <c r="M601" s="2" t="s">
        <v>886</v>
      </c>
      <c r="N601" t="s">
        <v>2933</v>
      </c>
      <c r="O601" s="2" t="s">
        <v>44</v>
      </c>
    </row>
    <row r="602" spans="1:15">
      <c r="A602" t="s">
        <v>232</v>
      </c>
      <c r="B602" t="s">
        <v>44</v>
      </c>
      <c r="C602" s="2" t="s">
        <v>886</v>
      </c>
      <c r="E602" s="2" t="str">
        <f t="shared" si="28"/>
        <v>Alfred</v>
      </c>
      <c r="F602" s="2" t="str">
        <f t="shared" si="29"/>
        <v>Gomis</v>
      </c>
      <c r="H602" s="2" t="str">
        <f t="shared" si="27"/>
        <v>A</v>
      </c>
      <c r="I602" s="2" t="s">
        <v>2934</v>
      </c>
      <c r="K602" s="2" t="s">
        <v>2017</v>
      </c>
      <c r="L602" t="s">
        <v>2018</v>
      </c>
      <c r="M602" s="2" t="s">
        <v>886</v>
      </c>
      <c r="N602" t="s">
        <v>2934</v>
      </c>
      <c r="O602" s="2" t="s">
        <v>44</v>
      </c>
    </row>
    <row r="603" spans="1:15">
      <c r="A603" t="s">
        <v>233</v>
      </c>
      <c r="B603" t="s">
        <v>48</v>
      </c>
      <c r="C603" s="2" t="s">
        <v>886</v>
      </c>
      <c r="E603" s="2" t="str">
        <f t="shared" si="28"/>
        <v>Ismail</v>
      </c>
      <c r="F603" s="2" t="str">
        <f t="shared" si="29"/>
        <v>Jakobs</v>
      </c>
      <c r="H603" s="2" t="str">
        <f t="shared" si="27"/>
        <v>I</v>
      </c>
      <c r="I603" s="2" t="s">
        <v>2935</v>
      </c>
      <c r="K603" s="2" t="s">
        <v>1958</v>
      </c>
      <c r="L603" t="s">
        <v>2019</v>
      </c>
      <c r="M603" s="2" t="s">
        <v>886</v>
      </c>
      <c r="N603" t="s">
        <v>2935</v>
      </c>
      <c r="O603" s="2" t="s">
        <v>48</v>
      </c>
    </row>
    <row r="604" spans="1:15">
      <c r="A604" t="s">
        <v>234</v>
      </c>
      <c r="B604" t="s">
        <v>48</v>
      </c>
      <c r="C604" s="2" t="s">
        <v>886</v>
      </c>
      <c r="E604" s="2" t="str">
        <f t="shared" si="28"/>
        <v>Kalidou</v>
      </c>
      <c r="F604" s="2" t="str">
        <f t="shared" si="29"/>
        <v>Koulibaly</v>
      </c>
      <c r="H604" s="2" t="str">
        <f t="shared" si="27"/>
        <v>K</v>
      </c>
      <c r="I604" s="2" t="s">
        <v>2936</v>
      </c>
      <c r="K604" s="2" t="s">
        <v>2020</v>
      </c>
      <c r="L604" t="s">
        <v>2021</v>
      </c>
      <c r="M604" s="2" t="s">
        <v>886</v>
      </c>
      <c r="N604" t="s">
        <v>2936</v>
      </c>
      <c r="O604" s="2" t="s">
        <v>48</v>
      </c>
    </row>
    <row r="605" spans="1:15">
      <c r="A605" t="s">
        <v>235</v>
      </c>
      <c r="B605" t="s">
        <v>48</v>
      </c>
      <c r="C605" s="2" t="s">
        <v>886</v>
      </c>
      <c r="E605" s="2" t="str">
        <f t="shared" si="28"/>
        <v>Abdou</v>
      </c>
      <c r="F605" s="2" t="str">
        <f t="shared" si="29"/>
        <v>Diallo</v>
      </c>
      <c r="H605" s="2" t="str">
        <f t="shared" si="27"/>
        <v>A</v>
      </c>
      <c r="I605" s="2" t="s">
        <v>2937</v>
      </c>
      <c r="K605" s="2" t="s">
        <v>2022</v>
      </c>
      <c r="L605" t="s">
        <v>2023</v>
      </c>
      <c r="M605" s="2" t="s">
        <v>886</v>
      </c>
      <c r="N605" t="s">
        <v>2937</v>
      </c>
      <c r="O605" s="2" t="s">
        <v>48</v>
      </c>
    </row>
    <row r="606" spans="1:15">
      <c r="A606" t="s">
        <v>236</v>
      </c>
      <c r="B606" t="s">
        <v>48</v>
      </c>
      <c r="C606" s="2" t="s">
        <v>886</v>
      </c>
      <c r="E606" s="2" t="str">
        <f t="shared" si="28"/>
        <v>Youssouf</v>
      </c>
      <c r="F606" s="2" t="str">
        <f t="shared" si="29"/>
        <v>Sabaly</v>
      </c>
      <c r="H606" s="2" t="str">
        <f t="shared" si="27"/>
        <v>Y</v>
      </c>
      <c r="I606" s="2" t="s">
        <v>2938</v>
      </c>
      <c r="K606" s="2" t="s">
        <v>1513</v>
      </c>
      <c r="L606" t="s">
        <v>2024</v>
      </c>
      <c r="M606" s="2" t="s">
        <v>886</v>
      </c>
      <c r="N606" t="s">
        <v>2938</v>
      </c>
      <c r="O606" s="2" t="s">
        <v>48</v>
      </c>
    </row>
    <row r="607" spans="1:15">
      <c r="A607" t="s">
        <v>237</v>
      </c>
      <c r="B607" t="s">
        <v>48</v>
      </c>
      <c r="C607" s="2" t="s">
        <v>886</v>
      </c>
      <c r="E607" s="2" t="str">
        <f t="shared" si="28"/>
        <v>Formose</v>
      </c>
      <c r="F607" s="2" t="str">
        <f t="shared" si="29"/>
        <v>Mendy</v>
      </c>
      <c r="H607" s="2" t="str">
        <f t="shared" si="27"/>
        <v>F</v>
      </c>
      <c r="I607" s="2" t="s">
        <v>2939</v>
      </c>
      <c r="K607" s="2" t="s">
        <v>2025</v>
      </c>
      <c r="L607" t="s">
        <v>2014</v>
      </c>
      <c r="M607" s="2" t="s">
        <v>886</v>
      </c>
      <c r="N607" t="s">
        <v>2939</v>
      </c>
      <c r="O607" s="2" t="s">
        <v>48</v>
      </c>
    </row>
    <row r="608" spans="1:15">
      <c r="A608" t="s">
        <v>238</v>
      </c>
      <c r="B608" t="s">
        <v>48</v>
      </c>
      <c r="C608" s="2" t="s">
        <v>886</v>
      </c>
      <c r="E608" s="2" t="str">
        <f t="shared" si="28"/>
        <v>Pape</v>
      </c>
      <c r="F608" s="2" t="str">
        <f t="shared" si="29"/>
        <v>Abou Cissé</v>
      </c>
      <c r="H608" s="2" t="str">
        <f t="shared" si="27"/>
        <v>P</v>
      </c>
      <c r="I608" s="2" t="s">
        <v>2940</v>
      </c>
      <c r="K608" s="2" t="s">
        <v>2026</v>
      </c>
      <c r="L608" t="s">
        <v>2027</v>
      </c>
      <c r="M608" s="2" t="s">
        <v>886</v>
      </c>
      <c r="N608" t="s">
        <v>2940</v>
      </c>
      <c r="O608" s="2" t="s">
        <v>48</v>
      </c>
    </row>
    <row r="609" spans="1:15">
      <c r="A609" t="s">
        <v>239</v>
      </c>
      <c r="B609" t="s">
        <v>48</v>
      </c>
      <c r="C609" s="2" t="s">
        <v>886</v>
      </c>
      <c r="E609" s="2" t="str">
        <f t="shared" si="28"/>
        <v>Fodé</v>
      </c>
      <c r="F609" s="2" t="str">
        <f t="shared" si="29"/>
        <v>Ballo-Touré</v>
      </c>
      <c r="H609" s="2" t="str">
        <f t="shared" si="27"/>
        <v>F</v>
      </c>
      <c r="I609" s="2" t="s">
        <v>2941</v>
      </c>
      <c r="K609" s="2" t="s">
        <v>2028</v>
      </c>
      <c r="L609" t="s">
        <v>2029</v>
      </c>
      <c r="M609" s="2" t="s">
        <v>886</v>
      </c>
      <c r="N609" t="s">
        <v>2941</v>
      </c>
      <c r="O609" s="2" t="s">
        <v>48</v>
      </c>
    </row>
    <row r="610" spans="1:15">
      <c r="A610" t="s">
        <v>240</v>
      </c>
      <c r="B610" t="s">
        <v>57</v>
      </c>
      <c r="C610" s="2" t="s">
        <v>886</v>
      </c>
      <c r="E610" s="2" t="str">
        <f t="shared" si="28"/>
        <v>Idrissa</v>
      </c>
      <c r="F610" s="2" t="str">
        <f t="shared" si="29"/>
        <v>Gana Gueye</v>
      </c>
      <c r="H610" s="2" t="str">
        <f t="shared" si="27"/>
        <v>I</v>
      </c>
      <c r="I610" s="2" t="s">
        <v>2942</v>
      </c>
      <c r="K610" s="2" t="s">
        <v>2030</v>
      </c>
      <c r="L610" t="s">
        <v>2031</v>
      </c>
      <c r="M610" s="2" t="s">
        <v>886</v>
      </c>
      <c r="N610" t="s">
        <v>2942</v>
      </c>
      <c r="O610" s="2" t="s">
        <v>57</v>
      </c>
    </row>
    <row r="611" spans="1:15">
      <c r="A611" t="s">
        <v>241</v>
      </c>
      <c r="B611" t="s">
        <v>57</v>
      </c>
      <c r="C611" s="2" t="s">
        <v>886</v>
      </c>
      <c r="E611" s="2" t="str">
        <f t="shared" si="28"/>
        <v>Nampalys</v>
      </c>
      <c r="F611" s="2" t="str">
        <f t="shared" si="29"/>
        <v>Mendy</v>
      </c>
      <c r="H611" s="2" t="str">
        <f t="shared" si="27"/>
        <v>N</v>
      </c>
      <c r="I611" s="2" t="s">
        <v>2943</v>
      </c>
      <c r="K611" s="2" t="s">
        <v>2032</v>
      </c>
      <c r="L611" t="s">
        <v>2014</v>
      </c>
      <c r="M611" s="2" t="s">
        <v>886</v>
      </c>
      <c r="N611" t="s">
        <v>2943</v>
      </c>
      <c r="O611" s="2" t="s">
        <v>57</v>
      </c>
    </row>
    <row r="612" spans="1:15">
      <c r="A612" t="s">
        <v>242</v>
      </c>
      <c r="B612" t="s">
        <v>57</v>
      </c>
      <c r="C612" s="2" t="s">
        <v>886</v>
      </c>
      <c r="E612" s="2" t="str">
        <f t="shared" si="28"/>
        <v>Cheikhou</v>
      </c>
      <c r="F612" s="2" t="str">
        <f t="shared" si="29"/>
        <v>Kouyaté</v>
      </c>
      <c r="H612" s="2" t="str">
        <f t="shared" si="27"/>
        <v>C</v>
      </c>
      <c r="I612" s="2" t="s">
        <v>2944</v>
      </c>
      <c r="K612" s="2" t="s">
        <v>2033</v>
      </c>
      <c r="L612" t="s">
        <v>2034</v>
      </c>
      <c r="M612" s="2" t="s">
        <v>886</v>
      </c>
      <c r="N612" t="s">
        <v>2944</v>
      </c>
      <c r="O612" s="2" t="s">
        <v>57</v>
      </c>
    </row>
    <row r="613" spans="1:15">
      <c r="A613" t="s">
        <v>243</v>
      </c>
      <c r="B613" t="s">
        <v>57</v>
      </c>
      <c r="C613" s="2" t="s">
        <v>886</v>
      </c>
      <c r="E613" s="2" t="str">
        <f t="shared" si="28"/>
        <v>Iliman</v>
      </c>
      <c r="F613" s="2" t="str">
        <f t="shared" si="29"/>
        <v>Ndiaye</v>
      </c>
      <c r="H613" s="2" t="str">
        <f t="shared" si="27"/>
        <v>I</v>
      </c>
      <c r="I613" s="2" t="s">
        <v>2945</v>
      </c>
      <c r="K613" s="2" t="s">
        <v>2035</v>
      </c>
      <c r="L613" t="s">
        <v>2036</v>
      </c>
      <c r="M613" s="2" t="s">
        <v>886</v>
      </c>
      <c r="N613" t="s">
        <v>2945</v>
      </c>
      <c r="O613" s="2" t="s">
        <v>57</v>
      </c>
    </row>
    <row r="614" spans="1:15">
      <c r="A614" t="s">
        <v>244</v>
      </c>
      <c r="B614" t="s">
        <v>57</v>
      </c>
      <c r="C614" s="2" t="s">
        <v>886</v>
      </c>
      <c r="E614" s="2" t="str">
        <f t="shared" si="28"/>
        <v>Pape</v>
      </c>
      <c r="F614" s="2" t="str">
        <f t="shared" si="29"/>
        <v>Gueye</v>
      </c>
      <c r="H614" s="2" t="str">
        <f t="shared" si="27"/>
        <v>P</v>
      </c>
      <c r="I614" s="2" t="s">
        <v>2946</v>
      </c>
      <c r="K614" s="2" t="s">
        <v>2026</v>
      </c>
      <c r="L614" t="s">
        <v>2037</v>
      </c>
      <c r="M614" s="2" t="s">
        <v>886</v>
      </c>
      <c r="N614" t="s">
        <v>2946</v>
      </c>
      <c r="O614" s="2" t="s">
        <v>57</v>
      </c>
    </row>
    <row r="615" spans="1:15">
      <c r="A615" t="s">
        <v>245</v>
      </c>
      <c r="B615" t="s">
        <v>57</v>
      </c>
      <c r="C615" s="2" t="s">
        <v>886</v>
      </c>
      <c r="E615" s="2" t="str">
        <f t="shared" si="28"/>
        <v>Moustapha</v>
      </c>
      <c r="F615" s="2" t="str">
        <f t="shared" si="29"/>
        <v>Name</v>
      </c>
      <c r="H615" s="2" t="str">
        <f t="shared" si="27"/>
        <v>M</v>
      </c>
      <c r="I615" s="2" t="s">
        <v>2947</v>
      </c>
      <c r="K615" s="2" t="s">
        <v>2038</v>
      </c>
      <c r="L615" t="s">
        <v>2039</v>
      </c>
      <c r="M615" s="2" t="s">
        <v>886</v>
      </c>
      <c r="N615" t="s">
        <v>2947</v>
      </c>
      <c r="O615" s="2" t="s">
        <v>57</v>
      </c>
    </row>
    <row r="616" spans="1:15">
      <c r="A616" t="s">
        <v>246</v>
      </c>
      <c r="B616" t="s">
        <v>57</v>
      </c>
      <c r="C616" s="2" t="s">
        <v>886</v>
      </c>
      <c r="E616" s="2" t="str">
        <f t="shared" si="28"/>
        <v>Pathé</v>
      </c>
      <c r="F616" s="2" t="str">
        <f t="shared" si="29"/>
        <v>Ciss</v>
      </c>
      <c r="H616" s="2" t="str">
        <f t="shared" si="27"/>
        <v>P</v>
      </c>
      <c r="I616" s="2" t="s">
        <v>2948</v>
      </c>
      <c r="K616" s="2" t="s">
        <v>2040</v>
      </c>
      <c r="L616" t="s">
        <v>2041</v>
      </c>
      <c r="M616" s="2" t="s">
        <v>886</v>
      </c>
      <c r="N616" t="s">
        <v>2948</v>
      </c>
      <c r="O616" s="2" t="s">
        <v>57</v>
      </c>
    </row>
    <row r="617" spans="1:15">
      <c r="A617" t="s">
        <v>247</v>
      </c>
      <c r="B617" t="s">
        <v>57</v>
      </c>
      <c r="C617" s="2" t="s">
        <v>886</v>
      </c>
      <c r="E617" s="2" t="str">
        <f t="shared" si="28"/>
        <v>Pape</v>
      </c>
      <c r="F617" s="2" t="str">
        <f t="shared" si="29"/>
        <v>Matar Sarr</v>
      </c>
      <c r="H617" s="2" t="str">
        <f t="shared" si="27"/>
        <v>P</v>
      </c>
      <c r="I617" s="2" t="s">
        <v>2949</v>
      </c>
      <c r="K617" s="2" t="s">
        <v>2026</v>
      </c>
      <c r="L617" t="s">
        <v>2042</v>
      </c>
      <c r="M617" s="2" t="s">
        <v>886</v>
      </c>
      <c r="N617" t="s">
        <v>2949</v>
      </c>
      <c r="O617" s="2" t="s">
        <v>57</v>
      </c>
    </row>
    <row r="618" spans="1:15">
      <c r="A618" t="s">
        <v>248</v>
      </c>
      <c r="B618" t="s">
        <v>57</v>
      </c>
      <c r="C618" s="2" t="s">
        <v>886</v>
      </c>
      <c r="E618" s="2" t="str">
        <f t="shared" si="28"/>
        <v>Mamadou</v>
      </c>
      <c r="F618" s="2" t="str">
        <f t="shared" si="29"/>
        <v>Loum Ndiaye</v>
      </c>
      <c r="H618" s="2" t="str">
        <f t="shared" si="27"/>
        <v>M</v>
      </c>
      <c r="I618" s="2" t="s">
        <v>2950</v>
      </c>
      <c r="K618" s="2" t="s">
        <v>2043</v>
      </c>
      <c r="L618" t="s">
        <v>2044</v>
      </c>
      <c r="M618" s="2" t="s">
        <v>886</v>
      </c>
      <c r="N618" t="s">
        <v>2950</v>
      </c>
      <c r="O618" s="2" t="s">
        <v>57</v>
      </c>
    </row>
    <row r="619" spans="1:15">
      <c r="A619" t="s">
        <v>249</v>
      </c>
      <c r="B619" t="s">
        <v>66</v>
      </c>
      <c r="C619" s="2" t="s">
        <v>886</v>
      </c>
      <c r="E619" s="2" t="str">
        <f t="shared" si="28"/>
        <v>Sadio</v>
      </c>
      <c r="F619" s="2" t="str">
        <f t="shared" si="29"/>
        <v>Mané</v>
      </c>
      <c r="H619" s="2" t="str">
        <f t="shared" si="27"/>
        <v>S</v>
      </c>
      <c r="I619" s="2" t="s">
        <v>2951</v>
      </c>
      <c r="K619" s="2" t="s">
        <v>2045</v>
      </c>
      <c r="L619" t="s">
        <v>2046</v>
      </c>
      <c r="M619" s="2" t="s">
        <v>886</v>
      </c>
      <c r="N619" t="s">
        <v>2951</v>
      </c>
      <c r="O619" s="2" t="s">
        <v>66</v>
      </c>
    </row>
    <row r="620" spans="1:15">
      <c r="A620" t="s">
        <v>250</v>
      </c>
      <c r="B620" t="s">
        <v>66</v>
      </c>
      <c r="C620" s="2" t="s">
        <v>886</v>
      </c>
      <c r="E620" s="2" t="str">
        <f t="shared" si="28"/>
        <v>Krépin</v>
      </c>
      <c r="F620" s="2" t="str">
        <f t="shared" si="29"/>
        <v>Diatta</v>
      </c>
      <c r="H620" s="2" t="str">
        <f t="shared" si="27"/>
        <v>K</v>
      </c>
      <c r="I620" s="2" t="s">
        <v>2952</v>
      </c>
      <c r="K620" s="2" t="s">
        <v>2047</v>
      </c>
      <c r="L620" t="s">
        <v>2048</v>
      </c>
      <c r="M620" s="2" t="s">
        <v>886</v>
      </c>
      <c r="N620" t="s">
        <v>2952</v>
      </c>
      <c r="O620" s="2" t="s">
        <v>66</v>
      </c>
    </row>
    <row r="621" spans="1:15">
      <c r="A621" t="s">
        <v>251</v>
      </c>
      <c r="B621" t="s">
        <v>66</v>
      </c>
      <c r="C621" s="2" t="s">
        <v>886</v>
      </c>
      <c r="E621" s="2" t="str">
        <f t="shared" si="28"/>
        <v>Ismaïla</v>
      </c>
      <c r="F621" s="2" t="str">
        <f t="shared" si="29"/>
        <v>Sarr</v>
      </c>
      <c r="H621" s="2" t="str">
        <f t="shared" si="27"/>
        <v>I</v>
      </c>
      <c r="I621" s="2" t="s">
        <v>2953</v>
      </c>
      <c r="K621" s="2" t="s">
        <v>2049</v>
      </c>
      <c r="L621" t="s">
        <v>2050</v>
      </c>
      <c r="M621" s="2" t="s">
        <v>886</v>
      </c>
      <c r="N621" t="s">
        <v>2953</v>
      </c>
      <c r="O621" s="2" t="s">
        <v>66</v>
      </c>
    </row>
    <row r="622" spans="1:15">
      <c r="A622" t="s">
        <v>252</v>
      </c>
      <c r="B622" t="s">
        <v>66</v>
      </c>
      <c r="C622" s="2" t="s">
        <v>886</v>
      </c>
      <c r="E622" s="2" t="str">
        <f t="shared" si="28"/>
        <v>Famara</v>
      </c>
      <c r="F622" s="2" t="str">
        <f t="shared" si="29"/>
        <v>Diedhiou</v>
      </c>
      <c r="H622" s="2" t="str">
        <f t="shared" si="27"/>
        <v>F</v>
      </c>
      <c r="I622" s="2" t="s">
        <v>2954</v>
      </c>
      <c r="K622" s="2" t="s">
        <v>2051</v>
      </c>
      <c r="L622" t="s">
        <v>2052</v>
      </c>
      <c r="M622" s="2" t="s">
        <v>886</v>
      </c>
      <c r="N622" t="s">
        <v>2954</v>
      </c>
      <c r="O622" s="2" t="s">
        <v>66</v>
      </c>
    </row>
    <row r="623" spans="1:15">
      <c r="A623" t="s">
        <v>253</v>
      </c>
      <c r="B623" t="s">
        <v>66</v>
      </c>
      <c r="C623" s="2" t="s">
        <v>886</v>
      </c>
      <c r="E623" s="2" t="str">
        <f t="shared" si="28"/>
        <v>Bamba</v>
      </c>
      <c r="F623" s="2" t="str">
        <f t="shared" si="29"/>
        <v>Dieng</v>
      </c>
      <c r="H623" s="2" t="str">
        <f t="shared" si="27"/>
        <v>B</v>
      </c>
      <c r="I623" s="2" t="s">
        <v>2955</v>
      </c>
      <c r="K623" s="2" t="s">
        <v>2053</v>
      </c>
      <c r="L623" t="s">
        <v>2016</v>
      </c>
      <c r="M623" s="2" t="s">
        <v>886</v>
      </c>
      <c r="N623" t="s">
        <v>2955</v>
      </c>
      <c r="O623" s="2" t="s">
        <v>66</v>
      </c>
    </row>
    <row r="624" spans="1:15">
      <c r="A624" t="s">
        <v>254</v>
      </c>
      <c r="B624" t="s">
        <v>66</v>
      </c>
      <c r="C624" t="s">
        <v>886</v>
      </c>
      <c r="E624" s="2" t="str">
        <f t="shared" si="28"/>
        <v>Boulaye</v>
      </c>
      <c r="F624" s="2" t="str">
        <f t="shared" si="29"/>
        <v>Dia</v>
      </c>
      <c r="H624" s="2" t="str">
        <f t="shared" si="27"/>
        <v>B</v>
      </c>
      <c r="I624" s="2" t="s">
        <v>2956</v>
      </c>
      <c r="K624" s="2" t="s">
        <v>2054</v>
      </c>
      <c r="L624" t="s">
        <v>2055</v>
      </c>
      <c r="M624" s="2" t="s">
        <v>886</v>
      </c>
      <c r="N624" t="s">
        <v>2956</v>
      </c>
      <c r="O624" s="2" t="s">
        <v>66</v>
      </c>
    </row>
    <row r="625" spans="1:15">
      <c r="A625" t="s">
        <v>255</v>
      </c>
      <c r="B625" t="s">
        <v>66</v>
      </c>
      <c r="C625" t="s">
        <v>886</v>
      </c>
      <c r="E625" s="2" t="str">
        <f t="shared" si="28"/>
        <v>Nicolas</v>
      </c>
      <c r="F625" s="2" t="str">
        <f t="shared" si="29"/>
        <v>Jackson</v>
      </c>
      <c r="H625" s="2" t="str">
        <f t="shared" si="27"/>
        <v>N</v>
      </c>
      <c r="I625" s="2" t="s">
        <v>2957</v>
      </c>
      <c r="K625" s="2" t="s">
        <v>1185</v>
      </c>
      <c r="L625" t="s">
        <v>1094</v>
      </c>
      <c r="M625" s="2" t="s">
        <v>886</v>
      </c>
      <c r="N625" t="s">
        <v>2957</v>
      </c>
      <c r="O625" s="2" t="s">
        <v>66</v>
      </c>
    </row>
    <row r="626" spans="1:15">
      <c r="A626" t="s">
        <v>256</v>
      </c>
      <c r="B626" t="s">
        <v>44</v>
      </c>
      <c r="C626" s="2" t="s">
        <v>887</v>
      </c>
      <c r="E626" s="2" t="str">
        <f t="shared" si="28"/>
        <v>Marko</v>
      </c>
      <c r="F626" s="2" t="str">
        <f t="shared" si="29"/>
        <v>Dmitrovic</v>
      </c>
      <c r="H626" s="2" t="str">
        <f t="shared" si="27"/>
        <v>M</v>
      </c>
      <c r="I626" s="2" t="s">
        <v>2958</v>
      </c>
      <c r="K626" s="2" t="s">
        <v>1359</v>
      </c>
      <c r="L626" t="s">
        <v>2056</v>
      </c>
      <c r="M626" s="2" t="s">
        <v>887</v>
      </c>
      <c r="N626" t="s">
        <v>2958</v>
      </c>
      <c r="O626" s="2" t="s">
        <v>44</v>
      </c>
    </row>
    <row r="627" spans="1:15">
      <c r="A627" t="s">
        <v>257</v>
      </c>
      <c r="B627" t="s">
        <v>44</v>
      </c>
      <c r="C627" s="2" t="s">
        <v>887</v>
      </c>
      <c r="E627" s="2" t="str">
        <f t="shared" si="28"/>
        <v>Predrag</v>
      </c>
      <c r="F627" s="2" t="str">
        <f t="shared" si="29"/>
        <v>Rajkovic</v>
      </c>
      <c r="H627" s="2" t="str">
        <f t="shared" si="27"/>
        <v>P</v>
      </c>
      <c r="I627" s="2" t="s">
        <v>2959</v>
      </c>
      <c r="K627" s="2" t="s">
        <v>2057</v>
      </c>
      <c r="L627" t="s">
        <v>2058</v>
      </c>
      <c r="M627" s="2" t="s">
        <v>887</v>
      </c>
      <c r="N627" t="s">
        <v>2959</v>
      </c>
      <c r="O627" s="2" t="s">
        <v>44</v>
      </c>
    </row>
    <row r="628" spans="1:15">
      <c r="A628" t="s">
        <v>258</v>
      </c>
      <c r="B628" t="s">
        <v>44</v>
      </c>
      <c r="C628" s="2" t="s">
        <v>887</v>
      </c>
      <c r="E628" s="2" t="str">
        <f t="shared" si="28"/>
        <v>Vanja</v>
      </c>
      <c r="F628" s="2" t="str">
        <f t="shared" si="29"/>
        <v>Milinkovic-Savic</v>
      </c>
      <c r="H628" s="2" t="str">
        <f t="shared" si="27"/>
        <v>V</v>
      </c>
      <c r="I628" s="2" t="s">
        <v>2960</v>
      </c>
      <c r="K628" s="2" t="s">
        <v>2059</v>
      </c>
      <c r="L628" t="s">
        <v>2060</v>
      </c>
      <c r="M628" s="2" t="s">
        <v>887</v>
      </c>
      <c r="N628" t="s">
        <v>2960</v>
      </c>
      <c r="O628" s="2" t="s">
        <v>44</v>
      </c>
    </row>
    <row r="629" spans="1:15">
      <c r="A629" t="s">
        <v>259</v>
      </c>
      <c r="B629" t="s">
        <v>48</v>
      </c>
      <c r="C629" s="2" t="s">
        <v>887</v>
      </c>
      <c r="E629" s="2" t="str">
        <f t="shared" si="28"/>
        <v>Strahinja</v>
      </c>
      <c r="F629" s="2" t="str">
        <f t="shared" si="29"/>
        <v>Pavlovic</v>
      </c>
      <c r="H629" s="2" t="str">
        <f t="shared" si="27"/>
        <v>S</v>
      </c>
      <c r="I629" s="2" t="s">
        <v>2961</v>
      </c>
      <c r="K629" s="2" t="s">
        <v>2061</v>
      </c>
      <c r="L629" t="s">
        <v>2062</v>
      </c>
      <c r="M629" s="2" t="s">
        <v>887</v>
      </c>
      <c r="N629" t="s">
        <v>2961</v>
      </c>
      <c r="O629" s="2" t="s">
        <v>48</v>
      </c>
    </row>
    <row r="630" spans="1:15">
      <c r="A630" t="s">
        <v>260</v>
      </c>
      <c r="B630" t="s">
        <v>48</v>
      </c>
      <c r="C630" s="2" t="s">
        <v>887</v>
      </c>
      <c r="E630" s="2" t="str">
        <f t="shared" si="28"/>
        <v>Strahinja</v>
      </c>
      <c r="F630" s="2" t="str">
        <f t="shared" si="29"/>
        <v>Erakovic</v>
      </c>
      <c r="H630" s="2" t="str">
        <f t="shared" si="27"/>
        <v>S</v>
      </c>
      <c r="I630" s="2" t="s">
        <v>2962</v>
      </c>
      <c r="K630" s="2" t="s">
        <v>2061</v>
      </c>
      <c r="L630" t="s">
        <v>2063</v>
      </c>
      <c r="M630" s="2" t="s">
        <v>887</v>
      </c>
      <c r="N630" t="s">
        <v>2962</v>
      </c>
      <c r="O630" s="2" t="s">
        <v>48</v>
      </c>
    </row>
    <row r="631" spans="1:15">
      <c r="A631" t="s">
        <v>261</v>
      </c>
      <c r="B631" t="s">
        <v>48</v>
      </c>
      <c r="C631" s="2" t="s">
        <v>887</v>
      </c>
      <c r="E631" s="2" t="str">
        <f t="shared" si="28"/>
        <v>Nikola</v>
      </c>
      <c r="F631" s="2" t="str">
        <f t="shared" si="29"/>
        <v>Milenkovic</v>
      </c>
      <c r="H631" s="2" t="str">
        <f t="shared" si="27"/>
        <v>N</v>
      </c>
      <c r="I631" s="2" t="s">
        <v>2963</v>
      </c>
      <c r="K631" s="2" t="s">
        <v>1350</v>
      </c>
      <c r="L631" t="s">
        <v>2064</v>
      </c>
      <c r="M631" s="2" t="s">
        <v>887</v>
      </c>
      <c r="N631" t="s">
        <v>2963</v>
      </c>
      <c r="O631" s="2" t="s">
        <v>48</v>
      </c>
    </row>
    <row r="632" spans="1:15">
      <c r="A632" t="s">
        <v>262</v>
      </c>
      <c r="B632" t="s">
        <v>48</v>
      </c>
      <c r="C632" s="2" t="s">
        <v>887</v>
      </c>
      <c r="E632" s="2" t="str">
        <f t="shared" si="28"/>
        <v>Milos</v>
      </c>
      <c r="F632" s="2" t="str">
        <f t="shared" si="29"/>
        <v>Veljkovic</v>
      </c>
      <c r="H632" s="2" t="str">
        <f t="shared" si="27"/>
        <v>M</v>
      </c>
      <c r="I632" s="2" t="s">
        <v>2964</v>
      </c>
      <c r="K632" s="2" t="s">
        <v>1066</v>
      </c>
      <c r="L632" t="s">
        <v>2065</v>
      </c>
      <c r="M632" s="2" t="s">
        <v>887</v>
      </c>
      <c r="N632" t="s">
        <v>2964</v>
      </c>
      <c r="O632" s="2" t="s">
        <v>48</v>
      </c>
    </row>
    <row r="633" spans="1:15">
      <c r="A633" t="s">
        <v>263</v>
      </c>
      <c r="B633" t="s">
        <v>48</v>
      </c>
      <c r="C633" s="2" t="s">
        <v>887</v>
      </c>
      <c r="E633" s="2" t="str">
        <f t="shared" si="28"/>
        <v>Stefan</v>
      </c>
      <c r="F633" s="2" t="str">
        <f t="shared" si="29"/>
        <v>Mitrovic</v>
      </c>
      <c r="H633" s="2" t="str">
        <f t="shared" si="27"/>
        <v>S</v>
      </c>
      <c r="I633" s="2" t="s">
        <v>2965</v>
      </c>
      <c r="K633" s="2" t="s">
        <v>1822</v>
      </c>
      <c r="L633" t="s">
        <v>2066</v>
      </c>
      <c r="M633" s="2" t="s">
        <v>887</v>
      </c>
      <c r="N633" t="s">
        <v>2965</v>
      </c>
      <c r="O633" s="2" t="s">
        <v>48</v>
      </c>
    </row>
    <row r="634" spans="1:15">
      <c r="A634" t="s">
        <v>264</v>
      </c>
      <c r="B634" t="s">
        <v>48</v>
      </c>
      <c r="C634" s="2" t="s">
        <v>887</v>
      </c>
      <c r="E634" s="2" t="str">
        <f t="shared" si="28"/>
        <v>Srjdan</v>
      </c>
      <c r="F634" s="2" t="str">
        <f t="shared" si="29"/>
        <v>Babic</v>
      </c>
      <c r="H634" s="2" t="str">
        <f t="shared" si="27"/>
        <v>S</v>
      </c>
      <c r="I634" s="2" t="s">
        <v>2966</v>
      </c>
      <c r="K634" s="2" t="s">
        <v>2067</v>
      </c>
      <c r="L634" t="s">
        <v>2068</v>
      </c>
      <c r="M634" s="2" t="s">
        <v>887</v>
      </c>
      <c r="N634" t="s">
        <v>2966</v>
      </c>
      <c r="O634" s="2" t="s">
        <v>48</v>
      </c>
    </row>
    <row r="635" spans="1:15">
      <c r="A635" t="s">
        <v>265</v>
      </c>
      <c r="B635" t="s">
        <v>48</v>
      </c>
      <c r="C635" s="2" t="s">
        <v>887</v>
      </c>
      <c r="E635" s="2" t="str">
        <f t="shared" si="28"/>
        <v>Filip</v>
      </c>
      <c r="F635" s="2" t="str">
        <f t="shared" si="29"/>
        <v>Mladenovic</v>
      </c>
      <c r="H635" s="2" t="str">
        <f t="shared" si="27"/>
        <v>F</v>
      </c>
      <c r="I635" s="2" t="s">
        <v>2967</v>
      </c>
      <c r="K635" s="2" t="s">
        <v>2069</v>
      </c>
      <c r="L635" t="s">
        <v>2070</v>
      </c>
      <c r="M635" s="2" t="s">
        <v>887</v>
      </c>
      <c r="N635" t="s">
        <v>2967</v>
      </c>
      <c r="O635" s="2" t="s">
        <v>48</v>
      </c>
    </row>
    <row r="636" spans="1:15">
      <c r="A636" t="s">
        <v>266</v>
      </c>
      <c r="B636" t="s">
        <v>57</v>
      </c>
      <c r="C636" s="2" t="s">
        <v>887</v>
      </c>
      <c r="E636" s="2" t="str">
        <f t="shared" si="28"/>
        <v>Nemanja</v>
      </c>
      <c r="F636" s="2" t="str">
        <f t="shared" si="29"/>
        <v>Maksimovic</v>
      </c>
      <c r="H636" s="2" t="str">
        <f t="shared" si="27"/>
        <v>N</v>
      </c>
      <c r="I636" s="2" t="s">
        <v>2968</v>
      </c>
      <c r="K636" s="2" t="s">
        <v>2071</v>
      </c>
      <c r="L636" t="s">
        <v>2072</v>
      </c>
      <c r="M636" s="2" t="s">
        <v>887</v>
      </c>
      <c r="N636" t="s">
        <v>2968</v>
      </c>
      <c r="O636" s="2" t="s">
        <v>57</v>
      </c>
    </row>
    <row r="637" spans="1:15">
      <c r="A637" t="s">
        <v>267</v>
      </c>
      <c r="B637" t="s">
        <v>57</v>
      </c>
      <c r="C637" s="2" t="s">
        <v>887</v>
      </c>
      <c r="E637" s="2" t="str">
        <f t="shared" si="28"/>
        <v>Nemanja</v>
      </c>
      <c r="F637" s="2" t="str">
        <f t="shared" si="29"/>
        <v>Radonjic</v>
      </c>
      <c r="H637" s="2" t="str">
        <f t="shared" si="27"/>
        <v>N</v>
      </c>
      <c r="I637" s="2" t="s">
        <v>2969</v>
      </c>
      <c r="K637" s="2" t="s">
        <v>2071</v>
      </c>
      <c r="L637" t="s">
        <v>2073</v>
      </c>
      <c r="M637" s="2" t="s">
        <v>887</v>
      </c>
      <c r="N637" t="s">
        <v>2969</v>
      </c>
      <c r="O637" s="2" t="s">
        <v>57</v>
      </c>
    </row>
    <row r="638" spans="1:15">
      <c r="A638" t="s">
        <v>268</v>
      </c>
      <c r="B638" t="s">
        <v>57</v>
      </c>
      <c r="C638" s="2" t="s">
        <v>887</v>
      </c>
      <c r="E638" s="2" t="str">
        <f t="shared" si="28"/>
        <v>Nemanja</v>
      </c>
      <c r="F638" s="2" t="str">
        <f t="shared" si="29"/>
        <v>Gudelj</v>
      </c>
      <c r="H638" s="2" t="str">
        <f t="shared" si="27"/>
        <v>N</v>
      </c>
      <c r="I638" s="2" t="s">
        <v>2970</v>
      </c>
      <c r="K638" s="2" t="s">
        <v>2071</v>
      </c>
      <c r="L638" t="s">
        <v>2074</v>
      </c>
      <c r="M638" s="2" t="s">
        <v>887</v>
      </c>
      <c r="N638" t="s">
        <v>2970</v>
      </c>
      <c r="O638" s="2" t="s">
        <v>57</v>
      </c>
    </row>
    <row r="639" spans="1:15">
      <c r="A639" t="s">
        <v>269</v>
      </c>
      <c r="B639" t="s">
        <v>57</v>
      </c>
      <c r="C639" s="2" t="s">
        <v>887</v>
      </c>
      <c r="E639" s="2" t="str">
        <f t="shared" si="28"/>
        <v>Sasa</v>
      </c>
      <c r="F639" s="2" t="str">
        <f t="shared" si="29"/>
        <v>Lukic</v>
      </c>
      <c r="H639" s="2" t="str">
        <f t="shared" si="27"/>
        <v>S</v>
      </c>
      <c r="I639" s="2" t="s">
        <v>2971</v>
      </c>
      <c r="K639" s="2" t="s">
        <v>2075</v>
      </c>
      <c r="L639" t="s">
        <v>2076</v>
      </c>
      <c r="M639" s="2" t="s">
        <v>887</v>
      </c>
      <c r="N639" t="s">
        <v>2971</v>
      </c>
      <c r="O639" s="2" t="s">
        <v>57</v>
      </c>
    </row>
    <row r="640" spans="1:15">
      <c r="A640" t="s">
        <v>270</v>
      </c>
      <c r="B640" t="s">
        <v>57</v>
      </c>
      <c r="C640" s="2" t="s">
        <v>887</v>
      </c>
      <c r="E640" s="2" t="str">
        <f t="shared" si="28"/>
        <v>Filip</v>
      </c>
      <c r="F640" s="2" t="str">
        <f t="shared" si="29"/>
        <v>Kostic</v>
      </c>
      <c r="H640" s="2" t="str">
        <f t="shared" si="27"/>
        <v>F</v>
      </c>
      <c r="I640" s="2" t="s">
        <v>2972</v>
      </c>
      <c r="K640" s="2" t="s">
        <v>2069</v>
      </c>
      <c r="L640" t="s">
        <v>2077</v>
      </c>
      <c r="M640" s="2" t="s">
        <v>887</v>
      </c>
      <c r="N640" t="s">
        <v>2972</v>
      </c>
      <c r="O640" s="2" t="s">
        <v>57</v>
      </c>
    </row>
    <row r="641" spans="1:15">
      <c r="A641" t="s">
        <v>271</v>
      </c>
      <c r="B641" t="s">
        <v>57</v>
      </c>
      <c r="C641" s="2" t="s">
        <v>887</v>
      </c>
      <c r="E641" s="2" t="str">
        <f t="shared" si="28"/>
        <v>Uros</v>
      </c>
      <c r="F641" s="2" t="str">
        <f t="shared" si="29"/>
        <v>Racic</v>
      </c>
      <c r="H641" s="2" t="str">
        <f t="shared" si="27"/>
        <v>U</v>
      </c>
      <c r="I641" s="2" t="s">
        <v>2973</v>
      </c>
      <c r="K641" s="2" t="s">
        <v>2078</v>
      </c>
      <c r="L641" t="s">
        <v>2079</v>
      </c>
      <c r="M641" s="2" t="s">
        <v>887</v>
      </c>
      <c r="N641" t="s">
        <v>2973</v>
      </c>
      <c r="O641" s="2" t="s">
        <v>57</v>
      </c>
    </row>
    <row r="642" spans="1:15">
      <c r="A642" t="s">
        <v>272</v>
      </c>
      <c r="B642" t="s">
        <v>57</v>
      </c>
      <c r="C642" s="2" t="s">
        <v>887</v>
      </c>
      <c r="E642" s="2" t="str">
        <f t="shared" si="28"/>
        <v>Sergej</v>
      </c>
      <c r="F642" s="2" t="str">
        <f t="shared" si="29"/>
        <v>Milinkovic-Savic</v>
      </c>
      <c r="H642" s="2" t="str">
        <f t="shared" si="27"/>
        <v>S</v>
      </c>
      <c r="I642" s="2" t="s">
        <v>2974</v>
      </c>
      <c r="K642" s="2" t="s">
        <v>2080</v>
      </c>
      <c r="L642" t="s">
        <v>2060</v>
      </c>
      <c r="M642" s="2" t="s">
        <v>887</v>
      </c>
      <c r="N642" t="s">
        <v>2974</v>
      </c>
      <c r="O642" s="2" t="s">
        <v>57</v>
      </c>
    </row>
    <row r="643" spans="1:15">
      <c r="A643" t="s">
        <v>273</v>
      </c>
      <c r="B643" t="s">
        <v>57</v>
      </c>
      <c r="C643" s="2" t="s">
        <v>887</v>
      </c>
      <c r="E643" s="2" t="str">
        <f t="shared" si="28"/>
        <v>Filip</v>
      </c>
      <c r="F643" s="2" t="str">
        <f t="shared" si="29"/>
        <v>Djuricic</v>
      </c>
      <c r="H643" s="2" t="str">
        <f t="shared" ref="H643:H706" si="30">LEFT(E643,1)</f>
        <v>F</v>
      </c>
      <c r="I643" s="2" t="s">
        <v>2975</v>
      </c>
      <c r="K643" s="2" t="s">
        <v>2069</v>
      </c>
      <c r="L643" t="s">
        <v>2081</v>
      </c>
      <c r="M643" s="2" t="s">
        <v>887</v>
      </c>
      <c r="N643" t="s">
        <v>2975</v>
      </c>
      <c r="O643" s="2" t="s">
        <v>57</v>
      </c>
    </row>
    <row r="644" spans="1:15">
      <c r="A644" t="s">
        <v>274</v>
      </c>
      <c r="B644" t="s">
        <v>57</v>
      </c>
      <c r="C644" s="2" t="s">
        <v>887</v>
      </c>
      <c r="E644" s="2" t="str">
        <f t="shared" ref="E644:E707" si="31">IF(ISERROR(FIND(" ",A644)),"", LEFT(A644,FIND(" ",A644)-1))</f>
        <v>Darko</v>
      </c>
      <c r="F644" s="2" t="str">
        <f t="shared" ref="F644:F707" si="32">IF(ISERROR(FIND(" ",A644)),A644,RIGHT(A644,LEN(A644)-FIND(" ",A644)))</f>
        <v>Lazovic</v>
      </c>
      <c r="H644" s="2" t="str">
        <f t="shared" si="30"/>
        <v>D</v>
      </c>
      <c r="I644" s="2" t="s">
        <v>2976</v>
      </c>
      <c r="K644" s="2" t="s">
        <v>2082</v>
      </c>
      <c r="L644" t="s">
        <v>2083</v>
      </c>
      <c r="M644" s="2" t="s">
        <v>887</v>
      </c>
      <c r="N644" t="s">
        <v>2976</v>
      </c>
      <c r="O644" s="2" t="s">
        <v>57</v>
      </c>
    </row>
    <row r="645" spans="1:15">
      <c r="A645" t="s">
        <v>275</v>
      </c>
      <c r="B645" t="s">
        <v>57</v>
      </c>
      <c r="C645" s="2" t="s">
        <v>887</v>
      </c>
      <c r="E645" s="2" t="str">
        <f t="shared" si="31"/>
        <v>Ivan</v>
      </c>
      <c r="F645" s="2" t="str">
        <f t="shared" si="32"/>
        <v>Ilic</v>
      </c>
      <c r="H645" s="2" t="str">
        <f t="shared" si="30"/>
        <v>I</v>
      </c>
      <c r="I645" s="2" t="s">
        <v>2977</v>
      </c>
      <c r="K645" s="2" t="s">
        <v>1340</v>
      </c>
      <c r="L645" t="s">
        <v>2084</v>
      </c>
      <c r="M645" s="2" t="s">
        <v>887</v>
      </c>
      <c r="N645" t="s">
        <v>2977</v>
      </c>
      <c r="O645" s="2" t="s">
        <v>57</v>
      </c>
    </row>
    <row r="646" spans="1:15">
      <c r="A646" t="s">
        <v>276</v>
      </c>
      <c r="B646" t="s">
        <v>57</v>
      </c>
      <c r="C646" s="2" t="s">
        <v>887</v>
      </c>
      <c r="E646" s="2" t="str">
        <f t="shared" si="31"/>
        <v>Marko</v>
      </c>
      <c r="F646" s="2" t="str">
        <f t="shared" si="32"/>
        <v>Grujic</v>
      </c>
      <c r="H646" s="2" t="str">
        <f t="shared" si="30"/>
        <v>M</v>
      </c>
      <c r="I646" s="2" t="s">
        <v>2978</v>
      </c>
      <c r="K646" s="2" t="s">
        <v>1359</v>
      </c>
      <c r="L646" t="s">
        <v>2085</v>
      </c>
      <c r="M646" s="2" t="s">
        <v>887</v>
      </c>
      <c r="N646" t="s">
        <v>2978</v>
      </c>
      <c r="O646" s="2" t="s">
        <v>57</v>
      </c>
    </row>
    <row r="647" spans="1:15">
      <c r="A647" t="s">
        <v>277</v>
      </c>
      <c r="B647" t="s">
        <v>66</v>
      </c>
      <c r="C647" s="2" t="s">
        <v>887</v>
      </c>
      <c r="E647" s="2" t="str">
        <f t="shared" si="31"/>
        <v>Aleksandar</v>
      </c>
      <c r="F647" s="2" t="str">
        <f t="shared" si="32"/>
        <v>Mitrovic</v>
      </c>
      <c r="H647" s="2" t="str">
        <f t="shared" si="30"/>
        <v>A</v>
      </c>
      <c r="I647" s="2" t="s">
        <v>2979</v>
      </c>
      <c r="K647" s="2" t="s">
        <v>2086</v>
      </c>
      <c r="L647" t="s">
        <v>2066</v>
      </c>
      <c r="M647" s="2" t="s">
        <v>887</v>
      </c>
      <c r="N647" t="s">
        <v>2979</v>
      </c>
      <c r="O647" s="2" t="s">
        <v>66</v>
      </c>
    </row>
    <row r="648" spans="1:15">
      <c r="A648" t="s">
        <v>278</v>
      </c>
      <c r="B648" t="s">
        <v>66</v>
      </c>
      <c r="C648" s="2" t="s">
        <v>887</v>
      </c>
      <c r="E648" s="2" t="str">
        <f t="shared" si="31"/>
        <v>Dusan</v>
      </c>
      <c r="F648" s="2" t="str">
        <f t="shared" si="32"/>
        <v>Tadic</v>
      </c>
      <c r="H648" s="2" t="str">
        <f t="shared" si="30"/>
        <v>D</v>
      </c>
      <c r="I648" s="2" t="s">
        <v>2980</v>
      </c>
      <c r="K648" s="2" t="s">
        <v>2087</v>
      </c>
      <c r="L648" t="s">
        <v>2088</v>
      </c>
      <c r="M648" s="2" t="s">
        <v>887</v>
      </c>
      <c r="N648" t="s">
        <v>2980</v>
      </c>
      <c r="O648" s="2" t="s">
        <v>66</v>
      </c>
    </row>
    <row r="649" spans="1:15">
      <c r="A649" t="s">
        <v>279</v>
      </c>
      <c r="B649" t="s">
        <v>66</v>
      </c>
      <c r="C649" s="2" t="s">
        <v>887</v>
      </c>
      <c r="E649" s="2" t="str">
        <f t="shared" si="31"/>
        <v>Luka</v>
      </c>
      <c r="F649" s="2" t="str">
        <f t="shared" si="32"/>
        <v>Jovic</v>
      </c>
      <c r="H649" s="2" t="str">
        <f t="shared" si="30"/>
        <v>L</v>
      </c>
      <c r="I649" s="2" t="s">
        <v>2981</v>
      </c>
      <c r="K649" s="2" t="s">
        <v>1346</v>
      </c>
      <c r="L649" t="s">
        <v>2089</v>
      </c>
      <c r="M649" s="2" t="s">
        <v>887</v>
      </c>
      <c r="N649" t="s">
        <v>2981</v>
      </c>
      <c r="O649" s="2" t="s">
        <v>66</v>
      </c>
    </row>
    <row r="650" spans="1:15">
      <c r="A650" t="s">
        <v>280</v>
      </c>
      <c r="B650" t="s">
        <v>66</v>
      </c>
      <c r="C650" s="2" t="s">
        <v>887</v>
      </c>
      <c r="E650" s="2" t="str">
        <f t="shared" si="31"/>
        <v>Andrija</v>
      </c>
      <c r="F650" s="2" t="str">
        <f t="shared" si="32"/>
        <v>Zivkovic</v>
      </c>
      <c r="H650" s="2" t="str">
        <f t="shared" si="30"/>
        <v>A</v>
      </c>
      <c r="I650" s="2" t="s">
        <v>2982</v>
      </c>
      <c r="K650" s="2" t="s">
        <v>2090</v>
      </c>
      <c r="L650" t="s">
        <v>2091</v>
      </c>
      <c r="M650" s="2" t="s">
        <v>887</v>
      </c>
      <c r="N650" t="s">
        <v>2982</v>
      </c>
      <c r="O650" s="2" t="s">
        <v>66</v>
      </c>
    </row>
    <row r="651" spans="1:15">
      <c r="A651" t="s">
        <v>281</v>
      </c>
      <c r="B651" t="s">
        <v>66</v>
      </c>
      <c r="C651" t="s">
        <v>887</v>
      </c>
      <c r="E651" s="2" t="str">
        <f t="shared" si="31"/>
        <v>Dusan</v>
      </c>
      <c r="F651" s="2" t="str">
        <f t="shared" si="32"/>
        <v>Vlahovic</v>
      </c>
      <c r="H651" s="2" t="str">
        <f t="shared" si="30"/>
        <v>D</v>
      </c>
      <c r="I651" s="2" t="s">
        <v>2983</v>
      </c>
      <c r="K651" s="2" t="s">
        <v>2087</v>
      </c>
      <c r="L651" t="s">
        <v>2092</v>
      </c>
      <c r="M651" s="2" t="s">
        <v>887</v>
      </c>
      <c r="N651" t="s">
        <v>2983</v>
      </c>
      <c r="O651" s="2" t="s">
        <v>66</v>
      </c>
    </row>
    <row r="652" spans="1:15">
      <c r="A652" t="s">
        <v>282</v>
      </c>
      <c r="B652" t="s">
        <v>44</v>
      </c>
      <c r="C652" t="s">
        <v>888</v>
      </c>
      <c r="E652" s="2" t="str">
        <f t="shared" si="31"/>
        <v>Kim</v>
      </c>
      <c r="F652" s="2" t="str">
        <f t="shared" si="32"/>
        <v>Seung-Gyu</v>
      </c>
      <c r="H652" s="2" t="str">
        <f t="shared" si="30"/>
        <v>K</v>
      </c>
      <c r="I652" s="2" t="s">
        <v>2984</v>
      </c>
      <c r="K652" s="2" t="s">
        <v>2093</v>
      </c>
      <c r="L652" t="s">
        <v>2094</v>
      </c>
      <c r="M652" s="2" t="s">
        <v>888</v>
      </c>
      <c r="N652" t="s">
        <v>2984</v>
      </c>
      <c r="O652" s="2" t="s">
        <v>44</v>
      </c>
    </row>
    <row r="653" spans="1:15">
      <c r="A653" t="s">
        <v>283</v>
      </c>
      <c r="B653" t="s">
        <v>44</v>
      </c>
      <c r="C653" s="2" t="s">
        <v>888</v>
      </c>
      <c r="E653" s="2" t="str">
        <f t="shared" si="31"/>
        <v>Song</v>
      </c>
      <c r="F653" s="2" t="str">
        <f t="shared" si="32"/>
        <v>Bum-Keun</v>
      </c>
      <c r="H653" s="2" t="str">
        <f t="shared" si="30"/>
        <v>S</v>
      </c>
      <c r="I653" s="2" t="s">
        <v>2985</v>
      </c>
      <c r="K653" s="2" t="s">
        <v>2095</v>
      </c>
      <c r="L653" t="s">
        <v>2096</v>
      </c>
      <c r="M653" s="2" t="s">
        <v>888</v>
      </c>
      <c r="N653" t="s">
        <v>2985</v>
      </c>
      <c r="O653" s="2" t="s">
        <v>44</v>
      </c>
    </row>
    <row r="654" spans="1:15">
      <c r="A654" t="s">
        <v>284</v>
      </c>
      <c r="B654" t="s">
        <v>44</v>
      </c>
      <c r="C654" s="2" t="s">
        <v>888</v>
      </c>
      <c r="E654" s="2" t="str">
        <f t="shared" si="31"/>
        <v>Jo</v>
      </c>
      <c r="F654" s="2" t="str">
        <f t="shared" si="32"/>
        <v>Hyeon-Woo</v>
      </c>
      <c r="H654" s="2" t="str">
        <f t="shared" si="30"/>
        <v>J</v>
      </c>
      <c r="I654" s="2" t="s">
        <v>2986</v>
      </c>
      <c r="K654" s="2" t="s">
        <v>2097</v>
      </c>
      <c r="L654" t="s">
        <v>2098</v>
      </c>
      <c r="M654" s="2" t="s">
        <v>888</v>
      </c>
      <c r="N654" t="s">
        <v>2986</v>
      </c>
      <c r="O654" s="2" t="s">
        <v>44</v>
      </c>
    </row>
    <row r="655" spans="1:15">
      <c r="A655" t="s">
        <v>285</v>
      </c>
      <c r="B655" t="s">
        <v>48</v>
      </c>
      <c r="C655" s="2" t="s">
        <v>888</v>
      </c>
      <c r="E655" s="2" t="str">
        <f t="shared" si="31"/>
        <v>Yoon</v>
      </c>
      <c r="F655" s="2" t="str">
        <f t="shared" si="32"/>
        <v>Jong-Gyu</v>
      </c>
      <c r="H655" s="2" t="str">
        <f t="shared" si="30"/>
        <v>Y</v>
      </c>
      <c r="I655" s="2" t="s">
        <v>2987</v>
      </c>
      <c r="K655" s="2" t="s">
        <v>2099</v>
      </c>
      <c r="L655" t="s">
        <v>2100</v>
      </c>
      <c r="M655" s="2" t="s">
        <v>888</v>
      </c>
      <c r="N655" t="s">
        <v>2987</v>
      </c>
      <c r="O655" s="2" t="s">
        <v>48</v>
      </c>
    </row>
    <row r="656" spans="1:15">
      <c r="A656" t="s">
        <v>286</v>
      </c>
      <c r="B656" t="s">
        <v>48</v>
      </c>
      <c r="C656" s="2" t="s">
        <v>888</v>
      </c>
      <c r="E656" s="2" t="str">
        <f t="shared" si="31"/>
        <v>Kim</v>
      </c>
      <c r="F656" s="2" t="str">
        <f t="shared" si="32"/>
        <v>Jin-Su</v>
      </c>
      <c r="H656" s="2" t="str">
        <f t="shared" si="30"/>
        <v>K</v>
      </c>
      <c r="I656" s="2" t="s">
        <v>2988</v>
      </c>
      <c r="K656" s="2" t="s">
        <v>2093</v>
      </c>
      <c r="L656" t="s">
        <v>2101</v>
      </c>
      <c r="M656" s="2" t="s">
        <v>888</v>
      </c>
      <c r="N656" t="s">
        <v>2988</v>
      </c>
      <c r="O656" s="2" t="s">
        <v>48</v>
      </c>
    </row>
    <row r="657" spans="1:15">
      <c r="A657" t="s">
        <v>287</v>
      </c>
      <c r="B657" t="s">
        <v>48</v>
      </c>
      <c r="C657" s="2" t="s">
        <v>888</v>
      </c>
      <c r="E657" s="2" t="str">
        <f t="shared" si="31"/>
        <v>Kim</v>
      </c>
      <c r="F657" s="2" t="str">
        <f t="shared" si="32"/>
        <v>Min-Jae</v>
      </c>
      <c r="H657" s="2" t="str">
        <f t="shared" si="30"/>
        <v>K</v>
      </c>
      <c r="I657" s="2" t="s">
        <v>2989</v>
      </c>
      <c r="K657" s="2" t="s">
        <v>2093</v>
      </c>
      <c r="L657" t="s">
        <v>2102</v>
      </c>
      <c r="M657" s="2" t="s">
        <v>888</v>
      </c>
      <c r="N657" t="s">
        <v>2989</v>
      </c>
      <c r="O657" s="2" t="s">
        <v>48</v>
      </c>
    </row>
    <row r="658" spans="1:15">
      <c r="A658" t="s">
        <v>288</v>
      </c>
      <c r="B658" t="s">
        <v>48</v>
      </c>
      <c r="C658" s="2" t="s">
        <v>888</v>
      </c>
      <c r="E658" s="2" t="str">
        <f t="shared" si="31"/>
        <v>Hong</v>
      </c>
      <c r="F658" s="2" t="str">
        <f t="shared" si="32"/>
        <v>Chul</v>
      </c>
      <c r="H658" s="2" t="str">
        <f t="shared" si="30"/>
        <v>H</v>
      </c>
      <c r="I658" s="2" t="s">
        <v>2990</v>
      </c>
      <c r="K658" s="2" t="s">
        <v>2103</v>
      </c>
      <c r="L658" t="s">
        <v>2104</v>
      </c>
      <c r="M658" s="2" t="s">
        <v>888</v>
      </c>
      <c r="N658" t="s">
        <v>2990</v>
      </c>
      <c r="O658" s="2" t="s">
        <v>48</v>
      </c>
    </row>
    <row r="659" spans="1:15">
      <c r="A659" t="s">
        <v>289</v>
      </c>
      <c r="B659" t="s">
        <v>48</v>
      </c>
      <c r="C659" s="2" t="s">
        <v>888</v>
      </c>
      <c r="E659" s="2" t="str">
        <f t="shared" si="31"/>
        <v>Kim</v>
      </c>
      <c r="F659" s="2" t="str">
        <f t="shared" si="32"/>
        <v>Moon-Hwan</v>
      </c>
      <c r="H659" s="2" t="str">
        <f t="shared" si="30"/>
        <v>K</v>
      </c>
      <c r="I659" s="2" t="s">
        <v>2991</v>
      </c>
      <c r="K659" s="2" t="s">
        <v>2093</v>
      </c>
      <c r="L659" t="s">
        <v>2105</v>
      </c>
      <c r="M659" s="2" t="s">
        <v>888</v>
      </c>
      <c r="N659" t="s">
        <v>2991</v>
      </c>
      <c r="O659" s="2" t="s">
        <v>48</v>
      </c>
    </row>
    <row r="660" spans="1:15">
      <c r="A660" t="s">
        <v>290</v>
      </c>
      <c r="B660" t="s">
        <v>48</v>
      </c>
      <c r="C660" s="2" t="s">
        <v>888</v>
      </c>
      <c r="E660" s="2" t="str">
        <f t="shared" si="31"/>
        <v>Kim</v>
      </c>
      <c r="F660" s="2" t="str">
        <f t="shared" si="32"/>
        <v>Young-Gwon</v>
      </c>
      <c r="H660" s="2" t="str">
        <f t="shared" si="30"/>
        <v>K</v>
      </c>
      <c r="I660" s="2" t="s">
        <v>2992</v>
      </c>
      <c r="K660" s="2" t="s">
        <v>2093</v>
      </c>
      <c r="L660" t="s">
        <v>2106</v>
      </c>
      <c r="M660" s="2" t="s">
        <v>888</v>
      </c>
      <c r="N660" t="s">
        <v>2992</v>
      </c>
      <c r="O660" s="2" t="s">
        <v>48</v>
      </c>
    </row>
    <row r="661" spans="1:15">
      <c r="A661" t="s">
        <v>291</v>
      </c>
      <c r="B661" t="s">
        <v>48</v>
      </c>
      <c r="C661" s="2" t="s">
        <v>888</v>
      </c>
      <c r="E661" s="2" t="str">
        <f t="shared" si="31"/>
        <v>Kwon</v>
      </c>
      <c r="F661" s="2" t="str">
        <f t="shared" si="32"/>
        <v>Kyung-Won</v>
      </c>
      <c r="H661" s="2" t="str">
        <f t="shared" si="30"/>
        <v>K</v>
      </c>
      <c r="I661" s="2" t="s">
        <v>2993</v>
      </c>
      <c r="K661" s="2" t="s">
        <v>2107</v>
      </c>
      <c r="L661" t="s">
        <v>2108</v>
      </c>
      <c r="M661" s="2" t="s">
        <v>888</v>
      </c>
      <c r="N661" t="s">
        <v>2993</v>
      </c>
      <c r="O661" s="2" t="s">
        <v>48</v>
      </c>
    </row>
    <row r="662" spans="1:15">
      <c r="A662" t="s">
        <v>292</v>
      </c>
      <c r="B662" t="s">
        <v>48</v>
      </c>
      <c r="C662" s="2" t="s">
        <v>888</v>
      </c>
      <c r="E662" s="2" t="str">
        <f t="shared" si="31"/>
        <v>Kim</v>
      </c>
      <c r="F662" s="2" t="str">
        <f t="shared" si="32"/>
        <v>Tae-Hwan</v>
      </c>
      <c r="H662" s="2" t="str">
        <f t="shared" si="30"/>
        <v>K</v>
      </c>
      <c r="I662" s="2" t="s">
        <v>2994</v>
      </c>
      <c r="K662" s="2" t="s">
        <v>2093</v>
      </c>
      <c r="L662" t="s">
        <v>2109</v>
      </c>
      <c r="M662" s="2" t="s">
        <v>888</v>
      </c>
      <c r="N662" t="s">
        <v>2994</v>
      </c>
      <c r="O662" s="2" t="s">
        <v>48</v>
      </c>
    </row>
    <row r="663" spans="1:15">
      <c r="A663" t="s">
        <v>293</v>
      </c>
      <c r="B663" t="s">
        <v>48</v>
      </c>
      <c r="C663" s="2" t="s">
        <v>888</v>
      </c>
      <c r="E663" s="2" t="str">
        <f t="shared" si="31"/>
        <v>Cho</v>
      </c>
      <c r="F663" s="2" t="str">
        <f t="shared" si="32"/>
        <v>Yu-Min</v>
      </c>
      <c r="H663" s="2" t="str">
        <f t="shared" si="30"/>
        <v>C</v>
      </c>
      <c r="I663" s="2" t="s">
        <v>2995</v>
      </c>
      <c r="K663" s="2" t="s">
        <v>2110</v>
      </c>
      <c r="L663" t="s">
        <v>2111</v>
      </c>
      <c r="M663" s="2" t="s">
        <v>888</v>
      </c>
      <c r="N663" t="s">
        <v>2995</v>
      </c>
      <c r="O663" s="2" t="s">
        <v>48</v>
      </c>
    </row>
    <row r="664" spans="1:15">
      <c r="A664" t="s">
        <v>294</v>
      </c>
      <c r="B664" t="s">
        <v>57</v>
      </c>
      <c r="C664" s="2" t="s">
        <v>888</v>
      </c>
      <c r="E664" s="2" t="str">
        <f t="shared" si="31"/>
        <v>Jung</v>
      </c>
      <c r="F664" s="2" t="str">
        <f t="shared" si="32"/>
        <v>Woo-Young</v>
      </c>
      <c r="H664" s="2" t="str">
        <f t="shared" si="30"/>
        <v>J</v>
      </c>
      <c r="I664" s="2" t="s">
        <v>2996</v>
      </c>
      <c r="K664" s="2" t="s">
        <v>2112</v>
      </c>
      <c r="L664" t="s">
        <v>2113</v>
      </c>
      <c r="M664" s="2" t="s">
        <v>888</v>
      </c>
      <c r="N664" t="s">
        <v>2996</v>
      </c>
      <c r="O664" s="2" t="s">
        <v>57</v>
      </c>
    </row>
    <row r="665" spans="1:15">
      <c r="A665" t="s">
        <v>295</v>
      </c>
      <c r="B665" t="s">
        <v>57</v>
      </c>
      <c r="C665" s="2" t="s">
        <v>888</v>
      </c>
      <c r="E665" s="2" t="str">
        <f t="shared" si="31"/>
        <v>Hwang</v>
      </c>
      <c r="F665" s="2" t="str">
        <f t="shared" si="32"/>
        <v>In-Beom</v>
      </c>
      <c r="H665" s="2" t="str">
        <f t="shared" si="30"/>
        <v>H</v>
      </c>
      <c r="I665" s="2" t="s">
        <v>2997</v>
      </c>
      <c r="K665" s="2" t="s">
        <v>2114</v>
      </c>
      <c r="L665" t="s">
        <v>2115</v>
      </c>
      <c r="M665" s="2" t="s">
        <v>888</v>
      </c>
      <c r="N665" t="s">
        <v>2997</v>
      </c>
      <c r="O665" s="2" t="s">
        <v>57</v>
      </c>
    </row>
    <row r="666" spans="1:15">
      <c r="A666" t="s">
        <v>296</v>
      </c>
      <c r="B666" t="s">
        <v>57</v>
      </c>
      <c r="C666" s="2" t="s">
        <v>888</v>
      </c>
      <c r="E666" s="2" t="str">
        <f t="shared" si="31"/>
        <v>Paik</v>
      </c>
      <c r="F666" s="2" t="str">
        <f t="shared" si="32"/>
        <v>Seung-Ho</v>
      </c>
      <c r="H666" s="2" t="str">
        <f t="shared" si="30"/>
        <v>P</v>
      </c>
      <c r="I666" s="2" t="s">
        <v>2998</v>
      </c>
      <c r="K666" s="2" t="s">
        <v>2116</v>
      </c>
      <c r="L666" t="s">
        <v>2117</v>
      </c>
      <c r="M666" s="2" t="s">
        <v>888</v>
      </c>
      <c r="N666" t="s">
        <v>2998</v>
      </c>
      <c r="O666" s="2" t="s">
        <v>57</v>
      </c>
    </row>
    <row r="667" spans="1:15">
      <c r="A667" t="s">
        <v>297</v>
      </c>
      <c r="B667" t="s">
        <v>57</v>
      </c>
      <c r="C667" s="2" t="s">
        <v>888</v>
      </c>
      <c r="E667" s="2" t="str">
        <f t="shared" si="31"/>
        <v>Lee</v>
      </c>
      <c r="F667" s="2" t="str">
        <f t="shared" si="32"/>
        <v>Jae-Sung</v>
      </c>
      <c r="H667" s="2" t="str">
        <f t="shared" si="30"/>
        <v>L</v>
      </c>
      <c r="I667" s="2" t="s">
        <v>2999</v>
      </c>
      <c r="K667" s="2" t="s">
        <v>2118</v>
      </c>
      <c r="L667" t="s">
        <v>2119</v>
      </c>
      <c r="M667" s="2" t="s">
        <v>888</v>
      </c>
      <c r="N667" t="s">
        <v>2999</v>
      </c>
      <c r="O667" s="2" t="s">
        <v>57</v>
      </c>
    </row>
    <row r="668" spans="1:15">
      <c r="A668" t="s">
        <v>298</v>
      </c>
      <c r="B668" t="s">
        <v>57</v>
      </c>
      <c r="C668" s="2" t="s">
        <v>888</v>
      </c>
      <c r="E668" s="2" t="str">
        <f t="shared" si="31"/>
        <v>Son</v>
      </c>
      <c r="F668" s="2" t="str">
        <f t="shared" si="32"/>
        <v>Jun-Ho</v>
      </c>
      <c r="H668" s="2" t="str">
        <f t="shared" si="30"/>
        <v>S</v>
      </c>
      <c r="I668" s="2" t="s">
        <v>3000</v>
      </c>
      <c r="K668" s="2" t="s">
        <v>2120</v>
      </c>
      <c r="L668" t="s">
        <v>2121</v>
      </c>
      <c r="M668" s="2" t="s">
        <v>888</v>
      </c>
      <c r="N668" t="s">
        <v>3000</v>
      </c>
      <c r="O668" s="2" t="s">
        <v>57</v>
      </c>
    </row>
    <row r="669" spans="1:15">
      <c r="A669" t="s">
        <v>299</v>
      </c>
      <c r="B669" t="s">
        <v>57</v>
      </c>
      <c r="C669" s="2" t="s">
        <v>888</v>
      </c>
      <c r="E669" s="2" t="str">
        <f t="shared" si="31"/>
        <v>Lee</v>
      </c>
      <c r="F669" s="2" t="str">
        <f t="shared" si="32"/>
        <v>Kang-In</v>
      </c>
      <c r="H669" s="2" t="str">
        <f t="shared" si="30"/>
        <v>L</v>
      </c>
      <c r="I669" s="2" t="s">
        <v>3001</v>
      </c>
      <c r="K669" s="2" t="s">
        <v>2118</v>
      </c>
      <c r="L669" t="s">
        <v>2122</v>
      </c>
      <c r="M669" s="2" t="s">
        <v>888</v>
      </c>
      <c r="N669" t="s">
        <v>3001</v>
      </c>
      <c r="O669" s="2" t="s">
        <v>57</v>
      </c>
    </row>
    <row r="670" spans="1:15">
      <c r="A670" t="s">
        <v>300</v>
      </c>
      <c r="B670" t="s">
        <v>57</v>
      </c>
      <c r="C670" s="2" t="s">
        <v>888</v>
      </c>
      <c r="E670" s="2" t="str">
        <f t="shared" si="31"/>
        <v>Kwon</v>
      </c>
      <c r="F670" s="2" t="str">
        <f t="shared" si="32"/>
        <v>Chang-Hoon</v>
      </c>
      <c r="H670" s="2" t="str">
        <f t="shared" si="30"/>
        <v>K</v>
      </c>
      <c r="I670" s="2" t="s">
        <v>3002</v>
      </c>
      <c r="K670" s="2" t="s">
        <v>2107</v>
      </c>
      <c r="L670" t="s">
        <v>2123</v>
      </c>
      <c r="M670" s="2" t="s">
        <v>888</v>
      </c>
      <c r="N670" t="s">
        <v>3002</v>
      </c>
      <c r="O670" s="2" t="s">
        <v>57</v>
      </c>
    </row>
    <row r="671" spans="1:15">
      <c r="A671" t="s">
        <v>301</v>
      </c>
      <c r="B671" t="s">
        <v>57</v>
      </c>
      <c r="C671" s="2" t="s">
        <v>888</v>
      </c>
      <c r="E671" s="2" t="str">
        <f t="shared" si="31"/>
        <v>Jeong</v>
      </c>
      <c r="F671" s="2" t="str">
        <f t="shared" si="32"/>
        <v>Woo-Yeong</v>
      </c>
      <c r="H671" s="2" t="str">
        <f t="shared" si="30"/>
        <v>J</v>
      </c>
      <c r="I671" s="2" t="s">
        <v>3003</v>
      </c>
      <c r="K671" s="2" t="s">
        <v>2124</v>
      </c>
      <c r="L671" t="s">
        <v>2125</v>
      </c>
      <c r="M671" s="2" t="s">
        <v>888</v>
      </c>
      <c r="N671" t="s">
        <v>3003</v>
      </c>
      <c r="O671" s="2" t="s">
        <v>57</v>
      </c>
    </row>
    <row r="672" spans="1:15">
      <c r="A672" t="s">
        <v>302</v>
      </c>
      <c r="B672" t="s">
        <v>66</v>
      </c>
      <c r="C672" s="2" t="s">
        <v>888</v>
      </c>
      <c r="E672" s="2" t="str">
        <f t="shared" si="31"/>
        <v>Son</v>
      </c>
      <c r="F672" s="2" t="str">
        <f t="shared" si="32"/>
        <v>Heung-Min</v>
      </c>
      <c r="H672" s="2" t="str">
        <f t="shared" si="30"/>
        <v>S</v>
      </c>
      <c r="I672" s="2" t="s">
        <v>3004</v>
      </c>
      <c r="K672" s="2" t="s">
        <v>2120</v>
      </c>
      <c r="L672" t="s">
        <v>2126</v>
      </c>
      <c r="M672" s="2" t="s">
        <v>888</v>
      </c>
      <c r="N672" t="s">
        <v>3004</v>
      </c>
      <c r="O672" s="2" t="s">
        <v>66</v>
      </c>
    </row>
    <row r="673" spans="1:15">
      <c r="A673" t="s">
        <v>303</v>
      </c>
      <c r="B673" t="s">
        <v>66</v>
      </c>
      <c r="C673" s="2" t="s">
        <v>888</v>
      </c>
      <c r="E673" s="2" t="str">
        <f t="shared" si="31"/>
        <v>Cho</v>
      </c>
      <c r="F673" s="2" t="str">
        <f t="shared" si="32"/>
        <v>Gue-Sung</v>
      </c>
      <c r="H673" s="2" t="str">
        <f t="shared" si="30"/>
        <v>C</v>
      </c>
      <c r="I673" s="2" t="s">
        <v>3005</v>
      </c>
      <c r="K673" s="2" t="s">
        <v>2110</v>
      </c>
      <c r="L673" t="s">
        <v>2127</v>
      </c>
      <c r="M673" s="2" t="s">
        <v>888</v>
      </c>
      <c r="N673" t="s">
        <v>3005</v>
      </c>
      <c r="O673" s="2" t="s">
        <v>66</v>
      </c>
    </row>
    <row r="674" spans="1:15">
      <c r="A674" t="s">
        <v>304</v>
      </c>
      <c r="B674" t="s">
        <v>66</v>
      </c>
      <c r="C674" s="2" t="s">
        <v>888</v>
      </c>
      <c r="E674" s="2" t="str">
        <f t="shared" si="31"/>
        <v>Hwang</v>
      </c>
      <c r="F674" s="2" t="str">
        <f t="shared" si="32"/>
        <v>Hee-Chan</v>
      </c>
      <c r="H674" s="2" t="str">
        <f t="shared" si="30"/>
        <v>H</v>
      </c>
      <c r="I674" s="2" t="s">
        <v>3006</v>
      </c>
      <c r="K674" s="2" t="s">
        <v>2114</v>
      </c>
      <c r="L674" t="s">
        <v>2128</v>
      </c>
      <c r="M674" s="2" t="s">
        <v>888</v>
      </c>
      <c r="N674" t="s">
        <v>3006</v>
      </c>
      <c r="O674" s="2" t="s">
        <v>66</v>
      </c>
    </row>
    <row r="675" spans="1:15">
      <c r="A675" t="s">
        <v>305</v>
      </c>
      <c r="B675" t="s">
        <v>66</v>
      </c>
      <c r="C675" s="2" t="s">
        <v>888</v>
      </c>
      <c r="E675" s="2" t="str">
        <f t="shared" si="31"/>
        <v>Hwang</v>
      </c>
      <c r="F675" s="2" t="str">
        <f t="shared" si="32"/>
        <v>Ui-Jo</v>
      </c>
      <c r="H675" s="2" t="str">
        <f t="shared" si="30"/>
        <v>H</v>
      </c>
      <c r="I675" s="2" t="s">
        <v>3007</v>
      </c>
      <c r="K675" s="2" t="s">
        <v>2114</v>
      </c>
      <c r="L675" t="s">
        <v>2129</v>
      </c>
      <c r="M675" s="2" t="s">
        <v>888</v>
      </c>
      <c r="N675" t="s">
        <v>3007</v>
      </c>
      <c r="O675" s="2" t="s">
        <v>66</v>
      </c>
    </row>
    <row r="676" spans="1:15">
      <c r="A676" t="s">
        <v>306</v>
      </c>
      <c r="B676" t="s">
        <v>66</v>
      </c>
      <c r="C676" s="2" t="s">
        <v>888</v>
      </c>
      <c r="E676" s="2" t="str">
        <f t="shared" si="31"/>
        <v>Na</v>
      </c>
      <c r="F676" s="2" t="str">
        <f t="shared" si="32"/>
        <v>Sang-Ho</v>
      </c>
      <c r="H676" s="2" t="str">
        <f t="shared" si="30"/>
        <v>N</v>
      </c>
      <c r="I676" s="2" t="s">
        <v>3008</v>
      </c>
      <c r="K676" s="2" t="s">
        <v>2130</v>
      </c>
      <c r="L676" t="s">
        <v>2131</v>
      </c>
      <c r="M676" s="2" t="s">
        <v>888</v>
      </c>
      <c r="N676" t="s">
        <v>3008</v>
      </c>
      <c r="O676" s="2" t="s">
        <v>66</v>
      </c>
    </row>
    <row r="677" spans="1:15">
      <c r="A677" t="s">
        <v>307</v>
      </c>
      <c r="B677" t="s">
        <v>66</v>
      </c>
      <c r="C677" s="2" t="s">
        <v>888</v>
      </c>
      <c r="E677" s="2" t="str">
        <f t="shared" si="31"/>
        <v>Song</v>
      </c>
      <c r="F677" s="2" t="str">
        <f t="shared" si="32"/>
        <v>Min-Kyu</v>
      </c>
      <c r="H677" s="2" t="str">
        <f t="shared" si="30"/>
        <v>S</v>
      </c>
      <c r="I677" s="2" t="s">
        <v>3009</v>
      </c>
      <c r="K677" s="2" t="s">
        <v>2095</v>
      </c>
      <c r="L677" t="s">
        <v>2132</v>
      </c>
      <c r="M677" s="2" t="s">
        <v>888</v>
      </c>
      <c r="N677" t="s">
        <v>3009</v>
      </c>
      <c r="O677" s="2" t="s">
        <v>66</v>
      </c>
    </row>
    <row r="678" spans="1:15">
      <c r="A678" t="s">
        <v>308</v>
      </c>
      <c r="B678" t="s">
        <v>44</v>
      </c>
      <c r="C678" t="s">
        <v>889</v>
      </c>
      <c r="E678" s="2" t="str">
        <f t="shared" si="31"/>
        <v>Robert</v>
      </c>
      <c r="F678" s="2" t="str">
        <f t="shared" si="32"/>
        <v>Sánchez</v>
      </c>
      <c r="H678" s="2" t="str">
        <f t="shared" si="30"/>
        <v>R</v>
      </c>
      <c r="I678" s="2" t="s">
        <v>3010</v>
      </c>
      <c r="K678" s="2" t="s">
        <v>1405</v>
      </c>
      <c r="L678" t="s">
        <v>1730</v>
      </c>
      <c r="M678" s="2" t="s">
        <v>889</v>
      </c>
      <c r="N678" t="s">
        <v>3010</v>
      </c>
      <c r="O678" s="2" t="s">
        <v>44</v>
      </c>
    </row>
    <row r="679" spans="1:15">
      <c r="A679" t="s">
        <v>309</v>
      </c>
      <c r="B679" t="s">
        <v>44</v>
      </c>
      <c r="C679" t="s">
        <v>889</v>
      </c>
      <c r="E679" s="2" t="str">
        <f t="shared" si="31"/>
        <v>David</v>
      </c>
      <c r="F679" s="2" t="str">
        <f t="shared" si="32"/>
        <v>Raya</v>
      </c>
      <c r="H679" s="2" t="str">
        <f t="shared" si="30"/>
        <v>D</v>
      </c>
      <c r="I679" s="2" t="s">
        <v>3011</v>
      </c>
      <c r="K679" s="2" t="s">
        <v>1261</v>
      </c>
      <c r="L679" t="s">
        <v>2133</v>
      </c>
      <c r="M679" s="2" t="s">
        <v>889</v>
      </c>
      <c r="N679" t="s">
        <v>3011</v>
      </c>
      <c r="O679" s="2" t="s">
        <v>44</v>
      </c>
    </row>
    <row r="680" spans="1:15">
      <c r="A680" t="s">
        <v>310</v>
      </c>
      <c r="B680" t="s">
        <v>44</v>
      </c>
      <c r="C680" s="2" t="s">
        <v>889</v>
      </c>
      <c r="E680" s="2" t="str">
        <f t="shared" si="31"/>
        <v>Unai</v>
      </c>
      <c r="F680" s="2" t="str">
        <f t="shared" si="32"/>
        <v>Simón</v>
      </c>
      <c r="H680" s="2" t="str">
        <f t="shared" si="30"/>
        <v>U</v>
      </c>
      <c r="I680" s="2" t="s">
        <v>3012</v>
      </c>
      <c r="K680" s="2" t="s">
        <v>2134</v>
      </c>
      <c r="L680" t="s">
        <v>2135</v>
      </c>
      <c r="M680" s="2" t="s">
        <v>889</v>
      </c>
      <c r="N680" t="s">
        <v>3012</v>
      </c>
      <c r="O680" s="2" t="s">
        <v>44</v>
      </c>
    </row>
    <row r="681" spans="1:15">
      <c r="A681" t="s">
        <v>311</v>
      </c>
      <c r="B681" t="s">
        <v>48</v>
      </c>
      <c r="C681" s="2" t="s">
        <v>889</v>
      </c>
      <c r="E681" s="2" t="str">
        <f t="shared" si="31"/>
        <v>César</v>
      </c>
      <c r="F681" s="2" t="str">
        <f t="shared" si="32"/>
        <v>Azpilicueta</v>
      </c>
      <c r="H681" s="2" t="str">
        <f t="shared" si="30"/>
        <v>C</v>
      </c>
      <c r="I681" s="2" t="s">
        <v>3013</v>
      </c>
      <c r="K681" s="2" t="s">
        <v>1722</v>
      </c>
      <c r="L681" t="s">
        <v>2136</v>
      </c>
      <c r="M681" s="2" t="s">
        <v>889</v>
      </c>
      <c r="N681" t="s">
        <v>3013</v>
      </c>
      <c r="O681" s="2" t="s">
        <v>48</v>
      </c>
    </row>
    <row r="682" spans="1:15">
      <c r="A682" t="s">
        <v>312</v>
      </c>
      <c r="B682" t="s">
        <v>48</v>
      </c>
      <c r="C682" s="2" t="s">
        <v>889</v>
      </c>
      <c r="E682" s="2" t="str">
        <f t="shared" si="31"/>
        <v>Eric</v>
      </c>
      <c r="F682" s="2" t="str">
        <f t="shared" si="32"/>
        <v>García</v>
      </c>
      <c r="H682" s="2" t="str">
        <f t="shared" si="30"/>
        <v>E</v>
      </c>
      <c r="I682" s="2" t="s">
        <v>3014</v>
      </c>
      <c r="K682" s="2" t="s">
        <v>1223</v>
      </c>
      <c r="L682" t="s">
        <v>2137</v>
      </c>
      <c r="M682" s="2" t="s">
        <v>889</v>
      </c>
      <c r="N682" t="s">
        <v>3014</v>
      </c>
      <c r="O682" s="2" t="s">
        <v>48</v>
      </c>
    </row>
    <row r="683" spans="1:15">
      <c r="A683" t="s">
        <v>313</v>
      </c>
      <c r="B683" t="s">
        <v>48</v>
      </c>
      <c r="C683" s="2" t="s">
        <v>889</v>
      </c>
      <c r="E683" s="2" t="str">
        <f t="shared" si="31"/>
        <v>Pau</v>
      </c>
      <c r="F683" s="2" t="str">
        <f t="shared" si="32"/>
        <v>Torres</v>
      </c>
      <c r="H683" s="2" t="str">
        <f t="shared" si="30"/>
        <v>P</v>
      </c>
      <c r="I683" s="2" t="s">
        <v>3015</v>
      </c>
      <c r="K683" s="2" t="s">
        <v>2138</v>
      </c>
      <c r="L683" t="s">
        <v>1302</v>
      </c>
      <c r="M683" s="2" t="s">
        <v>889</v>
      </c>
      <c r="N683" t="s">
        <v>3015</v>
      </c>
      <c r="O683" s="2" t="s">
        <v>48</v>
      </c>
    </row>
    <row r="684" spans="1:15">
      <c r="A684" t="s">
        <v>314</v>
      </c>
      <c r="B684" t="s">
        <v>48</v>
      </c>
      <c r="C684" s="2" t="s">
        <v>889</v>
      </c>
      <c r="E684" s="2" t="str">
        <f t="shared" si="31"/>
        <v>José</v>
      </c>
      <c r="F684" s="2" t="str">
        <f t="shared" si="32"/>
        <v>Gayà</v>
      </c>
      <c r="H684" s="2" t="str">
        <f t="shared" si="30"/>
        <v>J</v>
      </c>
      <c r="I684" s="2" t="s">
        <v>3016</v>
      </c>
      <c r="K684" s="2" t="s">
        <v>1426</v>
      </c>
      <c r="L684" t="s">
        <v>2139</v>
      </c>
      <c r="M684" s="2" t="s">
        <v>889</v>
      </c>
      <c r="N684" t="s">
        <v>3016</v>
      </c>
      <c r="O684" s="2" t="s">
        <v>48</v>
      </c>
    </row>
    <row r="685" spans="1:15">
      <c r="A685" t="s">
        <v>315</v>
      </c>
      <c r="B685" t="s">
        <v>48</v>
      </c>
      <c r="C685" s="2" t="s">
        <v>889</v>
      </c>
      <c r="E685" s="2" t="str">
        <f t="shared" si="31"/>
        <v>Hugo</v>
      </c>
      <c r="F685" s="2" t="str">
        <f t="shared" si="32"/>
        <v>Guillamón</v>
      </c>
      <c r="H685" s="2" t="str">
        <f t="shared" si="30"/>
        <v>H</v>
      </c>
      <c r="I685" s="2" t="s">
        <v>3017</v>
      </c>
      <c r="K685" s="2" t="s">
        <v>1490</v>
      </c>
      <c r="L685" t="s">
        <v>2140</v>
      </c>
      <c r="M685" s="2" t="s">
        <v>889</v>
      </c>
      <c r="N685" t="s">
        <v>3017</v>
      </c>
      <c r="O685" s="2" t="s">
        <v>48</v>
      </c>
    </row>
    <row r="686" spans="1:15">
      <c r="A686" t="s">
        <v>316</v>
      </c>
      <c r="B686" t="s">
        <v>48</v>
      </c>
      <c r="C686" s="2" t="s">
        <v>889</v>
      </c>
      <c r="E686" s="2" t="str">
        <f t="shared" si="31"/>
        <v>Jordi</v>
      </c>
      <c r="F686" s="2" t="str">
        <f t="shared" si="32"/>
        <v>Alba</v>
      </c>
      <c r="H686" s="2" t="str">
        <f t="shared" si="30"/>
        <v>J</v>
      </c>
      <c r="I686" s="2" t="s">
        <v>3018</v>
      </c>
      <c r="K686" s="2" t="s">
        <v>2141</v>
      </c>
      <c r="L686" t="s">
        <v>2142</v>
      </c>
      <c r="M686" s="2" t="s">
        <v>889</v>
      </c>
      <c r="N686" t="s">
        <v>3018</v>
      </c>
      <c r="O686" s="2" t="s">
        <v>48</v>
      </c>
    </row>
    <row r="687" spans="1:15">
      <c r="A687" t="s">
        <v>317</v>
      </c>
      <c r="B687" t="s">
        <v>48</v>
      </c>
      <c r="C687" s="2" t="s">
        <v>889</v>
      </c>
      <c r="E687" s="2" t="str">
        <f t="shared" si="31"/>
        <v>Dani</v>
      </c>
      <c r="F687" s="2" t="str">
        <f t="shared" si="32"/>
        <v>Carvajal</v>
      </c>
      <c r="H687" s="2" t="str">
        <f t="shared" si="30"/>
        <v>D</v>
      </c>
      <c r="I687" s="2" t="s">
        <v>3019</v>
      </c>
      <c r="K687" s="2" t="s">
        <v>1165</v>
      </c>
      <c r="L687" t="s">
        <v>2143</v>
      </c>
      <c r="M687" s="2" t="s">
        <v>889</v>
      </c>
      <c r="N687" t="s">
        <v>3019</v>
      </c>
      <c r="O687" s="2" t="s">
        <v>48</v>
      </c>
    </row>
    <row r="688" spans="1:15">
      <c r="A688" t="s">
        <v>318</v>
      </c>
      <c r="B688" t="s">
        <v>48</v>
      </c>
      <c r="C688" s="2" t="s">
        <v>889</v>
      </c>
      <c r="E688" s="2" t="str">
        <f t="shared" si="31"/>
        <v>Aymeric</v>
      </c>
      <c r="F688" s="2" t="str">
        <f t="shared" si="32"/>
        <v>Laporte</v>
      </c>
      <c r="H688" s="2" t="str">
        <f t="shared" si="30"/>
        <v>A</v>
      </c>
      <c r="I688" s="2" t="s">
        <v>3020</v>
      </c>
      <c r="K688" s="2" t="s">
        <v>2144</v>
      </c>
      <c r="L688" t="s">
        <v>2145</v>
      </c>
      <c r="M688" s="2" t="s">
        <v>889</v>
      </c>
      <c r="N688" t="s">
        <v>3020</v>
      </c>
      <c r="O688" s="2" t="s">
        <v>48</v>
      </c>
    </row>
    <row r="689" spans="1:15">
      <c r="A689" t="s">
        <v>319</v>
      </c>
      <c r="B689" t="s">
        <v>57</v>
      </c>
      <c r="C689" s="2" t="s">
        <v>889</v>
      </c>
      <c r="E689" s="2" t="str">
        <f t="shared" si="31"/>
        <v>Sergio</v>
      </c>
      <c r="F689" s="2" t="str">
        <f t="shared" si="32"/>
        <v>Busquets</v>
      </c>
      <c r="H689" s="2" t="str">
        <f t="shared" si="30"/>
        <v>S</v>
      </c>
      <c r="I689" s="2" t="s">
        <v>3021</v>
      </c>
      <c r="K689" s="2" t="s">
        <v>2146</v>
      </c>
      <c r="L689" t="s">
        <v>2147</v>
      </c>
      <c r="M689" s="2" t="s">
        <v>889</v>
      </c>
      <c r="N689" t="s">
        <v>3021</v>
      </c>
      <c r="O689" s="2" t="s">
        <v>57</v>
      </c>
    </row>
    <row r="690" spans="1:15">
      <c r="A690" t="s">
        <v>320</v>
      </c>
      <c r="B690" t="s">
        <v>57</v>
      </c>
      <c r="C690" s="2" t="s">
        <v>889</v>
      </c>
      <c r="E690" s="2" t="str">
        <f t="shared" si="31"/>
        <v>Marcos</v>
      </c>
      <c r="F690" s="2" t="str">
        <f t="shared" si="32"/>
        <v>Llorente</v>
      </c>
      <c r="H690" s="2" t="str">
        <f t="shared" si="30"/>
        <v>M</v>
      </c>
      <c r="I690" s="2" t="s">
        <v>3022</v>
      </c>
      <c r="K690" s="2" t="s">
        <v>1026</v>
      </c>
      <c r="L690" t="s">
        <v>2148</v>
      </c>
      <c r="M690" s="2" t="s">
        <v>889</v>
      </c>
      <c r="N690" t="s">
        <v>3022</v>
      </c>
      <c r="O690" s="2" t="s">
        <v>57</v>
      </c>
    </row>
    <row r="691" spans="1:15">
      <c r="A691" t="s">
        <v>321</v>
      </c>
      <c r="B691" t="s">
        <v>57</v>
      </c>
      <c r="C691" s="2" t="s">
        <v>889</v>
      </c>
      <c r="E691" s="2" t="str">
        <f t="shared" si="31"/>
        <v/>
      </c>
      <c r="F691" s="2" t="str">
        <f t="shared" si="32"/>
        <v>Koke</v>
      </c>
      <c r="H691" s="2" t="str">
        <f t="shared" si="30"/>
        <v/>
      </c>
      <c r="I691" s="2" t="s">
        <v>3023</v>
      </c>
      <c r="K691" s="2" t="s">
        <v>1160</v>
      </c>
      <c r="L691" t="s">
        <v>321</v>
      </c>
      <c r="M691" s="2" t="s">
        <v>889</v>
      </c>
      <c r="N691" t="s">
        <v>3023</v>
      </c>
      <c r="O691" s="2" t="s">
        <v>57</v>
      </c>
    </row>
    <row r="692" spans="1:15">
      <c r="A692" t="s">
        <v>322</v>
      </c>
      <c r="B692" t="s">
        <v>57</v>
      </c>
      <c r="C692" s="2" t="s">
        <v>889</v>
      </c>
      <c r="E692" s="2" t="str">
        <f t="shared" si="31"/>
        <v/>
      </c>
      <c r="F692" s="2" t="str">
        <f t="shared" si="32"/>
        <v>Gavi</v>
      </c>
      <c r="H692" s="2" t="str">
        <f t="shared" si="30"/>
        <v/>
      </c>
      <c r="I692" s="2" t="s">
        <v>3024</v>
      </c>
      <c r="K692" s="2" t="s">
        <v>1160</v>
      </c>
      <c r="L692" t="s">
        <v>322</v>
      </c>
      <c r="M692" s="2" t="s">
        <v>889</v>
      </c>
      <c r="N692" t="s">
        <v>3024</v>
      </c>
      <c r="O692" s="2" t="s">
        <v>57</v>
      </c>
    </row>
    <row r="693" spans="1:15">
      <c r="A693" t="s">
        <v>323</v>
      </c>
      <c r="B693" t="s">
        <v>57</v>
      </c>
      <c r="C693" s="2" t="s">
        <v>889</v>
      </c>
      <c r="E693" s="2" t="str">
        <f t="shared" si="31"/>
        <v/>
      </c>
      <c r="F693" s="2" t="str">
        <f t="shared" si="32"/>
        <v>Rodri</v>
      </c>
      <c r="H693" s="2" t="str">
        <f t="shared" si="30"/>
        <v/>
      </c>
      <c r="I693" s="2" t="s">
        <v>3025</v>
      </c>
      <c r="K693" s="2" t="s">
        <v>1160</v>
      </c>
      <c r="L693" t="s">
        <v>323</v>
      </c>
      <c r="M693" s="2" t="s">
        <v>889</v>
      </c>
      <c r="N693" t="s">
        <v>3025</v>
      </c>
      <c r="O693" s="2" t="s">
        <v>57</v>
      </c>
    </row>
    <row r="694" spans="1:15">
      <c r="A694" t="s">
        <v>324</v>
      </c>
      <c r="B694" t="s">
        <v>57</v>
      </c>
      <c r="C694" s="2" t="s">
        <v>889</v>
      </c>
      <c r="E694" s="2" t="str">
        <f t="shared" si="31"/>
        <v>Yeremy</v>
      </c>
      <c r="F694" s="2" t="str">
        <f t="shared" si="32"/>
        <v>Pino</v>
      </c>
      <c r="H694" s="2" t="str">
        <f t="shared" si="30"/>
        <v>Y</v>
      </c>
      <c r="I694" s="2" t="s">
        <v>3026</v>
      </c>
      <c r="K694" s="2" t="s">
        <v>2149</v>
      </c>
      <c r="L694" t="s">
        <v>2150</v>
      </c>
      <c r="M694" s="2" t="s">
        <v>889</v>
      </c>
      <c r="N694" t="s">
        <v>3026</v>
      </c>
      <c r="O694" s="2" t="s">
        <v>57</v>
      </c>
    </row>
    <row r="695" spans="1:15">
      <c r="A695" t="s">
        <v>325</v>
      </c>
      <c r="B695" t="s">
        <v>57</v>
      </c>
      <c r="C695" s="2" t="s">
        <v>889</v>
      </c>
      <c r="E695" s="2" t="str">
        <f t="shared" si="31"/>
        <v>Carlos</v>
      </c>
      <c r="F695" s="2" t="str">
        <f t="shared" si="32"/>
        <v>Soler</v>
      </c>
      <c r="H695" s="2" t="str">
        <f t="shared" si="30"/>
        <v>C</v>
      </c>
      <c r="I695" s="2" t="s">
        <v>3027</v>
      </c>
      <c r="K695" s="2" t="s">
        <v>1287</v>
      </c>
      <c r="L695" t="s">
        <v>2151</v>
      </c>
      <c r="M695" s="2" t="s">
        <v>889</v>
      </c>
      <c r="N695" t="s">
        <v>3027</v>
      </c>
      <c r="O695" s="2" t="s">
        <v>57</v>
      </c>
    </row>
    <row r="696" spans="1:15">
      <c r="A696" t="s">
        <v>326</v>
      </c>
      <c r="B696" t="s">
        <v>57</v>
      </c>
      <c r="C696" s="2" t="s">
        <v>889</v>
      </c>
      <c r="E696" s="2" t="str">
        <f t="shared" si="31"/>
        <v>Dani</v>
      </c>
      <c r="F696" s="2" t="str">
        <f t="shared" si="32"/>
        <v>Olmo</v>
      </c>
      <c r="H696" s="2" t="str">
        <f t="shared" si="30"/>
        <v>D</v>
      </c>
      <c r="I696" s="2" t="s">
        <v>3028</v>
      </c>
      <c r="K696" s="2" t="s">
        <v>1165</v>
      </c>
      <c r="L696" t="s">
        <v>2152</v>
      </c>
      <c r="M696" s="2" t="s">
        <v>889</v>
      </c>
      <c r="N696" t="s">
        <v>3028</v>
      </c>
      <c r="O696" s="2" t="s">
        <v>57</v>
      </c>
    </row>
    <row r="697" spans="1:15">
      <c r="A697" t="s">
        <v>327</v>
      </c>
      <c r="B697" t="s">
        <v>57</v>
      </c>
      <c r="C697" s="2" t="s">
        <v>889</v>
      </c>
      <c r="E697" s="2" t="str">
        <f t="shared" si="31"/>
        <v>Pablo</v>
      </c>
      <c r="F697" s="2" t="str">
        <f t="shared" si="32"/>
        <v>Sarabia</v>
      </c>
      <c r="H697" s="2" t="str">
        <f t="shared" si="30"/>
        <v>P</v>
      </c>
      <c r="I697" s="2" t="s">
        <v>3029</v>
      </c>
      <c r="K697" s="2" t="s">
        <v>2153</v>
      </c>
      <c r="L697" t="s">
        <v>2154</v>
      </c>
      <c r="M697" s="2" t="s">
        <v>889</v>
      </c>
      <c r="N697" t="s">
        <v>3029</v>
      </c>
      <c r="O697" s="2" t="s">
        <v>57</v>
      </c>
    </row>
    <row r="698" spans="1:15">
      <c r="A698" t="s">
        <v>328</v>
      </c>
      <c r="B698" t="s">
        <v>57</v>
      </c>
      <c r="C698" s="2" t="s">
        <v>889</v>
      </c>
      <c r="E698" s="2" t="str">
        <f t="shared" si="31"/>
        <v/>
      </c>
      <c r="F698" s="2" t="str">
        <f t="shared" si="32"/>
        <v>Pedri</v>
      </c>
      <c r="H698" s="2" t="str">
        <f t="shared" si="30"/>
        <v/>
      </c>
      <c r="I698" s="2" t="s">
        <v>3030</v>
      </c>
      <c r="K698" s="2" t="s">
        <v>1160</v>
      </c>
      <c r="L698" t="s">
        <v>328</v>
      </c>
      <c r="M698" s="2" t="s">
        <v>889</v>
      </c>
      <c r="N698" t="s">
        <v>3030</v>
      </c>
      <c r="O698" s="2" t="s">
        <v>57</v>
      </c>
    </row>
    <row r="699" spans="1:15">
      <c r="A699" t="s">
        <v>329</v>
      </c>
      <c r="B699" t="s">
        <v>66</v>
      </c>
      <c r="C699" s="2" t="s">
        <v>889</v>
      </c>
      <c r="E699" s="2" t="str">
        <f t="shared" si="31"/>
        <v>Álvaro</v>
      </c>
      <c r="F699" s="2" t="str">
        <f t="shared" si="32"/>
        <v>Mora</v>
      </c>
      <c r="H699" s="2" t="str">
        <f t="shared" si="30"/>
        <v>Á</v>
      </c>
      <c r="I699" s="2" t="s">
        <v>3031</v>
      </c>
      <c r="K699" s="2" t="s">
        <v>1309</v>
      </c>
      <c r="L699" t="s">
        <v>2155</v>
      </c>
      <c r="M699" s="2" t="s">
        <v>889</v>
      </c>
      <c r="N699" t="s">
        <v>3031</v>
      </c>
      <c r="O699" s="2" t="s">
        <v>66</v>
      </c>
    </row>
    <row r="700" spans="1:15">
      <c r="A700" t="s">
        <v>330</v>
      </c>
      <c r="B700" t="s">
        <v>66</v>
      </c>
      <c r="C700" s="2" t="s">
        <v>889</v>
      </c>
      <c r="E700" s="2" t="str">
        <f t="shared" si="31"/>
        <v>Marco</v>
      </c>
      <c r="F700" s="2" t="str">
        <f t="shared" si="32"/>
        <v>Asensio</v>
      </c>
      <c r="H700" s="2" t="str">
        <f t="shared" si="30"/>
        <v>M</v>
      </c>
      <c r="I700" s="2" t="s">
        <v>3032</v>
      </c>
      <c r="K700" s="2" t="s">
        <v>2156</v>
      </c>
      <c r="L700" t="s">
        <v>2157</v>
      </c>
      <c r="M700" s="2" t="s">
        <v>889</v>
      </c>
      <c r="N700" t="s">
        <v>3032</v>
      </c>
      <c r="O700" s="2" t="s">
        <v>66</v>
      </c>
    </row>
    <row r="701" spans="1:15">
      <c r="A701" t="s">
        <v>331</v>
      </c>
      <c r="B701" t="s">
        <v>66</v>
      </c>
      <c r="C701" s="2" t="s">
        <v>889</v>
      </c>
      <c r="E701" s="2" t="str">
        <f t="shared" si="31"/>
        <v>Ferran</v>
      </c>
      <c r="F701" s="2" t="str">
        <f t="shared" si="32"/>
        <v>Torres</v>
      </c>
      <c r="H701" s="2" t="str">
        <f t="shared" si="30"/>
        <v>F</v>
      </c>
      <c r="I701" s="2" t="s">
        <v>2588</v>
      </c>
      <c r="K701" s="2" t="s">
        <v>2158</v>
      </c>
      <c r="L701" t="s">
        <v>1302</v>
      </c>
      <c r="M701" s="2" t="s">
        <v>889</v>
      </c>
      <c r="N701" t="s">
        <v>2588</v>
      </c>
      <c r="O701" s="2" t="s">
        <v>66</v>
      </c>
    </row>
    <row r="702" spans="1:15">
      <c r="A702" t="s">
        <v>332</v>
      </c>
      <c r="B702" t="s">
        <v>66</v>
      </c>
      <c r="C702" s="2" t="s">
        <v>889</v>
      </c>
      <c r="E702" s="2" t="str">
        <f t="shared" si="31"/>
        <v>Nico</v>
      </c>
      <c r="F702" s="2" t="str">
        <f t="shared" si="32"/>
        <v>Williams</v>
      </c>
      <c r="H702" s="2" t="str">
        <f t="shared" si="30"/>
        <v>N</v>
      </c>
      <c r="I702" s="2" t="s">
        <v>3033</v>
      </c>
      <c r="K702" s="2" t="s">
        <v>1551</v>
      </c>
      <c r="L702" t="s">
        <v>1618</v>
      </c>
      <c r="M702" s="2" t="s">
        <v>889</v>
      </c>
      <c r="N702" t="s">
        <v>3033</v>
      </c>
      <c r="O702" s="2" t="s">
        <v>66</v>
      </c>
    </row>
    <row r="703" spans="1:15">
      <c r="A703" t="s">
        <v>333</v>
      </c>
      <c r="B703" t="s">
        <v>66</v>
      </c>
      <c r="C703" s="2" t="s">
        <v>889</v>
      </c>
      <c r="E703" s="2" t="str">
        <f t="shared" si="31"/>
        <v>Ansu</v>
      </c>
      <c r="F703" s="2" t="str">
        <f t="shared" si="32"/>
        <v>Fati</v>
      </c>
      <c r="H703" s="2" t="str">
        <f t="shared" si="30"/>
        <v>A</v>
      </c>
      <c r="I703" s="2" t="s">
        <v>3034</v>
      </c>
      <c r="K703" s="2" t="s">
        <v>2159</v>
      </c>
      <c r="L703" t="s">
        <v>2160</v>
      </c>
      <c r="M703" s="2" t="s">
        <v>889</v>
      </c>
      <c r="N703" t="s">
        <v>3034</v>
      </c>
      <c r="O703" s="2" t="s">
        <v>66</v>
      </c>
    </row>
    <row r="704" spans="1:15">
      <c r="A704" t="s">
        <v>334</v>
      </c>
      <c r="B704" t="s">
        <v>44</v>
      </c>
      <c r="C704" s="2" t="s">
        <v>890</v>
      </c>
      <c r="E704" s="2" t="str">
        <f t="shared" si="31"/>
        <v>Yann</v>
      </c>
      <c r="F704" s="2" t="str">
        <f t="shared" si="32"/>
        <v>Sommer</v>
      </c>
      <c r="H704" s="2" t="str">
        <f t="shared" si="30"/>
        <v>Y</v>
      </c>
      <c r="I704" s="2" t="s">
        <v>3035</v>
      </c>
      <c r="K704" s="2" t="s">
        <v>2161</v>
      </c>
      <c r="L704" t="s">
        <v>2162</v>
      </c>
      <c r="M704" s="2" t="s">
        <v>890</v>
      </c>
      <c r="N704" t="s">
        <v>3035</v>
      </c>
      <c r="O704" s="2" t="s">
        <v>44</v>
      </c>
    </row>
    <row r="705" spans="1:15">
      <c r="A705" t="s">
        <v>335</v>
      </c>
      <c r="B705" t="s">
        <v>44</v>
      </c>
      <c r="C705" t="s">
        <v>890</v>
      </c>
      <c r="E705" s="2" t="str">
        <f t="shared" si="31"/>
        <v>Jonas</v>
      </c>
      <c r="F705" s="2" t="str">
        <f t="shared" si="32"/>
        <v>Omlin</v>
      </c>
      <c r="H705" s="2" t="str">
        <f t="shared" si="30"/>
        <v>J</v>
      </c>
      <c r="I705" s="2" t="s">
        <v>3036</v>
      </c>
      <c r="K705" s="2" t="s">
        <v>1401</v>
      </c>
      <c r="L705" t="s">
        <v>2163</v>
      </c>
      <c r="M705" s="2" t="s">
        <v>890</v>
      </c>
      <c r="N705" t="s">
        <v>3036</v>
      </c>
      <c r="O705" s="2" t="s">
        <v>44</v>
      </c>
    </row>
    <row r="706" spans="1:15">
      <c r="A706" t="s">
        <v>336</v>
      </c>
      <c r="B706" t="s">
        <v>44</v>
      </c>
      <c r="C706" t="s">
        <v>890</v>
      </c>
      <c r="E706" s="2" t="str">
        <f t="shared" si="31"/>
        <v>Gregor</v>
      </c>
      <c r="F706" s="2" t="str">
        <f t="shared" si="32"/>
        <v>Kobel</v>
      </c>
      <c r="H706" s="2" t="str">
        <f t="shared" si="30"/>
        <v>G</v>
      </c>
      <c r="I706" s="2" t="s">
        <v>3037</v>
      </c>
      <c r="K706" s="2" t="s">
        <v>2164</v>
      </c>
      <c r="L706" t="s">
        <v>2165</v>
      </c>
      <c r="M706" s="2" t="s">
        <v>890</v>
      </c>
      <c r="N706" t="s">
        <v>3037</v>
      </c>
      <c r="O706" s="2" t="s">
        <v>44</v>
      </c>
    </row>
    <row r="707" spans="1:15">
      <c r="A707" t="s">
        <v>337</v>
      </c>
      <c r="B707" t="s">
        <v>44</v>
      </c>
      <c r="C707" s="2" t="s">
        <v>890</v>
      </c>
      <c r="E707" s="2" t="str">
        <f t="shared" si="31"/>
        <v>Philipp</v>
      </c>
      <c r="F707" s="2" t="str">
        <f t="shared" si="32"/>
        <v>Köehn</v>
      </c>
      <c r="H707" s="2" t="str">
        <f t="shared" ref="H707:H770" si="33">LEFT(E707,1)</f>
        <v>P</v>
      </c>
      <c r="I707" s="2" t="s">
        <v>3038</v>
      </c>
      <c r="K707" s="2" t="s">
        <v>2166</v>
      </c>
      <c r="L707" t="s">
        <v>2167</v>
      </c>
      <c r="M707" s="2" t="s">
        <v>890</v>
      </c>
      <c r="N707" t="s">
        <v>3038</v>
      </c>
      <c r="O707" s="2" t="s">
        <v>44</v>
      </c>
    </row>
    <row r="708" spans="1:15">
      <c r="A708" t="s">
        <v>338</v>
      </c>
      <c r="B708" t="s">
        <v>48</v>
      </c>
      <c r="C708" s="2" t="s">
        <v>890</v>
      </c>
      <c r="E708" s="2" t="str">
        <f t="shared" ref="E708:E771" si="34">IF(ISERROR(FIND(" ",A708)),"", LEFT(A708,FIND(" ",A708)-1))</f>
        <v>Silvan</v>
      </c>
      <c r="F708" s="2" t="str">
        <f t="shared" ref="F708:F771" si="35">IF(ISERROR(FIND(" ",A708)),A708,RIGHT(A708,LEN(A708)-FIND(" ",A708)))</f>
        <v>Widmer</v>
      </c>
      <c r="H708" s="2" t="str">
        <f t="shared" si="33"/>
        <v>S</v>
      </c>
      <c r="I708" s="2" t="s">
        <v>3039</v>
      </c>
      <c r="K708" s="2" t="s">
        <v>2168</v>
      </c>
      <c r="L708" t="s">
        <v>2169</v>
      </c>
      <c r="M708" s="2" t="s">
        <v>890</v>
      </c>
      <c r="N708" t="s">
        <v>3039</v>
      </c>
      <c r="O708" s="2" t="s">
        <v>48</v>
      </c>
    </row>
    <row r="709" spans="1:15">
      <c r="A709" t="s">
        <v>339</v>
      </c>
      <c r="B709" t="s">
        <v>48</v>
      </c>
      <c r="C709" s="2" t="s">
        <v>890</v>
      </c>
      <c r="E709" s="2" t="str">
        <f t="shared" si="34"/>
        <v>Nico</v>
      </c>
      <c r="F709" s="2" t="str">
        <f t="shared" si="35"/>
        <v>Elvedi</v>
      </c>
      <c r="H709" s="2" t="str">
        <f t="shared" si="33"/>
        <v>N</v>
      </c>
      <c r="I709" s="2" t="s">
        <v>3040</v>
      </c>
      <c r="K709" s="2" t="s">
        <v>1551</v>
      </c>
      <c r="L709" t="s">
        <v>2170</v>
      </c>
      <c r="M709" s="2" t="s">
        <v>890</v>
      </c>
      <c r="N709" t="s">
        <v>3040</v>
      </c>
      <c r="O709" s="2" t="s">
        <v>48</v>
      </c>
    </row>
    <row r="710" spans="1:15">
      <c r="A710" t="s">
        <v>340</v>
      </c>
      <c r="B710" t="s">
        <v>48</v>
      </c>
      <c r="C710" s="2" t="s">
        <v>890</v>
      </c>
      <c r="E710" s="2" t="str">
        <f t="shared" si="34"/>
        <v>Manuel</v>
      </c>
      <c r="F710" s="2" t="str">
        <f t="shared" si="35"/>
        <v>Akanji</v>
      </c>
      <c r="H710" s="2" t="str">
        <f t="shared" si="33"/>
        <v>M</v>
      </c>
      <c r="I710" s="2" t="s">
        <v>3041</v>
      </c>
      <c r="K710" s="2" t="s">
        <v>1534</v>
      </c>
      <c r="L710" t="s">
        <v>2171</v>
      </c>
      <c r="M710" s="2" t="s">
        <v>890</v>
      </c>
      <c r="N710" t="s">
        <v>3041</v>
      </c>
      <c r="O710" s="2" t="s">
        <v>48</v>
      </c>
    </row>
    <row r="711" spans="1:15">
      <c r="A711" t="s">
        <v>341</v>
      </c>
      <c r="B711" t="s">
        <v>48</v>
      </c>
      <c r="C711" s="2" t="s">
        <v>890</v>
      </c>
      <c r="E711" s="2" t="str">
        <f t="shared" si="34"/>
        <v>Ricardo</v>
      </c>
      <c r="F711" s="2" t="str">
        <f t="shared" si="35"/>
        <v>Rodríguez</v>
      </c>
      <c r="H711" s="2" t="str">
        <f t="shared" si="33"/>
        <v>R</v>
      </c>
      <c r="I711" s="2" t="s">
        <v>3042</v>
      </c>
      <c r="K711" s="2" t="s">
        <v>1927</v>
      </c>
      <c r="L711" t="s">
        <v>1045</v>
      </c>
      <c r="M711" s="2" t="s">
        <v>890</v>
      </c>
      <c r="N711" t="s">
        <v>3042</v>
      </c>
      <c r="O711" s="2" t="s">
        <v>48</v>
      </c>
    </row>
    <row r="712" spans="1:15">
      <c r="A712" t="s">
        <v>342</v>
      </c>
      <c r="B712" t="s">
        <v>48</v>
      </c>
      <c r="C712" s="2" t="s">
        <v>890</v>
      </c>
      <c r="E712" s="2" t="str">
        <f t="shared" si="34"/>
        <v>Eray</v>
      </c>
      <c r="F712" s="2" t="str">
        <f t="shared" si="35"/>
        <v>Cöemert</v>
      </c>
      <c r="H712" s="2" t="str">
        <f t="shared" si="33"/>
        <v>E</v>
      </c>
      <c r="I712" s="2" t="s">
        <v>3043</v>
      </c>
      <c r="K712" s="2" t="s">
        <v>2172</v>
      </c>
      <c r="L712" t="s">
        <v>2173</v>
      </c>
      <c r="M712" s="2" t="s">
        <v>890</v>
      </c>
      <c r="N712" t="s">
        <v>3043</v>
      </c>
      <c r="O712" s="2" t="s">
        <v>48</v>
      </c>
    </row>
    <row r="713" spans="1:15">
      <c r="A713" t="s">
        <v>343</v>
      </c>
      <c r="B713" t="s">
        <v>48</v>
      </c>
      <c r="C713" s="2" t="s">
        <v>890</v>
      </c>
      <c r="E713" s="2" t="str">
        <f t="shared" si="34"/>
        <v>Fabian</v>
      </c>
      <c r="F713" s="2" t="str">
        <f t="shared" si="35"/>
        <v>Schäer</v>
      </c>
      <c r="H713" s="2" t="str">
        <f t="shared" si="33"/>
        <v>F</v>
      </c>
      <c r="I713" s="2" t="s">
        <v>3044</v>
      </c>
      <c r="K713" s="2" t="s">
        <v>2174</v>
      </c>
      <c r="L713" t="s">
        <v>2175</v>
      </c>
      <c r="M713" s="2" t="s">
        <v>890</v>
      </c>
      <c r="N713" t="s">
        <v>3044</v>
      </c>
      <c r="O713" s="2" t="s">
        <v>48</v>
      </c>
    </row>
    <row r="714" spans="1:15">
      <c r="A714" t="s">
        <v>344</v>
      </c>
      <c r="B714" t="s">
        <v>57</v>
      </c>
      <c r="C714" s="2" t="s">
        <v>890</v>
      </c>
      <c r="E714" s="2" t="str">
        <f t="shared" si="34"/>
        <v>Edimilson</v>
      </c>
      <c r="F714" s="2" t="str">
        <f t="shared" si="35"/>
        <v>Fernandes</v>
      </c>
      <c r="H714" s="2" t="str">
        <f t="shared" si="33"/>
        <v>E</v>
      </c>
      <c r="I714" s="2" t="s">
        <v>3045</v>
      </c>
      <c r="K714" s="2" t="s">
        <v>2176</v>
      </c>
      <c r="L714" t="s">
        <v>1915</v>
      </c>
      <c r="M714" s="2" t="s">
        <v>890</v>
      </c>
      <c r="N714" t="s">
        <v>3045</v>
      </c>
      <c r="O714" s="2" t="s">
        <v>57</v>
      </c>
    </row>
    <row r="715" spans="1:15">
      <c r="A715" t="s">
        <v>345</v>
      </c>
      <c r="B715" t="s">
        <v>57</v>
      </c>
      <c r="C715" s="2" t="s">
        <v>890</v>
      </c>
      <c r="E715" s="2" t="str">
        <f t="shared" si="34"/>
        <v>Denis</v>
      </c>
      <c r="F715" s="2" t="str">
        <f t="shared" si="35"/>
        <v>Zakaria</v>
      </c>
      <c r="H715" s="2" t="str">
        <f t="shared" si="33"/>
        <v>D</v>
      </c>
      <c r="I715" s="2" t="s">
        <v>3046</v>
      </c>
      <c r="K715" s="2" t="s">
        <v>1587</v>
      </c>
      <c r="L715" t="s">
        <v>1798</v>
      </c>
      <c r="M715" s="2" t="s">
        <v>890</v>
      </c>
      <c r="N715" t="s">
        <v>3046</v>
      </c>
      <c r="O715" s="2" t="s">
        <v>57</v>
      </c>
    </row>
    <row r="716" spans="1:15">
      <c r="A716" t="s">
        <v>346</v>
      </c>
      <c r="B716" t="s">
        <v>57</v>
      </c>
      <c r="C716" s="2" t="s">
        <v>890</v>
      </c>
      <c r="E716" s="2" t="str">
        <f t="shared" si="34"/>
        <v>Remo</v>
      </c>
      <c r="F716" s="2" t="str">
        <f t="shared" si="35"/>
        <v>Freuler</v>
      </c>
      <c r="H716" s="2" t="str">
        <f t="shared" si="33"/>
        <v>R</v>
      </c>
      <c r="I716" s="2" t="s">
        <v>3047</v>
      </c>
      <c r="K716" s="2" t="s">
        <v>2177</v>
      </c>
      <c r="L716" t="s">
        <v>2178</v>
      </c>
      <c r="M716" s="2" t="s">
        <v>890</v>
      </c>
      <c r="N716" t="s">
        <v>3047</v>
      </c>
      <c r="O716" s="2" t="s">
        <v>57</v>
      </c>
    </row>
    <row r="717" spans="1:15">
      <c r="A717" t="s">
        <v>347</v>
      </c>
      <c r="B717" t="s">
        <v>57</v>
      </c>
      <c r="C717" s="2" t="s">
        <v>890</v>
      </c>
      <c r="E717" s="2" t="str">
        <f t="shared" si="34"/>
        <v>Granit</v>
      </c>
      <c r="F717" s="2" t="str">
        <f t="shared" si="35"/>
        <v>Xhaka</v>
      </c>
      <c r="H717" s="2" t="str">
        <f t="shared" si="33"/>
        <v>G</v>
      </c>
      <c r="I717" s="2" t="s">
        <v>3048</v>
      </c>
      <c r="K717" s="2" t="s">
        <v>2179</v>
      </c>
      <c r="L717" t="s">
        <v>2180</v>
      </c>
      <c r="M717" s="2" t="s">
        <v>890</v>
      </c>
      <c r="N717" t="s">
        <v>3048</v>
      </c>
      <c r="O717" s="2" t="s">
        <v>57</v>
      </c>
    </row>
    <row r="718" spans="1:15">
      <c r="A718" t="s">
        <v>348</v>
      </c>
      <c r="B718" t="s">
        <v>57</v>
      </c>
      <c r="C718" s="2" t="s">
        <v>890</v>
      </c>
      <c r="E718" s="2" t="str">
        <f t="shared" si="34"/>
        <v>Renato</v>
      </c>
      <c r="F718" s="2" t="str">
        <f t="shared" si="35"/>
        <v>Steffen</v>
      </c>
      <c r="H718" s="2" t="str">
        <f t="shared" si="33"/>
        <v>R</v>
      </c>
      <c r="I718" s="2" t="s">
        <v>3049</v>
      </c>
      <c r="K718" s="2" t="s">
        <v>2181</v>
      </c>
      <c r="L718" t="s">
        <v>2182</v>
      </c>
      <c r="M718" s="2" t="s">
        <v>890</v>
      </c>
      <c r="N718" t="s">
        <v>3049</v>
      </c>
      <c r="O718" s="2" t="s">
        <v>57</v>
      </c>
    </row>
    <row r="719" spans="1:15">
      <c r="A719" t="s">
        <v>349</v>
      </c>
      <c r="B719" t="s">
        <v>57</v>
      </c>
      <c r="C719" s="2" t="s">
        <v>890</v>
      </c>
      <c r="E719" s="2" t="str">
        <f t="shared" si="34"/>
        <v>Michel</v>
      </c>
      <c r="F719" s="2" t="str">
        <f t="shared" si="35"/>
        <v>Aebischer</v>
      </c>
      <c r="H719" s="2" t="str">
        <f t="shared" si="33"/>
        <v>M</v>
      </c>
      <c r="I719" s="2" t="s">
        <v>3050</v>
      </c>
      <c r="K719" s="2" t="s">
        <v>2183</v>
      </c>
      <c r="L719" t="s">
        <v>2184</v>
      </c>
      <c r="M719" s="2" t="s">
        <v>890</v>
      </c>
      <c r="N719" t="s">
        <v>3050</v>
      </c>
      <c r="O719" s="2" t="s">
        <v>57</v>
      </c>
    </row>
    <row r="720" spans="1:15">
      <c r="A720" t="s">
        <v>350</v>
      </c>
      <c r="B720" t="s">
        <v>57</v>
      </c>
      <c r="C720" s="2" t="s">
        <v>890</v>
      </c>
      <c r="E720" s="2" t="str">
        <f t="shared" si="34"/>
        <v>Djibril</v>
      </c>
      <c r="F720" s="2" t="str">
        <f t="shared" si="35"/>
        <v>Sow</v>
      </c>
      <c r="H720" s="2" t="str">
        <f t="shared" si="33"/>
        <v>D</v>
      </c>
      <c r="I720" s="2" t="s">
        <v>3051</v>
      </c>
      <c r="K720" s="2" t="s">
        <v>2185</v>
      </c>
      <c r="L720" t="s">
        <v>2186</v>
      </c>
      <c r="M720" s="2" t="s">
        <v>890</v>
      </c>
      <c r="N720" t="s">
        <v>3051</v>
      </c>
      <c r="O720" s="2" t="s">
        <v>57</v>
      </c>
    </row>
    <row r="721" spans="1:15">
      <c r="A721" t="s">
        <v>351</v>
      </c>
      <c r="B721" t="s">
        <v>57</v>
      </c>
      <c r="C721" s="2" t="s">
        <v>890</v>
      </c>
      <c r="E721" s="2" t="str">
        <f t="shared" si="34"/>
        <v>Christian</v>
      </c>
      <c r="F721" s="2" t="str">
        <f t="shared" si="35"/>
        <v>Fassnacht</v>
      </c>
      <c r="H721" s="2" t="str">
        <f t="shared" si="33"/>
        <v>C</v>
      </c>
      <c r="I721" s="2" t="s">
        <v>3052</v>
      </c>
      <c r="K721" s="2" t="s">
        <v>1219</v>
      </c>
      <c r="L721" t="s">
        <v>2187</v>
      </c>
      <c r="M721" s="2" t="s">
        <v>890</v>
      </c>
      <c r="N721" t="s">
        <v>3052</v>
      </c>
      <c r="O721" s="2" t="s">
        <v>57</v>
      </c>
    </row>
    <row r="722" spans="1:15">
      <c r="A722" t="s">
        <v>352</v>
      </c>
      <c r="B722" t="s">
        <v>57</v>
      </c>
      <c r="C722" s="2" t="s">
        <v>890</v>
      </c>
      <c r="E722" s="2" t="str">
        <f t="shared" si="34"/>
        <v>Ruben</v>
      </c>
      <c r="F722" s="2" t="str">
        <f t="shared" si="35"/>
        <v>Vargas</v>
      </c>
      <c r="H722" s="2" t="str">
        <f t="shared" si="33"/>
        <v>R</v>
      </c>
      <c r="I722" s="2" t="s">
        <v>3053</v>
      </c>
      <c r="K722" s="2" t="s">
        <v>2188</v>
      </c>
      <c r="L722" t="s">
        <v>2189</v>
      </c>
      <c r="M722" s="2" t="s">
        <v>890</v>
      </c>
      <c r="N722" t="s">
        <v>3053</v>
      </c>
      <c r="O722" s="2" t="s">
        <v>57</v>
      </c>
    </row>
    <row r="723" spans="1:15">
      <c r="A723" t="s">
        <v>353</v>
      </c>
      <c r="B723" t="s">
        <v>57</v>
      </c>
      <c r="C723" s="2" t="s">
        <v>890</v>
      </c>
      <c r="E723" s="2" t="str">
        <f t="shared" si="34"/>
        <v>Fabian</v>
      </c>
      <c r="F723" s="2" t="str">
        <f t="shared" si="35"/>
        <v>Frei</v>
      </c>
      <c r="H723" s="2" t="str">
        <f t="shared" si="33"/>
        <v>F</v>
      </c>
      <c r="I723" s="2" t="s">
        <v>3054</v>
      </c>
      <c r="K723" s="2" t="s">
        <v>2174</v>
      </c>
      <c r="L723" t="s">
        <v>2190</v>
      </c>
      <c r="M723" s="2" t="s">
        <v>890</v>
      </c>
      <c r="N723" t="s">
        <v>3054</v>
      </c>
      <c r="O723" s="2" t="s">
        <v>57</v>
      </c>
    </row>
    <row r="724" spans="1:15">
      <c r="A724" t="s">
        <v>354</v>
      </c>
      <c r="B724" t="s">
        <v>57</v>
      </c>
      <c r="C724" s="2" t="s">
        <v>890</v>
      </c>
      <c r="E724" s="2" t="str">
        <f t="shared" si="34"/>
        <v>Xherdan</v>
      </c>
      <c r="F724" s="2" t="str">
        <f t="shared" si="35"/>
        <v>Shaqiri</v>
      </c>
      <c r="H724" s="2" t="str">
        <f t="shared" si="33"/>
        <v>X</v>
      </c>
      <c r="I724" s="2" t="s">
        <v>3055</v>
      </c>
      <c r="K724" s="2" t="s">
        <v>2191</v>
      </c>
      <c r="L724" t="s">
        <v>2192</v>
      </c>
      <c r="M724" s="2" t="s">
        <v>890</v>
      </c>
      <c r="N724" t="s">
        <v>3055</v>
      </c>
      <c r="O724" s="2" t="s">
        <v>57</v>
      </c>
    </row>
    <row r="725" spans="1:15">
      <c r="A725" t="s">
        <v>355</v>
      </c>
      <c r="B725" t="s">
        <v>57</v>
      </c>
      <c r="C725" s="2" t="s">
        <v>890</v>
      </c>
      <c r="E725" s="2" t="str">
        <f t="shared" si="34"/>
        <v>Fabian</v>
      </c>
      <c r="F725" s="2" t="str">
        <f t="shared" si="35"/>
        <v>Rieder</v>
      </c>
      <c r="H725" s="2" t="str">
        <f t="shared" si="33"/>
        <v>F</v>
      </c>
      <c r="I725" s="2" t="s">
        <v>3056</v>
      </c>
      <c r="K725" s="2" t="s">
        <v>2174</v>
      </c>
      <c r="L725" t="s">
        <v>2193</v>
      </c>
      <c r="M725" s="2" t="s">
        <v>890</v>
      </c>
      <c r="N725" t="s">
        <v>3056</v>
      </c>
      <c r="O725" s="2" t="s">
        <v>57</v>
      </c>
    </row>
    <row r="726" spans="1:15">
      <c r="A726" t="s">
        <v>356</v>
      </c>
      <c r="B726" t="s">
        <v>57</v>
      </c>
      <c r="C726" s="2" t="s">
        <v>890</v>
      </c>
      <c r="E726" s="2" t="str">
        <f t="shared" si="34"/>
        <v>Ardon</v>
      </c>
      <c r="F726" s="2" t="str">
        <f t="shared" si="35"/>
        <v>Jashari</v>
      </c>
      <c r="H726" s="2" t="str">
        <f t="shared" si="33"/>
        <v>A</v>
      </c>
      <c r="I726" s="2" t="s">
        <v>3057</v>
      </c>
      <c r="K726" s="2" t="s">
        <v>2194</v>
      </c>
      <c r="L726" t="s">
        <v>2195</v>
      </c>
      <c r="M726" s="2" t="s">
        <v>890</v>
      </c>
      <c r="N726" t="s">
        <v>3057</v>
      </c>
      <c r="O726" s="2" t="s">
        <v>57</v>
      </c>
    </row>
    <row r="727" spans="1:15">
      <c r="A727" t="s">
        <v>357</v>
      </c>
      <c r="B727" t="s">
        <v>66</v>
      </c>
      <c r="C727" s="2" t="s">
        <v>890</v>
      </c>
      <c r="E727" s="2" t="str">
        <f t="shared" si="34"/>
        <v>Breel</v>
      </c>
      <c r="F727" s="2" t="str">
        <f t="shared" si="35"/>
        <v>Embolo</v>
      </c>
      <c r="H727" s="2" t="str">
        <f t="shared" si="33"/>
        <v>B</v>
      </c>
      <c r="I727" s="2" t="s">
        <v>3058</v>
      </c>
      <c r="K727" s="2" t="s">
        <v>2196</v>
      </c>
      <c r="L727" t="s">
        <v>2197</v>
      </c>
      <c r="M727" s="2" t="s">
        <v>890</v>
      </c>
      <c r="N727" t="s">
        <v>3058</v>
      </c>
      <c r="O727" s="2" t="s">
        <v>66</v>
      </c>
    </row>
    <row r="728" spans="1:15">
      <c r="A728" t="s">
        <v>358</v>
      </c>
      <c r="B728" t="s">
        <v>66</v>
      </c>
      <c r="C728" s="2" t="s">
        <v>890</v>
      </c>
      <c r="E728" s="2" t="str">
        <f t="shared" si="34"/>
        <v>Haris</v>
      </c>
      <c r="F728" s="2" t="str">
        <f t="shared" si="35"/>
        <v>Seferovic</v>
      </c>
      <c r="H728" s="2" t="str">
        <f t="shared" si="33"/>
        <v>H</v>
      </c>
      <c r="I728" s="2" t="s">
        <v>3059</v>
      </c>
      <c r="K728" s="2" t="s">
        <v>2198</v>
      </c>
      <c r="L728" t="s">
        <v>2199</v>
      </c>
      <c r="M728" s="2" t="s">
        <v>890</v>
      </c>
      <c r="N728" t="s">
        <v>3059</v>
      </c>
      <c r="O728" s="2" t="s">
        <v>66</v>
      </c>
    </row>
    <row r="729" spans="1:15">
      <c r="A729" t="s">
        <v>359</v>
      </c>
      <c r="B729" t="s">
        <v>66</v>
      </c>
      <c r="C729" s="2" t="s">
        <v>890</v>
      </c>
      <c r="E729" s="2" t="str">
        <f t="shared" si="34"/>
        <v>Noah</v>
      </c>
      <c r="F729" s="2" t="str">
        <f t="shared" si="35"/>
        <v>Okafor</v>
      </c>
      <c r="H729" s="2" t="str">
        <f t="shared" si="33"/>
        <v>N</v>
      </c>
      <c r="I729" s="2" t="s">
        <v>3060</v>
      </c>
      <c r="K729" s="2" t="s">
        <v>2200</v>
      </c>
      <c r="L729" t="s">
        <v>2201</v>
      </c>
      <c r="M729" s="2" t="s">
        <v>890</v>
      </c>
      <c r="N729" t="s">
        <v>3060</v>
      </c>
      <c r="O729" s="2" t="s">
        <v>66</v>
      </c>
    </row>
    <row r="730" spans="1:15">
      <c r="A730" t="s">
        <v>360</v>
      </c>
      <c r="B730" t="s">
        <v>44</v>
      </c>
      <c r="C730" s="2" t="s">
        <v>891</v>
      </c>
      <c r="E730" s="2" t="str">
        <f t="shared" si="34"/>
        <v>Aymen</v>
      </c>
      <c r="F730" s="2" t="str">
        <f t="shared" si="35"/>
        <v>Mathlouthi</v>
      </c>
      <c r="H730" s="2" t="str">
        <f t="shared" si="33"/>
        <v>A</v>
      </c>
      <c r="I730" s="2" t="s">
        <v>3061</v>
      </c>
      <c r="K730" s="2" t="s">
        <v>2202</v>
      </c>
      <c r="L730" t="s">
        <v>2203</v>
      </c>
      <c r="M730" s="2" t="s">
        <v>891</v>
      </c>
      <c r="N730" t="s">
        <v>3061</v>
      </c>
      <c r="O730" s="2" t="s">
        <v>44</v>
      </c>
    </row>
    <row r="731" spans="1:15">
      <c r="A731" t="s">
        <v>361</v>
      </c>
      <c r="B731" t="s">
        <v>44</v>
      </c>
      <c r="C731" s="2" t="s">
        <v>891</v>
      </c>
      <c r="E731" s="2" t="str">
        <f t="shared" si="34"/>
        <v>Aymen</v>
      </c>
      <c r="F731" s="2" t="str">
        <f t="shared" si="35"/>
        <v>Dahmen</v>
      </c>
      <c r="H731" s="2" t="str">
        <f t="shared" si="33"/>
        <v>A</v>
      </c>
      <c r="I731" s="2" t="s">
        <v>3062</v>
      </c>
      <c r="K731" s="2" t="s">
        <v>2202</v>
      </c>
      <c r="L731" t="s">
        <v>2204</v>
      </c>
      <c r="M731" s="2" t="s">
        <v>891</v>
      </c>
      <c r="N731" t="s">
        <v>3062</v>
      </c>
      <c r="O731" s="2" t="s">
        <v>44</v>
      </c>
    </row>
    <row r="732" spans="1:15">
      <c r="A732" t="s">
        <v>362</v>
      </c>
      <c r="B732" t="s">
        <v>44</v>
      </c>
      <c r="C732" t="s">
        <v>891</v>
      </c>
      <c r="E732" s="2" t="str">
        <f t="shared" si="34"/>
        <v>Bechir</v>
      </c>
      <c r="F732" s="2" t="str">
        <f t="shared" si="35"/>
        <v>Ben Said</v>
      </c>
      <c r="H732" s="2" t="str">
        <f t="shared" si="33"/>
        <v>B</v>
      </c>
      <c r="I732" s="2" t="s">
        <v>3063</v>
      </c>
      <c r="K732" s="2" t="s">
        <v>2205</v>
      </c>
      <c r="L732" t="s">
        <v>2206</v>
      </c>
      <c r="M732" s="2" t="s">
        <v>891</v>
      </c>
      <c r="N732" t="s">
        <v>3063</v>
      </c>
      <c r="O732" s="2" t="s">
        <v>44</v>
      </c>
    </row>
    <row r="733" spans="1:15">
      <c r="A733" t="s">
        <v>363</v>
      </c>
      <c r="B733" t="s">
        <v>44</v>
      </c>
      <c r="C733" t="s">
        <v>891</v>
      </c>
      <c r="E733" s="2" t="str">
        <f t="shared" si="34"/>
        <v>Mouez</v>
      </c>
      <c r="F733" s="2" t="str">
        <f t="shared" si="35"/>
        <v>Hassen</v>
      </c>
      <c r="H733" s="2" t="str">
        <f t="shared" si="33"/>
        <v>M</v>
      </c>
      <c r="I733" s="2" t="s">
        <v>3064</v>
      </c>
      <c r="K733" s="2" t="s">
        <v>2207</v>
      </c>
      <c r="L733" t="s">
        <v>2208</v>
      </c>
      <c r="M733" s="2" t="s">
        <v>891</v>
      </c>
      <c r="N733" t="s">
        <v>3064</v>
      </c>
      <c r="O733" s="2" t="s">
        <v>44</v>
      </c>
    </row>
    <row r="734" spans="1:15">
      <c r="A734" t="s">
        <v>364</v>
      </c>
      <c r="B734" t="s">
        <v>48</v>
      </c>
      <c r="C734" s="2" t="s">
        <v>891</v>
      </c>
      <c r="E734" s="2" t="str">
        <f t="shared" si="34"/>
        <v>Bilel</v>
      </c>
      <c r="F734" s="2" t="str">
        <f t="shared" si="35"/>
        <v>Ifa</v>
      </c>
      <c r="H734" s="2" t="str">
        <f t="shared" si="33"/>
        <v>B</v>
      </c>
      <c r="I734" s="2" t="s">
        <v>3065</v>
      </c>
      <c r="K734" s="2" t="s">
        <v>2209</v>
      </c>
      <c r="L734" t="s">
        <v>2210</v>
      </c>
      <c r="M734" s="2" t="s">
        <v>891</v>
      </c>
      <c r="N734" t="s">
        <v>3065</v>
      </c>
      <c r="O734" s="2" t="s">
        <v>48</v>
      </c>
    </row>
    <row r="735" spans="1:15">
      <c r="A735" t="s">
        <v>365</v>
      </c>
      <c r="B735" t="s">
        <v>48</v>
      </c>
      <c r="C735" s="2" t="s">
        <v>891</v>
      </c>
      <c r="E735" s="2" t="str">
        <f t="shared" si="34"/>
        <v>Montassar</v>
      </c>
      <c r="F735" s="2" t="str">
        <f t="shared" si="35"/>
        <v>Talbi</v>
      </c>
      <c r="H735" s="2" t="str">
        <f t="shared" si="33"/>
        <v>M</v>
      </c>
      <c r="I735" s="2" t="s">
        <v>3066</v>
      </c>
      <c r="K735" s="2" t="s">
        <v>2211</v>
      </c>
      <c r="L735" t="s">
        <v>2212</v>
      </c>
      <c r="M735" s="2" t="s">
        <v>891</v>
      </c>
      <c r="N735" t="s">
        <v>3066</v>
      </c>
      <c r="O735" s="2" t="s">
        <v>48</v>
      </c>
    </row>
    <row r="736" spans="1:15">
      <c r="A736" t="s">
        <v>366</v>
      </c>
      <c r="B736" t="s">
        <v>48</v>
      </c>
      <c r="C736" s="2" t="s">
        <v>891</v>
      </c>
      <c r="E736" s="2" t="str">
        <f t="shared" si="34"/>
        <v>Yassine</v>
      </c>
      <c r="F736" s="2" t="str">
        <f t="shared" si="35"/>
        <v>Meriah</v>
      </c>
      <c r="H736" s="2" t="str">
        <f t="shared" si="33"/>
        <v>Y</v>
      </c>
      <c r="I736" s="2" t="s">
        <v>3067</v>
      </c>
      <c r="K736" s="2" t="s">
        <v>1760</v>
      </c>
      <c r="L736" t="s">
        <v>2213</v>
      </c>
      <c r="M736" s="2" t="s">
        <v>891</v>
      </c>
      <c r="N736" t="s">
        <v>3067</v>
      </c>
      <c r="O736" s="2" t="s">
        <v>48</v>
      </c>
    </row>
    <row r="737" spans="1:15">
      <c r="A737" t="s">
        <v>367</v>
      </c>
      <c r="B737" t="s">
        <v>48</v>
      </c>
      <c r="C737" s="2" t="s">
        <v>891</v>
      </c>
      <c r="E737" s="2" t="str">
        <f t="shared" si="34"/>
        <v>Dylan</v>
      </c>
      <c r="F737" s="2" t="str">
        <f t="shared" si="35"/>
        <v>Bronn</v>
      </c>
      <c r="H737" s="2" t="str">
        <f t="shared" si="33"/>
        <v>D</v>
      </c>
      <c r="I737" s="2" t="s">
        <v>3068</v>
      </c>
      <c r="K737" s="2" t="s">
        <v>2214</v>
      </c>
      <c r="L737" t="s">
        <v>2215</v>
      </c>
      <c r="M737" s="2" t="s">
        <v>891</v>
      </c>
      <c r="N737" t="s">
        <v>3068</v>
      </c>
      <c r="O737" s="2" t="s">
        <v>48</v>
      </c>
    </row>
    <row r="738" spans="1:15">
      <c r="A738" t="s">
        <v>368</v>
      </c>
      <c r="B738" t="s">
        <v>48</v>
      </c>
      <c r="C738" s="2" t="s">
        <v>891</v>
      </c>
      <c r="E738" s="2" t="str">
        <f t="shared" si="34"/>
        <v>Ali</v>
      </c>
      <c r="F738" s="2" t="str">
        <f t="shared" si="35"/>
        <v>Maâloul</v>
      </c>
      <c r="H738" s="2" t="str">
        <f t="shared" si="33"/>
        <v>A</v>
      </c>
      <c r="I738" s="2" t="s">
        <v>3069</v>
      </c>
      <c r="K738" s="2" t="s">
        <v>1654</v>
      </c>
      <c r="L738" t="s">
        <v>2216</v>
      </c>
      <c r="M738" s="2" t="s">
        <v>891</v>
      </c>
      <c r="N738" t="s">
        <v>3069</v>
      </c>
      <c r="O738" s="2" t="s">
        <v>48</v>
      </c>
    </row>
    <row r="739" spans="1:15">
      <c r="A739" t="s">
        <v>369</v>
      </c>
      <c r="B739" t="s">
        <v>48</v>
      </c>
      <c r="C739" s="2" t="s">
        <v>891</v>
      </c>
      <c r="E739" s="2" t="str">
        <f t="shared" si="34"/>
        <v>Mohamed</v>
      </c>
      <c r="F739" s="2" t="str">
        <f t="shared" si="35"/>
        <v>Drager</v>
      </c>
      <c r="H739" s="2" t="str">
        <f t="shared" si="33"/>
        <v>M</v>
      </c>
      <c r="I739" s="2" t="s">
        <v>3070</v>
      </c>
      <c r="K739" s="2" t="s">
        <v>2000</v>
      </c>
      <c r="L739" t="s">
        <v>2217</v>
      </c>
      <c r="M739" s="2" t="s">
        <v>891</v>
      </c>
      <c r="N739" t="s">
        <v>3070</v>
      </c>
      <c r="O739" s="2" t="s">
        <v>48</v>
      </c>
    </row>
    <row r="740" spans="1:15">
      <c r="A740" t="s">
        <v>370</v>
      </c>
      <c r="B740" t="s">
        <v>48</v>
      </c>
      <c r="C740" s="2" t="s">
        <v>891</v>
      </c>
      <c r="E740" s="2" t="str">
        <f t="shared" si="34"/>
        <v>Wajdi</v>
      </c>
      <c r="F740" s="2" t="str">
        <f t="shared" si="35"/>
        <v>Kechrida</v>
      </c>
      <c r="H740" s="2" t="str">
        <f t="shared" si="33"/>
        <v>W</v>
      </c>
      <c r="I740" s="2" t="s">
        <v>3071</v>
      </c>
      <c r="K740" s="2" t="s">
        <v>2218</v>
      </c>
      <c r="L740" t="s">
        <v>2219</v>
      </c>
      <c r="M740" s="2" t="s">
        <v>891</v>
      </c>
      <c r="N740" t="s">
        <v>3071</v>
      </c>
      <c r="O740" s="2" t="s">
        <v>48</v>
      </c>
    </row>
    <row r="741" spans="1:15">
      <c r="A741" t="s">
        <v>371</v>
      </c>
      <c r="B741" t="s">
        <v>48</v>
      </c>
      <c r="C741" s="2" t="s">
        <v>891</v>
      </c>
      <c r="E741" s="2" t="str">
        <f t="shared" si="34"/>
        <v>Ali</v>
      </c>
      <c r="F741" s="2" t="str">
        <f t="shared" si="35"/>
        <v>Abdi</v>
      </c>
      <c r="H741" s="2" t="str">
        <f t="shared" si="33"/>
        <v>A</v>
      </c>
      <c r="I741" s="2" t="s">
        <v>3072</v>
      </c>
      <c r="K741" s="2" t="s">
        <v>1654</v>
      </c>
      <c r="L741" t="s">
        <v>2220</v>
      </c>
      <c r="M741" s="2" t="s">
        <v>891</v>
      </c>
      <c r="N741" t="s">
        <v>3072</v>
      </c>
      <c r="O741" s="2" t="s">
        <v>48</v>
      </c>
    </row>
    <row r="742" spans="1:15">
      <c r="A742" t="s">
        <v>372</v>
      </c>
      <c r="B742" t="s">
        <v>57</v>
      </c>
      <c r="C742" s="2" t="s">
        <v>891</v>
      </c>
      <c r="E742" s="2" t="str">
        <f t="shared" si="34"/>
        <v>Nader</v>
      </c>
      <c r="F742" s="2" t="str">
        <f t="shared" si="35"/>
        <v>Ghandri</v>
      </c>
      <c r="H742" s="2" t="str">
        <f t="shared" si="33"/>
        <v>N</v>
      </c>
      <c r="I742" s="2" t="s">
        <v>3073</v>
      </c>
      <c r="K742" s="2" t="s">
        <v>2221</v>
      </c>
      <c r="L742" t="s">
        <v>2222</v>
      </c>
      <c r="M742" s="2" t="s">
        <v>891</v>
      </c>
      <c r="N742" t="s">
        <v>3073</v>
      </c>
      <c r="O742" s="2" t="s">
        <v>57</v>
      </c>
    </row>
    <row r="743" spans="1:15">
      <c r="A743" t="s">
        <v>373</v>
      </c>
      <c r="B743" t="s">
        <v>57</v>
      </c>
      <c r="C743" s="2" t="s">
        <v>891</v>
      </c>
      <c r="E743" s="2" t="str">
        <f t="shared" si="34"/>
        <v>Hannibal</v>
      </c>
      <c r="F743" s="2" t="str">
        <f t="shared" si="35"/>
        <v>Mejbri</v>
      </c>
      <c r="H743" s="2" t="str">
        <f t="shared" si="33"/>
        <v>H</v>
      </c>
      <c r="I743" s="2" t="s">
        <v>3074</v>
      </c>
      <c r="K743" s="2" t="s">
        <v>2223</v>
      </c>
      <c r="L743" t="s">
        <v>2224</v>
      </c>
      <c r="M743" s="2" t="s">
        <v>891</v>
      </c>
      <c r="N743" t="s">
        <v>3074</v>
      </c>
      <c r="O743" s="2" t="s">
        <v>57</v>
      </c>
    </row>
    <row r="744" spans="1:15">
      <c r="A744" t="s">
        <v>374</v>
      </c>
      <c r="B744" t="s">
        <v>57</v>
      </c>
      <c r="C744" s="2" t="s">
        <v>891</v>
      </c>
      <c r="E744" s="2" t="str">
        <f t="shared" si="34"/>
        <v>Ferjani</v>
      </c>
      <c r="F744" s="2" t="str">
        <f t="shared" si="35"/>
        <v>Sassi</v>
      </c>
      <c r="H744" s="2" t="str">
        <f t="shared" si="33"/>
        <v>F</v>
      </c>
      <c r="I744" s="2" t="s">
        <v>3075</v>
      </c>
      <c r="K744" s="2" t="s">
        <v>2225</v>
      </c>
      <c r="L744" t="s">
        <v>2226</v>
      </c>
      <c r="M744" s="2" t="s">
        <v>891</v>
      </c>
      <c r="N744" t="s">
        <v>3075</v>
      </c>
      <c r="O744" s="2" t="s">
        <v>57</v>
      </c>
    </row>
    <row r="745" spans="1:15">
      <c r="A745" t="s">
        <v>375</v>
      </c>
      <c r="B745" t="s">
        <v>57</v>
      </c>
      <c r="C745" s="2" t="s">
        <v>891</v>
      </c>
      <c r="E745" s="2" t="str">
        <f t="shared" si="34"/>
        <v>Aissa</v>
      </c>
      <c r="F745" s="2" t="str">
        <f t="shared" si="35"/>
        <v>Laidouni</v>
      </c>
      <c r="H745" s="2" t="str">
        <f t="shared" si="33"/>
        <v>A</v>
      </c>
      <c r="I745" s="2" t="s">
        <v>3076</v>
      </c>
      <c r="K745" s="2" t="s">
        <v>2227</v>
      </c>
      <c r="L745" t="s">
        <v>2228</v>
      </c>
      <c r="M745" s="2" t="s">
        <v>891</v>
      </c>
      <c r="N745" t="s">
        <v>3076</v>
      </c>
      <c r="O745" s="2" t="s">
        <v>57</v>
      </c>
    </row>
    <row r="746" spans="1:15">
      <c r="A746" t="s">
        <v>376</v>
      </c>
      <c r="B746" t="s">
        <v>57</v>
      </c>
      <c r="C746" s="2" t="s">
        <v>891</v>
      </c>
      <c r="E746" s="2" t="str">
        <f t="shared" si="34"/>
        <v>Mohamed</v>
      </c>
      <c r="F746" s="2" t="str">
        <f t="shared" si="35"/>
        <v>Ali Ben Romdhane</v>
      </c>
      <c r="H746" s="2" t="str">
        <f t="shared" si="33"/>
        <v>M</v>
      </c>
      <c r="I746" s="2" t="s">
        <v>3077</v>
      </c>
      <c r="K746" s="2" t="s">
        <v>2000</v>
      </c>
      <c r="L746" t="s">
        <v>2229</v>
      </c>
      <c r="M746" s="2" t="s">
        <v>891</v>
      </c>
      <c r="N746" t="s">
        <v>3077</v>
      </c>
      <c r="O746" s="2" t="s">
        <v>57</v>
      </c>
    </row>
    <row r="747" spans="1:15">
      <c r="A747" t="s">
        <v>377</v>
      </c>
      <c r="B747" t="s">
        <v>57</v>
      </c>
      <c r="C747" s="2" t="s">
        <v>891</v>
      </c>
      <c r="E747" s="2" t="str">
        <f t="shared" si="34"/>
        <v>Ellyes</v>
      </c>
      <c r="F747" s="2" t="str">
        <f t="shared" si="35"/>
        <v>Skhiri</v>
      </c>
      <c r="H747" s="2" t="str">
        <f t="shared" si="33"/>
        <v>E</v>
      </c>
      <c r="I747" s="2" t="s">
        <v>3078</v>
      </c>
      <c r="K747" s="2" t="s">
        <v>2230</v>
      </c>
      <c r="L747" t="s">
        <v>2231</v>
      </c>
      <c r="M747" s="2" t="s">
        <v>891</v>
      </c>
      <c r="N747" t="s">
        <v>3078</v>
      </c>
      <c r="O747" s="2" t="s">
        <v>57</v>
      </c>
    </row>
    <row r="748" spans="1:15">
      <c r="A748" t="s">
        <v>378</v>
      </c>
      <c r="B748" t="s">
        <v>57</v>
      </c>
      <c r="C748" s="2" t="s">
        <v>891</v>
      </c>
      <c r="E748" s="2" t="str">
        <f t="shared" si="34"/>
        <v>Ghaylen</v>
      </c>
      <c r="F748" s="2" t="str">
        <f t="shared" si="35"/>
        <v>Chaaleli</v>
      </c>
      <c r="H748" s="2" t="str">
        <f t="shared" si="33"/>
        <v>G</v>
      </c>
      <c r="I748" s="2" t="s">
        <v>3079</v>
      </c>
      <c r="K748" s="2" t="s">
        <v>2232</v>
      </c>
      <c r="L748" t="s">
        <v>2233</v>
      </c>
      <c r="M748" s="2" t="s">
        <v>891</v>
      </c>
      <c r="N748" t="s">
        <v>3079</v>
      </c>
      <c r="O748" s="2" t="s">
        <v>57</v>
      </c>
    </row>
    <row r="749" spans="1:15">
      <c r="A749" t="s">
        <v>379</v>
      </c>
      <c r="B749" t="s">
        <v>57</v>
      </c>
      <c r="C749" s="2" t="s">
        <v>891</v>
      </c>
      <c r="E749" s="2" t="str">
        <f t="shared" si="34"/>
        <v>Naïm</v>
      </c>
      <c r="F749" s="2" t="str">
        <f t="shared" si="35"/>
        <v>Sliti</v>
      </c>
      <c r="H749" s="2" t="str">
        <f t="shared" si="33"/>
        <v>N</v>
      </c>
      <c r="I749" s="2" t="s">
        <v>3080</v>
      </c>
      <c r="K749" s="2" t="s">
        <v>2234</v>
      </c>
      <c r="L749" t="s">
        <v>2235</v>
      </c>
      <c r="M749" s="2" t="s">
        <v>891</v>
      </c>
      <c r="N749" t="s">
        <v>3080</v>
      </c>
      <c r="O749" s="2" t="s">
        <v>57</v>
      </c>
    </row>
    <row r="750" spans="1:15">
      <c r="A750" t="s">
        <v>380</v>
      </c>
      <c r="B750" t="s">
        <v>57</v>
      </c>
      <c r="C750" s="2" t="s">
        <v>891</v>
      </c>
      <c r="E750" s="2" t="str">
        <f t="shared" si="34"/>
        <v>Anis</v>
      </c>
      <c r="F750" s="2" t="str">
        <f t="shared" si="35"/>
        <v>Ben Slimane</v>
      </c>
      <c r="H750" s="2" t="str">
        <f t="shared" si="33"/>
        <v>A</v>
      </c>
      <c r="I750" s="2" t="s">
        <v>3081</v>
      </c>
      <c r="K750" s="2" t="s">
        <v>2236</v>
      </c>
      <c r="L750" t="s">
        <v>2237</v>
      </c>
      <c r="M750" s="2" t="s">
        <v>891</v>
      </c>
      <c r="N750" t="s">
        <v>3081</v>
      </c>
      <c r="O750" s="2" t="s">
        <v>57</v>
      </c>
    </row>
    <row r="751" spans="1:15">
      <c r="A751" t="s">
        <v>381</v>
      </c>
      <c r="B751" t="s">
        <v>66</v>
      </c>
      <c r="C751" s="2" t="s">
        <v>891</v>
      </c>
      <c r="E751" s="2" t="str">
        <f t="shared" si="34"/>
        <v>Youssef</v>
      </c>
      <c r="F751" s="2" t="str">
        <f t="shared" si="35"/>
        <v>Msakni</v>
      </c>
      <c r="H751" s="2" t="str">
        <f t="shared" si="33"/>
        <v>Y</v>
      </c>
      <c r="I751" s="2" t="s">
        <v>3082</v>
      </c>
      <c r="K751" s="2" t="s">
        <v>1804</v>
      </c>
      <c r="L751" t="s">
        <v>2238</v>
      </c>
      <c r="M751" s="2" t="s">
        <v>891</v>
      </c>
      <c r="N751" t="s">
        <v>3082</v>
      </c>
      <c r="O751" s="2" t="s">
        <v>66</v>
      </c>
    </row>
    <row r="752" spans="1:15">
      <c r="A752" t="s">
        <v>382</v>
      </c>
      <c r="B752" t="s">
        <v>66</v>
      </c>
      <c r="C752" s="2" t="s">
        <v>891</v>
      </c>
      <c r="E752" s="2" t="str">
        <f t="shared" si="34"/>
        <v>Issam</v>
      </c>
      <c r="F752" s="2" t="str">
        <f t="shared" si="35"/>
        <v>Jebali</v>
      </c>
      <c r="H752" s="2" t="str">
        <f t="shared" si="33"/>
        <v>I</v>
      </c>
      <c r="I752" s="2" t="s">
        <v>3083</v>
      </c>
      <c r="K752" s="2" t="s">
        <v>2239</v>
      </c>
      <c r="L752" t="s">
        <v>2240</v>
      </c>
      <c r="M752" s="2" t="s">
        <v>891</v>
      </c>
      <c r="N752" t="s">
        <v>3083</v>
      </c>
      <c r="O752" s="2" t="s">
        <v>66</v>
      </c>
    </row>
    <row r="753" spans="1:15">
      <c r="A753" t="s">
        <v>383</v>
      </c>
      <c r="B753" t="s">
        <v>66</v>
      </c>
      <c r="C753" s="2" t="s">
        <v>891</v>
      </c>
      <c r="E753" s="2" t="str">
        <f t="shared" si="34"/>
        <v>Wahbi</v>
      </c>
      <c r="F753" s="2" t="str">
        <f t="shared" si="35"/>
        <v>Khazri</v>
      </c>
      <c r="H753" s="2" t="str">
        <f t="shared" si="33"/>
        <v>W</v>
      </c>
      <c r="I753" s="2" t="s">
        <v>3084</v>
      </c>
      <c r="K753" s="2" t="s">
        <v>2241</v>
      </c>
      <c r="L753" t="s">
        <v>2242</v>
      </c>
      <c r="M753" s="2" t="s">
        <v>891</v>
      </c>
      <c r="N753" t="s">
        <v>3084</v>
      </c>
      <c r="O753" s="2" t="s">
        <v>66</v>
      </c>
    </row>
    <row r="754" spans="1:15">
      <c r="A754" t="s">
        <v>384</v>
      </c>
      <c r="B754" t="s">
        <v>66</v>
      </c>
      <c r="C754" s="2" t="s">
        <v>891</v>
      </c>
      <c r="E754" s="2" t="str">
        <f t="shared" si="34"/>
        <v>Taha</v>
      </c>
      <c r="F754" s="2" t="str">
        <f t="shared" si="35"/>
        <v>Yassine Khenissi</v>
      </c>
      <c r="H754" s="2" t="str">
        <f t="shared" si="33"/>
        <v>T</v>
      </c>
      <c r="I754" s="2" t="s">
        <v>3085</v>
      </c>
      <c r="K754" s="2" t="s">
        <v>2243</v>
      </c>
      <c r="L754" t="s">
        <v>2244</v>
      </c>
      <c r="M754" s="2" t="s">
        <v>891</v>
      </c>
      <c r="N754" t="s">
        <v>3085</v>
      </c>
      <c r="O754" s="2" t="s">
        <v>66</v>
      </c>
    </row>
    <row r="755" spans="1:15">
      <c r="A755" t="s">
        <v>385</v>
      </c>
      <c r="B755" t="s">
        <v>66</v>
      </c>
      <c r="C755" s="2" t="s">
        <v>891</v>
      </c>
      <c r="E755" s="2" t="str">
        <f t="shared" si="34"/>
        <v>Seifeddine</v>
      </c>
      <c r="F755" s="2" t="str">
        <f t="shared" si="35"/>
        <v>Jaziri</v>
      </c>
      <c r="H755" s="2" t="str">
        <f t="shared" si="33"/>
        <v>S</v>
      </c>
      <c r="I755" s="2" t="s">
        <v>3086</v>
      </c>
      <c r="K755" s="2" t="s">
        <v>2245</v>
      </c>
      <c r="L755" t="s">
        <v>2246</v>
      </c>
      <c r="M755" s="2" t="s">
        <v>891</v>
      </c>
      <c r="N755" t="s">
        <v>3086</v>
      </c>
      <c r="O755" s="2" t="s">
        <v>66</v>
      </c>
    </row>
    <row r="756" spans="1:15">
      <c r="A756" t="s">
        <v>386</v>
      </c>
      <c r="B756" t="s">
        <v>44</v>
      </c>
      <c r="C756" s="2" t="s">
        <v>892</v>
      </c>
      <c r="E756" s="2" t="str">
        <f t="shared" si="34"/>
        <v>Matt</v>
      </c>
      <c r="F756" s="2" t="str">
        <f t="shared" si="35"/>
        <v>Turner</v>
      </c>
      <c r="H756" s="2" t="str">
        <f t="shared" si="33"/>
        <v>M</v>
      </c>
      <c r="I756" s="2" t="s">
        <v>3087</v>
      </c>
      <c r="K756" s="2" t="s">
        <v>2247</v>
      </c>
      <c r="L756" t="s">
        <v>2248</v>
      </c>
      <c r="M756" s="2" t="s">
        <v>892</v>
      </c>
      <c r="N756" t="s">
        <v>3087</v>
      </c>
      <c r="O756" s="2" t="s">
        <v>44</v>
      </c>
    </row>
    <row r="757" spans="1:15">
      <c r="A757" t="s">
        <v>387</v>
      </c>
      <c r="B757" t="s">
        <v>44</v>
      </c>
      <c r="C757" s="2" t="s">
        <v>892</v>
      </c>
      <c r="E757" s="2" t="str">
        <f t="shared" si="34"/>
        <v>Ethan</v>
      </c>
      <c r="F757" s="2" t="str">
        <f t="shared" si="35"/>
        <v>Horvath</v>
      </c>
      <c r="H757" s="2" t="str">
        <f t="shared" si="33"/>
        <v>E</v>
      </c>
      <c r="I757" s="2" t="s">
        <v>3088</v>
      </c>
      <c r="K757" s="2" t="s">
        <v>2249</v>
      </c>
      <c r="L757" t="s">
        <v>2250</v>
      </c>
      <c r="M757" s="2" t="s">
        <v>892</v>
      </c>
      <c r="N757" t="s">
        <v>3088</v>
      </c>
      <c r="O757" s="2" t="s">
        <v>44</v>
      </c>
    </row>
    <row r="758" spans="1:15">
      <c r="A758" t="s">
        <v>388</v>
      </c>
      <c r="B758" t="s">
        <v>44</v>
      </c>
      <c r="C758" s="2" t="s">
        <v>892</v>
      </c>
      <c r="E758" s="2" t="str">
        <f t="shared" si="34"/>
        <v>Sean</v>
      </c>
      <c r="F758" s="2" t="str">
        <f t="shared" si="35"/>
        <v>Johnson</v>
      </c>
      <c r="H758" s="2" t="str">
        <f t="shared" si="33"/>
        <v>S</v>
      </c>
      <c r="I758" s="2" t="s">
        <v>3089</v>
      </c>
      <c r="K758" s="2" t="s">
        <v>2251</v>
      </c>
      <c r="L758" t="s">
        <v>2252</v>
      </c>
      <c r="M758" s="2" t="s">
        <v>892</v>
      </c>
      <c r="N758" t="s">
        <v>3089</v>
      </c>
      <c r="O758" s="2" t="s">
        <v>44</v>
      </c>
    </row>
    <row r="759" spans="1:15">
      <c r="A759" t="s">
        <v>389</v>
      </c>
      <c r="B759" t="s">
        <v>48</v>
      </c>
      <c r="C759" t="s">
        <v>892</v>
      </c>
      <c r="E759" s="2" t="str">
        <f t="shared" si="34"/>
        <v>Sergiño</v>
      </c>
      <c r="F759" s="2" t="str">
        <f t="shared" si="35"/>
        <v>Dest</v>
      </c>
      <c r="H759" s="2" t="str">
        <f t="shared" si="33"/>
        <v>S</v>
      </c>
      <c r="I759" s="2" t="s">
        <v>3090</v>
      </c>
      <c r="K759" s="2" t="s">
        <v>2253</v>
      </c>
      <c r="L759" t="s">
        <v>2254</v>
      </c>
      <c r="M759" s="2" t="s">
        <v>892</v>
      </c>
      <c r="N759" t="s">
        <v>3090</v>
      </c>
      <c r="O759" s="2" t="s">
        <v>48</v>
      </c>
    </row>
    <row r="760" spans="1:15">
      <c r="A760" t="s">
        <v>390</v>
      </c>
      <c r="B760" t="s">
        <v>48</v>
      </c>
      <c r="C760" t="s">
        <v>892</v>
      </c>
      <c r="E760" s="2" t="str">
        <f t="shared" si="34"/>
        <v>Walker</v>
      </c>
      <c r="F760" s="2" t="str">
        <f t="shared" si="35"/>
        <v>Zimmerman</v>
      </c>
      <c r="H760" s="2" t="str">
        <f t="shared" si="33"/>
        <v>W</v>
      </c>
      <c r="I760" s="2" t="s">
        <v>3091</v>
      </c>
      <c r="K760" s="2" t="s">
        <v>1452</v>
      </c>
      <c r="L760" t="s">
        <v>2255</v>
      </c>
      <c r="M760" s="2" t="s">
        <v>892</v>
      </c>
      <c r="N760" t="s">
        <v>3091</v>
      </c>
      <c r="O760" s="2" t="s">
        <v>48</v>
      </c>
    </row>
    <row r="761" spans="1:15">
      <c r="A761" t="s">
        <v>391</v>
      </c>
      <c r="B761" t="s">
        <v>48</v>
      </c>
      <c r="C761" s="2" t="s">
        <v>892</v>
      </c>
      <c r="E761" s="2" t="str">
        <f t="shared" si="34"/>
        <v>Antonee</v>
      </c>
      <c r="F761" s="2" t="str">
        <f t="shared" si="35"/>
        <v>Robinson</v>
      </c>
      <c r="H761" s="2" t="str">
        <f t="shared" si="33"/>
        <v>A</v>
      </c>
      <c r="I761" s="2" t="s">
        <v>3092</v>
      </c>
      <c r="K761" s="2" t="s">
        <v>2256</v>
      </c>
      <c r="L761" t="s">
        <v>2257</v>
      </c>
      <c r="M761" s="2" t="s">
        <v>892</v>
      </c>
      <c r="N761" t="s">
        <v>3092</v>
      </c>
      <c r="O761" s="2" t="s">
        <v>48</v>
      </c>
    </row>
    <row r="762" spans="1:15">
      <c r="A762" t="s">
        <v>392</v>
      </c>
      <c r="B762" t="s">
        <v>48</v>
      </c>
      <c r="C762" s="2" t="s">
        <v>892</v>
      </c>
      <c r="E762" s="2" t="str">
        <f t="shared" si="34"/>
        <v>Tim</v>
      </c>
      <c r="F762" s="2" t="str">
        <f t="shared" si="35"/>
        <v>Ream</v>
      </c>
      <c r="H762" s="2" t="str">
        <f t="shared" si="33"/>
        <v>T</v>
      </c>
      <c r="I762" s="2" t="s">
        <v>3093</v>
      </c>
      <c r="K762" s="2" t="s">
        <v>2258</v>
      </c>
      <c r="L762" t="s">
        <v>2259</v>
      </c>
      <c r="M762" s="2" t="s">
        <v>892</v>
      </c>
      <c r="N762" t="s">
        <v>3093</v>
      </c>
      <c r="O762" s="2" t="s">
        <v>48</v>
      </c>
    </row>
    <row r="763" spans="1:15">
      <c r="A763" t="s">
        <v>393</v>
      </c>
      <c r="B763" t="s">
        <v>48</v>
      </c>
      <c r="C763" s="2" t="s">
        <v>892</v>
      </c>
      <c r="E763" s="2" t="str">
        <f t="shared" si="34"/>
        <v>Aaron</v>
      </c>
      <c r="F763" s="2" t="str">
        <f t="shared" si="35"/>
        <v>Long</v>
      </c>
      <c r="H763" s="2" t="str">
        <f t="shared" si="33"/>
        <v>A</v>
      </c>
      <c r="I763" s="2" t="s">
        <v>3094</v>
      </c>
      <c r="K763" s="2" t="s">
        <v>1088</v>
      </c>
      <c r="L763" t="s">
        <v>2260</v>
      </c>
      <c r="M763" s="2" t="s">
        <v>892</v>
      </c>
      <c r="N763" t="s">
        <v>3094</v>
      </c>
      <c r="O763" s="2" t="s">
        <v>48</v>
      </c>
    </row>
    <row r="764" spans="1:15">
      <c r="A764" t="s">
        <v>394</v>
      </c>
      <c r="B764" t="s">
        <v>48</v>
      </c>
      <c r="C764" s="2" t="s">
        <v>892</v>
      </c>
      <c r="E764" s="2" t="str">
        <f t="shared" si="34"/>
        <v>Shaq</v>
      </c>
      <c r="F764" s="2" t="str">
        <f t="shared" si="35"/>
        <v>Moore</v>
      </c>
      <c r="H764" s="2" t="str">
        <f t="shared" si="33"/>
        <v>S</v>
      </c>
      <c r="I764" s="2" t="s">
        <v>3095</v>
      </c>
      <c r="K764" s="2" t="s">
        <v>2261</v>
      </c>
      <c r="L764" t="s">
        <v>2262</v>
      </c>
      <c r="M764" s="2" t="s">
        <v>892</v>
      </c>
      <c r="N764" t="s">
        <v>3095</v>
      </c>
      <c r="O764" s="2" t="s">
        <v>48</v>
      </c>
    </row>
    <row r="765" spans="1:15">
      <c r="A765" t="s">
        <v>395</v>
      </c>
      <c r="B765" t="s">
        <v>48</v>
      </c>
      <c r="C765" s="2" t="s">
        <v>892</v>
      </c>
      <c r="E765" s="2" t="str">
        <f t="shared" si="34"/>
        <v>Cameron</v>
      </c>
      <c r="F765" s="2" t="str">
        <f t="shared" si="35"/>
        <v>Carter-Vickers</v>
      </c>
      <c r="H765" s="2" t="str">
        <f t="shared" si="33"/>
        <v>C</v>
      </c>
      <c r="I765" s="2" t="s">
        <v>3096</v>
      </c>
      <c r="K765" s="2" t="s">
        <v>1092</v>
      </c>
      <c r="L765" t="s">
        <v>2263</v>
      </c>
      <c r="M765" s="2" t="s">
        <v>892</v>
      </c>
      <c r="N765" t="s">
        <v>3096</v>
      </c>
      <c r="O765" s="2" t="s">
        <v>48</v>
      </c>
    </row>
    <row r="766" spans="1:15">
      <c r="A766" t="s">
        <v>396</v>
      </c>
      <c r="B766" t="s">
        <v>48</v>
      </c>
      <c r="C766" s="2" t="s">
        <v>892</v>
      </c>
      <c r="E766" s="2" t="str">
        <f t="shared" si="34"/>
        <v>DeAndre</v>
      </c>
      <c r="F766" s="2" t="str">
        <f t="shared" si="35"/>
        <v>Yedlin</v>
      </c>
      <c r="H766" s="2" t="str">
        <f t="shared" si="33"/>
        <v>D</v>
      </c>
      <c r="I766" s="2" t="s">
        <v>3097</v>
      </c>
      <c r="K766" s="2" t="s">
        <v>2264</v>
      </c>
      <c r="L766" t="s">
        <v>2265</v>
      </c>
      <c r="M766" s="2" t="s">
        <v>892</v>
      </c>
      <c r="N766" t="s">
        <v>3097</v>
      </c>
      <c r="O766" s="2" t="s">
        <v>48</v>
      </c>
    </row>
    <row r="767" spans="1:15">
      <c r="A767" t="s">
        <v>397</v>
      </c>
      <c r="B767" t="s">
        <v>48</v>
      </c>
      <c r="C767" s="2" t="s">
        <v>892</v>
      </c>
      <c r="E767" s="2" t="str">
        <f t="shared" si="34"/>
        <v>Joe</v>
      </c>
      <c r="F767" s="2" t="str">
        <f t="shared" si="35"/>
        <v>Scally</v>
      </c>
      <c r="H767" s="2" t="str">
        <f t="shared" si="33"/>
        <v>J</v>
      </c>
      <c r="I767" s="2" t="s">
        <v>3098</v>
      </c>
      <c r="K767" s="2" t="s">
        <v>2266</v>
      </c>
      <c r="L767" t="s">
        <v>2267</v>
      </c>
      <c r="M767" s="2" t="s">
        <v>892</v>
      </c>
      <c r="N767" t="s">
        <v>3098</v>
      </c>
      <c r="O767" s="2" t="s">
        <v>48</v>
      </c>
    </row>
    <row r="768" spans="1:15">
      <c r="A768" t="s">
        <v>398</v>
      </c>
      <c r="B768" t="s">
        <v>57</v>
      </c>
      <c r="C768" s="2" t="s">
        <v>892</v>
      </c>
      <c r="E768" s="2" t="str">
        <f t="shared" si="34"/>
        <v>Tyler</v>
      </c>
      <c r="F768" s="2" t="str">
        <f t="shared" si="35"/>
        <v>Adams</v>
      </c>
      <c r="H768" s="2" t="str">
        <f t="shared" si="33"/>
        <v>T</v>
      </c>
      <c r="I768" s="2" t="s">
        <v>3099</v>
      </c>
      <c r="K768" s="2" t="s">
        <v>2268</v>
      </c>
      <c r="L768" t="s">
        <v>2269</v>
      </c>
      <c r="M768" s="2" t="s">
        <v>892</v>
      </c>
      <c r="N768" t="s">
        <v>3099</v>
      </c>
      <c r="O768" s="2" t="s">
        <v>57</v>
      </c>
    </row>
    <row r="769" spans="1:15">
      <c r="A769" t="s">
        <v>399</v>
      </c>
      <c r="B769" t="s">
        <v>57</v>
      </c>
      <c r="C769" s="2" t="s">
        <v>892</v>
      </c>
      <c r="E769" s="2" t="str">
        <f t="shared" si="34"/>
        <v>Yunus</v>
      </c>
      <c r="F769" s="2" t="str">
        <f t="shared" si="35"/>
        <v>Musah</v>
      </c>
      <c r="H769" s="2" t="str">
        <f t="shared" si="33"/>
        <v>Y</v>
      </c>
      <c r="I769" s="2" t="s">
        <v>3100</v>
      </c>
      <c r="K769" s="2" t="s">
        <v>2270</v>
      </c>
      <c r="L769" t="s">
        <v>2271</v>
      </c>
      <c r="M769" s="2" t="s">
        <v>892</v>
      </c>
      <c r="N769" t="s">
        <v>3100</v>
      </c>
      <c r="O769" s="2" t="s">
        <v>57</v>
      </c>
    </row>
    <row r="770" spans="1:15">
      <c r="A770" t="s">
        <v>400</v>
      </c>
      <c r="B770" t="s">
        <v>57</v>
      </c>
      <c r="C770" s="2" t="s">
        <v>892</v>
      </c>
      <c r="E770" s="2" t="str">
        <f t="shared" si="34"/>
        <v>Giovanni</v>
      </c>
      <c r="F770" s="2" t="str">
        <f t="shared" si="35"/>
        <v>Reyna</v>
      </c>
      <c r="H770" s="2" t="str">
        <f t="shared" si="33"/>
        <v>G</v>
      </c>
      <c r="I770" s="2" t="s">
        <v>3101</v>
      </c>
      <c r="K770" s="2" t="s">
        <v>2272</v>
      </c>
      <c r="L770" t="s">
        <v>2273</v>
      </c>
      <c r="M770" s="2" t="s">
        <v>892</v>
      </c>
      <c r="N770" t="s">
        <v>3101</v>
      </c>
      <c r="O770" s="2" t="s">
        <v>57</v>
      </c>
    </row>
    <row r="771" spans="1:15">
      <c r="A771" t="s">
        <v>401</v>
      </c>
      <c r="B771" t="s">
        <v>57</v>
      </c>
      <c r="C771" s="2" t="s">
        <v>892</v>
      </c>
      <c r="E771" s="2" t="str">
        <f t="shared" si="34"/>
        <v>Weston</v>
      </c>
      <c r="F771" s="2" t="str">
        <f t="shared" si="35"/>
        <v>McKennie</v>
      </c>
      <c r="H771" s="2" t="str">
        <f t="shared" ref="H771:H833" si="36">LEFT(E771,1)</f>
        <v>W</v>
      </c>
      <c r="I771" s="2" t="s">
        <v>3102</v>
      </c>
      <c r="K771" s="2" t="s">
        <v>2274</v>
      </c>
      <c r="L771" t="s">
        <v>2275</v>
      </c>
      <c r="M771" s="2" t="s">
        <v>892</v>
      </c>
      <c r="N771" t="s">
        <v>3102</v>
      </c>
      <c r="O771" s="2" t="s">
        <v>57</v>
      </c>
    </row>
    <row r="772" spans="1:15">
      <c r="A772" t="s">
        <v>402</v>
      </c>
      <c r="B772" t="s">
        <v>57</v>
      </c>
      <c r="C772" s="2" t="s">
        <v>892</v>
      </c>
      <c r="E772" s="2" t="str">
        <f t="shared" ref="E772:E833" si="37">IF(ISERROR(FIND(" ",A772)),"", LEFT(A772,FIND(" ",A772)-1))</f>
        <v>Christian</v>
      </c>
      <c r="F772" s="2" t="str">
        <f t="shared" ref="F772:F833" si="38">IF(ISERROR(FIND(" ",A772)),A772,RIGHT(A772,LEN(A772)-FIND(" ",A772)))</f>
        <v>Pulisic</v>
      </c>
      <c r="H772" s="2" t="str">
        <f t="shared" si="36"/>
        <v>C</v>
      </c>
      <c r="I772" s="2" t="s">
        <v>3103</v>
      </c>
      <c r="K772" s="2" t="s">
        <v>1219</v>
      </c>
      <c r="L772" t="s">
        <v>2276</v>
      </c>
      <c r="M772" s="2" t="s">
        <v>892</v>
      </c>
      <c r="N772" t="s">
        <v>3103</v>
      </c>
      <c r="O772" s="2" t="s">
        <v>57</v>
      </c>
    </row>
    <row r="773" spans="1:15">
      <c r="A773" t="s">
        <v>403</v>
      </c>
      <c r="B773" t="s">
        <v>57</v>
      </c>
      <c r="C773" s="2" t="s">
        <v>892</v>
      </c>
      <c r="E773" s="2" t="str">
        <f t="shared" si="37"/>
        <v>Brenden</v>
      </c>
      <c r="F773" s="2" t="str">
        <f t="shared" si="38"/>
        <v>Aaronson</v>
      </c>
      <c r="H773" s="2" t="str">
        <f t="shared" si="36"/>
        <v>B</v>
      </c>
      <c r="I773" s="2" t="s">
        <v>3104</v>
      </c>
      <c r="K773" s="2" t="s">
        <v>2277</v>
      </c>
      <c r="L773" t="s">
        <v>2278</v>
      </c>
      <c r="M773" s="2" t="s">
        <v>892</v>
      </c>
      <c r="N773" t="s">
        <v>3104</v>
      </c>
      <c r="O773" s="2" t="s">
        <v>57</v>
      </c>
    </row>
    <row r="774" spans="1:15">
      <c r="A774" t="s">
        <v>404</v>
      </c>
      <c r="B774" t="s">
        <v>57</v>
      </c>
      <c r="C774" s="2" t="s">
        <v>892</v>
      </c>
      <c r="E774" s="2" t="str">
        <f t="shared" si="37"/>
        <v>Luca</v>
      </c>
      <c r="F774" s="2" t="str">
        <f t="shared" si="38"/>
        <v>de la Torre</v>
      </c>
      <c r="H774" s="2" t="str">
        <f t="shared" si="36"/>
        <v>L</v>
      </c>
      <c r="I774" s="2" t="s">
        <v>3105</v>
      </c>
      <c r="K774" s="2" t="s">
        <v>2279</v>
      </c>
      <c r="L774" t="s">
        <v>2280</v>
      </c>
      <c r="M774" s="2" t="s">
        <v>892</v>
      </c>
      <c r="N774" t="s">
        <v>3105</v>
      </c>
      <c r="O774" s="2" t="s">
        <v>57</v>
      </c>
    </row>
    <row r="775" spans="1:15">
      <c r="A775" t="s">
        <v>405</v>
      </c>
      <c r="B775" t="s">
        <v>57</v>
      </c>
      <c r="C775" s="2" t="s">
        <v>892</v>
      </c>
      <c r="E775" s="2" t="str">
        <f t="shared" si="37"/>
        <v>Cristian</v>
      </c>
      <c r="F775" s="2" t="str">
        <f t="shared" si="38"/>
        <v>Roldan</v>
      </c>
      <c r="H775" s="2" t="str">
        <f t="shared" si="36"/>
        <v>C</v>
      </c>
      <c r="I775" s="2" t="s">
        <v>3106</v>
      </c>
      <c r="K775" s="2" t="s">
        <v>1028</v>
      </c>
      <c r="L775" t="s">
        <v>2281</v>
      </c>
      <c r="M775" s="2" t="s">
        <v>892</v>
      </c>
      <c r="N775" t="s">
        <v>3106</v>
      </c>
      <c r="O775" s="2" t="s">
        <v>57</v>
      </c>
    </row>
    <row r="776" spans="1:15">
      <c r="A776" t="s">
        <v>406</v>
      </c>
      <c r="B776" t="s">
        <v>57</v>
      </c>
      <c r="C776" s="2" t="s">
        <v>892</v>
      </c>
      <c r="E776" s="2" t="str">
        <f t="shared" si="37"/>
        <v>Kellyn</v>
      </c>
      <c r="F776" s="2" t="str">
        <f t="shared" si="38"/>
        <v>Acosta</v>
      </c>
      <c r="H776" s="2" t="str">
        <f t="shared" si="36"/>
        <v>K</v>
      </c>
      <c r="I776" s="2" t="s">
        <v>3107</v>
      </c>
      <c r="K776" s="2" t="s">
        <v>2282</v>
      </c>
      <c r="L776" t="s">
        <v>2283</v>
      </c>
      <c r="M776" s="2" t="s">
        <v>892</v>
      </c>
      <c r="N776" t="s">
        <v>3107</v>
      </c>
      <c r="O776" s="2" t="s">
        <v>57</v>
      </c>
    </row>
    <row r="777" spans="1:15">
      <c r="A777" t="s">
        <v>407</v>
      </c>
      <c r="B777" t="s">
        <v>66</v>
      </c>
      <c r="C777" s="2" t="s">
        <v>892</v>
      </c>
      <c r="E777" s="2" t="str">
        <f t="shared" si="37"/>
        <v>Jesús</v>
      </c>
      <c r="F777" s="2" t="str">
        <f t="shared" si="38"/>
        <v>Ferreira</v>
      </c>
      <c r="H777" s="2" t="str">
        <f t="shared" si="36"/>
        <v>J</v>
      </c>
      <c r="I777" s="2" t="s">
        <v>3108</v>
      </c>
      <c r="K777" s="2" t="s">
        <v>1731</v>
      </c>
      <c r="L777" t="s">
        <v>2284</v>
      </c>
      <c r="M777" s="2" t="s">
        <v>892</v>
      </c>
      <c r="N777" t="s">
        <v>3108</v>
      </c>
      <c r="O777" s="2" t="s">
        <v>66</v>
      </c>
    </row>
    <row r="778" spans="1:15">
      <c r="A778" t="s">
        <v>408</v>
      </c>
      <c r="B778" t="s">
        <v>66</v>
      </c>
      <c r="C778" s="2" t="s">
        <v>892</v>
      </c>
      <c r="E778" s="2" t="str">
        <f t="shared" si="37"/>
        <v>Jordan</v>
      </c>
      <c r="F778" s="2" t="str">
        <f t="shared" si="38"/>
        <v>Morris</v>
      </c>
      <c r="H778" s="2" t="str">
        <f t="shared" si="36"/>
        <v>J</v>
      </c>
      <c r="I778" s="2" t="s">
        <v>3109</v>
      </c>
      <c r="K778" s="2" t="s">
        <v>1446</v>
      </c>
      <c r="L778" t="s">
        <v>2285</v>
      </c>
      <c r="M778" s="2" t="s">
        <v>892</v>
      </c>
      <c r="N778" t="s">
        <v>3109</v>
      </c>
      <c r="O778" s="2" t="s">
        <v>66</v>
      </c>
    </row>
    <row r="779" spans="1:15">
      <c r="A779" t="s">
        <v>409</v>
      </c>
      <c r="B779" t="s">
        <v>66</v>
      </c>
      <c r="C779" s="2" t="s">
        <v>892</v>
      </c>
      <c r="E779" s="2" t="str">
        <f t="shared" si="37"/>
        <v>Haji</v>
      </c>
      <c r="F779" s="2" t="str">
        <f t="shared" si="38"/>
        <v>Wright</v>
      </c>
      <c r="H779" s="2" t="str">
        <f t="shared" si="36"/>
        <v>H</v>
      </c>
      <c r="I779" s="2" t="s">
        <v>3110</v>
      </c>
      <c r="K779" s="2" t="s">
        <v>2286</v>
      </c>
      <c r="L779" t="s">
        <v>1075</v>
      </c>
      <c r="M779" s="2" t="s">
        <v>892</v>
      </c>
      <c r="N779" t="s">
        <v>3110</v>
      </c>
      <c r="O779" s="2" t="s">
        <v>66</v>
      </c>
    </row>
    <row r="780" spans="1:15">
      <c r="A780" t="s">
        <v>410</v>
      </c>
      <c r="B780" t="s">
        <v>66</v>
      </c>
      <c r="C780" s="2" t="s">
        <v>892</v>
      </c>
      <c r="E780" s="2" t="str">
        <f t="shared" si="37"/>
        <v>Timothy</v>
      </c>
      <c r="F780" s="2" t="str">
        <f t="shared" si="38"/>
        <v>Weah</v>
      </c>
      <c r="H780" s="2" t="str">
        <f t="shared" si="36"/>
        <v>T</v>
      </c>
      <c r="I780" s="2" t="s">
        <v>931</v>
      </c>
      <c r="K780" s="2" t="s">
        <v>1126</v>
      </c>
      <c r="L780" t="s">
        <v>2287</v>
      </c>
      <c r="M780" s="2" t="s">
        <v>892</v>
      </c>
      <c r="N780" t="s">
        <v>931</v>
      </c>
      <c r="O780" s="2" t="s">
        <v>66</v>
      </c>
    </row>
    <row r="781" spans="1:15">
      <c r="A781" t="s">
        <v>411</v>
      </c>
      <c r="B781" t="s">
        <v>66</v>
      </c>
      <c r="C781" s="2" t="s">
        <v>892</v>
      </c>
      <c r="E781" s="2" t="str">
        <f t="shared" si="37"/>
        <v>Josh</v>
      </c>
      <c r="F781" s="2" t="str">
        <f t="shared" si="38"/>
        <v>Sargent</v>
      </c>
      <c r="H781" s="2" t="str">
        <f t="shared" si="36"/>
        <v>J</v>
      </c>
      <c r="I781" s="2" t="s">
        <v>3111</v>
      </c>
      <c r="K781" s="2" t="s">
        <v>2288</v>
      </c>
      <c r="L781" t="s">
        <v>2289</v>
      </c>
      <c r="M781" s="2" t="s">
        <v>892</v>
      </c>
      <c r="N781" t="s">
        <v>3111</v>
      </c>
      <c r="O781" s="2" t="s">
        <v>66</v>
      </c>
    </row>
    <row r="782" spans="1:15">
      <c r="A782" t="s">
        <v>412</v>
      </c>
      <c r="B782" t="s">
        <v>44</v>
      </c>
      <c r="C782" s="2" t="s">
        <v>893</v>
      </c>
      <c r="E782" s="2" t="str">
        <f t="shared" si="37"/>
        <v>Fernando</v>
      </c>
      <c r="F782" s="2" t="str">
        <f t="shared" si="38"/>
        <v>Muslera</v>
      </c>
      <c r="H782" s="2" t="str">
        <f t="shared" si="36"/>
        <v>F</v>
      </c>
      <c r="I782" s="2" t="s">
        <v>3112</v>
      </c>
      <c r="K782" s="2" t="s">
        <v>2290</v>
      </c>
      <c r="L782" t="s">
        <v>2291</v>
      </c>
      <c r="M782" s="2" t="s">
        <v>893</v>
      </c>
      <c r="N782" t="s">
        <v>3112</v>
      </c>
      <c r="O782" s="2" t="s">
        <v>44</v>
      </c>
    </row>
    <row r="783" spans="1:15">
      <c r="A783" t="s">
        <v>413</v>
      </c>
      <c r="B783" t="s">
        <v>44</v>
      </c>
      <c r="C783" s="2" t="s">
        <v>893</v>
      </c>
      <c r="E783" s="2" t="str">
        <f t="shared" si="37"/>
        <v>Sebastián</v>
      </c>
      <c r="F783" s="2" t="str">
        <f t="shared" si="38"/>
        <v>Sosa</v>
      </c>
      <c r="H783" s="2" t="str">
        <f t="shared" si="36"/>
        <v>S</v>
      </c>
      <c r="I783" s="2" t="s">
        <v>3113</v>
      </c>
      <c r="K783" s="2" t="s">
        <v>2292</v>
      </c>
      <c r="L783" t="s">
        <v>1333</v>
      </c>
      <c r="M783" s="2" t="s">
        <v>893</v>
      </c>
      <c r="N783" t="s">
        <v>3113</v>
      </c>
      <c r="O783" s="2" t="s">
        <v>44</v>
      </c>
    </row>
    <row r="784" spans="1:15">
      <c r="A784" t="s">
        <v>414</v>
      </c>
      <c r="B784" t="s">
        <v>44</v>
      </c>
      <c r="C784" s="2" t="s">
        <v>893</v>
      </c>
      <c r="E784" s="2" t="str">
        <f t="shared" si="37"/>
        <v>Sergio</v>
      </c>
      <c r="F784" s="2" t="str">
        <f t="shared" si="38"/>
        <v>Rochet</v>
      </c>
      <c r="H784" s="2" t="str">
        <f t="shared" si="36"/>
        <v>S</v>
      </c>
      <c r="I784" s="2" t="s">
        <v>3114</v>
      </c>
      <c r="K784" s="2" t="s">
        <v>2146</v>
      </c>
      <c r="L784" t="s">
        <v>2293</v>
      </c>
      <c r="M784" s="2" t="s">
        <v>893</v>
      </c>
      <c r="N784" t="s">
        <v>3114</v>
      </c>
      <c r="O784" s="2" t="s">
        <v>44</v>
      </c>
    </row>
    <row r="785" spans="1:15">
      <c r="A785" t="s">
        <v>415</v>
      </c>
      <c r="B785" t="s">
        <v>48</v>
      </c>
      <c r="C785" s="2" t="s">
        <v>893</v>
      </c>
      <c r="E785" s="2" t="str">
        <f t="shared" si="37"/>
        <v>José</v>
      </c>
      <c r="F785" s="2" t="str">
        <f t="shared" si="38"/>
        <v>Maria Giménez</v>
      </c>
      <c r="H785" s="2" t="str">
        <f t="shared" si="36"/>
        <v>J</v>
      </c>
      <c r="I785" s="2" t="s">
        <v>3115</v>
      </c>
      <c r="K785" s="2" t="s">
        <v>1426</v>
      </c>
      <c r="L785" t="s">
        <v>2294</v>
      </c>
      <c r="M785" s="2" t="s">
        <v>893</v>
      </c>
      <c r="N785" t="s">
        <v>3115</v>
      </c>
      <c r="O785" s="2" t="s">
        <v>48</v>
      </c>
    </row>
    <row r="786" spans="1:15">
      <c r="A786" t="s">
        <v>416</v>
      </c>
      <c r="B786" t="s">
        <v>48</v>
      </c>
      <c r="C786" t="s">
        <v>893</v>
      </c>
      <c r="E786" s="2" t="str">
        <f t="shared" si="37"/>
        <v>Diego</v>
      </c>
      <c r="F786" s="2" t="str">
        <f t="shared" si="38"/>
        <v>Godín</v>
      </c>
      <c r="H786" s="2" t="str">
        <f t="shared" si="36"/>
        <v>D</v>
      </c>
      <c r="I786" s="2" t="s">
        <v>3116</v>
      </c>
      <c r="K786" s="2" t="s">
        <v>1424</v>
      </c>
      <c r="L786" t="s">
        <v>2295</v>
      </c>
      <c r="M786" s="2" t="s">
        <v>893</v>
      </c>
      <c r="N786" t="s">
        <v>3116</v>
      </c>
      <c r="O786" s="2" t="s">
        <v>48</v>
      </c>
    </row>
    <row r="787" spans="1:15">
      <c r="A787" t="s">
        <v>417</v>
      </c>
      <c r="B787" t="s">
        <v>48</v>
      </c>
      <c r="C787" t="s">
        <v>893</v>
      </c>
      <c r="E787" s="2" t="str">
        <f t="shared" si="37"/>
        <v>Ronald</v>
      </c>
      <c r="F787" s="2" t="str">
        <f t="shared" si="38"/>
        <v>Araújo</v>
      </c>
      <c r="H787" s="2" t="str">
        <f t="shared" si="36"/>
        <v>R</v>
      </c>
      <c r="I787" s="2" t="s">
        <v>3117</v>
      </c>
      <c r="K787" s="2" t="s">
        <v>2296</v>
      </c>
      <c r="L787" t="s">
        <v>2297</v>
      </c>
      <c r="M787" s="2" t="s">
        <v>893</v>
      </c>
      <c r="N787" t="s">
        <v>3117</v>
      </c>
      <c r="O787" s="2" t="s">
        <v>48</v>
      </c>
    </row>
    <row r="788" spans="1:15">
      <c r="A788" t="s">
        <v>418</v>
      </c>
      <c r="B788" t="s">
        <v>48</v>
      </c>
      <c r="C788" s="2" t="s">
        <v>893</v>
      </c>
      <c r="E788" s="2" t="str">
        <f t="shared" si="37"/>
        <v>Gullermo</v>
      </c>
      <c r="F788" s="2" t="str">
        <f t="shared" si="38"/>
        <v>Varela</v>
      </c>
      <c r="H788" s="2" t="str">
        <f t="shared" si="36"/>
        <v>G</v>
      </c>
      <c r="I788" s="2" t="s">
        <v>3118</v>
      </c>
      <c r="K788" s="2" t="s">
        <v>2298</v>
      </c>
      <c r="L788" t="s">
        <v>2299</v>
      </c>
      <c r="M788" s="2" t="s">
        <v>893</v>
      </c>
      <c r="N788" t="s">
        <v>3118</v>
      </c>
      <c r="O788" s="2" t="s">
        <v>48</v>
      </c>
    </row>
    <row r="789" spans="1:15">
      <c r="A789" t="s">
        <v>419</v>
      </c>
      <c r="B789" t="s">
        <v>48</v>
      </c>
      <c r="C789" s="2" t="s">
        <v>893</v>
      </c>
      <c r="E789" s="2" t="str">
        <f t="shared" si="37"/>
        <v>Mathías</v>
      </c>
      <c r="F789" s="2" t="str">
        <f t="shared" si="38"/>
        <v>Olivera</v>
      </c>
      <c r="H789" s="2" t="str">
        <f t="shared" si="36"/>
        <v>M</v>
      </c>
      <c r="I789" s="2" t="s">
        <v>3119</v>
      </c>
      <c r="K789" s="2" t="s">
        <v>2300</v>
      </c>
      <c r="L789" t="s">
        <v>2301</v>
      </c>
      <c r="M789" s="2" t="s">
        <v>893</v>
      </c>
      <c r="N789" t="s">
        <v>3119</v>
      </c>
      <c r="O789" s="2" t="s">
        <v>48</v>
      </c>
    </row>
    <row r="790" spans="1:15">
      <c r="A790" t="s">
        <v>420</v>
      </c>
      <c r="B790" t="s">
        <v>48</v>
      </c>
      <c r="C790" s="2" t="s">
        <v>893</v>
      </c>
      <c r="E790" s="2" t="str">
        <f t="shared" si="37"/>
        <v>Matías</v>
      </c>
      <c r="F790" s="2" t="str">
        <f t="shared" si="38"/>
        <v>Viña</v>
      </c>
      <c r="H790" s="2" t="str">
        <f t="shared" si="36"/>
        <v>M</v>
      </c>
      <c r="I790" s="2" t="s">
        <v>3120</v>
      </c>
      <c r="K790" s="2" t="s">
        <v>2302</v>
      </c>
      <c r="L790" t="s">
        <v>2303</v>
      </c>
      <c r="M790" s="2" t="s">
        <v>893</v>
      </c>
      <c r="N790" t="s">
        <v>3120</v>
      </c>
      <c r="O790" s="2" t="s">
        <v>48</v>
      </c>
    </row>
    <row r="791" spans="1:15">
      <c r="A791" t="s">
        <v>421</v>
      </c>
      <c r="B791" t="s">
        <v>48</v>
      </c>
      <c r="C791" s="2" t="s">
        <v>893</v>
      </c>
      <c r="E791" s="2" t="str">
        <f t="shared" si="37"/>
        <v>Sebastián</v>
      </c>
      <c r="F791" s="2" t="str">
        <f t="shared" si="38"/>
        <v>Coates</v>
      </c>
      <c r="H791" s="2" t="str">
        <f t="shared" si="36"/>
        <v>S</v>
      </c>
      <c r="I791" s="2" t="s">
        <v>3121</v>
      </c>
      <c r="K791" s="2" t="s">
        <v>2292</v>
      </c>
      <c r="L791" t="s">
        <v>2304</v>
      </c>
      <c r="M791" s="2" t="s">
        <v>893</v>
      </c>
      <c r="N791" t="s">
        <v>3121</v>
      </c>
      <c r="O791" s="2" t="s">
        <v>48</v>
      </c>
    </row>
    <row r="792" spans="1:15">
      <c r="A792" t="s">
        <v>422</v>
      </c>
      <c r="B792" t="s">
        <v>48</v>
      </c>
      <c r="C792" s="2" t="s">
        <v>893</v>
      </c>
      <c r="E792" s="2" t="str">
        <f t="shared" si="37"/>
        <v>Martín</v>
      </c>
      <c r="F792" s="2" t="str">
        <f t="shared" si="38"/>
        <v>Cáceres</v>
      </c>
      <c r="H792" s="2" t="str">
        <f t="shared" si="36"/>
        <v>M</v>
      </c>
      <c r="I792" s="2" t="s">
        <v>3122</v>
      </c>
      <c r="K792" s="2" t="s">
        <v>1750</v>
      </c>
      <c r="L792" t="s">
        <v>2305</v>
      </c>
      <c r="M792" s="2" t="s">
        <v>893</v>
      </c>
      <c r="N792" t="s">
        <v>3122</v>
      </c>
      <c r="O792" s="2" t="s">
        <v>48</v>
      </c>
    </row>
    <row r="793" spans="1:15">
      <c r="A793" t="s">
        <v>423</v>
      </c>
      <c r="B793" t="s">
        <v>48</v>
      </c>
      <c r="C793" s="2" t="s">
        <v>893</v>
      </c>
      <c r="E793" s="2" t="str">
        <f t="shared" si="37"/>
        <v>José</v>
      </c>
      <c r="F793" s="2" t="str">
        <f t="shared" si="38"/>
        <v>Luis Rodríguez</v>
      </c>
      <c r="H793" s="2" t="str">
        <f t="shared" si="36"/>
        <v>J</v>
      </c>
      <c r="I793" s="2" t="s">
        <v>3123</v>
      </c>
      <c r="K793" s="2" t="s">
        <v>1426</v>
      </c>
      <c r="L793" t="s">
        <v>2306</v>
      </c>
      <c r="M793" s="2" t="s">
        <v>893</v>
      </c>
      <c r="N793" t="s">
        <v>3123</v>
      </c>
      <c r="O793" s="2" t="s">
        <v>48</v>
      </c>
    </row>
    <row r="794" spans="1:15">
      <c r="A794" t="s">
        <v>424</v>
      </c>
      <c r="B794" t="s">
        <v>57</v>
      </c>
      <c r="C794" s="2" t="s">
        <v>893</v>
      </c>
      <c r="E794" s="2" t="str">
        <f t="shared" si="37"/>
        <v>Matías</v>
      </c>
      <c r="F794" s="2" t="str">
        <f t="shared" si="38"/>
        <v>Vecino</v>
      </c>
      <c r="H794" s="2" t="str">
        <f t="shared" si="36"/>
        <v>M</v>
      </c>
      <c r="I794" s="2" t="s">
        <v>3124</v>
      </c>
      <c r="K794" s="2" t="s">
        <v>2302</v>
      </c>
      <c r="L794" t="s">
        <v>2307</v>
      </c>
      <c r="M794" s="2" t="s">
        <v>893</v>
      </c>
      <c r="N794" t="s">
        <v>3124</v>
      </c>
      <c r="O794" s="2" t="s">
        <v>57</v>
      </c>
    </row>
    <row r="795" spans="1:15">
      <c r="A795" t="s">
        <v>425</v>
      </c>
      <c r="B795" t="s">
        <v>57</v>
      </c>
      <c r="C795" s="2" t="s">
        <v>893</v>
      </c>
      <c r="E795" s="2" t="str">
        <f t="shared" si="37"/>
        <v>Rodrigo</v>
      </c>
      <c r="F795" s="2" t="str">
        <f t="shared" si="38"/>
        <v>Bentancur</v>
      </c>
      <c r="H795" s="2" t="str">
        <f t="shared" si="36"/>
        <v>R</v>
      </c>
      <c r="I795" s="2" t="s">
        <v>3125</v>
      </c>
      <c r="K795" s="2" t="s">
        <v>1036</v>
      </c>
      <c r="L795" t="s">
        <v>2308</v>
      </c>
      <c r="M795" s="2" t="s">
        <v>893</v>
      </c>
      <c r="N795" t="s">
        <v>3125</v>
      </c>
      <c r="O795" s="2" t="s">
        <v>57</v>
      </c>
    </row>
    <row r="796" spans="1:15">
      <c r="A796" t="s">
        <v>426</v>
      </c>
      <c r="B796" t="s">
        <v>57</v>
      </c>
      <c r="C796" s="2" t="s">
        <v>893</v>
      </c>
      <c r="E796" s="2" t="str">
        <f t="shared" si="37"/>
        <v>Nicolás</v>
      </c>
      <c r="F796" s="2" t="str">
        <f t="shared" si="38"/>
        <v>de la Cruz</v>
      </c>
      <c r="H796" s="2" t="str">
        <f t="shared" si="36"/>
        <v>N</v>
      </c>
      <c r="I796" s="2" t="s">
        <v>3126</v>
      </c>
      <c r="K796" s="2" t="s">
        <v>1020</v>
      </c>
      <c r="L796" t="s">
        <v>2309</v>
      </c>
      <c r="M796" s="2" t="s">
        <v>893</v>
      </c>
      <c r="N796" t="s">
        <v>3126</v>
      </c>
      <c r="O796" s="2" t="s">
        <v>57</v>
      </c>
    </row>
    <row r="797" spans="1:15">
      <c r="A797" t="s">
        <v>427</v>
      </c>
      <c r="B797" t="s">
        <v>57</v>
      </c>
      <c r="C797" s="2" t="s">
        <v>893</v>
      </c>
      <c r="E797" s="2" t="str">
        <f t="shared" si="37"/>
        <v>Facundo</v>
      </c>
      <c r="F797" s="2" t="str">
        <f t="shared" si="38"/>
        <v>Pellistri</v>
      </c>
      <c r="H797" s="2" t="str">
        <f t="shared" si="36"/>
        <v>F</v>
      </c>
      <c r="I797" s="2" t="s">
        <v>3127</v>
      </c>
      <c r="K797" s="2" t="s">
        <v>2310</v>
      </c>
      <c r="L797" t="s">
        <v>2311</v>
      </c>
      <c r="M797" s="2" t="s">
        <v>893</v>
      </c>
      <c r="N797" t="s">
        <v>3127</v>
      </c>
      <c r="O797" s="2" t="s">
        <v>57</v>
      </c>
    </row>
    <row r="798" spans="1:15">
      <c r="A798" t="s">
        <v>428</v>
      </c>
      <c r="B798" t="s">
        <v>57</v>
      </c>
      <c r="C798" s="2" t="s">
        <v>893</v>
      </c>
      <c r="E798" s="2" t="str">
        <f t="shared" si="37"/>
        <v>Giorgian</v>
      </c>
      <c r="F798" s="2" t="str">
        <f t="shared" si="38"/>
        <v>de Arrascaeta</v>
      </c>
      <c r="H798" s="2" t="str">
        <f t="shared" si="36"/>
        <v>G</v>
      </c>
      <c r="I798" s="2" t="s">
        <v>3128</v>
      </c>
      <c r="K798" s="2" t="s">
        <v>2312</v>
      </c>
      <c r="L798" t="s">
        <v>2313</v>
      </c>
      <c r="M798" s="2" t="s">
        <v>893</v>
      </c>
      <c r="N798" t="s">
        <v>3128</v>
      </c>
      <c r="O798" s="2" t="s">
        <v>57</v>
      </c>
    </row>
    <row r="799" spans="1:15">
      <c r="A799" t="s">
        <v>429</v>
      </c>
      <c r="B799" t="s">
        <v>57</v>
      </c>
      <c r="C799" s="2" t="s">
        <v>893</v>
      </c>
      <c r="E799" s="2" t="str">
        <f t="shared" si="37"/>
        <v>Lucas</v>
      </c>
      <c r="F799" s="2" t="str">
        <f t="shared" si="38"/>
        <v>Torreira</v>
      </c>
      <c r="H799" s="2" t="str">
        <f t="shared" si="36"/>
        <v>L</v>
      </c>
      <c r="I799" s="2" t="s">
        <v>3129</v>
      </c>
      <c r="K799" s="2" t="s">
        <v>1170</v>
      </c>
      <c r="L799" t="s">
        <v>2314</v>
      </c>
      <c r="M799" s="2" t="s">
        <v>893</v>
      </c>
      <c r="N799" t="s">
        <v>3129</v>
      </c>
      <c r="O799" s="2" t="s">
        <v>57</v>
      </c>
    </row>
    <row r="800" spans="1:15">
      <c r="A800" t="s">
        <v>430</v>
      </c>
      <c r="B800" t="s">
        <v>57</v>
      </c>
      <c r="C800" s="2" t="s">
        <v>893</v>
      </c>
      <c r="E800" s="2" t="str">
        <f t="shared" si="37"/>
        <v>Federico</v>
      </c>
      <c r="F800" s="2" t="str">
        <f t="shared" si="38"/>
        <v>Valverde</v>
      </c>
      <c r="H800" s="2" t="str">
        <f t="shared" si="36"/>
        <v>F</v>
      </c>
      <c r="I800" s="2" t="s">
        <v>3130</v>
      </c>
      <c r="K800" s="2" t="s">
        <v>2315</v>
      </c>
      <c r="L800" t="s">
        <v>2316</v>
      </c>
      <c r="M800" s="2" t="s">
        <v>893</v>
      </c>
      <c r="N800" t="s">
        <v>3130</v>
      </c>
      <c r="O800" s="2" t="s">
        <v>57</v>
      </c>
    </row>
    <row r="801" spans="1:15">
      <c r="A801" t="s">
        <v>431</v>
      </c>
      <c r="B801" t="s">
        <v>57</v>
      </c>
      <c r="C801" s="2" t="s">
        <v>893</v>
      </c>
      <c r="E801" s="2" t="str">
        <f t="shared" si="37"/>
        <v>Facundo</v>
      </c>
      <c r="F801" s="2" t="str">
        <f t="shared" si="38"/>
        <v>Torres</v>
      </c>
      <c r="H801" s="2" t="str">
        <f t="shared" si="36"/>
        <v>F</v>
      </c>
      <c r="I801" s="2" t="s">
        <v>2588</v>
      </c>
      <c r="K801" s="2" t="s">
        <v>2310</v>
      </c>
      <c r="L801" t="s">
        <v>1302</v>
      </c>
      <c r="M801" s="2" t="s">
        <v>893</v>
      </c>
      <c r="N801" t="s">
        <v>2588</v>
      </c>
      <c r="O801" s="2" t="s">
        <v>57</v>
      </c>
    </row>
    <row r="802" spans="1:15">
      <c r="A802" t="s">
        <v>432</v>
      </c>
      <c r="B802" t="s">
        <v>57</v>
      </c>
      <c r="C802" s="2" t="s">
        <v>893</v>
      </c>
      <c r="E802" s="2" t="str">
        <f t="shared" si="37"/>
        <v>Manuel</v>
      </c>
      <c r="F802" s="2" t="str">
        <f t="shared" si="38"/>
        <v>Ugarte</v>
      </c>
      <c r="H802" s="2" t="str">
        <f t="shared" si="36"/>
        <v>M</v>
      </c>
      <c r="I802" s="2" t="s">
        <v>3131</v>
      </c>
      <c r="K802" s="2" t="s">
        <v>1534</v>
      </c>
      <c r="L802" t="s">
        <v>2317</v>
      </c>
      <c r="M802" s="2" t="s">
        <v>893</v>
      </c>
      <c r="N802" t="s">
        <v>3131</v>
      </c>
      <c r="O802" s="2" t="s">
        <v>57</v>
      </c>
    </row>
    <row r="803" spans="1:15">
      <c r="A803" t="s">
        <v>433</v>
      </c>
      <c r="B803" t="s">
        <v>66</v>
      </c>
      <c r="C803" s="2" t="s">
        <v>893</v>
      </c>
      <c r="E803" s="2" t="str">
        <f t="shared" si="37"/>
        <v>Luis</v>
      </c>
      <c r="F803" s="2" t="str">
        <f t="shared" si="38"/>
        <v>Suárez</v>
      </c>
      <c r="H803" s="2" t="str">
        <f t="shared" si="36"/>
        <v>L</v>
      </c>
      <c r="I803" s="2" t="s">
        <v>3132</v>
      </c>
      <c r="K803" s="2" t="s">
        <v>1734</v>
      </c>
      <c r="L803" t="s">
        <v>2318</v>
      </c>
      <c r="M803" s="2" t="s">
        <v>893</v>
      </c>
      <c r="N803" t="s">
        <v>3132</v>
      </c>
      <c r="O803" s="2" t="s">
        <v>66</v>
      </c>
    </row>
    <row r="804" spans="1:15">
      <c r="A804" t="s">
        <v>434</v>
      </c>
      <c r="B804" t="s">
        <v>66</v>
      </c>
      <c r="C804" s="2" t="s">
        <v>893</v>
      </c>
      <c r="E804" s="2" t="str">
        <f t="shared" si="37"/>
        <v>Darwin</v>
      </c>
      <c r="F804" s="2" t="str">
        <f t="shared" si="38"/>
        <v>Núñez</v>
      </c>
      <c r="H804" s="2" t="str">
        <f t="shared" si="36"/>
        <v>D</v>
      </c>
      <c r="I804" s="2" t="s">
        <v>3133</v>
      </c>
      <c r="K804" s="2" t="s">
        <v>2319</v>
      </c>
      <c r="L804" t="s">
        <v>2320</v>
      </c>
      <c r="M804" s="2" t="s">
        <v>893</v>
      </c>
      <c r="N804" t="s">
        <v>3133</v>
      </c>
      <c r="O804" s="2" t="s">
        <v>66</v>
      </c>
    </row>
    <row r="805" spans="1:15">
      <c r="A805" t="s">
        <v>435</v>
      </c>
      <c r="B805" t="s">
        <v>66</v>
      </c>
      <c r="C805" s="2" t="s">
        <v>893</v>
      </c>
      <c r="E805" s="2" t="str">
        <f t="shared" si="37"/>
        <v>Maxi</v>
      </c>
      <c r="F805" s="2" t="str">
        <f t="shared" si="38"/>
        <v>Gómez</v>
      </c>
      <c r="H805" s="2" t="str">
        <f t="shared" si="36"/>
        <v>M</v>
      </c>
      <c r="I805" s="2" t="s">
        <v>3134</v>
      </c>
      <c r="K805" s="2" t="s">
        <v>2321</v>
      </c>
      <c r="L805" t="s">
        <v>1043</v>
      </c>
      <c r="M805" s="2" t="s">
        <v>893</v>
      </c>
      <c r="N805" t="s">
        <v>3134</v>
      </c>
      <c r="O805" s="2" t="s">
        <v>66</v>
      </c>
    </row>
    <row r="806" spans="1:15">
      <c r="A806" t="s">
        <v>436</v>
      </c>
      <c r="B806" t="s">
        <v>66</v>
      </c>
      <c r="C806" s="2" t="s">
        <v>893</v>
      </c>
      <c r="E806" s="2" t="str">
        <f t="shared" si="37"/>
        <v>Edinson</v>
      </c>
      <c r="F806" s="2" t="str">
        <f t="shared" si="38"/>
        <v>Cavani</v>
      </c>
      <c r="H806" s="2" t="str">
        <f t="shared" si="36"/>
        <v>E</v>
      </c>
      <c r="I806" s="2" t="s">
        <v>3135</v>
      </c>
      <c r="K806" s="2" t="s">
        <v>2322</v>
      </c>
      <c r="L806" t="s">
        <v>2323</v>
      </c>
      <c r="M806" s="2" t="s">
        <v>893</v>
      </c>
      <c r="N806" t="s">
        <v>3135</v>
      </c>
      <c r="O806" s="2" t="s">
        <v>66</v>
      </c>
    </row>
    <row r="807" spans="1:15">
      <c r="A807" t="s">
        <v>437</v>
      </c>
      <c r="B807" t="s">
        <v>66</v>
      </c>
      <c r="C807" s="2" t="s">
        <v>893</v>
      </c>
      <c r="E807" s="2" t="str">
        <f t="shared" si="37"/>
        <v>Agustín</v>
      </c>
      <c r="F807" s="2" t="str">
        <f t="shared" si="38"/>
        <v>Canobbio</v>
      </c>
      <c r="H807" s="2" t="str">
        <f t="shared" si="36"/>
        <v>A</v>
      </c>
      <c r="I807" s="2" t="s">
        <v>3136</v>
      </c>
      <c r="K807" s="2" t="s">
        <v>2324</v>
      </c>
      <c r="L807" t="s">
        <v>2325</v>
      </c>
      <c r="M807" s="2" t="s">
        <v>893</v>
      </c>
      <c r="N807" t="s">
        <v>3136</v>
      </c>
      <c r="O807" s="2" t="s">
        <v>66</v>
      </c>
    </row>
    <row r="808" spans="1:15">
      <c r="A808" t="s">
        <v>438</v>
      </c>
      <c r="B808" t="s">
        <v>44</v>
      </c>
      <c r="C808" s="2" t="s">
        <v>894</v>
      </c>
      <c r="E808" s="2" t="str">
        <f t="shared" si="37"/>
        <v>Wayne</v>
      </c>
      <c r="F808" s="2" t="str">
        <f t="shared" si="38"/>
        <v>Hennessey</v>
      </c>
      <c r="H808" s="2" t="str">
        <f t="shared" si="36"/>
        <v>W</v>
      </c>
      <c r="I808" s="2" t="s">
        <v>3137</v>
      </c>
      <c r="K808" s="2" t="s">
        <v>2326</v>
      </c>
      <c r="L808" t="s">
        <v>2327</v>
      </c>
      <c r="M808" s="2" t="s">
        <v>894</v>
      </c>
      <c r="N808" t="s">
        <v>3137</v>
      </c>
      <c r="O808" s="2" t="s">
        <v>44</v>
      </c>
    </row>
    <row r="809" spans="1:15">
      <c r="A809" t="s">
        <v>439</v>
      </c>
      <c r="B809" t="s">
        <v>44</v>
      </c>
      <c r="C809" s="2" t="s">
        <v>894</v>
      </c>
      <c r="E809" s="2" t="str">
        <f t="shared" si="37"/>
        <v>Danny</v>
      </c>
      <c r="F809" s="2" t="str">
        <f t="shared" si="38"/>
        <v>Ward</v>
      </c>
      <c r="H809" s="2" t="str">
        <f t="shared" si="36"/>
        <v>D</v>
      </c>
      <c r="I809" s="2" t="s">
        <v>3138</v>
      </c>
      <c r="K809" s="2" t="s">
        <v>1064</v>
      </c>
      <c r="L809" t="s">
        <v>2328</v>
      </c>
      <c r="M809" s="2" t="s">
        <v>894</v>
      </c>
      <c r="N809" t="s">
        <v>3138</v>
      </c>
      <c r="O809" s="2" t="s">
        <v>44</v>
      </c>
    </row>
    <row r="810" spans="1:15">
      <c r="A810" t="s">
        <v>440</v>
      </c>
      <c r="B810" t="s">
        <v>44</v>
      </c>
      <c r="C810" s="2" t="s">
        <v>894</v>
      </c>
      <c r="E810" s="2" t="str">
        <f t="shared" si="37"/>
        <v>Adam</v>
      </c>
      <c r="F810" s="2" t="str">
        <f t="shared" si="38"/>
        <v>Davies</v>
      </c>
      <c r="H810" s="2" t="str">
        <f t="shared" si="36"/>
        <v>A</v>
      </c>
      <c r="I810" s="2" t="s">
        <v>2504</v>
      </c>
      <c r="K810" s="2" t="s">
        <v>2329</v>
      </c>
      <c r="L810" t="s">
        <v>1271</v>
      </c>
      <c r="M810" s="2" t="s">
        <v>894</v>
      </c>
      <c r="N810" t="s">
        <v>2504</v>
      </c>
      <c r="O810" s="2" t="s">
        <v>44</v>
      </c>
    </row>
    <row r="811" spans="1:15">
      <c r="A811" t="s">
        <v>441</v>
      </c>
      <c r="B811" t="s">
        <v>48</v>
      </c>
      <c r="C811" s="2" t="s">
        <v>894</v>
      </c>
      <c r="E811" s="2" t="str">
        <f t="shared" si="37"/>
        <v>Chris</v>
      </c>
      <c r="F811" s="2" t="str">
        <f t="shared" si="38"/>
        <v>Gunter</v>
      </c>
      <c r="H811" s="2" t="str">
        <f t="shared" si="36"/>
        <v>C</v>
      </c>
      <c r="I811" s="2" t="s">
        <v>3139</v>
      </c>
      <c r="K811" s="2" t="s">
        <v>2330</v>
      </c>
      <c r="L811" t="s">
        <v>2331</v>
      </c>
      <c r="M811" s="2" t="s">
        <v>894</v>
      </c>
      <c r="N811" t="s">
        <v>3139</v>
      </c>
      <c r="O811" s="2" t="s">
        <v>48</v>
      </c>
    </row>
    <row r="812" spans="1:15">
      <c r="A812" t="s">
        <v>442</v>
      </c>
      <c r="B812" t="s">
        <v>48</v>
      </c>
      <c r="C812" s="2" t="s">
        <v>894</v>
      </c>
      <c r="E812" s="2" t="str">
        <f t="shared" si="37"/>
        <v>Neco</v>
      </c>
      <c r="F812" s="2" t="str">
        <f t="shared" si="38"/>
        <v>Williams</v>
      </c>
      <c r="H812" s="2" t="str">
        <f t="shared" si="36"/>
        <v>N</v>
      </c>
      <c r="I812" s="2" t="s">
        <v>3033</v>
      </c>
      <c r="K812" s="2" t="s">
        <v>2332</v>
      </c>
      <c r="L812" t="s">
        <v>1618</v>
      </c>
      <c r="M812" s="2" t="s">
        <v>894</v>
      </c>
      <c r="N812" t="s">
        <v>3033</v>
      </c>
      <c r="O812" s="2" t="s">
        <v>48</v>
      </c>
    </row>
    <row r="813" spans="1:15">
      <c r="A813" t="s">
        <v>443</v>
      </c>
      <c r="B813" t="s">
        <v>48</v>
      </c>
      <c r="C813" t="s">
        <v>894</v>
      </c>
      <c r="E813" s="2" t="str">
        <f t="shared" si="37"/>
        <v>Ben</v>
      </c>
      <c r="F813" s="2" t="str">
        <f t="shared" si="38"/>
        <v>Davies</v>
      </c>
      <c r="H813" s="2" t="str">
        <f t="shared" si="36"/>
        <v>B</v>
      </c>
      <c r="I813" s="2" t="s">
        <v>3140</v>
      </c>
      <c r="K813" s="2" t="s">
        <v>1465</v>
      </c>
      <c r="L813" t="s">
        <v>1271</v>
      </c>
      <c r="M813" s="2" t="s">
        <v>894</v>
      </c>
      <c r="N813" t="s">
        <v>3140</v>
      </c>
      <c r="O813" s="2" t="s">
        <v>48</v>
      </c>
    </row>
    <row r="814" spans="1:15">
      <c r="A814" t="s">
        <v>444</v>
      </c>
      <c r="B814" t="s">
        <v>48</v>
      </c>
      <c r="C814" t="s">
        <v>894</v>
      </c>
      <c r="E814" s="2" t="str">
        <f t="shared" si="37"/>
        <v>Chris</v>
      </c>
      <c r="F814" s="2" t="str">
        <f t="shared" si="38"/>
        <v>Mepham</v>
      </c>
      <c r="H814" s="2" t="str">
        <f t="shared" si="36"/>
        <v>C</v>
      </c>
      <c r="I814" s="2" t="s">
        <v>3141</v>
      </c>
      <c r="K814" s="2" t="s">
        <v>2330</v>
      </c>
      <c r="L814" t="s">
        <v>2333</v>
      </c>
      <c r="M814" s="2" t="s">
        <v>894</v>
      </c>
      <c r="N814" t="s">
        <v>3141</v>
      </c>
      <c r="O814" s="2" t="s">
        <v>48</v>
      </c>
    </row>
    <row r="815" spans="1:15">
      <c r="A815" t="s">
        <v>445</v>
      </c>
      <c r="B815" t="s">
        <v>48</v>
      </c>
      <c r="C815" s="2" t="s">
        <v>894</v>
      </c>
      <c r="E815" s="2" t="str">
        <f t="shared" si="37"/>
        <v>Joe</v>
      </c>
      <c r="F815" s="2" t="str">
        <f t="shared" si="38"/>
        <v>Rodon</v>
      </c>
      <c r="H815" s="2" t="str">
        <f t="shared" si="36"/>
        <v>J</v>
      </c>
      <c r="I815" s="2" t="s">
        <v>3142</v>
      </c>
      <c r="K815" s="2" t="s">
        <v>2266</v>
      </c>
      <c r="L815" t="s">
        <v>2334</v>
      </c>
      <c r="M815" s="2" t="s">
        <v>894</v>
      </c>
      <c r="N815" t="s">
        <v>3142</v>
      </c>
      <c r="O815" s="2" t="s">
        <v>48</v>
      </c>
    </row>
    <row r="816" spans="1:15">
      <c r="A816" t="s">
        <v>446</v>
      </c>
      <c r="B816" t="s">
        <v>48</v>
      </c>
      <c r="C816" s="2" t="s">
        <v>894</v>
      </c>
      <c r="E816" s="2" t="str">
        <f t="shared" si="37"/>
        <v>Connor</v>
      </c>
      <c r="F816" s="2" t="str">
        <f t="shared" si="38"/>
        <v>Roberts</v>
      </c>
      <c r="H816" s="2" t="str">
        <f t="shared" si="36"/>
        <v>C</v>
      </c>
      <c r="I816" s="2" t="s">
        <v>3143</v>
      </c>
      <c r="K816" s="2" t="s">
        <v>2335</v>
      </c>
      <c r="L816" t="s">
        <v>2336</v>
      </c>
      <c r="M816" s="2" t="s">
        <v>894</v>
      </c>
      <c r="N816" t="s">
        <v>3143</v>
      </c>
      <c r="O816" s="2" t="s">
        <v>48</v>
      </c>
    </row>
    <row r="817" spans="1:15">
      <c r="A817" t="s">
        <v>447</v>
      </c>
      <c r="B817" t="s">
        <v>48</v>
      </c>
      <c r="C817" s="2" t="s">
        <v>894</v>
      </c>
      <c r="E817" s="2" t="str">
        <f t="shared" si="37"/>
        <v>Ethan</v>
      </c>
      <c r="F817" s="2" t="str">
        <f t="shared" si="38"/>
        <v>Ampadu</v>
      </c>
      <c r="H817" s="2" t="str">
        <f t="shared" si="36"/>
        <v>E</v>
      </c>
      <c r="I817" s="2" t="s">
        <v>3144</v>
      </c>
      <c r="K817" s="2" t="s">
        <v>2249</v>
      </c>
      <c r="L817" t="s">
        <v>2337</v>
      </c>
      <c r="M817" s="2" t="s">
        <v>894</v>
      </c>
      <c r="N817" t="s">
        <v>3144</v>
      </c>
      <c r="O817" s="2" t="s">
        <v>48</v>
      </c>
    </row>
    <row r="818" spans="1:15">
      <c r="A818" t="s">
        <v>448</v>
      </c>
      <c r="B818" t="s">
        <v>48</v>
      </c>
      <c r="C818" s="2" t="s">
        <v>894</v>
      </c>
      <c r="E818" s="2" t="str">
        <f t="shared" si="37"/>
        <v>Tom</v>
      </c>
      <c r="F818" s="2" t="str">
        <f t="shared" si="38"/>
        <v>Lockyer</v>
      </c>
      <c r="H818" s="2" t="str">
        <f t="shared" si="36"/>
        <v>T</v>
      </c>
      <c r="I818" s="2" t="s">
        <v>3145</v>
      </c>
      <c r="K818" s="2" t="s">
        <v>2338</v>
      </c>
      <c r="L818" t="s">
        <v>2339</v>
      </c>
      <c r="M818" s="2" t="s">
        <v>894</v>
      </c>
      <c r="N818" t="s">
        <v>3145</v>
      </c>
      <c r="O818" s="2" t="s">
        <v>48</v>
      </c>
    </row>
    <row r="819" spans="1:15">
      <c r="A819" t="s">
        <v>449</v>
      </c>
      <c r="B819" t="s">
        <v>48</v>
      </c>
      <c r="C819" s="2" t="s">
        <v>894</v>
      </c>
      <c r="E819" s="2" t="str">
        <f t="shared" si="37"/>
        <v>Ben</v>
      </c>
      <c r="F819" s="2" t="str">
        <f t="shared" si="38"/>
        <v>Cabango</v>
      </c>
      <c r="H819" s="2" t="str">
        <f t="shared" si="36"/>
        <v>B</v>
      </c>
      <c r="I819" s="2" t="s">
        <v>3146</v>
      </c>
      <c r="K819" s="2" t="s">
        <v>1465</v>
      </c>
      <c r="L819" t="s">
        <v>2340</v>
      </c>
      <c r="M819" s="2" t="s">
        <v>894</v>
      </c>
      <c r="N819" t="s">
        <v>3146</v>
      </c>
      <c r="O819" s="2" t="s">
        <v>48</v>
      </c>
    </row>
    <row r="820" spans="1:15">
      <c r="A820" t="s">
        <v>450</v>
      </c>
      <c r="B820" t="s">
        <v>57</v>
      </c>
      <c r="C820" s="2" t="s">
        <v>894</v>
      </c>
      <c r="E820" s="2" t="str">
        <f t="shared" si="37"/>
        <v>Joe</v>
      </c>
      <c r="F820" s="2" t="str">
        <f t="shared" si="38"/>
        <v>Allen</v>
      </c>
      <c r="H820" s="2" t="str">
        <f t="shared" si="36"/>
        <v>J</v>
      </c>
      <c r="I820" s="2" t="s">
        <v>3147</v>
      </c>
      <c r="K820" s="2" t="s">
        <v>2266</v>
      </c>
      <c r="L820" t="s">
        <v>2341</v>
      </c>
      <c r="M820" s="2" t="s">
        <v>894</v>
      </c>
      <c r="N820" t="s">
        <v>3147</v>
      </c>
      <c r="O820" s="2" t="s">
        <v>57</v>
      </c>
    </row>
    <row r="821" spans="1:15">
      <c r="A821" t="s">
        <v>451</v>
      </c>
      <c r="B821" t="s">
        <v>57</v>
      </c>
      <c r="C821" s="2" t="s">
        <v>894</v>
      </c>
      <c r="E821" s="2" t="str">
        <f t="shared" si="37"/>
        <v>Harry</v>
      </c>
      <c r="F821" s="2" t="str">
        <f t="shared" si="38"/>
        <v>Wilson</v>
      </c>
      <c r="H821" s="2" t="str">
        <f t="shared" si="36"/>
        <v>H</v>
      </c>
      <c r="I821" s="2" t="s">
        <v>3148</v>
      </c>
      <c r="K821" s="2" t="s">
        <v>1078</v>
      </c>
      <c r="L821" t="s">
        <v>1318</v>
      </c>
      <c r="M821" s="2" t="s">
        <v>894</v>
      </c>
      <c r="N821" t="s">
        <v>3148</v>
      </c>
      <c r="O821" s="2" t="s">
        <v>57</v>
      </c>
    </row>
    <row r="822" spans="1:15">
      <c r="A822" t="s">
        <v>452</v>
      </c>
      <c r="B822" t="s">
        <v>57</v>
      </c>
      <c r="C822" s="2" t="s">
        <v>894</v>
      </c>
      <c r="E822" s="2" t="str">
        <f t="shared" si="37"/>
        <v>Aaron</v>
      </c>
      <c r="F822" s="2" t="str">
        <f t="shared" si="38"/>
        <v>Ramsey</v>
      </c>
      <c r="H822" s="2" t="str">
        <f t="shared" si="36"/>
        <v>A</v>
      </c>
      <c r="I822" s="2" t="s">
        <v>3149</v>
      </c>
      <c r="K822" s="2" t="s">
        <v>1088</v>
      </c>
      <c r="L822" t="s">
        <v>2342</v>
      </c>
      <c r="M822" s="2" t="s">
        <v>894</v>
      </c>
      <c r="N822" t="s">
        <v>3149</v>
      </c>
      <c r="O822" s="2" t="s">
        <v>57</v>
      </c>
    </row>
    <row r="823" spans="1:15">
      <c r="A823" t="s">
        <v>453</v>
      </c>
      <c r="B823" t="s">
        <v>57</v>
      </c>
      <c r="C823" s="2" t="s">
        <v>894</v>
      </c>
      <c r="E823" s="2" t="str">
        <f t="shared" si="37"/>
        <v>Joe</v>
      </c>
      <c r="F823" s="2" t="str">
        <f t="shared" si="38"/>
        <v>Morrell</v>
      </c>
      <c r="H823" s="2" t="str">
        <f t="shared" si="36"/>
        <v>J</v>
      </c>
      <c r="I823" s="2" t="s">
        <v>3150</v>
      </c>
      <c r="K823" s="2" t="s">
        <v>2266</v>
      </c>
      <c r="L823" t="s">
        <v>2343</v>
      </c>
      <c r="M823" s="2" t="s">
        <v>894</v>
      </c>
      <c r="N823" t="s">
        <v>3150</v>
      </c>
      <c r="O823" s="2" t="s">
        <v>57</v>
      </c>
    </row>
    <row r="824" spans="1:15">
      <c r="A824" t="s">
        <v>454</v>
      </c>
      <c r="B824" t="s">
        <v>57</v>
      </c>
      <c r="C824" s="2" t="s">
        <v>894</v>
      </c>
      <c r="E824" s="2" t="str">
        <f t="shared" si="37"/>
        <v>Jonny</v>
      </c>
      <c r="F824" s="2" t="str">
        <f t="shared" si="38"/>
        <v>Williams</v>
      </c>
      <c r="H824" s="2" t="str">
        <f t="shared" si="36"/>
        <v>J</v>
      </c>
      <c r="I824" s="2" t="s">
        <v>3151</v>
      </c>
      <c r="K824" s="2" t="s">
        <v>2344</v>
      </c>
      <c r="L824" t="s">
        <v>1618</v>
      </c>
      <c r="M824" s="2" t="s">
        <v>894</v>
      </c>
      <c r="N824" t="s">
        <v>3151</v>
      </c>
      <c r="O824" s="2" t="s">
        <v>57</v>
      </c>
    </row>
    <row r="825" spans="1:15">
      <c r="A825" t="s">
        <v>455</v>
      </c>
      <c r="B825" t="s">
        <v>57</v>
      </c>
      <c r="C825" s="2" t="s">
        <v>894</v>
      </c>
      <c r="E825" s="2" t="str">
        <f t="shared" si="37"/>
        <v>Mark</v>
      </c>
      <c r="F825" s="2" t="str">
        <f t="shared" si="38"/>
        <v>Harris</v>
      </c>
      <c r="H825" s="2" t="str">
        <f t="shared" si="36"/>
        <v>M</v>
      </c>
      <c r="I825" s="2" t="s">
        <v>3152</v>
      </c>
      <c r="K825" s="2" t="s">
        <v>2345</v>
      </c>
      <c r="L825" t="s">
        <v>2346</v>
      </c>
      <c r="M825" s="2" t="s">
        <v>894</v>
      </c>
      <c r="N825" t="s">
        <v>3152</v>
      </c>
      <c r="O825" s="2" t="s">
        <v>57</v>
      </c>
    </row>
    <row r="826" spans="1:15">
      <c r="A826" t="s">
        <v>456</v>
      </c>
      <c r="B826" t="s">
        <v>57</v>
      </c>
      <c r="C826" s="2" t="s">
        <v>894</v>
      </c>
      <c r="E826" s="2" t="str">
        <f t="shared" si="37"/>
        <v>Daniel</v>
      </c>
      <c r="F826" s="2" t="str">
        <f t="shared" si="38"/>
        <v>James</v>
      </c>
      <c r="H826" s="2" t="str">
        <f t="shared" si="36"/>
        <v>D</v>
      </c>
      <c r="I826" s="2" t="s">
        <v>3153</v>
      </c>
      <c r="K826" s="2" t="s">
        <v>1295</v>
      </c>
      <c r="L826" t="s">
        <v>1229</v>
      </c>
      <c r="M826" s="2" t="s">
        <v>894</v>
      </c>
      <c r="N826" t="s">
        <v>3153</v>
      </c>
      <c r="O826" s="2" t="s">
        <v>57</v>
      </c>
    </row>
    <row r="827" spans="1:15">
      <c r="A827" t="s">
        <v>457</v>
      </c>
      <c r="B827" t="s">
        <v>57</v>
      </c>
      <c r="C827" s="2" t="s">
        <v>894</v>
      </c>
      <c r="E827" s="2" t="str">
        <f t="shared" si="37"/>
        <v>Sorba</v>
      </c>
      <c r="F827" s="2" t="str">
        <f t="shared" si="38"/>
        <v>Thomas</v>
      </c>
      <c r="H827" s="2" t="str">
        <f t="shared" si="36"/>
        <v>S</v>
      </c>
      <c r="I827" s="2" t="s">
        <v>3154</v>
      </c>
      <c r="K827" s="2" t="s">
        <v>2347</v>
      </c>
      <c r="L827" t="s">
        <v>1080</v>
      </c>
      <c r="M827" s="2" t="s">
        <v>894</v>
      </c>
      <c r="N827" t="s">
        <v>3154</v>
      </c>
      <c r="O827" s="2" t="s">
        <v>57</v>
      </c>
    </row>
    <row r="828" spans="1:15">
      <c r="A828" t="s">
        <v>458</v>
      </c>
      <c r="B828" t="s">
        <v>57</v>
      </c>
      <c r="C828" s="2" t="s">
        <v>894</v>
      </c>
      <c r="E828" s="2" t="str">
        <f t="shared" si="37"/>
        <v>Dylan</v>
      </c>
      <c r="F828" s="2" t="str">
        <f t="shared" si="38"/>
        <v>Levitt</v>
      </c>
      <c r="H828" s="2" t="str">
        <f t="shared" si="36"/>
        <v>D</v>
      </c>
      <c r="I828" s="2" t="s">
        <v>3155</v>
      </c>
      <c r="K828" s="2" t="s">
        <v>2214</v>
      </c>
      <c r="L828" t="s">
        <v>2348</v>
      </c>
      <c r="M828" s="2" t="s">
        <v>894</v>
      </c>
      <c r="N828" t="s">
        <v>3155</v>
      </c>
      <c r="O828" s="2" t="s">
        <v>57</v>
      </c>
    </row>
    <row r="829" spans="1:15">
      <c r="A829" t="s">
        <v>459</v>
      </c>
      <c r="B829" t="s">
        <v>57</v>
      </c>
      <c r="C829" s="2" t="s">
        <v>894</v>
      </c>
      <c r="E829" s="2" t="str">
        <f t="shared" si="37"/>
        <v>Rubin</v>
      </c>
      <c r="F829" s="2" t="str">
        <f t="shared" si="38"/>
        <v>Colwill</v>
      </c>
      <c r="H829" s="2" t="str">
        <f t="shared" si="36"/>
        <v>R</v>
      </c>
      <c r="I829" s="2" t="s">
        <v>3156</v>
      </c>
      <c r="K829" s="2" t="s">
        <v>2349</v>
      </c>
      <c r="L829" t="s">
        <v>2350</v>
      </c>
      <c r="M829" s="2" t="s">
        <v>894</v>
      </c>
      <c r="N829" t="s">
        <v>3156</v>
      </c>
      <c r="O829" s="2" t="s">
        <v>57</v>
      </c>
    </row>
    <row r="830" spans="1:15">
      <c r="A830" t="s">
        <v>460</v>
      </c>
      <c r="B830" t="s">
        <v>66</v>
      </c>
      <c r="C830" s="2" t="s">
        <v>894</v>
      </c>
      <c r="E830" s="2" t="str">
        <f t="shared" si="37"/>
        <v>Brennan</v>
      </c>
      <c r="F830" s="2" t="str">
        <f t="shared" si="38"/>
        <v>Johnson</v>
      </c>
      <c r="H830" s="2" t="str">
        <f t="shared" si="36"/>
        <v>B</v>
      </c>
      <c r="I830" s="2" t="s">
        <v>3157</v>
      </c>
      <c r="K830" s="2" t="s">
        <v>2351</v>
      </c>
      <c r="L830" t="s">
        <v>2252</v>
      </c>
      <c r="M830" s="2" t="s">
        <v>894</v>
      </c>
      <c r="N830" t="s">
        <v>3157</v>
      </c>
      <c r="O830" s="2" t="s">
        <v>66</v>
      </c>
    </row>
    <row r="831" spans="1:15">
      <c r="A831" t="s">
        <v>461</v>
      </c>
      <c r="B831" t="s">
        <v>66</v>
      </c>
      <c r="C831" s="2" t="s">
        <v>894</v>
      </c>
      <c r="E831" s="2" t="str">
        <f t="shared" si="37"/>
        <v>Gareth</v>
      </c>
      <c r="F831" s="2" t="str">
        <f t="shared" si="38"/>
        <v>Bale</v>
      </c>
      <c r="H831" s="2" t="str">
        <f t="shared" si="36"/>
        <v>G</v>
      </c>
      <c r="I831" s="2" t="s">
        <v>932</v>
      </c>
      <c r="K831" s="2" t="s">
        <v>2352</v>
      </c>
      <c r="L831" t="s">
        <v>2353</v>
      </c>
      <c r="M831" s="2" t="s">
        <v>894</v>
      </c>
      <c r="N831" t="s">
        <v>932</v>
      </c>
      <c r="O831" s="2" t="s">
        <v>66</v>
      </c>
    </row>
    <row r="832" spans="1:15">
      <c r="A832" t="s">
        <v>462</v>
      </c>
      <c r="B832" t="s">
        <v>66</v>
      </c>
      <c r="C832" s="2" t="s">
        <v>894</v>
      </c>
      <c r="E832" s="2" t="str">
        <f t="shared" si="37"/>
        <v>Kieffer</v>
      </c>
      <c r="F832" s="2" t="str">
        <f t="shared" si="38"/>
        <v>Moore</v>
      </c>
      <c r="H832" s="2" t="str">
        <f t="shared" si="36"/>
        <v>K</v>
      </c>
      <c r="I832" s="2" t="s">
        <v>3158</v>
      </c>
      <c r="K832" s="2" t="s">
        <v>2354</v>
      </c>
      <c r="L832" t="s">
        <v>2262</v>
      </c>
      <c r="M832" s="2" t="s">
        <v>894</v>
      </c>
      <c r="N832" t="s">
        <v>3158</v>
      </c>
      <c r="O832" s="2" t="s">
        <v>66</v>
      </c>
    </row>
    <row r="833" spans="1:15">
      <c r="A833" t="s">
        <v>463</v>
      </c>
      <c r="B833" t="s">
        <v>66</v>
      </c>
      <c r="C833" s="2" t="s">
        <v>894</v>
      </c>
      <c r="E833" s="2" t="str">
        <f t="shared" si="37"/>
        <v>Matt</v>
      </c>
      <c r="F833" s="2" t="str">
        <f t="shared" si="38"/>
        <v>Smith</v>
      </c>
      <c r="H833" s="2" t="str">
        <f t="shared" si="36"/>
        <v>M</v>
      </c>
      <c r="I833" s="2" t="s">
        <v>3159</v>
      </c>
      <c r="K833" s="2" t="s">
        <v>2247</v>
      </c>
      <c r="L833" t="s">
        <v>2355</v>
      </c>
      <c r="M833" s="2" t="s">
        <v>894</v>
      </c>
      <c r="N833" t="s">
        <v>3159</v>
      </c>
      <c r="O833" s="2" t="s">
        <v>66</v>
      </c>
    </row>
    <row r="834" spans="1:15">
      <c r="C834" s="2"/>
    </row>
    <row r="835" spans="1:15">
      <c r="A835" t="s">
        <v>73</v>
      </c>
      <c r="B835" t="s">
        <v>44</v>
      </c>
      <c r="C835" s="2"/>
      <c r="O835" s="2" t="s">
        <v>44</v>
      </c>
    </row>
    <row r="836" spans="1:15">
      <c r="C836" s="2"/>
    </row>
    <row r="837" spans="1:15">
      <c r="C837" s="2"/>
    </row>
    <row r="838" spans="1:15">
      <c r="C838" s="2"/>
    </row>
    <row r="839" spans="1:15">
      <c r="C839" s="2"/>
    </row>
    <row r="841" spans="1:15">
      <c r="C841" s="2"/>
    </row>
    <row r="842" spans="1:15">
      <c r="C842" s="2"/>
    </row>
    <row r="843" spans="1:15">
      <c r="C843" s="2"/>
    </row>
    <row r="844" spans="1:15">
      <c r="C844" s="2"/>
    </row>
    <row r="845" spans="1:15">
      <c r="C845" s="2"/>
    </row>
    <row r="846" spans="1:15">
      <c r="C846" s="2"/>
    </row>
    <row r="847" spans="1:15">
      <c r="C847" s="2"/>
    </row>
    <row r="848" spans="1:15">
      <c r="C848" s="2"/>
    </row>
    <row r="849" spans="3:3">
      <c r="C849" s="2"/>
    </row>
    <row r="850" spans="3:3">
      <c r="C850" s="2"/>
    </row>
    <row r="851" spans="3:3">
      <c r="C851" s="2"/>
    </row>
    <row r="852" spans="3:3">
      <c r="C852" s="2"/>
    </row>
    <row r="853" spans="3:3">
      <c r="C853" s="2"/>
    </row>
    <row r="854" spans="3:3">
      <c r="C854" s="2"/>
    </row>
    <row r="855" spans="3:3">
      <c r="C855" s="2"/>
    </row>
    <row r="856" spans="3:3">
      <c r="C856" s="2"/>
    </row>
    <row r="857" spans="3:3">
      <c r="C857" s="2"/>
    </row>
    <row r="858" spans="3:3">
      <c r="C858" s="2"/>
    </row>
    <row r="859" spans="3:3">
      <c r="C859" s="2"/>
    </row>
    <row r="860" spans="3:3">
      <c r="C860" s="2"/>
    </row>
    <row r="861" spans="3:3">
      <c r="C861" s="2"/>
    </row>
    <row r="862" spans="3:3">
      <c r="C862" s="2"/>
    </row>
    <row r="863" spans="3:3">
      <c r="C863" s="2"/>
    </row>
    <row r="864" spans="3:3">
      <c r="C864" s="2"/>
    </row>
    <row r="865" spans="3:3">
      <c r="C865" s="2"/>
    </row>
  </sheetData>
  <sortState xmlns:xlrd2="http://schemas.microsoft.com/office/spreadsheetml/2017/richdata2" ref="A2:C866">
    <sortCondition ref="C2:C86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Results</vt:lpstr>
      <vt:lpstr>Fixture points</vt:lpstr>
      <vt:lpstr>Player points</vt:lpstr>
      <vt:lpstr>Sheet1 (2)</vt:lpstr>
      <vt:lpstr>Sheet3</vt:lpstr>
      <vt:lpstr>Team pages</vt:lpstr>
      <vt:lpstr>Sheet1</vt:lpstr>
      <vt:lpstr>Player list</vt:lpstr>
      <vt:lpstr>Teams!Print_Area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Johns</dc:creator>
  <cp:lastModifiedBy>Jeremy Johns</cp:lastModifiedBy>
  <dcterms:created xsi:type="dcterms:W3CDTF">2022-11-17T08:30:54Z</dcterms:created>
  <dcterms:modified xsi:type="dcterms:W3CDTF">2022-12-17T13:43:31Z</dcterms:modified>
</cp:coreProperties>
</file>